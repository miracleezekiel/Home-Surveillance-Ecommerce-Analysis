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7620"/>
  </bookViews>
  <sheets>
    <sheet name="Raw_Data" sheetId="1" r:id="rId1"/>
    <sheet name="Working_Data" sheetId="2" r:id="rId2"/>
    <sheet name="Validation Work" sheetId="3" r:id="rId3"/>
    <sheet name="Notes" sheetId="4" r:id="rId4"/>
    <sheet name="Data_Issues" sheetId="5" r:id="rId5"/>
    <sheet name="KPI_Ideas" sheetId="6" r:id="rId6"/>
    <sheet name="Data_Exploration" sheetId="7" r:id="rId7"/>
    <sheet name="Pivot_Analysis" sheetId="8" r:id="rId8"/>
    <sheet name="Visualization" sheetId="9" r:id="rId9"/>
  </sheet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<sst xmlns="http://schemas.openxmlformats.org/spreadsheetml/2006/main" count="31418" uniqueCount="3137">
  <si>
    <t>title</t>
  </si>
  <si>
    <t>brand</t>
  </si>
  <si>
    <t>mpn</t>
  </si>
  <si>
    <t>upc</t>
  </si>
  <si>
    <t>product_type</t>
  </si>
  <si>
    <t>primary_category</t>
  </si>
  <si>
    <t>smart_home_ecosystem</t>
  </si>
  <si>
    <t>brand_tier</t>
  </si>
  <si>
    <t>condition</t>
  </si>
  <si>
    <t>condition_score</t>
  </si>
  <si>
    <t>price</t>
  </si>
  <si>
    <t>wasPrice</t>
  </si>
  <si>
    <t>discount_pct</t>
  </si>
  <si>
    <t>savings_usd</t>
  </si>
  <si>
    <t>has_discount</t>
  </si>
  <si>
    <t>price_tier</t>
  </si>
  <si>
    <t>log_price</t>
  </si>
  <si>
    <t>price_per_channel</t>
  </si>
  <si>
    <t>sold</t>
  </si>
  <si>
    <t>available</t>
  </si>
  <si>
    <t>sell_through_rate</t>
  </si>
  <si>
    <t>demand_tier</t>
  </si>
  <si>
    <t>revenue_proxy_usd</t>
  </si>
  <si>
    <t>log_sold</t>
  </si>
  <si>
    <t>log_revenue_proxy</t>
  </si>
  <si>
    <t>sqrt_available</t>
  </si>
  <si>
    <t>resolution_class</t>
  </si>
  <si>
    <t>has_night_vision</t>
  </si>
  <si>
    <t>has_color_night</t>
  </si>
  <si>
    <t>has_wide_angle</t>
  </si>
  <si>
    <t>has_solar_power</t>
  </si>
  <si>
    <t>is_battery_powered</t>
  </si>
  <si>
    <t>is_wired</t>
  </si>
  <si>
    <t>has_wifi</t>
  </si>
  <si>
    <t>has_poe</t>
  </si>
  <si>
    <t>has_cellular_4g5g</t>
  </si>
  <si>
    <t>has_pan_tilt_zoom</t>
  </si>
  <si>
    <t>has_motion_detect</t>
  </si>
  <si>
    <t>has_ai_detection</t>
  </si>
  <si>
    <t>has_two_way_audio</t>
  </si>
  <si>
    <t>has_voice_control</t>
  </si>
  <si>
    <t>has_floodlight</t>
  </si>
  <si>
    <t>has_local_storage</t>
  </si>
  <si>
    <t>has_cloud_storage</t>
  </si>
  <si>
    <t>is_doorbell_camera</t>
  </si>
  <si>
    <t>is_outdoor</t>
  </si>
  <si>
    <t>is_indoor</t>
  </si>
  <si>
    <t>is_nvr_dvr_system</t>
  </si>
  <si>
    <t>is_complete_system</t>
  </si>
  <si>
    <t>is_refurb_product</t>
  </si>
  <si>
    <t>channel_count</t>
  </si>
  <si>
    <t>pack_quantity</t>
  </si>
  <si>
    <t>tech_richness_score</t>
  </si>
  <si>
    <t>commercial_value_score</t>
  </si>
  <si>
    <t>seller</t>
  </si>
  <si>
    <t>seller_city</t>
  </si>
  <si>
    <t>seller_state</t>
  </si>
  <si>
    <t>seller_country</t>
  </si>
  <si>
    <t>ships_to_count</t>
  </si>
  <si>
    <t>excluded_country_count</t>
  </si>
  <si>
    <t>global_reach_score</t>
  </si>
  <si>
    <t>is_us_only_shipping</t>
  </si>
  <si>
    <t>days_since_update</t>
  </si>
  <si>
    <t>listing_freshness_score</t>
  </si>
  <si>
    <t>Lorex N844A82 4K 8-Channel 2TB NVR, Smart Motion, Voice Control, Fusion (M.Ref)</t>
  </si>
  <si>
    <t>Lorex</t>
  </si>
  <si>
    <t>N844A82</t>
  </si>
  <si>
    <t>Monitor/Display</t>
  </si>
  <si>
    <t>Uncategorized</t>
  </si>
  <si>
    <t>Prosumer</t>
  </si>
  <si>
    <t>Excellent Refurbished</t>
  </si>
  <si>
    <t>Premium ($200–$500)</t>
  </si>
  <si>
    <t>Medium Demand</t>
  </si>
  <si>
    <t>4K</t>
  </si>
  <si>
    <t>Seller_1</t>
  </si>
  <si>
    <t>Carrollton</t>
  </si>
  <si>
    <t>TX</t>
  </si>
  <si>
    <t>United States</t>
  </si>
  <si>
    <t>2/4PK Solar Camera Outdoor Wireless Solar Security Camera System 4MP WiFi iP Cam</t>
  </si>
  <si>
    <t>Xvim/Woolink</t>
  </si>
  <si>
    <t>N1060WH/BK-4</t>
  </si>
  <si>
    <t>Camera</t>
  </si>
  <si>
    <t>Security Cameras</t>
  </si>
  <si>
    <t>Other/Generic</t>
  </si>
  <si>
    <t>Other Brand</t>
  </si>
  <si>
    <t>New</t>
  </si>
  <si>
    <t>Value ($25–$75)</t>
  </si>
  <si>
    <t>Low Demand</t>
  </si>
  <si>
    <t>4MP</t>
  </si>
  <si>
    <t>Seller_2</t>
  </si>
  <si>
    <t>Rockaway</t>
  </si>
  <si>
    <t>NJ</t>
  </si>
  <si>
    <t>Reolink Argus PT Ultra 4K 8MP Battery Solar Security Camera WiFi 360° Pan Tilt</t>
  </si>
  <si>
    <t>Reolink</t>
  </si>
  <si>
    <t>Solar/Battery Camera</t>
  </si>
  <si>
    <t>Mid-Range ($75–$200)</t>
  </si>
  <si>
    <t>Seller_3</t>
  </si>
  <si>
    <t>Houston</t>
  </si>
  <si>
    <t>Texas</t>
  </si>
  <si>
    <t>4MP Wireless Solar Power Camera Outdoor Wifi Battery Pan/Tilt Securty Camera</t>
  </si>
  <si>
    <t>Woolink</t>
  </si>
  <si>
    <t>N1060WH-1/4P</t>
  </si>
  <si>
    <t>Value</t>
  </si>
  <si>
    <t>eufy Floodlight Camera E340 Security Camera 3K Dual Camera Color Night Vision</t>
  </si>
  <si>
    <t>Eufy</t>
  </si>
  <si>
    <t>AKT8425</t>
  </si>
  <si>
    <t>Eufy (Anker)</t>
  </si>
  <si>
    <t>Premium Consumer</t>
  </si>
  <si>
    <t>Certified Refurbished</t>
  </si>
  <si>
    <t>Viral (Top 5%)</t>
  </si>
  <si>
    <t>3MP</t>
  </si>
  <si>
    <t>Seller_4</t>
  </si>
  <si>
    <t>Ontario</t>
  </si>
  <si>
    <t>CA</t>
  </si>
  <si>
    <t>Ring Floodlight Cam Pro 4K (Newest Model) Wired | 2nd gen | Sealed | White</t>
  </si>
  <si>
    <t>Ring</t>
  </si>
  <si>
    <t>Floodlight Camera</t>
  </si>
  <si>
    <t>Ring (Amazon)</t>
  </si>
  <si>
    <t>Seller_5</t>
  </si>
  <si>
    <t>Frisco</t>
  </si>
  <si>
    <t>Ring Wired Doorbell Pro 4K (Newest Model) | 3rd Gen | Sealed</t>
  </si>
  <si>
    <t>B0F151GFYR</t>
  </si>
  <si>
    <t>Doorbell Camera</t>
  </si>
  <si>
    <t>Ring Outdoor Camera Battery Smart Security Camera with 2-Way Talk</t>
  </si>
  <si>
    <t>Smartsecurity</t>
  </si>
  <si>
    <t>Unknown</t>
  </si>
  <si>
    <t>Seller_6</t>
  </si>
  <si>
    <t>Chatsworth</t>
  </si>
  <si>
    <t>California</t>
  </si>
  <si>
    <t>Security Camera Cable BNC Extension Power Cord CCTV Surveillance DVR Wire - lot</t>
  </si>
  <si>
    <t>906908 906909 906910 906911 906912</t>
  </si>
  <si>
    <t>Cable/Accessory</t>
  </si>
  <si>
    <t>Accessories</t>
  </si>
  <si>
    <t>Budget (&lt;$25)</t>
  </si>
  <si>
    <t>Seller_7</t>
  </si>
  <si>
    <t>Deer Park</t>
  </si>
  <si>
    <t>NY</t>
  </si>
  <si>
    <t>2 Pack Wireless 5G WiFi Security Camera System Smart Outdoor Night Vision 1080P</t>
  </si>
  <si>
    <t>Generic/Unknown</t>
  </si>
  <si>
    <t>1080P</t>
  </si>
  <si>
    <t>Seller_8</t>
  </si>
  <si>
    <t>Hudson</t>
  </si>
  <si>
    <t>Wisconsin</t>
  </si>
  <si>
    <t>KJB Professional Digital DD1206 RF WiFi GSM Bug Detector Counter Surveillance</t>
  </si>
  <si>
    <t>Unbranded/Generic</t>
  </si>
  <si>
    <t>DD1206S</t>
  </si>
  <si>
    <t>Bug Hunter Locates All Hidden Active Transmitters</t>
  </si>
  <si>
    <t>High-End ($500–$1.5K)</t>
  </si>
  <si>
    <t>Seller_9</t>
  </si>
  <si>
    <t>Bayside</t>
  </si>
  <si>
    <t>New York</t>
  </si>
  <si>
    <t>Lot 8 YI Home Camera 1080p Wireless IP Security Surveillance System Night Vision</t>
  </si>
  <si>
    <t>YI</t>
  </si>
  <si>
    <t>Used</t>
  </si>
  <si>
    <t>High Demand</t>
  </si>
  <si>
    <t>Seller_10</t>
  </si>
  <si>
    <t>Plano</t>
  </si>
  <si>
    <t>eufy S380 HomeBase 3 Edge Security Center Local Expandable Storage up to 16TB</t>
  </si>
  <si>
    <t>AKT8030</t>
  </si>
  <si>
    <t>Edge Security Center</t>
  </si>
  <si>
    <t>IP/Smart Camera Systems</t>
  </si>
  <si>
    <t>Seller_11</t>
  </si>
  <si>
    <t>RING WIRED DOORBELL PRO (3RD GEN) RETINAL 4K FOR ULTRA-CLEAR VIDEO- New</t>
  </si>
  <si>
    <t>Other</t>
  </si>
  <si>
    <t>Seller_12</t>
  </si>
  <si>
    <t>Oviedo</t>
  </si>
  <si>
    <t>FL</t>
  </si>
  <si>
    <t>2 Pack 7200mAh Rechargeable Battery and Charger Station for Ring Doorbell 2/3/4</t>
  </si>
  <si>
    <t>Seller_13</t>
  </si>
  <si>
    <t>Chino</t>
  </si>
  <si>
    <t>ANNKE 16CH 12MP NVR 4K POE AI Color Night Security Camera System Audio Recording</t>
  </si>
  <si>
    <t>Annke</t>
  </si>
  <si>
    <t>AU-N46PCK-V4-91DM</t>
  </si>
  <si>
    <t>Turret Camera</t>
  </si>
  <si>
    <t>Seller_14</t>
  </si>
  <si>
    <t>Flanders</t>
  </si>
  <si>
    <t>2 Pack Genuine Battery for Ring Video Doorbell 2 3 4 Spotlight Cam Quick Release</t>
  </si>
  <si>
    <t>V4, 5AT3S3, 5F53E9</t>
  </si>
  <si>
    <t>Battery Replacement</t>
  </si>
  <si>
    <t>Seller_15</t>
  </si>
  <si>
    <t>Los Angeles</t>
  </si>
  <si>
    <t>Mini Wireless Record Camera WiFi IP Home Security DVR Night Vision HD USB 1080P</t>
  </si>
  <si>
    <t>Indoor Security Camera</t>
  </si>
  <si>
    <t>Seller_16</t>
  </si>
  <si>
    <t>Truckee</t>
  </si>
  <si>
    <t>eufy 2K Smart Security Camera Indoor Cam C220 AI Motion Track NightVision|Refurb</t>
  </si>
  <si>
    <t>AKT8W1F0</t>
  </si>
  <si>
    <t>2K/2MP</t>
  </si>
  <si>
    <t>New Sealed Ring Wired Doorbell Pro (3rd Gen) Retinal 4K ultra-clear video 10x Z</t>
  </si>
  <si>
    <t>Seller_17</t>
  </si>
  <si>
    <t>Maple Shade</t>
  </si>
  <si>
    <t>Siamese Cable CCTV Security Camera BNC DC Power/Video Wire Black/White Pack LOT</t>
  </si>
  <si>
    <t>Cable-Zilla</t>
  </si>
  <si>
    <t>Seller_18</t>
  </si>
  <si>
    <t>SimpliSafe Water Sensor (WT3) Water Flood Leak Detector New</t>
  </si>
  <si>
    <t>Simplisafe</t>
  </si>
  <si>
    <t>WT3</t>
  </si>
  <si>
    <t>Water Sensor</t>
  </si>
  <si>
    <t>Sensors &amp; Motion Detectors</t>
  </si>
  <si>
    <t>Seller_19</t>
  </si>
  <si>
    <t>4-Pack Wireless 5G WiFi Security Camera System Smart Outdoor Night Vision 1080P</t>
  </si>
  <si>
    <t>Night Owl CM-FTD4LS-B-V2, 2K 2560x1440 (4MP) Wired Add-on Camera with Spotlight</t>
  </si>
  <si>
    <t>Night Owl</t>
  </si>
  <si>
    <t>Open Box</t>
  </si>
  <si>
    <t>Seller_20</t>
  </si>
  <si>
    <t>Holliston</t>
  </si>
  <si>
    <t>Massachusetts</t>
  </si>
  <si>
    <t>eufy SoloCam S220 Wireless Home Security System 2K Outdoor Cameras Solar Powered</t>
  </si>
  <si>
    <t>AKE8134</t>
  </si>
  <si>
    <t>Complete System</t>
  </si>
  <si>
    <t>Ring Outdoor Cam Pro Retinal 4K Plug-in Camera 10x Zoom, White ,New+Sealed</t>
  </si>
  <si>
    <t>Seller_21</t>
  </si>
  <si>
    <t>New Orleans</t>
  </si>
  <si>
    <t>Louisiana</t>
  </si>
  <si>
    <t>5pair 12V 5.5x2.1mm Male + Female DC Power Socket Jack Connector Cable Plug Wire</t>
  </si>
  <si>
    <t>Jacobsparts</t>
  </si>
  <si>
    <t>DCCONN-DE</t>
  </si>
  <si>
    <t>Dc Power Connector</t>
  </si>
  <si>
    <t>Seller_22</t>
  </si>
  <si>
    <t>Indianapolis</t>
  </si>
  <si>
    <t>Indiana</t>
  </si>
  <si>
    <t>ANRAN Wireless Outdoor Security Camera System Solar Battery Powered Wifi Cameras</t>
  </si>
  <si>
    <t>Anran</t>
  </si>
  <si>
    <t>N40W1602</t>
  </si>
  <si>
    <t>Seller_23</t>
  </si>
  <si>
    <t>Perth Amboy</t>
  </si>
  <si>
    <t>New Jersey</t>
  </si>
  <si>
    <t>1080P Light Bulb Camera 2.4GHz &amp; 5G WiFi E27 Smart Bulb 360 Security IP Camera</t>
  </si>
  <si>
    <t>Ip Camera</t>
  </si>
  <si>
    <t>Seller_24</t>
  </si>
  <si>
    <t>Ring Security System. Everything You Need To Have A Great Setup For Security</t>
  </si>
  <si>
    <t>No Sales Data</t>
  </si>
  <si>
    <t>Seller_25</t>
  </si>
  <si>
    <t>Wireless Driveway Alert Kit. Motion Activated Sensor.  200ft Range. 25ft Sensing</t>
  </si>
  <si>
    <t>Azco Technologies</t>
  </si>
  <si>
    <t>Motion Sensor</t>
  </si>
  <si>
    <t>Seller_26</t>
  </si>
  <si>
    <t>Panasonic WJ-ND400K NVR Security Camera  Recorder CCTV</t>
  </si>
  <si>
    <t>Panasonic</t>
  </si>
  <si>
    <t>DVR</t>
  </si>
  <si>
    <t>Surveillance Dvrs &amp; Nvrs</t>
  </si>
  <si>
    <t>Seller_27</t>
  </si>
  <si>
    <t>Snellville</t>
  </si>
  <si>
    <t>GA</t>
  </si>
  <si>
    <t>SANNCE HD 8CH 1080P Lite CCTV DVR TVI Video Recorder for Security Camera System</t>
  </si>
  <si>
    <t>Sannce</t>
  </si>
  <si>
    <t>SU-DT81BD000</t>
  </si>
  <si>
    <t>Seller_28</t>
  </si>
  <si>
    <t>ANNKE 32CH 12MP NVR 4K Audio AI POE Security IP Camera System Color Night Vision</t>
  </si>
  <si>
    <t>N931BB-91DL</t>
  </si>
  <si>
    <t>Bullet Camera</t>
  </si>
  <si>
    <t>Seller_29</t>
  </si>
  <si>
    <t>4 NEW Northern Outdoor Cameras 3 Eyeball  DWMVFIR960 1 Bullet B6IROSD</t>
  </si>
  <si>
    <t>Northern Video</t>
  </si>
  <si>
    <t>HDMEIIR90W</t>
  </si>
  <si>
    <t>Dome Camera</t>
  </si>
  <si>
    <t>Seller_30</t>
  </si>
  <si>
    <t>Sacramento</t>
  </si>
  <si>
    <t>Wireless Driveway Alarm Infrared Motion Sensor Home Garage Alert Security System</t>
  </si>
  <si>
    <t>Alarm</t>
  </si>
  <si>
    <t>Seller_31</t>
  </si>
  <si>
    <t>Meadow Lands</t>
  </si>
  <si>
    <t>Pennsylvania</t>
  </si>
  <si>
    <t>Camera Mount Bracket for Tree, Pole, Wall, Siding for Ring Outdoor Cam Plus</t>
  </si>
  <si>
    <t>3Dexl</t>
  </si>
  <si>
    <t>Seller_32</t>
  </si>
  <si>
    <t>Acworth</t>
  </si>
  <si>
    <t>Georgia</t>
  </si>
  <si>
    <t>Solar Camera 4MP Wireless Outdoor Solar Battery Security Camera WiFi Smart Home</t>
  </si>
  <si>
    <t>Woolink/Xvim</t>
  </si>
  <si>
    <t>US-N1060WH-XM4MP</t>
  </si>
  <si>
    <t>Seller_33</t>
  </si>
  <si>
    <t>HIK DS-1280ZJ-DM21, CB135, Junction Box Bracket For DS-2CD2347G1-LU Dome camera</t>
  </si>
  <si>
    <t>Caliwiretech</t>
  </si>
  <si>
    <t>DS-1280ZJ-DM21, CB140PT, CB135</t>
  </si>
  <si>
    <t>Mount/Bracket</t>
  </si>
  <si>
    <t>Security Camera Brackets &amp; Mounts</t>
  </si>
  <si>
    <t>Seller_34</t>
  </si>
  <si>
    <t>Riverside</t>
  </si>
  <si>
    <t>DC Power Pigtail Cable Plug 18AWG 2.1mm x 5.5mm 12V 5A Female Connector Pack Lot</t>
  </si>
  <si>
    <t>Satmaximum</t>
  </si>
  <si>
    <t>ZOSI 12V 2A Power Supply Adapter DC 1 to 4 Way Power Splitter Cable for Cameras</t>
  </si>
  <si>
    <t>Zosi</t>
  </si>
  <si>
    <t>AC-2AT4-US</t>
  </si>
  <si>
    <t>Adapter And Splitter Cable</t>
  </si>
  <si>
    <t>Seller_35</t>
  </si>
  <si>
    <t>Walton</t>
  </si>
  <si>
    <t>Kentucky</t>
  </si>
  <si>
    <t>ANNKE 8CH H.265+ 8MP NVR 5MP Color POE IP Security Camera System Audio CCTV AI</t>
  </si>
  <si>
    <t>N98PBL0-54EM</t>
  </si>
  <si>
    <t>Turret Ip Camera</t>
  </si>
  <si>
    <t>8MP</t>
  </si>
  <si>
    <t>HTZSAFE Owl Home Security Wireless Driveway Alarm 1 Receiver + 2 Sensors</t>
  </si>
  <si>
    <t>Htzsafe</t>
  </si>
  <si>
    <t>Driveway Alarm</t>
  </si>
  <si>
    <t>Seller_36</t>
  </si>
  <si>
    <t>8PCS 3MP HD Cameras ,Wireless WiFi Security Camera systen 10CH NVR+3TB harddrive</t>
  </si>
  <si>
    <t>Smartsf</t>
  </si>
  <si>
    <t>Nvr Indoor Outdoor Ip Camera Kit</t>
  </si>
  <si>
    <t>Seller_37</t>
  </si>
  <si>
    <t>Luma LUM-501-DVR-8CH 1TB 8 Channel Digital Video Recorder n371</t>
  </si>
  <si>
    <t>Luma</t>
  </si>
  <si>
    <t>(Digital Video Recorder)</t>
  </si>
  <si>
    <t>Seller_38</t>
  </si>
  <si>
    <t>Sherman Oaks</t>
  </si>
  <si>
    <t>eufy Security Smart Wireless System w/Alexa 1080P Battery Camera eufyCam 2C Kit</t>
  </si>
  <si>
    <t>AKT88301D1</t>
  </si>
  <si>
    <t>4PCS 4MP Bullet Security Camera 4CH POE NVR Outdoor System One-Way Audio NO HDD</t>
  </si>
  <si>
    <t>Bullet Ip Camera</t>
  </si>
  <si>
    <t>Seller_39</t>
  </si>
  <si>
    <t>8 Channel H.265+ 5MP Lite DVR HD 1080p Recorder for Security Camera System</t>
  </si>
  <si>
    <t>Kerui</t>
  </si>
  <si>
    <t>Digital Video Recorder</t>
  </si>
  <si>
    <t>5MP</t>
  </si>
  <si>
    <t>Seller_40</t>
  </si>
  <si>
    <t>AOMG H.264 Network Video Recorder NVR 8 CH</t>
  </si>
  <si>
    <t>Aomg</t>
  </si>
  <si>
    <t>Network Video Recorder Nvr</t>
  </si>
  <si>
    <t>Seller_41</t>
  </si>
  <si>
    <t>Naples</t>
  </si>
  <si>
    <t>Wifi and 3/4G GSM Home Burglar Security Alarm System Auto Dial with Smart Life a</t>
  </si>
  <si>
    <t>Seller_42</t>
  </si>
  <si>
    <t>Dallas</t>
  </si>
  <si>
    <t>ANNKE 8CH 4K 8MP 5IN1 H.265+ DVR Video Recorder for CCTV Security Camera System</t>
  </si>
  <si>
    <t>AU-DT81DW000</t>
  </si>
  <si>
    <t>Dvr Recorder</t>
  </si>
  <si>
    <t>Seller_43</t>
  </si>
  <si>
    <t>Solar Security Camera System Wireless Outdoor Dual-Lens Dual PIR Detect NVR Set</t>
  </si>
  <si>
    <t>Camcamp</t>
  </si>
  <si>
    <t>Wireless Solar Security Camera System</t>
  </si>
  <si>
    <t>Seller_44</t>
  </si>
  <si>
    <t>Hollis</t>
  </si>
  <si>
    <t>ANNKE 4PCS 100FT 30m Video Power BNC Cable for CCTV Security Camera System White</t>
  </si>
  <si>
    <t>XCL038</t>
  </si>
  <si>
    <t>JENNOV 10"LCD 10CH 5MP NVR WiFi IP Outdoor Wireless Security Camera System CCTV</t>
  </si>
  <si>
    <t>Jennov</t>
  </si>
  <si>
    <t>Seller_45</t>
  </si>
  <si>
    <t>Grand Prairie</t>
  </si>
  <si>
    <t>QOLSYS iQ2+ HONEYWELL 2GIG POWER G WIRELESS SYS ALARM.COM VERIZON LTE QS9201-5 U</t>
  </si>
  <si>
    <t>Qolsys</t>
  </si>
  <si>
    <t>Panel</t>
  </si>
  <si>
    <t>Seller_46</t>
  </si>
  <si>
    <t>Friendswood</t>
  </si>
  <si>
    <t>Blink Mini / Mini 2 / Mini 2K+ Security Camera – 1080p/2K, Night Vision.</t>
  </si>
  <si>
    <t>Blink</t>
  </si>
  <si>
    <t>Not Applicable</t>
  </si>
  <si>
    <t>Blink (Amazon)</t>
  </si>
  <si>
    <t>Seller_47</t>
  </si>
  <si>
    <t>Flushing</t>
  </si>
  <si>
    <t>4 Pack IR Bullet Dummy Fake Surveillance Security Camera CCTV with Record Light</t>
  </si>
  <si>
    <t>Horizon</t>
  </si>
  <si>
    <t>WL-KEYMOD-COVER-32</t>
  </si>
  <si>
    <t>Dummy Cameras</t>
  </si>
  <si>
    <t>Seller_48</t>
  </si>
  <si>
    <t>HD 1080P Mini Camera Portable Micro Cam Pocket Video Recorder Motion Detection</t>
  </si>
  <si>
    <t>Seller_49</t>
  </si>
  <si>
    <t>Hebron</t>
  </si>
  <si>
    <t>SANNCE 5in1 8CH 1080P Lite TVI DVR Video Recorder for CCTV Security System 1TB</t>
  </si>
  <si>
    <t>SU-DT81BD100-R</t>
  </si>
  <si>
    <t>Seller_50</t>
  </si>
  <si>
    <t>amazon ring indoor camera window mount (MOUNT ONLY)</t>
  </si>
  <si>
    <t>Seller_51</t>
  </si>
  <si>
    <t>Cramerton</t>
  </si>
  <si>
    <t>NC</t>
  </si>
  <si>
    <t>Ubiquiti UniFi Protect G4 Dome PoE Camera (UVC-G4-Dome)</t>
  </si>
  <si>
    <t>Ubiquiti Networks</t>
  </si>
  <si>
    <t>UVC-G4-DOME</t>
  </si>
  <si>
    <t>Seller_52</t>
  </si>
  <si>
    <t>Richardson</t>
  </si>
  <si>
    <t>verint edgevr 200</t>
  </si>
  <si>
    <t>Verint</t>
  </si>
  <si>
    <t>Panoramic</t>
  </si>
  <si>
    <t>Seller_53</t>
  </si>
  <si>
    <t>South Plainfield</t>
  </si>
  <si>
    <t>ZOSI 8CH 4K 5MP/8MP POE Security Camera System NVR CCTV Audio AI Detect IR Night</t>
  </si>
  <si>
    <t>5Mp/8Mp Poe Camera System</t>
  </si>
  <si>
    <t>Faceplate for Ring Generation Gen 2 doorbell cover - pick a colour!</t>
  </si>
  <si>
    <t>3Dprintni</t>
  </si>
  <si>
    <t>Door Entry System</t>
  </si>
  <si>
    <t>Seller_54</t>
  </si>
  <si>
    <t>Belfast</t>
  </si>
  <si>
    <t>Antrim</t>
  </si>
  <si>
    <t>United Kingdom</t>
  </si>
  <si>
    <t>Hiseeu 5MP 10CH NVR Wireless Wifi Security Camera System Kit For Home Outdoor</t>
  </si>
  <si>
    <t>Hiseeu</t>
  </si>
  <si>
    <t>Seller_55</t>
  </si>
  <si>
    <t>Jersey City</t>
  </si>
  <si>
    <t>ANNKE 12MP 8CH NVR 4K Audio POE Security Camera System Outdoor Color Night IP67</t>
  </si>
  <si>
    <t>AU-N98PBK0-94DM</t>
  </si>
  <si>
    <t>Mini DVR 5.8G-FPV Video Recorder Module CVBS Signal Input Support 32GB TF Card</t>
  </si>
  <si>
    <t>Video Recorder</t>
  </si>
  <si>
    <t>Seller_56</t>
  </si>
  <si>
    <t>Guangzhou</t>
  </si>
  <si>
    <t>China</t>
  </si>
  <si>
    <t>Ring Spotlight Cam Plus / Battery Outdoor Camera Pack of 2 *New In Box*</t>
  </si>
  <si>
    <t>B0B7QMF9T5</t>
  </si>
  <si>
    <t>Seller_57</t>
  </si>
  <si>
    <t>Barnesville</t>
  </si>
  <si>
    <t>Ohio</t>
  </si>
  <si>
    <t>SANNCE 8CH 4K NVR 8MP Two Way Audio POE PT Security Camera System AI Detection</t>
  </si>
  <si>
    <t>N98PBD-91FT</t>
  </si>
  <si>
    <t>eufy Indoor Cam C210 Home Security Camera 1080P 360° PTZ Night Vision |Refurbish</t>
  </si>
  <si>
    <t>AKT8419</t>
  </si>
  <si>
    <t>Zmodo Wi-Fi Camera Power adapter Cord</t>
  </si>
  <si>
    <t>Zmodo</t>
  </si>
  <si>
    <t>Seller_58</t>
  </si>
  <si>
    <t>Chicago</t>
  </si>
  <si>
    <t>IL</t>
  </si>
  <si>
    <t>4MP PoE IP Vandal Bullet Camera IR Mode Outdoor/Indoor Metal Housing 2.8mm</t>
  </si>
  <si>
    <t>Seller_59</t>
  </si>
  <si>
    <t>Arlington Heights</t>
  </si>
  <si>
    <t>SANNCE Wireless 3MP Two Way Audio IP Security Camera System 8MP 16CH NVR WIFI AI</t>
  </si>
  <si>
    <t>N48WHG-71GL</t>
  </si>
  <si>
    <t>Digital Video Recorders</t>
  </si>
  <si>
    <t>Reolink Elite WiFi 8MP 4K Dual-Lens Plug-in Security Camera Color Night Vision</t>
  </si>
  <si>
    <t>Dual-Lens Plug-In Security Camera</t>
  </si>
  <si>
    <t>New Ring Floodlight Cam Pro Wired 2nd Gen (Newest Model) Retinal 4K - Black</t>
  </si>
  <si>
    <t>5CCEA3</t>
  </si>
  <si>
    <t>Seller_60</t>
  </si>
  <si>
    <t>4Pcs Wireless Security Camera System Outdoor WiFi 360 Solar Battery Powered IP</t>
  </si>
  <si>
    <t>Pomona</t>
  </si>
  <si>
    <t>ANNKE 8CH NVR 4K Audio POE Security Camera System Human Vehicle Detection Color</t>
  </si>
  <si>
    <t>AU-N98PBL-91DF</t>
  </si>
  <si>
    <t>KY</t>
  </si>
  <si>
    <t>2 Pack Rechargeable Battery A-1 for Arlo Pro 2 Camera VMA4400 VMS4230 VMC4030P</t>
  </si>
  <si>
    <t>A-1, A-1B, A-1C, 308-10029-01</t>
  </si>
  <si>
    <t>Rechargeable Battery</t>
  </si>
  <si>
    <t>Arlo</t>
  </si>
  <si>
    <t>Seller_61</t>
  </si>
  <si>
    <t>Arlo Essential Indoor Pan Tilt Security Camera 2K (2025 Release) -2 Cam Set NEW</t>
  </si>
  <si>
    <t>VMC3273-100NAS</t>
  </si>
  <si>
    <t>Seller_62</t>
  </si>
  <si>
    <t>ANNKE HD 4K/5MP 16CH/32CH Digital Video Recorder 5in1 DVR for CCTV Camera System</t>
  </si>
  <si>
    <t>D961BC/DX31NB/DW61LN</t>
  </si>
  <si>
    <t>Voice Recorder</t>
  </si>
  <si>
    <t>Reolink Duo 2 PoE 4K Security Camera System Outdoor Human/Vehicle/Pet Detection</t>
  </si>
  <si>
    <t>16 Gauge Heavy Duty DVR/NVR Security Lock Box with Cooling Fan -21 x 21 x 8 In</t>
  </si>
  <si>
    <t>Centropower</t>
  </si>
  <si>
    <t>Box Camera</t>
  </si>
  <si>
    <t>Seller_63</t>
  </si>
  <si>
    <t>Arlington</t>
  </si>
  <si>
    <t>FyuuI Wireless Security NVR 8CH CCTV Recorder HDMI VGA No HDD Included</t>
  </si>
  <si>
    <t>Fyuui</t>
  </si>
  <si>
    <t>Seller_64</t>
  </si>
  <si>
    <t>Jacksonville</t>
  </si>
  <si>
    <t>eufy Security Baby Monitor E21 with 4K UHD Camera, 5'' 720p Display 8X Zoom 24/7</t>
  </si>
  <si>
    <t>AKT8354</t>
  </si>
  <si>
    <t>AXIS P5534 60HZ</t>
  </si>
  <si>
    <t>Axis</t>
  </si>
  <si>
    <t>Ptz</t>
  </si>
  <si>
    <t>Premium Enterprise</t>
  </si>
  <si>
    <t>Seller_65</t>
  </si>
  <si>
    <t>Mount Pleasant</t>
  </si>
  <si>
    <t>Michigan</t>
  </si>
  <si>
    <t>ADATA 10 inch Display with 4 channel dvr</t>
  </si>
  <si>
    <t>Adata</t>
  </si>
  <si>
    <t>Dvr /Display</t>
  </si>
  <si>
    <t>Seller_66</t>
  </si>
  <si>
    <t>Glen Cove</t>
  </si>
  <si>
    <t>Wireless WIFI Camera Home Security System Outdoor CCTV 5MP 10CH 1TB NVR Lot</t>
  </si>
  <si>
    <t>Seller_67</t>
  </si>
  <si>
    <t>Security Camera System Outdoor Wireless 5MP NVR WIFI Two Way Audio Night Vision</t>
  </si>
  <si>
    <t>Cctv Systems</t>
  </si>
  <si>
    <t>SANNCE 4CH/8CH/16CH 1080P Lite 5in1 DVR Recorder Video fr Security Camera System</t>
  </si>
  <si>
    <t>DN41CS-DN81BS-DT61BH</t>
  </si>
  <si>
    <t>American Dynamics ADHD32060A Hybrid Digital Video Recorder</t>
  </si>
  <si>
    <t>American Dynamics</t>
  </si>
  <si>
    <t>ADHD32060A</t>
  </si>
  <si>
    <t>Seller_68</t>
  </si>
  <si>
    <t>Atlanta</t>
  </si>
  <si>
    <t>Mikrotik Cloud Router Switch CRS326-24G-2S+RM</t>
  </si>
  <si>
    <t>Mikrotik</t>
  </si>
  <si>
    <t>Router Switch</t>
  </si>
  <si>
    <t>Seller_69</t>
  </si>
  <si>
    <t>San Jose</t>
  </si>
  <si>
    <t>ADT OC845 1080p Wireless Security Camera | White Color | Outdoor</t>
  </si>
  <si>
    <t>Adt</t>
  </si>
  <si>
    <t>Audio Intercom</t>
  </si>
  <si>
    <t>Seller_70</t>
  </si>
  <si>
    <t>CCTV BNC Video Power Extension Cable For Security Camera DVR System HD</t>
  </si>
  <si>
    <t>Gator Cable</t>
  </si>
  <si>
    <t>CCTV-Security-Surveillance-BNC-Cable-DVR-4K-Black</t>
  </si>
  <si>
    <t>Cctv Video Cable Bnc Extension Wire</t>
  </si>
  <si>
    <t>720P</t>
  </si>
  <si>
    <t>Seller_71</t>
  </si>
  <si>
    <t>Boca Raton</t>
  </si>
  <si>
    <t>Solar Alarm LED Light Solar Strobe Light Wireless Motion Sensor Detector Outdoor</t>
  </si>
  <si>
    <t>Linkpal</t>
  </si>
  <si>
    <t>Solar Alarm</t>
  </si>
  <si>
    <t>Seller_72</t>
  </si>
  <si>
    <t>Ubiquiti UniFi G5/G6 PTZ Camera Corner Mount</t>
  </si>
  <si>
    <t>Camera Mount</t>
  </si>
  <si>
    <t>Seller_73</t>
  </si>
  <si>
    <t>Hiseeu 10"LCD 10CH NVR WIFI IP Wireless Security Camera System Outdoor 1TB HDD</t>
  </si>
  <si>
    <t>eufy 2K Outdoor Solar Security Cameras (SoloCam S230) Spotlight Cam Night Vision</t>
  </si>
  <si>
    <t>AKT8124</t>
  </si>
  <si>
    <t>Genuine New Extra Battery for ARLO PRO 2 Security Camera VMA4400 VMS4230 VCS4500</t>
  </si>
  <si>
    <t>A-1, 308-10029-01, VMS4230-100PAS, VMC4030P-100NAS, VMA4400, VCS4500C, VMS4230P</t>
  </si>
  <si>
    <t>eufy eufyCam S4 Security Solar Camera Wireless Outdoor 4K UHD Color 360 Pan/Tilt</t>
  </si>
  <si>
    <t>AKT8172</t>
  </si>
  <si>
    <t>ANNKE 3K 8MP 4K 12MP Audio PoE IP Security Camera Outdoor Color Night Vision AI</t>
  </si>
  <si>
    <t>91DM/91DL/91DF/51EM/51EL/51EN/51ES/51EF/91DS/91DH</t>
  </si>
  <si>
    <t>Bullet/Turret</t>
  </si>
  <si>
    <t>ANNKE 16CH 8CH 3K 5MP Lite H.265+ 5IN1 DVR CCTV Security Video Recorder AI Alert</t>
  </si>
  <si>
    <t>DW81KN/DW61LN</t>
  </si>
  <si>
    <t>Alarm/Sensor</t>
  </si>
  <si>
    <t>Seller_74</t>
  </si>
  <si>
    <t>Ring Floodlight Cam Wired Outdoor Security Camera Lot of 7 Units, For Parts Only</t>
  </si>
  <si>
    <t>For Parts</t>
  </si>
  <si>
    <t>Seller_75</t>
  </si>
  <si>
    <t>Alpharetta</t>
  </si>
  <si>
    <t>Ring Wall Mount for Cameras and Solar Panels -White</t>
  </si>
  <si>
    <t>Seller_76</t>
  </si>
  <si>
    <t>ANNKE 4K/3K/5MP 16CH/32CH Digital Video Recorder 5in1 DVR for Security Camera</t>
  </si>
  <si>
    <t>Floodlight Cam Pro with 2K Video and Ring Vision, 2 LED Lights, Dual Band Wi-Fi</t>
  </si>
  <si>
    <t>B0CG6RXMNV/B08FCWQWDZ</t>
  </si>
  <si>
    <t>Seller_77</t>
  </si>
  <si>
    <t>ANNKE 8CH 5MP Lite DVR Outdoor 1080P CCTV ecurity Camera System AI Color Night</t>
  </si>
  <si>
    <t>AU-DW81KT-T1GJ</t>
  </si>
  <si>
    <t>ZOSI 8CH/16CH 5MP/8MP POE IP Security Camera System 4K AI Face Detect NVR Audio</t>
  </si>
  <si>
    <t>Hybrid 16CH DVR for TVI, AHD, CVI, CVBS &amp;  Cameras</t>
  </si>
  <si>
    <t>Seller_78</t>
  </si>
  <si>
    <t>Absecon</t>
  </si>
  <si>
    <t>ROLA Mini Companion Robot with Camera | AI Smart Pet Interactive Home Assistant</t>
  </si>
  <si>
    <t>Enabot</t>
  </si>
  <si>
    <t>Seller_79</t>
  </si>
  <si>
    <t>Newtown</t>
  </si>
  <si>
    <t>eufy Security eufyCam E330 4K Outdoor Security Camera System with 1TB HDD|Refurb</t>
  </si>
  <si>
    <t>AKE8600</t>
  </si>
  <si>
    <t>EDISHINE Motion Sensor, Automatic Dusk to Dawn, 180 Degree Replacement Brown</t>
  </si>
  <si>
    <t>Edishine</t>
  </si>
  <si>
    <t>Replacement Motion Sensor</t>
  </si>
  <si>
    <t>Seller_80</t>
  </si>
  <si>
    <t>Multiple locations</t>
  </si>
  <si>
    <t>Vikylin 4K 8MP 40X 18X PTZ 360° IP Camera IR POE Mic Auto Tracking Outdoor NDAA</t>
  </si>
  <si>
    <t>Vikylin</t>
  </si>
  <si>
    <t>Seller_81</t>
  </si>
  <si>
    <t>Bordentown</t>
  </si>
  <si>
    <t>Ring Stick Up Cam Battery - Indoor/Outdoor Smart Security Camera, Black New*</t>
  </si>
  <si>
    <t>Seller_82</t>
  </si>
  <si>
    <t>Orange</t>
  </si>
  <si>
    <t>Guardline 500 Foot Range Wireless Driveway Alarm System (1 Sensor 1 Receiver)</t>
  </si>
  <si>
    <t>Guardline</t>
  </si>
  <si>
    <t>Driveway</t>
  </si>
  <si>
    <t>Seller_83</t>
  </si>
  <si>
    <t>4-Pack Wireless 2.4G WiFi Security Camera System Smart Outdoor Night Vision 3MP</t>
  </si>
  <si>
    <t>A31HH35-3-FAS</t>
  </si>
  <si>
    <t>4PK Wireless Solar Security Camera System 1080P HD WiFi Solar Battery Camera</t>
  </si>
  <si>
    <t>Xvim</t>
  </si>
  <si>
    <t>N1150TYN-4PK</t>
  </si>
  <si>
    <t>4MP Wireless Solar Battery Camera 4PCS Pan/Tilt WiFi Security Camera System</t>
  </si>
  <si>
    <t>N1060WH-4PK</t>
  </si>
  <si>
    <t>AMCREST HD-LITE 8 CHANNEL VIDEO SECURITY RECORDER UP TO 6TB Capacity AMDVTENL8H5</t>
  </si>
  <si>
    <t>Amcrest</t>
  </si>
  <si>
    <t>Recorder</t>
  </si>
  <si>
    <t>Seller_84</t>
  </si>
  <si>
    <t>Aurora</t>
  </si>
  <si>
    <t>Illinois</t>
  </si>
  <si>
    <t>Night Owl 10 Channel 4K Wi-Fi NVR 1TB Drive WNVR-BTWN8-V2- New Open Box w/Acc.</t>
  </si>
  <si>
    <t>NVR</t>
  </si>
  <si>
    <t>Seller_85</t>
  </si>
  <si>
    <t>Orlando</t>
  </si>
  <si>
    <t>3D Aluminum 3 Position Selector Safety Cam for Kriss Vector RATL-R</t>
  </si>
  <si>
    <t>Safety Cam</t>
  </si>
  <si>
    <t>Seller_86</t>
  </si>
  <si>
    <t>ANRAN Home Outdoor Wireless Security WiFi Camera System CCTV 5MP HD NVR 2TB HDD</t>
  </si>
  <si>
    <t>CP0000001023</t>
  </si>
  <si>
    <t>Seller_87</t>
  </si>
  <si>
    <t>5MP Outdoor Wireless Security Camera System Home WiFi 10CH NVR Night Vision 30m</t>
  </si>
  <si>
    <t>P31HJ55AS-V8010-1</t>
  </si>
  <si>
    <t>eufy 4G LTE Cam S330 4K Cellular Wireless Security Camera Solar Powered+SIM Card</t>
  </si>
  <si>
    <t>AKT86P2121</t>
  </si>
  <si>
    <t>Zmodo 8 Channel Network Video Recorder with 500GB hard driver (Black version)</t>
  </si>
  <si>
    <t>Genuine New Extra Battery A-1 for ARLO PRO 2 Security Camera</t>
  </si>
  <si>
    <t>Seller_88</t>
  </si>
  <si>
    <t>Vancouver</t>
  </si>
  <si>
    <t>Washington</t>
  </si>
  <si>
    <t>ANNKE 5IN1 4K 8MP 8CH DVR Video for CCTV Security Camera System AI Motion H.265+</t>
  </si>
  <si>
    <t>DT81DW</t>
  </si>
  <si>
    <t>HTZSAFE  1/2 Mile  Solar Driveway Alarm System 1 Receiver + 1 Sensor</t>
  </si>
  <si>
    <t>64GB Mini Camera Video Camera Car Key HD 1080P Portable Video Sound Recording-</t>
  </si>
  <si>
    <t>Seller_89</t>
  </si>
  <si>
    <t>Gelsenkirchen</t>
  </si>
  <si>
    <t>NW</t>
  </si>
  <si>
    <t>Germany</t>
  </si>
  <si>
    <t>Lorex N846A62 Fusion 4K Ultra HD 16-Channel (8 wired and 8 Wi-Fi) 2TB NVR(M.Ref)</t>
  </si>
  <si>
    <t>N846A62</t>
  </si>
  <si>
    <t>Arlo Essential,Security,Camera,Wall Clips,Mount,(3)pack .comes With Screws</t>
  </si>
  <si>
    <t>Seller_90</t>
  </si>
  <si>
    <t>Cheyenne</t>
  </si>
  <si>
    <t>WY</t>
  </si>
  <si>
    <t>Pack of 4 Night Owl, CM-FTD4LS-B 2K 2560x1440 (4MP) Wired Camera with Cables</t>
  </si>
  <si>
    <t>Smart Water Leak Sensor Detector APP Alarm WiFi Home Water Leak Detector Lot</t>
  </si>
  <si>
    <t>eufy SoloCam S340 Solar Wireless Outdoor Camera 4-Cam Kit 360° Pan &amp; Tilt Wi-Fi</t>
  </si>
  <si>
    <t>AKT8170</t>
  </si>
  <si>
    <t>Eufy S330 eufyCam 3 Solar Power Wire-Free Security Add-On Camera (T8160)</t>
  </si>
  <si>
    <t>T81601W1</t>
  </si>
  <si>
    <t>Seller_91</t>
  </si>
  <si>
    <t>Sun Valley</t>
  </si>
  <si>
    <t>DSC WIRELESS TECHNOLOGY MOTION DETECTOR PG9984P Power G</t>
  </si>
  <si>
    <t>Dsc</t>
  </si>
  <si>
    <t>Motion Detector</t>
  </si>
  <si>
    <t>Seller_92</t>
  </si>
  <si>
    <t>4K 8MP Dual Lens POE IP Camera 180° Panoramic Color Night Vision Metal Housing</t>
  </si>
  <si>
    <t>Hanwha PNM-9084QZ1 8MP (2MP x 4) Multi-Sensor, Multi-Directional PTRZ Camera</t>
  </si>
  <si>
    <t>Hanwha Techwin</t>
  </si>
  <si>
    <t>Multi Directional Camera</t>
  </si>
  <si>
    <t>Seller_93</t>
  </si>
  <si>
    <t>Coppell</t>
  </si>
  <si>
    <t>ZOSI 5MP Lite Home 8CH DVR 1080P H.265+ CCTV Security Camera System 1TB Outdoor</t>
  </si>
  <si>
    <t>ANNKE 1080P CCTV Security Camera System 8CH 5MP Lite DVR Outdoor AI Color Night</t>
  </si>
  <si>
    <t>DW81KN+C51EF*4</t>
  </si>
  <si>
    <t>Bolide SVR9516H 16-Channel H.265 5MP HD Over Coax/IP Hybrid DVR USED W/ 2 TB HDD</t>
  </si>
  <si>
    <t>Bolide</t>
  </si>
  <si>
    <t>Seller_94</t>
  </si>
  <si>
    <t>Seon Design Hard Drive TL-H250G 250G for use in Trooper TL4 TL-4 DVR School Bus</t>
  </si>
  <si>
    <t>Seon</t>
  </si>
  <si>
    <t>Hard Drive</t>
  </si>
  <si>
    <t>Seller_95</t>
  </si>
  <si>
    <t>Alexandria</t>
  </si>
  <si>
    <t>Virginia</t>
  </si>
  <si>
    <t>ANNKE 4K 8MP PoE IP Security Camera PT Two Way Audio Outdoor Color Night Vision</t>
  </si>
  <si>
    <t>I91EP</t>
  </si>
  <si>
    <t>6 PCS WIRELESS Home Window Door Burglar Security ALARM System Magnetic Sensor</t>
  </si>
  <si>
    <t>The Perfect Part</t>
  </si>
  <si>
    <t>Seller_96</t>
  </si>
  <si>
    <t>Pompano Beach</t>
  </si>
  <si>
    <t>Florida</t>
  </si>
  <si>
    <t>VIKYLIN 4K 8MP 5X Zoom IR POE Dome PTZ IP Camera Two-Way Audio w/bracket Outdoor</t>
  </si>
  <si>
    <t>YCX-009</t>
  </si>
  <si>
    <t>Seller_97</t>
  </si>
  <si>
    <t>Ring Alarm Wireless Home Security Kit 5-Piece System - (1st Gen)</t>
  </si>
  <si>
    <t>Security System</t>
  </si>
  <si>
    <t>Seller_98</t>
  </si>
  <si>
    <t>Unifi Ubiquiti Black Camera Standard Junction Box UACC-Camera-JB-B - Free Ship!</t>
  </si>
  <si>
    <t>Seller_99</t>
  </si>
  <si>
    <t>Simi Valley</t>
  </si>
  <si>
    <t>ANRAN Home Security Camera System Solar Panel 360°PTZ Wireless 3MP Outdoor IP65</t>
  </si>
  <si>
    <t>CP0000000282</t>
  </si>
  <si>
    <t>eufy SoloCam E42 4K HD Security Camera Wireless Outdoor Solar Powered AI Motion</t>
  </si>
  <si>
    <t>AKT8173</t>
  </si>
  <si>
    <t>SimpliSafe CM006 Smart Alarm Night Vision Motion Camera Wireless Indoor Security</t>
  </si>
  <si>
    <t>Seller_100</t>
  </si>
  <si>
    <t>Voorhees</t>
  </si>
  <si>
    <t>DC Power Connector 2.1 x 5.5mm BNC RCA Male /Female CCTV Video Balun Adapter LOT</t>
  </si>
  <si>
    <t>Balun</t>
  </si>
  <si>
    <t>20-Pack BNC to RJ45 Balun Transceiver | CCTV Video &amp; Power over CAT5e/6</t>
  </si>
  <si>
    <t>Amcrest NV2116-HS 4K 16CH NVR 6TB 1080p/3MP/4MP/5MP/8MP) - NIB</t>
  </si>
  <si>
    <t>Seller_101</t>
  </si>
  <si>
    <t>Simpsonville</t>
  </si>
  <si>
    <t>SC</t>
  </si>
  <si>
    <t>5MP Dome TVI AHD CCTV 4IN1 Security Camera 65ft Night Vision Metal Housing 2.8mm</t>
  </si>
  <si>
    <t>NEW SimpliSafe Entry ES3 Door Sensor White Magnetic Home Security (Latest)</t>
  </si>
  <si>
    <t>Door Sensor</t>
  </si>
  <si>
    <t>Genuine Battery A-1 for Arlo Pro , Pro 2 LIGHT Camera VMC4030 VMA4400 VCS4500C</t>
  </si>
  <si>
    <t>308-10029-01, A-1b, A-1C</t>
  </si>
  <si>
    <t>Battery</t>
  </si>
  <si>
    <t>GeoVision GV-VS04H, 4 Channel H.264 Video Server, PoE / 12V DC, GPS, GV-GIS</t>
  </si>
  <si>
    <t>Geovision</t>
  </si>
  <si>
    <t>Video Server</t>
  </si>
  <si>
    <t>Seller_102</t>
  </si>
  <si>
    <t>Raleigh</t>
  </si>
  <si>
    <t>Verint Edge VR 80 Black NVR Surveillance Recorder with Cables and Accessories</t>
  </si>
  <si>
    <t>Seller_103</t>
  </si>
  <si>
    <t>Phoenix</t>
  </si>
  <si>
    <t>AZ</t>
  </si>
  <si>
    <t>Seller_104</t>
  </si>
  <si>
    <t>ANNKE 4MP Wireless Security Camera System Wifi Solar Battery Powered 2 Way Audio</t>
  </si>
  <si>
    <t>N98WHR-81BJ</t>
  </si>
  <si>
    <t>Ring Pro Power Kit V3 (2 units)- New &amp; Unused – $8 per 2 units – 100+ Available</t>
  </si>
  <si>
    <t>Power Kit</t>
  </si>
  <si>
    <t>Seller_105</t>
  </si>
  <si>
    <t>Southampton</t>
  </si>
  <si>
    <t>PA</t>
  </si>
  <si>
    <t>Blink Outdoor (3rd Gen) Add-On Home Security Camera | HD Video work with XT1 XT2</t>
  </si>
  <si>
    <t>B086DKMSSM</t>
  </si>
  <si>
    <t>Seller_106</t>
  </si>
  <si>
    <t>Branford</t>
  </si>
  <si>
    <t>Connecticut</t>
  </si>
  <si>
    <t>ZOSI 8CH 5MP DVR 1080P Pan/Tilt 360° Security Camera System Detect Night Vision</t>
  </si>
  <si>
    <t>Blink Outdoor  (4th Gen) Wireless smart HD security camera | Black Add-on camera</t>
  </si>
  <si>
    <t>Blink Outdoor Indoor Camera</t>
  </si>
  <si>
    <t>Solar Battery Powered Wireless WiFi Home Security Camera System Outdoor Pan/Tilt</t>
  </si>
  <si>
    <t>Seller_107</t>
  </si>
  <si>
    <t>Hayward</t>
  </si>
  <si>
    <t>Ring Floodlight Cam Wired Plus **BRAND NEW** 1080p HD White</t>
  </si>
  <si>
    <t>Seller_108</t>
  </si>
  <si>
    <t>Fort Worth</t>
  </si>
  <si>
    <t>(5-Pack) DC Power Pigtail Male Barrel Plug 6-inch Wire Cable 5.5mm x 2.1mm 5X</t>
  </si>
  <si>
    <t>DCCONN-D-5PK</t>
  </si>
  <si>
    <t>IN</t>
  </si>
  <si>
    <t>LTS 8 Sony Cameras + 8 Channel 500GB DVR with Hi-Res VGA  security system GS</t>
  </si>
  <si>
    <t>Sony</t>
  </si>
  <si>
    <t>Seller_109</t>
  </si>
  <si>
    <t>Beverly Hills</t>
  </si>
  <si>
    <t>10Pcs BNC Male to RCA Female Coax Coaxial Connector Adapter for CCTV camera</t>
  </si>
  <si>
    <t>Rca</t>
  </si>
  <si>
    <t>Seller_110</t>
  </si>
  <si>
    <t>Miami</t>
  </si>
  <si>
    <t>Voltky 2K WiFi Solar Security Camera Dual Lens AI PIR 10X Zoom Night Vision IP66</t>
  </si>
  <si>
    <t>Voltky</t>
  </si>
  <si>
    <t>Seller_111</t>
  </si>
  <si>
    <t>Plainview</t>
  </si>
  <si>
    <t>RG59 Siamese Cable 250ft 500ft 1000ft Coaxial 20AWG + 18/2 Security Camera Wire</t>
  </si>
  <si>
    <t>Electro-Store4U</t>
  </si>
  <si>
    <t>Rg-59/U Cable</t>
  </si>
  <si>
    <t>Seller_112</t>
  </si>
  <si>
    <t>eufy eufyCam S3 Pro Solar Camera Security System 4K MaxColor Night Vision|Refurb</t>
  </si>
  <si>
    <t>AKT8894</t>
  </si>
  <si>
    <t>GMOX 4G LTE Cellular Solar Security Camera Outdoor No WiFi Non-Stop Power 365Day</t>
  </si>
  <si>
    <t>Gmox</t>
  </si>
  <si>
    <t>Details In Description</t>
  </si>
  <si>
    <t>Seller_113</t>
  </si>
  <si>
    <t>Dome Wireless Z-Wave Plus Siren ( DMS01 ) Works With Ring. SEALED FREE SHIPPING</t>
  </si>
  <si>
    <t>Elexa</t>
  </si>
  <si>
    <t>DMS01</t>
  </si>
  <si>
    <t>Panic Alarm Siren</t>
  </si>
  <si>
    <t>Seller_114</t>
  </si>
  <si>
    <t>Lakeland</t>
  </si>
  <si>
    <t>Arlo VMS5240-100NAS Ultra - 4K UHD Wire-Free Security 2 Camera</t>
  </si>
  <si>
    <t>VMS5240, VMS5240-100NAS</t>
  </si>
  <si>
    <t>Wire-Free Security System</t>
  </si>
  <si>
    <t>Seller_115</t>
  </si>
  <si>
    <t>Fort Lauderdale</t>
  </si>
  <si>
    <t>Wuloo 1800feet Solar Powered Driveway Alarms Long Range Wireless Motion Sensors</t>
  </si>
  <si>
    <t>Wuloo</t>
  </si>
  <si>
    <t>Driveway Alarm System</t>
  </si>
  <si>
    <t>Alarm Systems</t>
  </si>
  <si>
    <t>Seller_116</t>
  </si>
  <si>
    <t>BNC Female to BNC Female Coax Cable Connector Coupler Adapter Multi-Pack LOT</t>
  </si>
  <si>
    <t>SANNCE 8CH 4K NVR 8MP POE Security Camera System PT Auto Tracking Two Way Audio</t>
  </si>
  <si>
    <t>Pan&amp;Tilt Dome</t>
  </si>
  <si>
    <t>Seller_117</t>
  </si>
  <si>
    <t>MaximalPower Fake CCTV Security Dummy Dome Camera w/ Red LED Light for Home Lot</t>
  </si>
  <si>
    <t>Maximalpower</t>
  </si>
  <si>
    <t>Dummy Camera</t>
  </si>
  <si>
    <t>Seller_118</t>
  </si>
  <si>
    <t>Covina</t>
  </si>
  <si>
    <t>Security Cameras Outdoor Wireless, 4 Cam Kit, Solar Powered.360 Pan NEW(Open Box</t>
  </si>
  <si>
    <t>Aosu</t>
  </si>
  <si>
    <t>Seller_119</t>
  </si>
  <si>
    <t>Rancho Cucamonga</t>
  </si>
  <si>
    <t>ANRAN 8CH NVR 5MP Wifi Outdoor Security Camera System Wireless 2TB Night Vision</t>
  </si>
  <si>
    <t>Annke Black Surveillance Recorder 2TB DVR DT61BS</t>
  </si>
  <si>
    <t>AU-DT61BS200-V2</t>
  </si>
  <si>
    <t>Seller_120</t>
  </si>
  <si>
    <t>Hampstead</t>
  </si>
  <si>
    <t>New Hampshire</t>
  </si>
  <si>
    <t>Seon Trooper TL4 DVR Surveillance System With 5 CQ903A Cameras &amp; Wiring Bus CCTV</t>
  </si>
  <si>
    <t>TL4</t>
  </si>
  <si>
    <t>ANNKE 16CH DVR 5MP Audio Security Camera System Outdoor Color Night Vision H.265</t>
  </si>
  <si>
    <t>AU-DW61LN-R1CW</t>
  </si>
  <si>
    <t>HaiVision Network Video S-VF-Stingray Set Top Box USED - GOOD CONDITION</t>
  </si>
  <si>
    <t>Haivision</t>
  </si>
  <si>
    <t>Seller_121</t>
  </si>
  <si>
    <t>Hillsboro</t>
  </si>
  <si>
    <t>OR</t>
  </si>
  <si>
    <t>4x Night Owl Replacement Security Cameras w/ Cables &amp; Power – BNC CCTV – No DVR</t>
  </si>
  <si>
    <t>Seller_122</t>
  </si>
  <si>
    <t>Camas</t>
  </si>
  <si>
    <t>WA</t>
  </si>
  <si>
    <t>Wuloo Wireless Driveway Alarm 500Meter Long Range Outdoor Motion Detector Sensor</t>
  </si>
  <si>
    <t>Solar Panel Charging for Arlo Essential Spotlight / XL Spotlight Camera W/ Cable</t>
  </si>
  <si>
    <t>Solar Panel</t>
  </si>
  <si>
    <t>Seller_123</t>
  </si>
  <si>
    <t>Hacienda Heights</t>
  </si>
  <si>
    <t>Smart wifi camera with human detection two way audio wireless model SQ001-L</t>
  </si>
  <si>
    <t>Seller_124</t>
  </si>
  <si>
    <t>Hoogezand</t>
  </si>
  <si>
    <t>Netherlands</t>
  </si>
  <si>
    <t>Hiseeu 8MP 16CH NVR Wireless 5G Wifi Security Camera System Kit For Home Outdoor</t>
  </si>
  <si>
    <t>TZ-HB618/WK-8HB618-CT</t>
  </si>
  <si>
    <t>Seller_125</t>
  </si>
  <si>
    <t>Annapolis Junction</t>
  </si>
  <si>
    <t>Maryland</t>
  </si>
  <si>
    <t>eufy Entry Sensor Send Alert Triggers Siren for Doors Windows Detects|Refurb</t>
  </si>
  <si>
    <t>T8900</t>
  </si>
  <si>
    <t>Vivotek FD8177-HT | 4Mp, 30M Ir, Wdr Pro, Smart Stream Ii</t>
  </si>
  <si>
    <t>Vivotek</t>
  </si>
  <si>
    <t>Seller_126</t>
  </si>
  <si>
    <t>Ogden</t>
  </si>
  <si>
    <t>UT</t>
  </si>
  <si>
    <t>Lorex Classic Fusion 4K 12-Channel (8 Wired + 4 Wi-Fi) 1TB Wired DVR System with</t>
  </si>
  <si>
    <t>D4K1AD-8</t>
  </si>
  <si>
    <t>Seller_127</t>
  </si>
  <si>
    <t>Columbia</t>
  </si>
  <si>
    <t>Luma LUM-501-NVR-16CH 2TB 16 Channel Network Video Recorder p529</t>
  </si>
  <si>
    <t>Seller_128</t>
  </si>
  <si>
    <t>Gilbert</t>
  </si>
  <si>
    <t>Arizona</t>
  </si>
  <si>
    <t>Entry Magnetic Window Door Super Loud Alarm Indoor Anti-theft White Host Durable</t>
  </si>
  <si>
    <t>Besttechtrading</t>
  </si>
  <si>
    <t>Seller_129</t>
  </si>
  <si>
    <t>South El Monte</t>
  </si>
  <si>
    <t>Lorex 4K+ Ultra HD 12MP Smart Security Deterrence Dome Wired IP Camera E910DD</t>
  </si>
  <si>
    <t>Seller_130</t>
  </si>
  <si>
    <t>Franklin Park</t>
  </si>
  <si>
    <t>3 Pack Blink Outdoor Camera Wall Mount Bracket for Blink Outdoor 4th Gen Blin</t>
  </si>
  <si>
    <t>Luc</t>
  </si>
  <si>
    <t>Seller_131</t>
  </si>
  <si>
    <t>5Pc PIR Infrared Motion Sensor Detector 110V Smart Switch Light Lamp Switch Auto</t>
  </si>
  <si>
    <t>Pir Motion Sensor Light Switch</t>
  </si>
  <si>
    <t>Seller_132</t>
  </si>
  <si>
    <t>ANNKE H.265+ 3K Lite 8CH DVR 1080P CCTV Security Camera System Human Detection</t>
  </si>
  <si>
    <t>AU-DW81KT-51EP</t>
  </si>
  <si>
    <t>Cctv Cameras</t>
  </si>
  <si>
    <t>Auto Off Sensor Switch Motion Infrared PIR Vacancy Wall Light Lamp</t>
  </si>
  <si>
    <t>Westgate</t>
  </si>
  <si>
    <t>Sensor Switch</t>
  </si>
  <si>
    <t>Seller_133</t>
  </si>
  <si>
    <t>CCTV Camera 2.4MP 1080P 1/2.5 SONY 6-60mm IP66 POE PROIMAGE PROI-810WB Digital</t>
  </si>
  <si>
    <t>Proimage</t>
  </si>
  <si>
    <t>Seller_134</t>
  </si>
  <si>
    <t>ANNKE 16CH 5IN1 5MP-N DVR H.265+ Digital Video Recorder for CCTV Security Camera</t>
  </si>
  <si>
    <t>Blink BSM00300U Sync Module 2 for Blink Home Security Camera System New No Box</t>
  </si>
  <si>
    <t>Multiple Room System</t>
  </si>
  <si>
    <t>Seller_135</t>
  </si>
  <si>
    <t>Plainfield</t>
  </si>
  <si>
    <t>WYZE Outdoor Floodlight Security Camera Pro 2.5K HD 3000Lumen LED 180° Wide View</t>
  </si>
  <si>
    <t>Wyze</t>
  </si>
  <si>
    <t>Seller_136</t>
  </si>
  <si>
    <t>Bridgeton</t>
  </si>
  <si>
    <t>Missouri</t>
  </si>
  <si>
    <t>SANNCE Wireless 3MP Security Camera System 5MP 10CH NVR Two-Way Audio Recording</t>
  </si>
  <si>
    <t>SU-N98WHG-71GL</t>
  </si>
  <si>
    <t>Blink Video Doorbell + Outdoor 4 – Wireless smart security</t>
  </si>
  <si>
    <t>Seller_137</t>
  </si>
  <si>
    <t>San Diego</t>
  </si>
  <si>
    <t>Lot 4K 8MP PoE IP Camera Weatherproof Security Camera Color Night Vision Audio</t>
  </si>
  <si>
    <t>A95WF85-3-EAS</t>
  </si>
  <si>
    <t>Solar Outdoor Motion Sensor Alarm-Dog Barking or Gunshot Sound,Support Recording</t>
  </si>
  <si>
    <t>Qd-Gotrays</t>
  </si>
  <si>
    <t>Seller_138</t>
  </si>
  <si>
    <t>Topeka</t>
  </si>
  <si>
    <t>Kansas</t>
  </si>
  <si>
    <t>eufy 2K Security Indoor Camera Wi-Fi Webcam Motion Tracking 2-Way Audio |Refurb</t>
  </si>
  <si>
    <t>AKT8413</t>
  </si>
  <si>
    <t>BNC Female to RCA Male Connector Coax Cable Adapter Converter CCTV Camera Lot</t>
  </si>
  <si>
    <t>Arlo Protected Smart Security Yard Sign (254-50153-01)</t>
  </si>
  <si>
    <t>Yard Sign</t>
  </si>
  <si>
    <t>Blink Outdoor 4 XR Wireless Security 2 Camera System with XR Sync Module NEW!</t>
  </si>
  <si>
    <t>Elmwood Park</t>
  </si>
  <si>
    <t>Lot RCR123a Rechargeable Batteries 3.7V 700mAh for Arlo Security Camera</t>
  </si>
  <si>
    <t>Hixon</t>
  </si>
  <si>
    <t>HIXMAX-J090A</t>
  </si>
  <si>
    <t>Seller_139</t>
  </si>
  <si>
    <t>Wifi Smart Water Valve and Auto Shut-Off, Automation Scene Works with Leak Detec</t>
  </si>
  <si>
    <t>Seller_140</t>
  </si>
  <si>
    <t>Mobotix MX-OPT-RS1-EXT Weatherproof RS232 I/O Interface Box NEW OPEN BOX</t>
  </si>
  <si>
    <t>Mobotix</t>
  </si>
  <si>
    <t>MX-OPT-RS1-EXT</t>
  </si>
  <si>
    <t>Interface</t>
  </si>
  <si>
    <t>Hoovy Easy To Install Baby Car Camera Monitor with HD Real Time</t>
  </si>
  <si>
    <t>Hoovy</t>
  </si>
  <si>
    <t>Baby Monitors</t>
  </si>
  <si>
    <t>Seller_141</t>
  </si>
  <si>
    <t>Franklin</t>
  </si>
  <si>
    <t>ANNKE 8CH DVR 5MP Audio Security Camera System H.265+ AI Detection Color Night</t>
  </si>
  <si>
    <t>AU-DW81KN0-R4CW</t>
  </si>
  <si>
    <t>ANNKE 8CH 5MP Lite DVR 1080P CCTV Security Camera System AI Color Night Vision</t>
  </si>
  <si>
    <t>AU-DW81KN-51EP</t>
  </si>
  <si>
    <t>ANNKE 8CH 6MP NVR 5MP Two Way Audio PoE Security Camera System Outdoor Color AI</t>
  </si>
  <si>
    <t>N98PBL-51HJ</t>
  </si>
  <si>
    <t>Ring Alarm Keypad 1st Gen</t>
  </si>
  <si>
    <t>Keypad</t>
  </si>
  <si>
    <t>Seller_142</t>
  </si>
  <si>
    <t>ANNKE 12MP 16CH 8CH NVR 4K Audio PoE Security Camera System Color Night AI IP67</t>
  </si>
  <si>
    <t>N48PAW/N46PCK-91DM</t>
  </si>
  <si>
    <t>BNC Male to BNC Male RG59 Coax Gold Connector Cord Cable, 3 Ft, 6 Ft, 12Ft 25 Ft</t>
  </si>
  <si>
    <t>Seller_143</t>
  </si>
  <si>
    <t>San Marcos</t>
  </si>
  <si>
    <t>3FT Magnetic Charging Cable &amp; Power Plug for Arlo Ultra, 2, Pro 3/4 Pro 5s</t>
  </si>
  <si>
    <t>Plastic</t>
  </si>
  <si>
    <t>Seller_144</t>
  </si>
  <si>
    <t>Reolink RLC-510A 5MP PoE Security Camera Outdoor Human/Vehicle Detection 4PCS</t>
  </si>
  <si>
    <t>Hiseeu 2K Solar Battery Powered Wireless WIFI Security Camera System Outdoor lot</t>
  </si>
  <si>
    <t>Charger Camera</t>
  </si>
  <si>
    <t>2 Pack Ring Alarm Smoke &amp; Co Listener 9863B-BHASL001</t>
  </si>
  <si>
    <t>Amazon</t>
  </si>
  <si>
    <t>9863B-BHASL001</t>
  </si>
  <si>
    <t>Listener</t>
  </si>
  <si>
    <t>Seller_145</t>
  </si>
  <si>
    <t>Clifton</t>
  </si>
  <si>
    <t>Chamberlain myQ Outdoor Battery Camera 2K Color Night Vision Spotlight NEW</t>
  </si>
  <si>
    <t>Chamberlain</t>
  </si>
  <si>
    <t>MYQ-C39VXXW</t>
  </si>
  <si>
    <t>Seller_146</t>
  </si>
  <si>
    <t>Effort</t>
  </si>
  <si>
    <t>12V 5A Power Supply for CCTV Security Camera DVR Swann Lorex Defender 8 Split CG</t>
  </si>
  <si>
    <t>Cctv Security Camera Dvr Power Supply</t>
  </si>
  <si>
    <t>Seller_147</t>
  </si>
  <si>
    <t>Wired Surface Mounted NC Magnetic Door Window Contact Sensor Alarm Switch 5 Pack</t>
  </si>
  <si>
    <t>Seller_148</t>
  </si>
  <si>
    <t>1/4Pack Ring V4 Battery for Ring camera Doorbell Solar Floodligh 2/3/4/3 plus</t>
  </si>
  <si>
    <t>Video Doorbell Camera Battery</t>
  </si>
  <si>
    <t>Seller_149</t>
  </si>
  <si>
    <t>Digital Video Recorder Standalone DVR</t>
  </si>
  <si>
    <t>Seller_150</t>
  </si>
  <si>
    <t>Sarasota</t>
  </si>
  <si>
    <t>Reolink 16CH NVR Network Video Recorder for Security Camera System with 4TB HDD</t>
  </si>
  <si>
    <t>GOOGLE GRJ15 Wired Nest Cam Outdoor 2K 2nd Gen Snow</t>
  </si>
  <si>
    <t>Google Nest</t>
  </si>
  <si>
    <t>Seller_151</t>
  </si>
  <si>
    <t>Ring Floodlight Cam Pro Wired 2nd Gen Retinal 4K - White , New + Sealed</t>
  </si>
  <si>
    <t>SANNCE 8CH 8MP NVR 4K HD POE IP Home Video Recorder for Security Camera System</t>
  </si>
  <si>
    <t>SU-N98PBD000-OP</t>
  </si>
  <si>
    <t>2 Pack Genuine Battery A-1 for Arlo Pro , Pro 2 VMA4400 VCS4500C VMS4230 Camera</t>
  </si>
  <si>
    <t>ZOSI H.265+ 8CH/16CH DVR for Security Camera System 1080P Recorder with HDD</t>
  </si>
  <si>
    <t>SANNCE 1080P 4CH 8CH 5IN1 DVR Home Security Camera System Outdoor Night Vision</t>
  </si>
  <si>
    <t>DT81BC-51EE</t>
  </si>
  <si>
    <t>Blink Sync Module XR Hub for All Blink Devices 400ft for Outdoor 4 Camera</t>
  </si>
  <si>
    <t>Sync Module</t>
  </si>
  <si>
    <t>Seller_152</t>
  </si>
  <si>
    <t>2x Dummy Security Camera Fake LEDs Flashing Light Home Surveillance Waterproof</t>
  </si>
  <si>
    <t>Jytrend</t>
  </si>
  <si>
    <t>Seller_153</t>
  </si>
  <si>
    <t>Walnut</t>
  </si>
  <si>
    <t>Lorex D841A82B 4K 8Ch Analog Ultra HD DVR 1 HDD 2TB with Smart Home Voice, Black</t>
  </si>
  <si>
    <t>D841A82B-W</t>
  </si>
  <si>
    <t>ANNKE 60/100ft CCTV BNC Extension Wire Cord Security Camera Video DC Power Cable</t>
  </si>
  <si>
    <t>XCLCable</t>
  </si>
  <si>
    <t>Power&amp;Video Cable</t>
  </si>
  <si>
    <t>2 Pack Rechargeable Battery Pack &amp;Charging Station for Ring Video Doorbell 2 3 4</t>
  </si>
  <si>
    <t>Kratax</t>
  </si>
  <si>
    <t>HIXPOW-K-J743-US</t>
  </si>
  <si>
    <t>Ring Video Doorbell Replacement Battery</t>
  </si>
  <si>
    <t>Seller_154</t>
  </si>
  <si>
    <t>Digital Watchdog DW-VA1P4 4 Channel HD-AHD/TVI Universal HD over Coax DVR</t>
  </si>
  <si>
    <t>Digital Watchdog</t>
  </si>
  <si>
    <t>DW-VA1P4</t>
  </si>
  <si>
    <t>Seller_155</t>
  </si>
  <si>
    <t>Cary</t>
  </si>
  <si>
    <t>SANNCE 4IN1 HD 1080P Video Outdoor CCTV Security Camera 100ft EXIR Night Vision</t>
  </si>
  <si>
    <t>SN-C51EU0103-V1</t>
  </si>
  <si>
    <t>eufy eufyCam 3 Wireless 4K Solar Powered Security Camera System 5-Cam Kit|Refurb</t>
  </si>
  <si>
    <t>AKE8874</t>
  </si>
  <si>
    <t>Micro SDXC Class 10 TF Memory Card for Reolink Security Camera 64/128/256GB</t>
  </si>
  <si>
    <t>IC Realtime NVR‑MX16POE‑1U4K1 used</t>
  </si>
  <si>
    <t>Ic Realtime</t>
  </si>
  <si>
    <t>Seller_156</t>
  </si>
  <si>
    <t>Denver</t>
  </si>
  <si>
    <t>CO</t>
  </si>
  <si>
    <t>Reolink 5MP PoE Security Camera System 8CH 2TB HDD NVR 24/7 Video Recording</t>
  </si>
  <si>
    <t>Ring Pro Power Kit V2 (2 units) – New &amp; Unused – $8 per 2 units – 100+ Available</t>
  </si>
  <si>
    <t>eufy PoE NVR Security System S4 Max 8CH 16MP Triple Lens Camera 360°PTZ |Refurb</t>
  </si>
  <si>
    <t>AKT8E00</t>
  </si>
  <si>
    <t>Blink Outdoor 2K+ Wireless Smart Security Camera System (5 Cameras) Sync Module</t>
  </si>
  <si>
    <t>Seller_157</t>
  </si>
  <si>
    <t>Las Vegas</t>
  </si>
  <si>
    <t>NV</t>
  </si>
  <si>
    <t>eufy Security SoloCam S340 Solar Wireless Outdoor Camera 4-Cam Kit 360° Pan WiFI</t>
  </si>
  <si>
    <t>2X Battery For Ring-Doorbell Video 2/3/3 Plus/4 Spotlight/Stick Up Peephole Cam</t>
  </si>
  <si>
    <t>Seller_158</t>
  </si>
  <si>
    <t>JaiHo 14 Inch LCD Security CCTV Monitor Only Model:JH1257🛑🛑NOT TESTED</t>
  </si>
  <si>
    <t>Jaiho</t>
  </si>
  <si>
    <t>Cctv Monitor</t>
  </si>
  <si>
    <t>Monitors/Displays</t>
  </si>
  <si>
    <t>Seller_159</t>
  </si>
  <si>
    <t>Rio Rico</t>
  </si>
  <si>
    <t>eufy eufyCam C35 4Cam Kit Wireless Indoor/Outdoor Security Camera Magnetic Mount</t>
  </si>
  <si>
    <t>AKT8110</t>
  </si>
  <si>
    <t>NUUO NVRmini2 NE-2040 NVR 4-Channel, Two 1TB Seagate Hard Drives, 2 Drive Bays</t>
  </si>
  <si>
    <t>Nuuo</t>
  </si>
  <si>
    <t>Seller_160</t>
  </si>
  <si>
    <t>Voice Recorder  8GB</t>
  </si>
  <si>
    <t>Seller_161</t>
  </si>
  <si>
    <t>1080P 360 Degree Indoor WiFi Home Security Camera, Night Vision, Cloud Storage</t>
  </si>
  <si>
    <t>Gyration</t>
  </si>
  <si>
    <t>Wifi Camera</t>
  </si>
  <si>
    <t>Seller_162</t>
  </si>
  <si>
    <t>US</t>
  </si>
  <si>
    <t>8MP 20x Optical Zoom Night Vision POE IP PTZ Security Camera 2-Way Audio IR IP66</t>
  </si>
  <si>
    <t>P87HM85-30X-EAS</t>
  </si>
  <si>
    <t>Ring Spare Parts Kit for Spotlight Cam Pro Battery &amp; Spotlight Cam Plus Battery</t>
  </si>
  <si>
    <t>Seller_163</t>
  </si>
  <si>
    <t>Glendale</t>
  </si>
  <si>
    <t>5G &amp; 2.4G WiFi  Security Camera 2K Wireless Home Camera Easy Install</t>
  </si>
  <si>
    <t>Seller_164</t>
  </si>
  <si>
    <t>Camara Espia Oculta Reloj Despertador Seguridad 1080P Detector Movimiento NUEVO</t>
  </si>
  <si>
    <t>Seller_165</t>
  </si>
  <si>
    <t>HTZSAFE 800 Meters Long Range Wireless Driveway Alarm Outdoor Weather-Resistant</t>
  </si>
  <si>
    <t>Seller_166</t>
  </si>
  <si>
    <t>Camara De Seguridad Solar Inalambricas Para Exterior Con Vision Nocturna y Audio</t>
  </si>
  <si>
    <t>Seller_167</t>
  </si>
  <si>
    <t>Lorex Security Cameras C883DA Mixed-Grade (24 Total Cameras)</t>
  </si>
  <si>
    <t>Seller_168</t>
  </si>
  <si>
    <t>Grand Rapids</t>
  </si>
  <si>
    <t>MI</t>
  </si>
  <si>
    <t>Skyworth H80 Pro 4K 8MP Indoor Security Camera 2.4 &amp; 5 Ghz Pet Baby Monitor PTZ</t>
  </si>
  <si>
    <t>Skyworth</t>
  </si>
  <si>
    <t>LC2203</t>
  </si>
  <si>
    <t>Seller_169</t>
  </si>
  <si>
    <t>Verint BA32 TBR EdgeVR300 NVR with 4x16TB HDD and RAID1 Storage G2U</t>
  </si>
  <si>
    <t>BA-32 TBR</t>
  </si>
  <si>
    <t>Do Not Apply</t>
  </si>
  <si>
    <t>Seller_170</t>
  </si>
  <si>
    <t>Morristown</t>
  </si>
  <si>
    <t>Tennessee</t>
  </si>
  <si>
    <t>ANNKE 5MP Lite 8CH DVR 1080P Color Night Security Camera System Human Detection</t>
  </si>
  <si>
    <t>AU-DW81KN-51EF</t>
  </si>
  <si>
    <t>Amcrest 4K (8MP) IP POE Camera UltraHD Outdoor Bullet IP8M-2496EW-AI-V3 Warranty</t>
  </si>
  <si>
    <t>IP8M-2496EW-AI-V3</t>
  </si>
  <si>
    <t>Seller_171</t>
  </si>
  <si>
    <t>PFB2203W Waterproof Wall Mount Bracket for Security IP Dome Camera</t>
  </si>
  <si>
    <t>Seller_172</t>
  </si>
  <si>
    <t>Monterey Park</t>
  </si>
  <si>
    <t>Wireless Doorbell Plug in &amp; Play Waterproof Door Bell Kit LED 1000ft 39 Chimes</t>
  </si>
  <si>
    <t>Herphia</t>
  </si>
  <si>
    <t>Wireless Doorbell</t>
  </si>
  <si>
    <t>Seller_173</t>
  </si>
  <si>
    <t>4 Pack Wall Camera Mount Bracket Indoor Outdoor for Arlo Pro Security Adjustable</t>
  </si>
  <si>
    <t>Htwon</t>
  </si>
  <si>
    <t>Seller_174</t>
  </si>
  <si>
    <t>Piscataway</t>
  </si>
  <si>
    <t>Ring Floodlight Cam Plus Outdoor Wired 1080p FHD Surveillance Camera - White</t>
  </si>
  <si>
    <t>B08F6GPQQ7</t>
  </si>
  <si>
    <t>Seller_175</t>
  </si>
  <si>
    <t>Carmel</t>
  </si>
  <si>
    <t>Ubiquiti UNVR-Instant Network Video Recorder (Non-Kit Version)</t>
  </si>
  <si>
    <t>UNVR-Instant-US</t>
  </si>
  <si>
    <t>eufy Home Alarm System Motion Sensor 30ft Detect Adjustable Sensor|Refurb</t>
  </si>
  <si>
    <t>AK-T8910</t>
  </si>
  <si>
    <t>ZOSI ZG2615E 5MP Add-on PoE IP Camera Bullet Camera IP66 Night Vision with Cable</t>
  </si>
  <si>
    <t>City of Industry</t>
  </si>
  <si>
    <t>InVid Tech PD1B-32NH 32 Channel DVR Black HDMI VGA USB Ethernet BNC 110-240V</t>
  </si>
  <si>
    <t>Invid Tech</t>
  </si>
  <si>
    <t>Seller_176</t>
  </si>
  <si>
    <t>Toms River</t>
  </si>
  <si>
    <t>Bosch VG4-A-PA0 Autodome Security Camera Pendant Arm Power Box, 24 VAC Sealed</t>
  </si>
  <si>
    <t>Bosch</t>
  </si>
  <si>
    <t>VG4-A-PA0</t>
  </si>
  <si>
    <t>Pendant Arm Power Box</t>
  </si>
  <si>
    <t>Seller_177</t>
  </si>
  <si>
    <t>Ring Wired Doorbell Pro (3rd Gen) Retinal 4K New+ Sealed</t>
  </si>
  <si>
    <t>LA</t>
  </si>
  <si>
    <t>AOSU Security Cam P1 LITE 2K Wi-Fi Security 2-Camera Model: C4L2CA11 Open Box</t>
  </si>
  <si>
    <t>C4L2CA11</t>
  </si>
  <si>
    <t>Seller_178</t>
  </si>
  <si>
    <t>Sweet Grass</t>
  </si>
  <si>
    <t>MT</t>
  </si>
  <si>
    <t>Outdoor Solar Wireless Motion Sensor Alarm 13 Sound Detector 130db Loud Noise</t>
  </si>
  <si>
    <t>Motion Sensor Alarm</t>
  </si>
  <si>
    <t>Seller_179</t>
  </si>
  <si>
    <t>Santa Ana</t>
  </si>
  <si>
    <t>ANNKE 8CH 3K Lite H.265+ DVR Recorder For Surveillance Security Camera System</t>
  </si>
  <si>
    <t>AU-DW81KD000-V7</t>
  </si>
  <si>
    <t>Verint EdgeVR 80 DVR Wired Black, Includes DVR Unit, Cables, Accessories</t>
  </si>
  <si>
    <t>2 Pack Lot BNC Male Plug to RCA Female Jack Coax Cable Video Adapter Connector</t>
  </si>
  <si>
    <t>Bnc Connector</t>
  </si>
  <si>
    <t>Seller_180</t>
  </si>
  <si>
    <t>Springdale</t>
  </si>
  <si>
    <t>AR</t>
  </si>
  <si>
    <t>Wireless Home Window Door Burglar Security Alarm System Magnetic Sensor lot</t>
  </si>
  <si>
    <t>Seller_181</t>
  </si>
  <si>
    <t>Philadelphia</t>
  </si>
  <si>
    <t>Arlo Pro 4 VMC4041P Spotlight Indoor/Outdoor Camera Black (Set of 4)</t>
  </si>
  <si>
    <t>VMC4041P</t>
  </si>
  <si>
    <t>Tapo 1080P Outdoor Wired Pan/Tilt Security Wi-Fi Camera, 360° View, White C500</t>
  </si>
  <si>
    <t>Tapo</t>
  </si>
  <si>
    <t>Tapo C500</t>
  </si>
  <si>
    <t>Seller_182</t>
  </si>
  <si>
    <t>Rockville</t>
  </si>
  <si>
    <t>MD</t>
  </si>
  <si>
    <t>ANNKE 16CH 1080P Lite DVR CCTV Security Video Recorder for Camera System H.265+</t>
  </si>
  <si>
    <t>AU-DT61BS000</t>
  </si>
  <si>
    <t>Panasonic HomeHawk Window Camera -1080p HD Color Night Vision Smart Security Cam</t>
  </si>
  <si>
    <t>KXHNC500W</t>
  </si>
  <si>
    <t>Seller_183</t>
  </si>
  <si>
    <t>Burley</t>
  </si>
  <si>
    <t>Idaho</t>
  </si>
  <si>
    <t>Hiseeu 3MP 16CH NVR Outdoor Wifi PTZ Audio IP Security Camera System 24/7 Record</t>
  </si>
  <si>
    <t>WK-4HDA03-EG</t>
  </si>
  <si>
    <t>4/8 Channel H.265 1080P DVR for Home Security Camera System 1TB Hard Drive</t>
  </si>
  <si>
    <t>Floureon</t>
  </si>
  <si>
    <t>Seller_184</t>
  </si>
  <si>
    <t>AIMHDUTY BNC Coupler Female to Connector 5-Pack and Male Male...</t>
  </si>
  <si>
    <t>Aimhduty</t>
  </si>
  <si>
    <t>AC90019018</t>
  </si>
  <si>
    <t>Seller_185</t>
  </si>
  <si>
    <t>ZOSI 8CH 1080p H.265+ Security Camera System 5MP Lite CCTV DVR Outdoor HD IR Kit</t>
  </si>
  <si>
    <t>Bullet Or Dome</t>
  </si>
  <si>
    <t>1080P HD Rearview Mirror Car DVR Dual Dash Cam Camera Front Rear Video Recorder</t>
  </si>
  <si>
    <t>Mm Electronicles</t>
  </si>
  <si>
    <t>Dash Camera</t>
  </si>
  <si>
    <t>Seller_186</t>
  </si>
  <si>
    <t>Alameda</t>
  </si>
  <si>
    <t>ANNKE 4PCS 4K 8MP Security Camera Outdoor Color Night Vision for DVR CCTV System</t>
  </si>
  <si>
    <t>AU-KCS1EQ0402</t>
  </si>
  <si>
    <t>ANNKE 4x 5MP CCTV Security Camera Outdoor AI Color Night Vision Audio Recording</t>
  </si>
  <si>
    <t>AU-KCR1CW0402</t>
  </si>
  <si>
    <t>ADC ADC-CSVR2000P-1X2TB 16 Channel Pro Series Commercial Stream Video Rec. (NEW)</t>
  </si>
  <si>
    <t>Adc</t>
  </si>
  <si>
    <t>Commercial Stream Recorder</t>
  </si>
  <si>
    <t>Seller_187</t>
  </si>
  <si>
    <t>Henrico</t>
  </si>
  <si>
    <t>VA</t>
  </si>
  <si>
    <t>2-Pack HomeKit Door Window contact Sensors, Wireless Mini Sensor for iOS</t>
  </si>
  <si>
    <t>Onvis</t>
  </si>
  <si>
    <t>Window Sensor</t>
  </si>
  <si>
    <t>Seller_188</t>
  </si>
  <si>
    <t>Garland</t>
  </si>
  <si>
    <t>Reolink 5MP POE Security Camera System 8CH NVR RLN8-410 2TB HDD Smart Detection</t>
  </si>
  <si>
    <t>FLIR Digimerge DNR216P1 Network Video Recorder NVR 4xPoE No HDDs/P/S No Admin PW</t>
  </si>
  <si>
    <t>Flir</t>
  </si>
  <si>
    <t>Seller_189</t>
  </si>
  <si>
    <t>Haverford</t>
  </si>
  <si>
    <t>2K Home Wireless Battery Security Camera</t>
  </si>
  <si>
    <t>Flux</t>
  </si>
  <si>
    <t>Seller_190</t>
  </si>
  <si>
    <t>Hamilton</t>
  </si>
  <si>
    <t>OH</t>
  </si>
  <si>
    <t>Lorex 2K Wi-Fi Video Doorbell (Battery-Operated, 32GB, Open Box)</t>
  </si>
  <si>
    <t>B463AJD</t>
  </si>
  <si>
    <t>Cinnado 2 Pack 2K Cameras Home Security 2.4G WiFi Outdoor Wireless Solar Battery</t>
  </si>
  <si>
    <t>Cinnado</t>
  </si>
  <si>
    <t>B6</t>
  </si>
  <si>
    <t>Seller_191</t>
  </si>
  <si>
    <t>Palmdale</t>
  </si>
  <si>
    <t>All-New Blink Outdoor 4 (4th Gen) Wire-Free Smart Security Camera HD 2-Way Audio</t>
  </si>
  <si>
    <t>Genuine Battery for Ring Video Doorbell 2/3/4, Spotlight/Peephole/Stick Up Cam</t>
  </si>
  <si>
    <t>eufy S220 SoloCam Solar Security Camera 2K Wireless Outdoor Cam 2-Cam |Refurbish</t>
  </si>
  <si>
    <t>1-8Pack Dummy Camera Fake Security CCTV Dome Camera with Flashing Red LED Light</t>
  </si>
  <si>
    <t>Seller_192</t>
  </si>
  <si>
    <t>Corona</t>
  </si>
  <si>
    <t>SimpliSafe Smart Home Security System (7-Piece Kit) – Base Station, Keypad-NEW</t>
  </si>
  <si>
    <t>Smart Home Security System (7-Piece Kit)</t>
  </si>
  <si>
    <t>Seller_193</t>
  </si>
  <si>
    <t>Seller_194</t>
  </si>
  <si>
    <t>eufy eufyCam S4 Solar Security Camera Wireless Outdoor 4K UHD with Pan and Tilt</t>
  </si>
  <si>
    <t>Seller_195</t>
  </si>
  <si>
    <t>2PK Solar Camera 4MP Wireless Security Camera Outdoor Solar Battery Camera</t>
  </si>
  <si>
    <t>N3070BK-XM/001*2PK</t>
  </si>
  <si>
    <t>eufy Security Floodlight Camera E30 2K HD Outdoor Cam 360° P&amp;T AI Detect|Refurb</t>
  </si>
  <si>
    <t>AKT8426</t>
  </si>
  <si>
    <t>ARCCTV Security Camera System 4MP Solar Battery 5Ghz Wifi Wireless Night Vision</t>
  </si>
  <si>
    <t>Arcctv</t>
  </si>
  <si>
    <t>K02W7271US</t>
  </si>
  <si>
    <t>Seller_196</t>
  </si>
  <si>
    <t>SANNCE 8CH 1080P Lite DVR 1080P CCTV Home Security Camera System Night Vision AI</t>
  </si>
  <si>
    <t>SU-DT81BC0-52EE</t>
  </si>
  <si>
    <t>ANNKE 5MP Two Way Audio POE Security IP Camera System 8MP 8CH NVR Outdoor Color</t>
  </si>
  <si>
    <t>Lorex 4K Spotlight Wi-Fi 6 Security Camera W/ Smart Security Lighting - Open Box</t>
  </si>
  <si>
    <t>W881AAD-E-R</t>
  </si>
  <si>
    <t>Onvif 16 Ch. HD 4K Video Recorder TDVR2716TTEC-TVI HD4TB Seagate Skyhawk Not Use</t>
  </si>
  <si>
    <t>Onvif</t>
  </si>
  <si>
    <t>16 Channel</t>
  </si>
  <si>
    <t>Seller_197</t>
  </si>
  <si>
    <t>Hailey</t>
  </si>
  <si>
    <t>ID</t>
  </si>
  <si>
    <t>eufy Security 4G LTE Cam S330 4K Cellular Solar Wireless Security Cameras|Refurb</t>
  </si>
  <si>
    <t>AKT86P2</t>
  </si>
  <si>
    <t>2 x Wall Mount Bracket For Ring Stick Up Cam Wired/Battery Solar Security Camera</t>
  </si>
  <si>
    <t>Wall Mount Bracket</t>
  </si>
  <si>
    <t>Seller_198</t>
  </si>
  <si>
    <t>eufy S220 SoloCam 2K Solar Security Camera Wireless Outdoor Camera Wi-Fi 4-Cam</t>
  </si>
  <si>
    <t>Google Nest Cam Outdoor Security Camera Wi-Fi Wired 1080P NC2100ES A0033</t>
  </si>
  <si>
    <t>Seller_199</t>
  </si>
  <si>
    <t>RCA Female to BNC Male Connector Coax Plug Adapter Converter CCTV Camera Lot</t>
  </si>
  <si>
    <t>Digital Watchdog Blackjack Mini DW BJMINI4T 12CH Network Video Recorder Lot of 2</t>
  </si>
  <si>
    <t>12Ch Network Video Recorder</t>
  </si>
  <si>
    <t>Seller_200</t>
  </si>
  <si>
    <t>Tucson</t>
  </si>
  <si>
    <t>Amcrest NV4116-HS 720p/1080p 3MP-8MP 4K NVR w/ 2TB HDD Supports up to 6TB HDD -</t>
  </si>
  <si>
    <t>NV4116-HS</t>
  </si>
  <si>
    <t>Nvr (Network Video Recorder)</t>
  </si>
  <si>
    <t>ANNKE 5MP Home Security Camera Outdoor Color Night Vision Motion Digital WDR</t>
  </si>
  <si>
    <t>R1CW</t>
  </si>
  <si>
    <t>Mier BW-FC242410-QT NEMA Type 3R Outdoor Polycarbonate Enclosure</t>
  </si>
  <si>
    <t>Mier Products, Inc</t>
  </si>
  <si>
    <t>BW-FC242410-QT</t>
  </si>
  <si>
    <t>Securitysystem</t>
  </si>
  <si>
    <t>XVIM WiFi Solar Wireless Home Camera Security System Outdoor Camera 2K Monitor</t>
  </si>
  <si>
    <t>Lorex LNB9252-C 4K Smart IP Bullet Camera White, Open Box</t>
  </si>
  <si>
    <t>INTERLOGIX TRUVISION NVR 11 DIGITAL VIDEO RECORDER H.264 8-CHANNEL IP PoE 2TB</t>
  </si>
  <si>
    <t>Interlogix</t>
  </si>
  <si>
    <t>TVN-1104cS-1T</t>
  </si>
  <si>
    <t>Seller_201</t>
  </si>
  <si>
    <t>Gainesville</t>
  </si>
  <si>
    <t>Seller_202</t>
  </si>
  <si>
    <t>BNC Male Balun Connector for Coax CAT5 CAT6 CAT7 to CCTV Surveillance Camera LOT</t>
  </si>
  <si>
    <t>Seller_203</t>
  </si>
  <si>
    <t>USB Camera Module 8.0MP with usb cable 4K_8MWDR_M1_V3.0 perfect for DIY  project</t>
  </si>
  <si>
    <t>Seller_204</t>
  </si>
  <si>
    <t>Lancaster</t>
  </si>
  <si>
    <t>SANNCE Wireless 3MP Security IP Camera System 5MP 8CH NVR WIFI AI Two Way Audio</t>
  </si>
  <si>
    <t>SU-N48WHE-71GL</t>
  </si>
  <si>
    <t>Seller_205</t>
  </si>
  <si>
    <t>NEW Alarm.com ADC-VC838PF IP67 4MP Turret PoE Security Camera - Varifocal Lens</t>
  </si>
  <si>
    <t>Alarm Dot Com</t>
  </si>
  <si>
    <t>ADC-VC838PF</t>
  </si>
  <si>
    <t>ieGeek Wireless Outdoor Solar Security Camera 2K Home CCTV System WiFi IP Camera</t>
  </si>
  <si>
    <t>Iegeek</t>
  </si>
  <si>
    <t>Seller_206</t>
  </si>
  <si>
    <t>2026 Smart Mini WiFi Camera Wireless 1080P HD Night Cam w/Battery Home Security</t>
  </si>
  <si>
    <t>Mini Wifi Camera</t>
  </si>
  <si>
    <t>Seller_207</t>
  </si>
  <si>
    <t>Swann MaxRanger Mini 4K Wireless Security System, 3-Pack</t>
  </si>
  <si>
    <t>Swann</t>
  </si>
  <si>
    <t>SWNVK-MRMINISD3</t>
  </si>
  <si>
    <t>Seller_208</t>
  </si>
  <si>
    <t>Towson</t>
  </si>
  <si>
    <t>Pelco 16-Channel Surveillance DVR CCTV Recorder BNC LAN VGA USB Audio-Out</t>
  </si>
  <si>
    <t>Pelco</t>
  </si>
  <si>
    <t>Surveillance Dvr</t>
  </si>
  <si>
    <t>Seller_209</t>
  </si>
  <si>
    <t>Rome</t>
  </si>
  <si>
    <t>Jar of 100 Platinum Tools 106188J 2-Piece High Performance Connectors, CAT6</t>
  </si>
  <si>
    <t>The Platinum Tools</t>
  </si>
  <si>
    <t>Cat 6</t>
  </si>
  <si>
    <t>Seller_210</t>
  </si>
  <si>
    <t>Ormond Beach</t>
  </si>
  <si>
    <t>48V Power Supply Adapter for ZOSI 8UC-1804W4-20-US-A4 NVR Video Recorder</t>
  </si>
  <si>
    <t>Seller_211</t>
  </si>
  <si>
    <t>King</t>
  </si>
  <si>
    <t>North Carolina</t>
  </si>
  <si>
    <t>ZOSI H.265+ Security DVR 8CH AI Detect 1080p Record for CCTV Surveillance Camera</t>
  </si>
  <si>
    <t>Rowland Heights</t>
  </si>
  <si>
    <t>ANNKE 5MP Lite 8CH DVR 1080P CCTV Security Camera System Outdoor Human Detection</t>
  </si>
  <si>
    <t>AU-DW81KN0-58EF</t>
  </si>
  <si>
    <t>ANNKE H.265+ 8CH 16CH 12MP NVR 5MP Audio POE Security Camera System Color Night</t>
  </si>
  <si>
    <t>N48PAW/N46PCK-51EL</t>
  </si>
  <si>
    <t>ZOSI HD 720P Security Outdoor Wide Angle CCTV Bullet Camera 65ft IR Night Vision</t>
  </si>
  <si>
    <t>Infrared IR Light for CCTV Ir Illuminator 6pcs Array LEDS Powerful 90°</t>
  </si>
  <si>
    <t>Illuminator</t>
  </si>
  <si>
    <t>Surveillance Illuminators</t>
  </si>
  <si>
    <t>Seller_212</t>
  </si>
  <si>
    <t>Ponce</t>
  </si>
  <si>
    <t>Puerto Rico</t>
  </si>
  <si>
    <t>ANNKE 8-Port 16-Port POE Ethernet Switch IP Network Plug&amp;Play for NVR IP Camera</t>
  </si>
  <si>
    <t>Ethernet Switch</t>
  </si>
  <si>
    <t>Wyze Cam v4 2.5K QHD Indoor/Outdoor WiFi Smart Security Camera Wired New Sealed</t>
  </si>
  <si>
    <t>WYZEC4WH</t>
  </si>
  <si>
    <t>Seller_213</t>
  </si>
  <si>
    <t>Bell</t>
  </si>
  <si>
    <t>Used OpenEye OE3-E480 16 Channel Embedded Digital Video Recorder 1TB</t>
  </si>
  <si>
    <t>Openeye</t>
  </si>
  <si>
    <t>Seller_214</t>
  </si>
  <si>
    <t>Columbus</t>
  </si>
  <si>
    <t>100Pcs AC 100-240V DC 12V 1A 5.5 x 2.1MM Charger Power Supply Adapter US Plug</t>
  </si>
  <si>
    <t>Power Adapter</t>
  </si>
  <si>
    <t>Seller_215</t>
  </si>
  <si>
    <t>ToughDog Security Systems IP-NVR, 24 channel - TDNVR24P24KS</t>
  </si>
  <si>
    <t>Toughdog</t>
  </si>
  <si>
    <t>Nvr - 32 Channel</t>
  </si>
  <si>
    <t>Seller_216</t>
  </si>
  <si>
    <t>McAllen</t>
  </si>
  <si>
    <t>Waterproof 656ft Wireless Driveway Alarm Motion Sensor Alarm Indoor Outdoor H2C8</t>
  </si>
  <si>
    <t>Wireless Driveway Alarm Sensors &amp; Motion Detectors</t>
  </si>
  <si>
    <t>Seller_217</t>
  </si>
  <si>
    <t>ANNKE 5IN1 5MP Lite 8CH DVR Security Video Recorder for Home Surveillance System</t>
  </si>
  <si>
    <t>AU-DW81KN000-OP</t>
  </si>
  <si>
    <t>AA Lithium Battery Extension Pack for Blink Outdoor 4 Camera (2 Pack)</t>
  </si>
  <si>
    <t>Wasserstein</t>
  </si>
  <si>
    <t>Black</t>
  </si>
  <si>
    <t>Seller_218</t>
  </si>
  <si>
    <t>Shakopee</t>
  </si>
  <si>
    <t>Minnesota</t>
  </si>
  <si>
    <t>100 pcs Coax Cat5/Cat6 To Camera CCTV BNC Video Balun Coaxial Connector Screw</t>
  </si>
  <si>
    <t>Seller_219</t>
  </si>
  <si>
    <t>2 Pack Rechargeable Battery A-1 for ARLO PRO &amp; Arlo Pro 2 Camera VMA4400 VMS4230</t>
  </si>
  <si>
    <t>Tqthl</t>
  </si>
  <si>
    <t>Seller_220</t>
  </si>
  <si>
    <t>Secaucus</t>
  </si>
  <si>
    <t>Long Range Driveway Alarm System with 2 Sensors &amp; 38 Chimes for Maximum Security</t>
  </si>
  <si>
    <t>Seller_221</t>
  </si>
  <si>
    <t>OpenEye OE1-D1200 4500 4 Channel Digital Video Recorder UNTESTED READ.</t>
  </si>
  <si>
    <t>Seller_222</t>
  </si>
  <si>
    <t>Speco D16WVSM3TB 16-Channel Wall Mount Covert DVR w/ Built-in Monitor 3TB HDD</t>
  </si>
  <si>
    <t>Speco</t>
  </si>
  <si>
    <t>Covert</t>
  </si>
  <si>
    <t>Seller_223</t>
  </si>
  <si>
    <t>Brooklyn</t>
  </si>
  <si>
    <t>Blink Outdoor  4th Gen Add-on Camera WiFi Security HD Cam - requires sync module</t>
  </si>
  <si>
    <t>Seller_224</t>
  </si>
  <si>
    <t>Portland</t>
  </si>
  <si>
    <t>REOLINK Go Argus , Solar Panel 2, 4K Wifi 6 Camera Wireless Outdoor. New Sealed</t>
  </si>
  <si>
    <t>Seller_225</t>
  </si>
  <si>
    <t>Duluth</t>
  </si>
  <si>
    <t>10 pieces Twist-on BNC Male RG59 Connector for CCTV cameras</t>
  </si>
  <si>
    <t>Generic</t>
  </si>
  <si>
    <t>Seller_226</t>
  </si>
  <si>
    <t>Premium 5Amp Power Adapter with 8 way splitter for Night Owl Cameras 12v Charger</t>
  </si>
  <si>
    <t>Seller_227</t>
  </si>
  <si>
    <t>Solar Power Dummy Security Camera Fake Waterproof LED Light Surveillance Outdoor</t>
  </si>
  <si>
    <t>Navitroey</t>
  </si>
  <si>
    <t>Solar Wall Light</t>
  </si>
  <si>
    <t>Seller_228</t>
  </si>
  <si>
    <t>Reolink Go PT Ultra Outdoor 4G LTE Battery Solar Powered Security Camera PanTilt</t>
  </si>
  <si>
    <t>Go PT Ultra with Solar Panel</t>
  </si>
  <si>
    <t>4G Lte Security Camera</t>
  </si>
  <si>
    <t>AOSU 5MP Solar Security Cameras Outdoor Wireless,Home Security System 4-Cam Kit</t>
  </si>
  <si>
    <t>Seller_229</t>
  </si>
  <si>
    <t>Mini WiFi Camera HD 1080P IP Motion Detection Camcorder Home Security Cam</t>
  </si>
  <si>
    <t>Seller_230</t>
  </si>
  <si>
    <t>ANNKE 1080P HD 4in1 CCTV Home Security Surveillance Camera Outdoor Night Vision</t>
  </si>
  <si>
    <t>AN-CT1FE0103</t>
  </si>
  <si>
    <t>Motion Sensor Switch DC 12V-24V 8A Motion Sensor Motion Sensor Infrared PIR LED</t>
  </si>
  <si>
    <t>Seller_231</t>
  </si>
  <si>
    <t>16ch 16POE NVR Support 2HDD 5216-16P</t>
  </si>
  <si>
    <t>ANNKE Wireless 4CH NVR 7" Monitor 3MP Audio Security Camera System Two-Way Audio</t>
  </si>
  <si>
    <t>AU-N44WET0-72GK-V2-OP</t>
  </si>
  <si>
    <t>ANNKE 16CH 3K Lite 5in1 DVR 1080P CCTV Security Camera System Color Night Vision</t>
  </si>
  <si>
    <t>DW61LN-T1GJ</t>
  </si>
  <si>
    <t>Seller_232</t>
  </si>
  <si>
    <t>Baldwin Park</t>
  </si>
  <si>
    <t>Ubiquiti G5 Turret Ultra (UVC-G5-Turret-Ultra) Multicolour</t>
  </si>
  <si>
    <t>UVC-G5-Turret-Ultra</t>
  </si>
  <si>
    <t>Seller_233</t>
  </si>
  <si>
    <t>Colorado</t>
  </si>
  <si>
    <t>Ring Video Doorbell 1080p 2nd Gen Vertical Wedge Up/Down Angle 5  10  15 Degree</t>
  </si>
  <si>
    <t>Vertical Wedge Up/Down Angle 5 - 10 - 15 Degree</t>
  </si>
  <si>
    <t>Seller_234</t>
  </si>
  <si>
    <t>3Pcs Wireless Solar Battery Powered Camera Wifi Outdoor Security Camera System</t>
  </si>
  <si>
    <t>Spy Camera</t>
  </si>
  <si>
    <t>Security Systems NVR H.264 Mobile Phone Surveillance 3G 3TB Network Recorder Hom</t>
  </si>
  <si>
    <t>Avc Security Systems</t>
  </si>
  <si>
    <t>AVCN3516K</t>
  </si>
  <si>
    <t>Power Distribution Box</t>
  </si>
  <si>
    <t>Seller_235</t>
  </si>
  <si>
    <t>Bellflower</t>
  </si>
  <si>
    <t>3VR Identiv SRS-0835-050 S-Series NVR 8 Channel Video Recorder 500GB HDD [CTNO]</t>
  </si>
  <si>
    <t>3Vr Identiv</t>
  </si>
  <si>
    <t>SRS-0835-050</t>
  </si>
  <si>
    <t>Seller_236</t>
  </si>
  <si>
    <t>San Antonio</t>
  </si>
  <si>
    <t>BLINK SYSTEM SYNC MODULE 2 (2024 VERSION) (CAMERA NOT INCLUDED) *BRAND NEW!!</t>
  </si>
  <si>
    <t>Seller_237</t>
  </si>
  <si>
    <t>Knight Hidden Devices Detector - Hidden Camera Detectors RF &amp; Bug Detector NEW</t>
  </si>
  <si>
    <t>Knight</t>
  </si>
  <si>
    <t>Anti Spy Detector</t>
  </si>
  <si>
    <t>Seller_238</t>
  </si>
  <si>
    <t>Oak Park</t>
  </si>
  <si>
    <t>ANNKE 16CH 8CH 3K 5MP Lite H.265+ DVR CCTV Security Video Recorder AI Detection</t>
  </si>
  <si>
    <t>AU-DW81KN/DW61LN</t>
  </si>
  <si>
    <t>Reolink 5MP 16 Channel 4TB HDD NVR Outdoor PoE DIY CCTV Security Camera System</t>
  </si>
  <si>
    <t>Arlo Anti-Theft Mount Back Plate CUSTOM for VMA5100-10000S and Pro 3 Floodlight</t>
  </si>
  <si>
    <t>VMA5100-10000S</t>
  </si>
  <si>
    <t>Security Camera Cases &amp; Housings</t>
  </si>
  <si>
    <t>Seller_239</t>
  </si>
  <si>
    <t>Clovis</t>
  </si>
  <si>
    <t>ANNKE 12MP 8CH POE NVR 4K AI Color Night Security Camera System Audio Recording</t>
  </si>
  <si>
    <t>N98PBK-91DL-V3</t>
  </si>
  <si>
    <t>ANNKE 5MP Audio POE IP Security Camera Color Night Vision IP67 AC500 AI Detect</t>
  </si>
  <si>
    <t>I51EM</t>
  </si>
  <si>
    <t>JENNOV 10CH NVR 5MP Wireless Security Camera System WiFi Outdoor IP 2 Way Audio</t>
  </si>
  <si>
    <t>Seller_240</t>
  </si>
  <si>
    <t>eufy Security SoloCam E30, 4-Cam Kit Solar Security Cameras Wireless Outdoor360°</t>
  </si>
  <si>
    <t>AKT8171</t>
  </si>
  <si>
    <t>Solar Security Cameras Wireless Outdoor for Home Security 2.4&amp;5GHz WiFi</t>
  </si>
  <si>
    <t>Camoon</t>
  </si>
  <si>
    <t>Solar Security Camera</t>
  </si>
  <si>
    <t>Seller_241</t>
  </si>
  <si>
    <t>3PACK Water Leakage Alarm Detector 120dB Water Leak Sensors Overflow Alert USA</t>
  </si>
  <si>
    <t>Water Leak Alarm</t>
  </si>
  <si>
    <t>Seller_242</t>
  </si>
  <si>
    <t>Lorex 4K+12MP 16 Camera Capable (8 Wired + 8 Fusion Wi-Fi) NVR - Open Box</t>
  </si>
  <si>
    <t>N910A62-R</t>
  </si>
  <si>
    <t>Astak Digital Video Recorder</t>
  </si>
  <si>
    <t>Astak</t>
  </si>
  <si>
    <t>Seller_243</t>
  </si>
  <si>
    <t>Hilo</t>
  </si>
  <si>
    <t>HI</t>
  </si>
  <si>
    <t>4MP Solar Powered, 4 Cam Kit, Color Night Vision, 360° PTZ, 500G HDD Local Reco</t>
  </si>
  <si>
    <t>Kcsnyo</t>
  </si>
  <si>
    <t>Seller_244</t>
  </si>
  <si>
    <t>Roku Smart Home Wireless Video Doorbell &amp; Chime - 1440p HD Night Vision</t>
  </si>
  <si>
    <t>Roku</t>
  </si>
  <si>
    <t>Seller_245</t>
  </si>
  <si>
    <t>Arlo Pro 4 VMC4041P Spotlight Indoor/Outdoor Camera White(Set of 4)</t>
  </si>
  <si>
    <t>FUJITSU IP-920E HD/SD MPEG4 AVC VIDEO ENCODER</t>
  </si>
  <si>
    <t>Fujitsu</t>
  </si>
  <si>
    <t>Compact Video Encoder</t>
  </si>
  <si>
    <t>Seller_246</t>
  </si>
  <si>
    <t>Commerce City</t>
  </si>
  <si>
    <t>2PCS/Lot Hiseeu Wifi Solar Security Camera 2.4G/5GWiFi For Home Security Use</t>
  </si>
  <si>
    <t>PTZOptics Move SE – 3rd Generation PTZ Camera - No Power Included</t>
  </si>
  <si>
    <t>Ptz Optics</t>
  </si>
  <si>
    <t>Ptz Camera</t>
  </si>
  <si>
    <t>Seller_247</t>
  </si>
  <si>
    <t>Tampa</t>
  </si>
  <si>
    <t>Dual Lens 4K WiFi Security Camera 8X Zoom Outdoor Home Night Vision CCTV PTZ</t>
  </si>
  <si>
    <t>Hanks Minerals</t>
  </si>
  <si>
    <t>Seller_248</t>
  </si>
  <si>
    <t>Ring Alarm Motion Detector (2nd gen) Z-Wave - 5AT2S9 - 2 Pack (/RT6-22964-5AT...</t>
  </si>
  <si>
    <t>Seller_249</t>
  </si>
  <si>
    <t>Skokie</t>
  </si>
  <si>
    <t>Honeywell 8 Channel DVR Model HRGX85 960H</t>
  </si>
  <si>
    <t>Honeywell</t>
  </si>
  <si>
    <t>Surveillance Recording</t>
  </si>
  <si>
    <t>Seller_250</t>
  </si>
  <si>
    <t>Laurel</t>
  </si>
  <si>
    <t>Orbitell 1080p WiFi Video Doorbell Camera 2-Way Audio Night Vision AI</t>
  </si>
  <si>
    <t>Orbitell</t>
  </si>
  <si>
    <t>Seller_251</t>
  </si>
  <si>
    <t>Mini Camara Oculta Espia De Seguridad WiFi 1080P Inalambrica Con Audio y Video</t>
  </si>
  <si>
    <t>Seller_252</t>
  </si>
  <si>
    <t>ANNKE 5MP 8CH/16CH DVR Audio Security Camera System Outdoor Color Night Vision</t>
  </si>
  <si>
    <t>4K SolarCam P1 Max with aosuCortex System. New Open Box Never Used   (4 Cameras)</t>
  </si>
  <si>
    <t>Seller_253</t>
  </si>
  <si>
    <t>Cumberland</t>
  </si>
  <si>
    <t>VIVOSUN GrowCam C4 2K QHD WiFi Smart Camera for Grow Tent &amp; Home Camera</t>
  </si>
  <si>
    <t>Vivosun</t>
  </si>
  <si>
    <t>Smart Camera For Grow Tent</t>
  </si>
  <si>
    <t>Seller_254</t>
  </si>
  <si>
    <t>1080P HD Indoor Window Camera Night Vision Motion Alert App Audio No Monthly Fee</t>
  </si>
  <si>
    <t>The Smart Home</t>
  </si>
  <si>
    <t>Seller_255</t>
  </si>
  <si>
    <t>eufy Security eufyCam S3 Pro Add-on Camera with Solar Panel, Outdoor Wireless 4K</t>
  </si>
  <si>
    <t>AKT8162</t>
  </si>
  <si>
    <t>SANNCE 4IN1 HD 1080P Night Vision Outdoor CCTV Security Camera Home Surveillance</t>
  </si>
  <si>
    <t>eufy Security Garage Door Sensor Add-On for Garage-Control Cam and Cam Plus</t>
  </si>
  <si>
    <t>AKT8450</t>
  </si>
  <si>
    <t>16 Channel Digital Video Recorder Model: LRA3160N, Pre-Owned .</t>
  </si>
  <si>
    <t>LG</t>
  </si>
  <si>
    <t>Seller_256</t>
  </si>
  <si>
    <t>Anaheim</t>
  </si>
  <si>
    <t>4/8 Channel H.265 1080P DVR with Hard Drive 500GB for Security Camera System USA</t>
  </si>
  <si>
    <t>Seller_257</t>
  </si>
  <si>
    <t>Bosch NIN-63023-A3-A Flexidome IP Starlight 6000 Dome 2MP HDR Security Camera</t>
  </si>
  <si>
    <t>NIN-63023-A3-A</t>
  </si>
  <si>
    <t>Lorex Fusion 4K 16 Camera Capable (Wired / Fusion Wi-Fi) 4TB NVR</t>
  </si>
  <si>
    <t>N864A64B</t>
  </si>
  <si>
    <t>BOLIDE (BN-NVR/S4POE) 4-Channel PoE Network Video Recorder</t>
  </si>
  <si>
    <t>Seller_258</t>
  </si>
  <si>
    <t>New Sealed Arlo Ultra 4K 3rd Gen Single Add On Camera Battery Powered</t>
  </si>
  <si>
    <t>Seller_259</t>
  </si>
  <si>
    <t>Redmond</t>
  </si>
  <si>
    <t>2 Pack Ring V4 Battery For Ring Camera Doorbell Solar Floodligh 2/3/4/3 plus US</t>
  </si>
  <si>
    <t>Ring 2 3 4 Battery</t>
  </si>
  <si>
    <t>Seller_260</t>
  </si>
  <si>
    <t>SimpliSafe Video Doorbell Camera Wi-Fi Wired Camera 1080p</t>
  </si>
  <si>
    <t>Seller_261</t>
  </si>
  <si>
    <t>Maumelle</t>
  </si>
  <si>
    <t>8 Channel H.265 1080P DVR for Security Camera System 1TB Hard Drive USA</t>
  </si>
  <si>
    <t>Reolink  1224A 12MP PoE Security Camera Smart Color Night Vision Two-Way Audio</t>
  </si>
  <si>
    <t>PC1224AD6K01</t>
  </si>
  <si>
    <t>2PCS Hiseeu WIFI Solar Battery Outdoor 4MP Wireless Security Camera 2-Way Audio</t>
  </si>
  <si>
    <t>Hanover</t>
  </si>
  <si>
    <t>ANNKE 4K 8MP Audio POE IP Security Camera Outdoor IP67 Color Night Vision C800</t>
  </si>
  <si>
    <t>I91DF</t>
  </si>
  <si>
    <t>Aosu 3MP Solar Camera Outdoor Wireless WiFi Camera for Home Surveillance</t>
  </si>
  <si>
    <t>eufy SoloCam S220 2K Solar Powered Wireless Outdoor Security Camera - 2 Pack</t>
  </si>
  <si>
    <t>T8134</t>
  </si>
  <si>
    <t>Seller_262</t>
  </si>
  <si>
    <t>Multiple</t>
  </si>
  <si>
    <t>Blink Outdoor (4th Gen) Add-On Home Security Camera | HD Video work with XT1 XT2</t>
  </si>
  <si>
    <t>SimpliSafe 12-Piece Home Security System with HD Camera &amp; Smoke Detector SS-1500</t>
  </si>
  <si>
    <t>SS-1500</t>
  </si>
  <si>
    <t>Seller_263</t>
  </si>
  <si>
    <t>Haltom City</t>
  </si>
  <si>
    <t>Genuine Battery A-7a A-14 for Arlo Go 2, Ultra 2 XL ,Pro 4 XL ,Pro 5s 2K XL</t>
  </si>
  <si>
    <t>308-50012-01, 308-50002-01, 308-10069-01, A-14, 308-50034-01, A-7</t>
  </si>
  <si>
    <t>SANNCE 3MP WIFI Security Camera System Outdoor Wireless Two Way Audio 16CH NVR</t>
  </si>
  <si>
    <t>N98WHG0-74GL</t>
  </si>
  <si>
    <t>1~4PCS Hiseeu 3MP PTZ Security Camera 5G Wifi Night Vision Auto Track 24/7Record</t>
  </si>
  <si>
    <t>WHDA03</t>
  </si>
  <si>
    <t>Ptz Wifi Camera</t>
  </si>
  <si>
    <t>Shepherdsville</t>
  </si>
  <si>
    <t>ANNKE 8CH 12MP NVR POE 5MP AI Color Night Vision Security Camera System Outdoor</t>
  </si>
  <si>
    <t>AU-N98PBK0-58EM</t>
  </si>
  <si>
    <t>2MP 180° Panoramic Fisheye Dome TVI 4IN1 CCTV Security Camera Metal Housing</t>
  </si>
  <si>
    <t>Lorex E893AB 4K UHD Smart Deterrence Outdoor Network Bullet Camera</t>
  </si>
  <si>
    <t>Google Nest Doorbell (Battery) Replacement Mounting Bracket / Wall Mount</t>
  </si>
  <si>
    <t>HTZSAFE 1/2 Mile Solar Power Driveway Alarm System 1 Receiver + 3 Sensors</t>
  </si>
  <si>
    <t>Lot Of 10 Samsung SCC131A SCC130B SCC130A Digital Color Cameras - UNTESTED</t>
  </si>
  <si>
    <t>Samsung</t>
  </si>
  <si>
    <t>Seller_264</t>
  </si>
  <si>
    <t>Talihina</t>
  </si>
  <si>
    <t>OK</t>
  </si>
  <si>
    <t>Zmodo WiFi Camera Power adapter (5V / 2A)</t>
  </si>
  <si>
    <t>PA-0502</t>
  </si>
  <si>
    <t>Seller_265</t>
  </si>
  <si>
    <t>Champaign</t>
  </si>
  <si>
    <t>SANNCE 8CH DVR 1080P Video Security Camera System CCTV Outdoor Human Detection</t>
  </si>
  <si>
    <t>SU-DT81BD-51FE</t>
  </si>
  <si>
    <t>Visonic MCT-302 SMA Wireless Door/Window Contact - Brand New</t>
  </si>
  <si>
    <t>Sma</t>
  </si>
  <si>
    <t>Wireless Sensor</t>
  </si>
  <si>
    <t>Arlo Indoor Pan Tilt Camera Essential Vmc3073-100nas</t>
  </si>
  <si>
    <t>Seller_266</t>
  </si>
  <si>
    <t>Arlo Essential Security Camera 2K Outdoor 2ndGen Wireless with Spotlight. NEW</t>
  </si>
  <si>
    <t>VMC3050-100NAS</t>
  </si>
  <si>
    <t>Seller_267</t>
  </si>
  <si>
    <t>Smart Wireless WiFi Video Doorbell Phone Door Ring Intercom Security Camera Bell</t>
  </si>
  <si>
    <t>NOT SPECIFIED</t>
  </si>
  <si>
    <t>BNC Male to Dual BNC Female Connector Adapter T Shape Splitter Coaxial Cable Lot</t>
  </si>
  <si>
    <t>5x5 mm</t>
  </si>
  <si>
    <t>Seller_268</t>
  </si>
  <si>
    <t>SHEN ZHEN</t>
  </si>
  <si>
    <t>Blink Add-On Sync Module 2</t>
  </si>
  <si>
    <t>53-024486</t>
  </si>
  <si>
    <t>Seller_269</t>
  </si>
  <si>
    <t>McHenry</t>
  </si>
  <si>
    <t>New Sealed LED IR Illuminator Night Vision 850nm Infrared S-SA1-60-C-IR</t>
  </si>
  <si>
    <t>Ir Illuminator Array Infrared Lamps</t>
  </si>
  <si>
    <t>Seller_270</t>
  </si>
  <si>
    <t>Chino Hills</t>
  </si>
  <si>
    <t>ANNKE 4K 8MP 5MP 1080P Video Outdoor Security Camera Night Vision for DVR Kits</t>
  </si>
  <si>
    <t>ANNKE Cam</t>
  </si>
  <si>
    <t>Bullet/ Dome For Option!</t>
  </si>
  <si>
    <t>ANNKE 8CH 16CH 12MP NVR POE Security IP Network Video Recorder H.265+ Remote APP</t>
  </si>
  <si>
    <t>N98PBK/N46PCK</t>
  </si>
  <si>
    <t>SONOFF SNZB-05P Zigbee 3.0 Water Leak Detector IP67 Waterproof Remote Control</t>
  </si>
  <si>
    <t>Sonoff</t>
  </si>
  <si>
    <t>Water Leak Sensor</t>
  </si>
  <si>
    <t>Seller_271</t>
  </si>
  <si>
    <t>Whippany</t>
  </si>
  <si>
    <t>DC Power Extension Cable 5.5mm x 2.1mm Male Female Cord 18AWG 12V 24V 10A</t>
  </si>
  <si>
    <t>DCEXT-G_M</t>
  </si>
  <si>
    <t>Extension Cable</t>
  </si>
  <si>
    <t>Plant Vase Case for Ring Indoor Cam - Cover Faux Nanny</t>
  </si>
  <si>
    <t>Decaldino</t>
  </si>
  <si>
    <t>Case</t>
  </si>
  <si>
    <t>Seller_272</t>
  </si>
  <si>
    <t>Madison</t>
  </si>
  <si>
    <t>Hiseeu WIFI Solar Battery Outdoor 4MP HD Wireless Security Camera 2Way Audio</t>
  </si>
  <si>
    <t>Lorex 2K Wi-Fi Video Doorbell 32GB (Wired, White, Single) - Open Box</t>
  </si>
  <si>
    <t>B451AJD</t>
  </si>
  <si>
    <t>ZOSI 2Pack C296 4K 8MP PoE IP PTZ Dome Security Camera Add-on Outdoor With Cable</t>
  </si>
  <si>
    <t>City Of Industry</t>
  </si>
  <si>
    <t>Wuloo 1800feet Long Range Solar Driveway Alarms Wireless Motion Sensor for Home</t>
  </si>
  <si>
    <t>8CH Home Security Camera System with 1TB HDD, 5MP Lite DVR, 1080P Indoor/Outdoor</t>
  </si>
  <si>
    <t>Jousecu</t>
  </si>
  <si>
    <t>Seller_273</t>
  </si>
  <si>
    <t>Brand New SimpliSafe Outdoor Security Camera Series 2 (CM021) Fast Free Shipping</t>
  </si>
  <si>
    <t>U9K-CM0210</t>
  </si>
  <si>
    <t>Seller_274</t>
  </si>
  <si>
    <t>Dover</t>
  </si>
  <si>
    <t>Delaware</t>
  </si>
  <si>
    <t>Ring Floodlight Cam Pro 4K Wired 2nd gen Sealed White</t>
  </si>
  <si>
    <t>Avertx 4MP Mini IP Bullet In/Outdoor Night Vision Camera AVX-HD420IR HD420, NEW</t>
  </si>
  <si>
    <t>Avertx</t>
  </si>
  <si>
    <t>AVX-HD420IR HD420</t>
  </si>
  <si>
    <t>eufy S220 SoloCam Solar Security Camera 2K Wi-Fi Wireless Outdoor |Refurb</t>
  </si>
  <si>
    <t>AKT8134</t>
  </si>
  <si>
    <t>ANNKE 4IN1 5MP Security Camera Full Color Night Vision Outdoor Audio Recording</t>
  </si>
  <si>
    <t>AN-CR1CW0102</t>
  </si>
  <si>
    <t>Blink Sync Module 2 for existing Blink Outdoor (3rd Gen) Home Security Systems</t>
  </si>
  <si>
    <t>eufy Cam S300 3C 3-Cam Kit 4K Outdoor Camera Wireless Spotlight Bionicmind AI</t>
  </si>
  <si>
    <t>T8882121</t>
  </si>
  <si>
    <t>Seller_275</t>
  </si>
  <si>
    <t>BRAND NEW SimpliSafe Base Station - Current Gen 3 (Latest) + Power Adapter</t>
  </si>
  <si>
    <t>Base System</t>
  </si>
  <si>
    <t>VIVOSUN GrowCam C4 2K QHD WiFi Smart Camera Timelapse Night Vision Indoor Plants</t>
  </si>
  <si>
    <t>Vivousn</t>
  </si>
  <si>
    <t>Seller_276</t>
  </si>
  <si>
    <t>eufy E220 Indoor Security Camera 3MP Wi-Fi Baby Pet Monitor Night Vision|Refurb</t>
  </si>
  <si>
    <t>AKT8410</t>
  </si>
  <si>
    <t>ARCCTV Solar Battery Powered Wireless Security Camera System WiFiIP Outdoor Home</t>
  </si>
  <si>
    <t>CP0000000331</t>
  </si>
  <si>
    <t>360° 1080P IP E27 Light Bulb Camera Wi-Fi IR Night Smart Home Wireless Security</t>
  </si>
  <si>
    <t>Cartell CP4 Vehicle Sensor Kit Exit Wand 5 Wire  Exit Vehicle Detector - CP-4</t>
  </si>
  <si>
    <t>Cartell</t>
  </si>
  <si>
    <t>CP4-100-5W</t>
  </si>
  <si>
    <t>Vehicle Sensor</t>
  </si>
  <si>
    <t>Seller_277</t>
  </si>
  <si>
    <t>Hialeah</t>
  </si>
  <si>
    <t>ZOSI 4K 16CH NVR 5MP/8MP Security IP Camera System Waterproof AI Detect Audio</t>
  </si>
  <si>
    <t>JENNOV Security Camera System Outdoor Wireless Audio Wifi Home CCTV 5MP 10CH NVR</t>
  </si>
  <si>
    <t>Seller_278</t>
  </si>
  <si>
    <t>eufy SoloCam E42 HD 4K Solar Wireless Security Camera Outdoor Strobe Light AI</t>
  </si>
  <si>
    <t>eufy SoloCam S3 Solar Wireless Security Camera 360°PTZ 3K Dual-Cam Night Vision</t>
  </si>
  <si>
    <t>DC Power Pigtail Cable Plug 18AWG 2.1mm x 5.5mm 12V 5A Male &amp; Female Pack Lot</t>
  </si>
  <si>
    <t>530113, 530119</t>
  </si>
  <si>
    <t>Swann 2K HD Wire-Free Wireless Security camera System Battery Powered Record 8CH</t>
  </si>
  <si>
    <t>3 X Wire-Free Cameras &amp; Nvr Tower</t>
  </si>
  <si>
    <t>Seller_279</t>
  </si>
  <si>
    <t>Axis M3115-LVE Outdoor Network Dome Camera - White</t>
  </si>
  <si>
    <t>M3115</t>
  </si>
  <si>
    <t>Seller_280</t>
  </si>
  <si>
    <t>Riverview</t>
  </si>
  <si>
    <t>2x Genuine Battery V4 For Ring Battery Doorbell Plus/Pro, Video Doorbell 2/3/4</t>
  </si>
  <si>
    <t>Rin.G</t>
  </si>
  <si>
    <t>V4, 5AT3S3, 5F53E9, 5F77E9, 5F79E9</t>
  </si>
  <si>
    <t>AOSU Video Doorbell Pro V8P1AX11 + WiFi Homebase Black/Space Gray Open Box</t>
  </si>
  <si>
    <t>V8P1AX11</t>
  </si>
  <si>
    <t>Montana</t>
  </si>
  <si>
    <t>Hiseeu 5MP Wireless Wifi Security Camera System 10CH NVR 10''LCD Monitor Lot</t>
  </si>
  <si>
    <t>DVR9208 8 Channel Video Recorder - With 2 Hard Drives One Is 1.5TB</t>
  </si>
  <si>
    <t>Seller_281</t>
  </si>
  <si>
    <t>Seattle</t>
  </si>
  <si>
    <t>ExacqVision IPS-2000-R2-L Exacq Network Digital Video Recorder</t>
  </si>
  <si>
    <t>Exacqvision</t>
  </si>
  <si>
    <t>Seller_282</t>
  </si>
  <si>
    <t>Greer</t>
  </si>
  <si>
    <t>South Carolina</t>
  </si>
  <si>
    <t>Personal Media Center-Mustek Pvr-h140 Voice Recoder, Photo Player, Movie Player</t>
  </si>
  <si>
    <t>Mustek</t>
  </si>
  <si>
    <t>Seller_283</t>
  </si>
  <si>
    <t>Albuquerque</t>
  </si>
  <si>
    <t>New Mexico</t>
  </si>
  <si>
    <t>PSI PowerTec Solutions PS18L-U2 NXG-Vision MicroUPS 3.5 mm x 1.35 mm Jack</t>
  </si>
  <si>
    <t>Powertech Solutions International</t>
  </si>
  <si>
    <t>Ups</t>
  </si>
  <si>
    <t>Seller_284</t>
  </si>
  <si>
    <t>Santa Rosa</t>
  </si>
  <si>
    <t>8CH DVR XVR5108HS-I3</t>
  </si>
  <si>
    <t>8Ch Dvr</t>
  </si>
  <si>
    <t>SimpliSafe Home Security System Indoor Camera 8 Piece Kit New Sealed. Fast Ship</t>
  </si>
  <si>
    <t>Seller_285</t>
  </si>
  <si>
    <t>Hazleton</t>
  </si>
  <si>
    <t>Night Owl 1080p Wireless Add-On Battery Powered Camera BWNIP-2TA-BS-V4</t>
  </si>
  <si>
    <t>10M 33ft WiFi Antenna Extension Cable Cord for Wireless Security Camera RP-SMA</t>
  </si>
  <si>
    <t>Wifi Antenna</t>
  </si>
  <si>
    <t>Seller_286</t>
  </si>
  <si>
    <t>ANNKE 5in1 16CH 1080P Lite DVR 2MP Video Recorder for CCTV Home Security System</t>
  </si>
  <si>
    <t>Security Camera Junction Box</t>
  </si>
  <si>
    <t>W2225147XLZ8PEZ</t>
  </si>
  <si>
    <t>Seller_287</t>
  </si>
  <si>
    <t>Maspeth</t>
  </si>
  <si>
    <t>100 PCS Nylon Universal Cable Tie Buckle，Heavy Duty Self-Locking Zip Ties Holder</t>
  </si>
  <si>
    <t>Cable Ties</t>
  </si>
  <si>
    <t>ANNKE 12MP 8CH NVR 4K Color Dual-Lens POE Security Camera System Two Way Audio</t>
  </si>
  <si>
    <t>N98PBK-91ET</t>
  </si>
  <si>
    <t>ONVIF CCTV NVR 4 Channel Network DVR Video Recorder 1 TB</t>
  </si>
  <si>
    <t>Nvr</t>
  </si>
  <si>
    <t>Seller_288</t>
  </si>
  <si>
    <t>NEW No Box Lorex 4K 8MP IP Metal Dome PoE Wired Security Camera</t>
  </si>
  <si>
    <t>E842CDB</t>
  </si>
  <si>
    <t>Seller_289</t>
  </si>
  <si>
    <t>RI</t>
  </si>
  <si>
    <t>Lorex E895AB 4K Deterrence Bullet PoE IP Wired Add-On Security Camera - B Grade</t>
  </si>
  <si>
    <t>E895AB</t>
  </si>
  <si>
    <t>ZOSI 3K Lite Security Camera System 8 Bullet Cameras 1TB</t>
  </si>
  <si>
    <t>Securitycamerasystem</t>
  </si>
  <si>
    <t>Seller_290</t>
  </si>
  <si>
    <t>Thousand Oaks</t>
  </si>
  <si>
    <t>ANNKE 8CH 16CH H.265+ 5MP Lite DVR Recorder for CCTV Home Security Camera System</t>
  </si>
  <si>
    <t>Lorex LNB4321-C 4MP HD IP IR Bullet Camera Untested</t>
  </si>
  <si>
    <t>LNB-4321-C</t>
  </si>
  <si>
    <t>Seller_291</t>
  </si>
  <si>
    <t>Saint Joseph</t>
  </si>
  <si>
    <t>Nest Cam (outdoor/indoor, battery) Mounting Bracket/Plate, QTY 2 per Order</t>
  </si>
  <si>
    <t>Google Nest Cam 1st Gen Outdoor 1080P Wired (NC2100ES) Open Box 1 Year Warranty</t>
  </si>
  <si>
    <t>Winnetka</t>
  </si>
  <si>
    <t>ANNKE 12MP 16CH NVR POE AI Security Video Recorder System IP Network P2P H.265+</t>
  </si>
  <si>
    <t>AU-N46PCK000-V4</t>
  </si>
  <si>
    <t>Htzsafe Solar Driveway Alarm System 1/4 Mile Long Transmission Range waterproof</t>
  </si>
  <si>
    <t>8MP 4K Window Camera,2.4GHz &amp; 5GHz WiFi Window Cameras for Home Security with Co</t>
  </si>
  <si>
    <t>Abetap</t>
  </si>
  <si>
    <t>Seller_292</t>
  </si>
  <si>
    <t>Kansas City</t>
  </si>
  <si>
    <t>Arlo Rechargeable Battery VMA5400-10000S for Pro 3 Pro 4 Pro 5S 2K Ultra Genuine</t>
  </si>
  <si>
    <t>VMA5400-10000S</t>
  </si>
  <si>
    <t>Seller_293</t>
  </si>
  <si>
    <t>Waterford</t>
  </si>
  <si>
    <t>Google Nest Cam IQ Outdoor A0055 &amp; NC4100US Camera Only Tested Replacement</t>
  </si>
  <si>
    <t>A0055</t>
  </si>
  <si>
    <t>Seller_294</t>
  </si>
  <si>
    <t>Stafford</t>
  </si>
  <si>
    <t>Lorex 4K+ 12MP IP Wired Bullet Security Camera with Smart  Lighting (E910AB)</t>
  </si>
  <si>
    <t>E910AB</t>
  </si>
  <si>
    <t>SolarCam 2K Wireless Outdoor Security Camera - Solar-Powered No Monthly Fees</t>
  </si>
  <si>
    <t>SimpliSafe Original Generation (ES1000) Door/Window Entry Sensor - BRAND NEW</t>
  </si>
  <si>
    <t>Seller_295</t>
  </si>
  <si>
    <t>Barnegat</t>
  </si>
  <si>
    <t>Lorex LNB9292B 4K Ultra HD IP 4x Motorized Bullet Camera, 30FPS, IP67, 1PK</t>
  </si>
  <si>
    <t>LNB9292B-1PK</t>
  </si>
  <si>
    <t>ANNKE 4MP Wireless Dual Lens Security IP Camera Color Night Vision Two Way Audio</t>
  </si>
  <si>
    <t>AU-I41DQ0104-OP</t>
  </si>
  <si>
    <t>ANNKE 8CH DVR 5MP Audio Security Camera System Human Detection Color Night IP67</t>
  </si>
  <si>
    <t>AU-DW81KN-R1CW</t>
  </si>
  <si>
    <t>Reolink 4K Battery WiFi Outdoor Security Camera Argus PT Ultra + 3W Solar Panel</t>
  </si>
  <si>
    <t>Vikylin 4K 8MP 5MP 40X 18X PTZ 360° IP Camera POE Mic Auto Tracking Outdoor CCTV</t>
  </si>
  <si>
    <t>2 x Wi-Fi Smart Camera Full HD 1080p Motion Detector/Spay camera/Mini /Charge</t>
  </si>
  <si>
    <t>Monrade</t>
  </si>
  <si>
    <t>Seller_296</t>
  </si>
  <si>
    <t>SimpliSafe Video Doorbell Wedge Angle Mount Bracket 15 25 35 45 60 90 Degree</t>
  </si>
  <si>
    <t>SSDB3</t>
  </si>
  <si>
    <t>Nuvico Digital Video Recorder, ED-P400 - Untested</t>
  </si>
  <si>
    <t>Nuvico</t>
  </si>
  <si>
    <t>?</t>
  </si>
  <si>
    <t>Seller_297</t>
  </si>
  <si>
    <t>Alliance</t>
  </si>
  <si>
    <t>Burglar Security ALARM Cable 500ft 1000ft UTP 18/2 18/4 22/2 22/4 Stranded Solid</t>
  </si>
  <si>
    <t>Unshielded Solid Stranded Cable</t>
  </si>
  <si>
    <t>Reolink Duo 3 WiFi 16MP WiFi 6 Security IP Camera Outdoor 180° Ultra-Wide Angle</t>
  </si>
  <si>
    <t>Mini Camera WiFi 1080P HD Home PIR DVR Camcorder Night Vision Home Security Cam</t>
  </si>
  <si>
    <t>Seller_298</t>
  </si>
  <si>
    <t>NEW HID iCLASS Smart Card 2100PGGMN Format H53536 (1 Card)</t>
  </si>
  <si>
    <t>Hid</t>
  </si>
  <si>
    <t>Seller_299</t>
  </si>
  <si>
    <t>Arvada</t>
  </si>
  <si>
    <t>Replacement Mount for Eufy SoloCam S340/E30/E42 and 4G LTE Cam S330</t>
  </si>
  <si>
    <t>Ring - Stick Up Cam PRO Plug In Indoor/Outdoor Security Camera with 3D Motion</t>
  </si>
  <si>
    <t>B09CKN2D4S</t>
  </si>
  <si>
    <t>Samsung Wisenet  8 Ir Bullet Cameras (Sdh-c75083bf) No Dvr Read DESCRIPTION</t>
  </si>
  <si>
    <t>Seller_300</t>
  </si>
  <si>
    <t>Fremont</t>
  </si>
  <si>
    <t>NE</t>
  </si>
  <si>
    <t>Arlo Wireless Pro 5S 2K Spotlight Security Cameras •3 Pack w/Solar Panel Sealed</t>
  </si>
  <si>
    <t>VMK4360P-1SCNAS</t>
  </si>
  <si>
    <t>Sale  Mini 4G Wireless Wifi Camera 1080P HD +32GB memory card</t>
  </si>
  <si>
    <t>Seller_301</t>
  </si>
  <si>
    <t>2Pack 10Ft/3M Power Cord and Adapter for Blink Outdoor 4(4Th Gen)/(3Rd Gen)/Blin</t>
  </si>
  <si>
    <t>Ito</t>
  </si>
  <si>
    <t>Seller_302</t>
  </si>
  <si>
    <t>ADT OC845 1080p Wireless Outdoor Security Camera | White Color</t>
  </si>
  <si>
    <t>Seller_303</t>
  </si>
  <si>
    <t>Santa Barbara</t>
  </si>
  <si>
    <t>New Roku Video Doorbell and Chime SE Wired DS1000R - New/Sealed</t>
  </si>
  <si>
    <t>DS1000R</t>
  </si>
  <si>
    <t>Wired</t>
  </si>
  <si>
    <t>Seller_304</t>
  </si>
  <si>
    <t>Tulsa</t>
  </si>
  <si>
    <t>BLINK OUTDOOR 4 WIFI HOME SECURITY ADD-ON CAMERA (4th GENERATION) *BRAND NEW*</t>
  </si>
  <si>
    <t>2Pack Dummy Fake Camera Surveillance Security CCTV Dome Indoor Outdoor LED Light</t>
  </si>
  <si>
    <t>ANNKE 4K 8MP POE NVR IP Network Video Recorder H.265+ for Smart Security System</t>
  </si>
  <si>
    <t>AU-N98PBL000</t>
  </si>
  <si>
    <t>Sistema De Seguridad 8 Camaras Para Exterior 4K Con Visión Nocturna 8CH 5MP CCTV</t>
  </si>
  <si>
    <t>Kepeak</t>
  </si>
  <si>
    <t>Home Security Camera System</t>
  </si>
  <si>
    <t>Seller_305</t>
  </si>
  <si>
    <t>eufy Security Water and Freeze Sensor with Remote Alerts Waterproof App Control</t>
  </si>
  <si>
    <t>AKT8920</t>
  </si>
  <si>
    <t>Water And Freeze Sensor</t>
  </si>
  <si>
    <t>Verint S1816E 16-Port Video Network Server</t>
  </si>
  <si>
    <t>S1816E</t>
  </si>
  <si>
    <t>Seller_306</t>
  </si>
  <si>
    <t>La Habra</t>
  </si>
  <si>
    <t>Reolink E1 4MP 360° PT WiFi Security Camera Indoor Crying Detection AutoTracking</t>
  </si>
  <si>
    <t>E1</t>
  </si>
  <si>
    <t>eufy PoE NVR Security System S4 Max 8CH 16MP Triple Lens Camera 360°PTZ+2TB HDD</t>
  </si>
  <si>
    <t>Ring Floodlight Cam Pro Wired 2nd Gen (Newest Model) Retinal 4K - White</t>
  </si>
  <si>
    <t>Seller_307</t>
  </si>
  <si>
    <t>ANNKE 8CH Channel H.265+ 8MP Security NVR Recorder for 4MP/6MP/8MP POE IP Camera</t>
  </si>
  <si>
    <t>N98PBL</t>
  </si>
  <si>
    <t>Ring Spotlight Cam Pro (Newest Model, 2nd Gen, 4K, Black, Plug-In) New, In Hand</t>
  </si>
  <si>
    <t>B0DZ8YQ2VB</t>
  </si>
  <si>
    <t>4pcs 100ft Video Power Cable BNC RCA Cord Wire for CCTV Security Camera System</t>
  </si>
  <si>
    <t>XCL044</t>
  </si>
  <si>
    <t>ANNKE 3K Lite 8CH DVR 1080P CCTV Outdoor Night Vision Security Camera System AI</t>
  </si>
  <si>
    <t>DW81KN+54EP</t>
  </si>
  <si>
    <t>eufy SoloCam E42 4K Security Wireless Outdoor Solar Powered AI Motion Tracking</t>
  </si>
  <si>
    <t>eufy eufyCam 3 Security Camera System 4K Outdoor Wireless Camera w/ Solar Panel</t>
  </si>
  <si>
    <t>eufy SoloCam S340 Outdoor Solar Security Camera 3K Dual-Camera Pan&amp;Tilt 8xZoom</t>
  </si>
  <si>
    <t>Seller_308</t>
  </si>
  <si>
    <t>Solar Security Cameras Outdoor Wireless,4 Cam-Kit,2K 360° Pan &amp; Tilt NEW Openbox</t>
  </si>
  <si>
    <t>Seller_309</t>
  </si>
  <si>
    <t>Temple City</t>
  </si>
  <si>
    <t>(Lot of 5) Vivint Smart Home Touchscreen Control Panel | VS-SH2000-C00</t>
  </si>
  <si>
    <t>Vivint</t>
  </si>
  <si>
    <t>Touch Screen</t>
  </si>
  <si>
    <t>Seller_310</t>
  </si>
  <si>
    <t>Salt Lake City</t>
  </si>
  <si>
    <t>Seller_311</t>
  </si>
  <si>
    <t>2025 Smart Mini WiFi Camera Wireless 1080P HD Night Cam w/Battery Home Security</t>
  </si>
  <si>
    <t>Guardline GL5000 Wireless Driveway Alarm Long Range Outdoor Motion Sensor System</t>
  </si>
  <si>
    <t>Seller_312</t>
  </si>
  <si>
    <t>Lawrence</t>
  </si>
  <si>
    <t>4x Amcrest IP2M-866EW Optical Zoom Outdoor Vandal Security Camera | C275DS</t>
  </si>
  <si>
    <t>IP2M-866EW</t>
  </si>
  <si>
    <t>Seller_313</t>
  </si>
  <si>
    <t>Speco Technologies D4CS-500 Digital Video Recorder Security Surveillance Unit</t>
  </si>
  <si>
    <t>Power Cable</t>
  </si>
  <si>
    <t>Seller_314</t>
  </si>
  <si>
    <t>Peoria</t>
  </si>
  <si>
    <t>EUFY BY ANKER T8E00 PoE CAM S4 BULLET PTZ CAM CAMERA 16MP TRIPLE  LENS -NEW!</t>
  </si>
  <si>
    <t>Seller_315</t>
  </si>
  <si>
    <t>Sanborn</t>
  </si>
  <si>
    <t>Seller_316</t>
  </si>
  <si>
    <t>Woodbridge</t>
  </si>
  <si>
    <t>Video Doorbell 1080p HD Camera WI-FI Night Vision Motion Detection Wireless</t>
  </si>
  <si>
    <t>Seller_317</t>
  </si>
  <si>
    <t>ARCCTV Solar Powered Wireless Battery Security Camera System Outdoor Home Wifi</t>
  </si>
  <si>
    <t>AR-K04W2L7H-B360</t>
  </si>
  <si>
    <t>Seller_318</t>
  </si>
  <si>
    <t>Lts Dvr Ltd8504t-st 3mp Hd-Tvi</t>
  </si>
  <si>
    <t>Lts</t>
  </si>
  <si>
    <t>Lorex DV704-DFS3 1080p HD MPX DVR 4 Channel Recorder 1TB Tested Works</t>
  </si>
  <si>
    <t>DV704D</t>
  </si>
  <si>
    <t>Seller_319</t>
  </si>
  <si>
    <t>ZOSI 8CH 5MP 1080p Home Security Camera System Outdoor Lite DVR Hard Drive 2TB</t>
  </si>
  <si>
    <t>CR-E Series Compact Embedded 4-Channel DVR CR4000E w/Azco Passive Video Balun</t>
  </si>
  <si>
    <t>Costar</t>
  </si>
  <si>
    <t>Seller_320</t>
  </si>
  <si>
    <t>Denton</t>
  </si>
  <si>
    <t>Security Cameras Outdoor Wireless, 6Cam Kit, Solar Powered.360 Pan 5MP NEW(open</t>
  </si>
  <si>
    <t>Lot Of 3 Luma Surveillance™ 310 Series Turret Analog Camera LUM-310-TUR-A-WH</t>
  </si>
  <si>
    <t>Dome</t>
  </si>
  <si>
    <t>LUM-300</t>
  </si>
  <si>
    <t>Seller_321</t>
  </si>
  <si>
    <t>Long Beach</t>
  </si>
  <si>
    <t>Reolink Home Hub Wireless Security Center Encrypted Expandable Local Storage</t>
  </si>
  <si>
    <t>AOSU Solar Camera Security Outdoor 360° Panoramic /Human Auto Tracking 2K View</t>
  </si>
  <si>
    <t>Seller_322</t>
  </si>
  <si>
    <t>2MP Dome TVI AHD CCTV 4IN1 Security Camera 65ft Night Vision Metal Housing 2.8mm</t>
  </si>
  <si>
    <t>Ring Floodlight Cam Plus Outdoor Camera 1080p Brand New Sealed Black</t>
  </si>
  <si>
    <t>Floodlight Security Camera / Surveillance Camera</t>
  </si>
  <si>
    <t>Seller_323</t>
  </si>
  <si>
    <t>Braintree</t>
  </si>
  <si>
    <t>MA</t>
  </si>
  <si>
    <t>Blink XT Security Camera System - 2 Cameras + Sync Module Indoor &amp; Outdoor</t>
  </si>
  <si>
    <t>Alltechrevival</t>
  </si>
  <si>
    <t>Seller_324</t>
  </si>
  <si>
    <t>Lawrenceville</t>
  </si>
  <si>
    <t>⭐LOT For Tactacam Reveal Battery 7000mAh Compatible X Ultra/Pro 3.0/X Gen 2.0</t>
  </si>
  <si>
    <t>Seller_325</t>
  </si>
  <si>
    <t>BOLIDE (BN-NVR/S4POE) 4-Channel PoE Network Video Recorder with 1TB Hard drive</t>
  </si>
  <si>
    <t>Smart Mini Wireless WiFi Camera Home Security 1080P HD Night Cam</t>
  </si>
  <si>
    <t>Seller_326</t>
  </si>
  <si>
    <t>American Dynamics ADTVRLT16100 DVR</t>
  </si>
  <si>
    <t>Seller_327</t>
  </si>
  <si>
    <t>Bensenville</t>
  </si>
  <si>
    <t>JENNOV 5MP Wireless Home Security Camera System WiFi Outdoor 360° PTZ 10CH NVR</t>
  </si>
  <si>
    <t>Lorex Fusion 4K 16 Camera Capable (Wired / Fusion Wi-Fi) 4TB NVR - Open Box</t>
  </si>
  <si>
    <t>N864A64B-R</t>
  </si>
  <si>
    <t>eufy SoloCam E30 2-Cam Kit 2K Solar Camera Outdoor Wireless 360° Pan AI Tracking</t>
  </si>
  <si>
    <t>ANNKE 8CH 3K 1TB DVR 5MP Full Color Security Camera System 24/7 Audio Recording</t>
  </si>
  <si>
    <t>DW81KT+R1CW</t>
  </si>
  <si>
    <t>(5) Pack 6ft. DC Barrel Power 5.5mm x 2.1mm Extension Cable Male to Female</t>
  </si>
  <si>
    <t>Keen Eye</t>
  </si>
  <si>
    <t>Seller_328</t>
  </si>
  <si>
    <t>Saratoga Springs</t>
  </si>
  <si>
    <t>Utah</t>
  </si>
  <si>
    <t>Wyze Cam v4 - 2.5K QHD Indoor/Outdoor WiFi Smart Security Camera</t>
  </si>
  <si>
    <t>Seller_329</t>
  </si>
  <si>
    <t>San Bernardino</t>
  </si>
  <si>
    <t>ANNKE Solar Battery Powered Wireless Security Camera System WiFiIP Outdoor Color</t>
  </si>
  <si>
    <t>N54WHF0-84BM</t>
  </si>
  <si>
    <t>ANNKE 3K Lite 8CH DVR 1080P Video Security Camera System AI Human Detection CCTV</t>
  </si>
  <si>
    <t>DW81KT-T1FD</t>
  </si>
  <si>
    <t>ZOSI 16 Channel H.265+ DVR Hard Drive 2TB 16 1080p Security Camera System</t>
  </si>
  <si>
    <t>8 Bullet &amp; 8 Dome</t>
  </si>
  <si>
    <t>Blink Video Doorbell (newest model) Required Sync Module not included</t>
  </si>
  <si>
    <t>Seller_330</t>
  </si>
  <si>
    <t>ANNKE 12MP 16CH NVR PoE 4K AI Color Night Security Camera System Audio Recording</t>
  </si>
  <si>
    <t>AU-N46PCK-V4-91DL-V3</t>
  </si>
  <si>
    <t>Kastar Battery For WYZE Removable Battery Pack Battery Cam Pro 2K Video Camera</t>
  </si>
  <si>
    <t>Kastar</t>
  </si>
  <si>
    <t>Model HB-T1</t>
  </si>
  <si>
    <t>Seller_331</t>
  </si>
  <si>
    <t>10CH 1TB HDD Monitor with Cameras 5MP Wired Security Camera System Wireless Kit</t>
  </si>
  <si>
    <t>A61WJ55AS-V1608-1</t>
  </si>
  <si>
    <t>Seller_332</t>
  </si>
  <si>
    <t>Invid Tech PD1B-16NH2 16Ch+ 8 Bonus IP CH Universal Port Recorder</t>
  </si>
  <si>
    <t>PD1B-16NH2</t>
  </si>
  <si>
    <t>Security &amp; Surveillance &gt; Closed Circuit Tv Systems &amp; Accessories</t>
  </si>
  <si>
    <t>Seller_333</t>
  </si>
  <si>
    <t>Invid Tech Vis-P5bxir4lc Ip Camera, 4W, Color</t>
  </si>
  <si>
    <t>VIS-P5BXIR4LC</t>
  </si>
  <si>
    <t>Seller_334</t>
  </si>
  <si>
    <t>18/4 Security Alarm Wire Cable Stranded Shielded 4 Conductor 18 AWG CL3R 1000ft</t>
  </si>
  <si>
    <t>155454GY</t>
  </si>
  <si>
    <t>Security Wire</t>
  </si>
  <si>
    <t>Ring 5UM7E5 Stick Up Cam Security Camera - White (No Battery &amp; Mounting Plate)</t>
  </si>
  <si>
    <t>5UM7E5</t>
  </si>
  <si>
    <t>Eufy Security S380 HomeBase T8030 (Power supply + LAN)</t>
  </si>
  <si>
    <t>T8030</t>
  </si>
  <si>
    <t>Home Security Systems</t>
  </si>
  <si>
    <t>4FT DC 5.5MM x 2.5MM Male and Female Plug to Bare Wire Open End Power Wire Suppl</t>
  </si>
  <si>
    <t>Othoking</t>
  </si>
  <si>
    <t>Seller_335</t>
  </si>
  <si>
    <t>Chicago Ridge</t>
  </si>
  <si>
    <t>Only For 2025 Nintendo Switch 2 4K HDMI Adapter Charger TV Docking Dock Station</t>
  </si>
  <si>
    <t>Siwiqu</t>
  </si>
  <si>
    <t>S3 MAX</t>
  </si>
  <si>
    <t>Adaptor</t>
  </si>
  <si>
    <t>Seller_336</t>
  </si>
  <si>
    <t>Hempstead</t>
  </si>
  <si>
    <t>Lorex A10 IP Wired Dome Security Camera with Listen-In Audio and IK10 Vandal Pro</t>
  </si>
  <si>
    <t>E851AD</t>
  </si>
  <si>
    <t>ANNKE 3K Lite 8CH DVR CCTV 1080P Security Camera System Human Detection IP67 1TB</t>
  </si>
  <si>
    <t>AU-DW81KT1-T4FC</t>
  </si>
  <si>
    <t>Solar Panel Compatible with SimpliSafe Outdoor Security Camera, Waterproof 4W 5V</t>
  </si>
  <si>
    <t>Kabaconsultingllc</t>
  </si>
  <si>
    <t>Seller_337</t>
  </si>
  <si>
    <t>75 ft BNC Video Power Extension Cable for CCTV Security Camera DVR Black lot</t>
  </si>
  <si>
    <t>Premade Siamese Cable</t>
  </si>
  <si>
    <t>Seller_338</t>
  </si>
  <si>
    <t>AXIS COMMUNICATIONS Surveillance Card 128GB (01491-001)</t>
  </si>
  <si>
    <t>Micro Sd Card</t>
  </si>
  <si>
    <t>Seller_339</t>
  </si>
  <si>
    <t>ANNKE 5MP Video CCTV Security Camera Outdoor Color Night Vision Audio Recording</t>
  </si>
  <si>
    <t>AN-CR1CV0102</t>
  </si>
  <si>
    <t>3X 360° 1080P IP E27 Light Bulb Camera wifi IR Night SmartHome Wireless Security</t>
  </si>
  <si>
    <t>Boykeep</t>
  </si>
  <si>
    <t>Light Bulb Camera</t>
  </si>
  <si>
    <t>Seller_340</t>
  </si>
  <si>
    <t>ANNKE 4K Dual Lens 180° View AI Color Night PoE Security IP Camera Two-Way Audio</t>
  </si>
  <si>
    <t>AN-I91ET0102</t>
  </si>
  <si>
    <t>ANNKE 8CH 5MP 3K Lite DVR 1080P CCTV Security Camera System Outdoor Color Night</t>
  </si>
  <si>
    <t>DW81KT-51EP/51EF/T1GK/T1GJ</t>
  </si>
  <si>
    <t>Bullet / Dome</t>
  </si>
  <si>
    <t>（1ZP）VORGUT Wireless Security Camera System 10” LCD 2CAMS x 3MP PTZ NVR 500G HDD</t>
  </si>
  <si>
    <t>Vorgut</t>
  </si>
  <si>
    <t>Surveillance System</t>
  </si>
  <si>
    <t>Seller_341</t>
  </si>
  <si>
    <t>La Puente</t>
  </si>
  <si>
    <t>1~3PCS Hiseeu Solar Security Camera 4MP Wireless PTZ PIR Outdoor 8W Solar Panel</t>
  </si>
  <si>
    <t>256GB USB Flash Drive, Outlet Wall Mount Holder for Blink Sync Module 2 with Sho</t>
  </si>
  <si>
    <t>Seller_342</t>
  </si>
  <si>
    <t>2-pack Batteries + Dual Battery Charger for Arlo Pro Arlo Pro 2 Security Camera</t>
  </si>
  <si>
    <t>Seller_343</t>
  </si>
  <si>
    <t>SANNCE 16CH 8MP NVR 4K Two Way Audio PoE PT Security Camera System Auto Tracking</t>
  </si>
  <si>
    <t>N96PBK-91FT</t>
  </si>
  <si>
    <t>Seller_344</t>
  </si>
  <si>
    <t>V380 Q4 WiFi Smart Camera | Outdoor | Solar Panel (V380PRO) | Gray/Black</t>
  </si>
  <si>
    <t>V380</t>
  </si>
  <si>
    <t>Seller_345</t>
  </si>
  <si>
    <t>American Fork</t>
  </si>
  <si>
    <t>eufy PoE Turret Security Camera E41, NVR Add On Cam, 4K UHD, Color Night Vision</t>
  </si>
  <si>
    <t>AKT8P10</t>
  </si>
  <si>
    <t>3 PACK Lot RCA Male Plug to BNC Female Jack Adapter Coax Connector Coupler CCTV</t>
  </si>
  <si>
    <t>Cyber Home CH-DVR 1500 Good Working Condition!!! No Remote. Has Cord</t>
  </si>
  <si>
    <t>Cyberhome</t>
  </si>
  <si>
    <t>Seller_346</t>
  </si>
  <si>
    <t>RTSP 2MP IR Bullet IP Camera HD 8 pk Night Vision ONVIF POE Wired CNB LXC1050IR</t>
  </si>
  <si>
    <t>Cnb</t>
  </si>
  <si>
    <t>Seller_347</t>
  </si>
  <si>
    <t>16CH TVI DVR Model GAR336-16/A</t>
  </si>
  <si>
    <t>Tvi</t>
  </si>
  <si>
    <t>Seller_348</t>
  </si>
  <si>
    <t>Marietta</t>
  </si>
  <si>
    <t>eufy Security eufyCam S3 Pro 6-Cam Kit Solar Camera Outdoor Wireless 4K MaxColor</t>
  </si>
  <si>
    <t>Honeywell Home DT8035V DUAL TEC Motion Sensor, 40' 56' Range</t>
  </si>
  <si>
    <t>["DT8035V"], DT8035</t>
  </si>
  <si>
    <t>Seller_349</t>
  </si>
  <si>
    <t>Omaha</t>
  </si>
  <si>
    <t>SANNCE Wireless 5MP 8CH NVR 3MP Two Way Audio AI Security Camera System Outdoor</t>
  </si>
  <si>
    <t>SU-N98WHE0-74GL-V2-OP</t>
  </si>
  <si>
    <t>ZOSI 5mp Lite 8CH DVR 1080p AI Security Camera System Outdoor H.265+ CCTV Kit</t>
  </si>
  <si>
    <t>Verint BA-16-8000R EdgeVR 300 Network Video Recorder (NVR)</t>
  </si>
  <si>
    <t>BA-16-8000R</t>
  </si>
  <si>
    <t>Mini 1080P Camera Charger - Wireless Camera - No Wifi Tiny USB Charger Camera...</t>
  </si>
  <si>
    <t>Camera Charger</t>
  </si>
  <si>
    <t>Seller_350</t>
  </si>
  <si>
    <t>West Springfield</t>
  </si>
  <si>
    <t>eufy eufyCam S4 Solar Security Camera Wireless Outdoor 4K UHD Color Night Vision</t>
  </si>
  <si>
    <t>AOSU SolarCam Pro/Max 2K/5MP Replacement Wifi Home Base ONLY Model: H1L</t>
  </si>
  <si>
    <t>Ring Pan-Tilt Indoor Camera 360° HD Video Two-Way Talk</t>
  </si>
  <si>
    <t>Ring Chime 3rd Gen Enhanced Audio Real-Time Alerts Home Security NEW In Box</t>
  </si>
  <si>
    <t>B0FBC8ZWDH</t>
  </si>
  <si>
    <t>Audio Alerts</t>
  </si>
  <si>
    <t>Seller_351</t>
  </si>
  <si>
    <t>Jamaica</t>
  </si>
  <si>
    <t>eufy eufyCam 2C Wireless Home Security System+ Solar Panel 1080P Outdoor Cameras</t>
  </si>
  <si>
    <t>AKE8831</t>
  </si>
  <si>
    <t>ANNKE HD 8CH 4K NVR POE IP Network 8MP Video Recorder for Security Camera System</t>
  </si>
  <si>
    <t>Luma Lum-120-NVR-4ch 1TB HDD 4 Channel POE NVR- no power cord</t>
  </si>
  <si>
    <t>LUM – 120 – NVR – CH</t>
  </si>
  <si>
    <t>Seller_352</t>
  </si>
  <si>
    <t>Battle Ground</t>
  </si>
  <si>
    <t>ANNKE 1080P CCTV Security Camera System 5MP Lite 8CH DVR Outdoor AI Color Night</t>
  </si>
  <si>
    <t>DW81KN-51EP/51EF/T1GK/T1GJ</t>
  </si>
  <si>
    <t>Amcrest 4K 8-Channel POE NVR Supports up to 6TB HDD NV2108E-HS</t>
  </si>
  <si>
    <t>NV2108E-HS</t>
  </si>
  <si>
    <t>eufy Outdoor Floodlight Security Camera E340 with20ft AC Cable 360° PTZ Dual Cam</t>
  </si>
  <si>
    <t>ARCCTV 4MP WiFi6 Wireless Security Camera System Solar Powered Outdoor PTZ CCTV</t>
  </si>
  <si>
    <t>CP0000001240</t>
  </si>
  <si>
    <t>Seller_353</t>
  </si>
  <si>
    <t>Rain Shade Cover Compatible with Eufy SoloCam S340, Solar Security Camera</t>
  </si>
  <si>
    <t>Seller_354</t>
  </si>
  <si>
    <t>Lorex N843A82 4K 8-Channel Network Video Recorder, Smart Motion Detection(M.Ref)</t>
  </si>
  <si>
    <t>N843A82</t>
  </si>
  <si>
    <t>Not Specified</t>
  </si>
  <si>
    <t>Ring Floodlight Cam Pro (2nd Gen) Retinal 4K , 10x Zoom, ultra-bright motion</t>
  </si>
  <si>
    <t>Lorex 4K Spotlight Indoor/Outdoor Wi-Fi 6 Security Camera</t>
  </si>
  <si>
    <t>W881AAD</t>
  </si>
  <si>
    <t>WYZE 1080p HD Indoor Outdoor 2-Way Cam Starter Bundle Base Station and 1 Camera</t>
  </si>
  <si>
    <t>Seller_355</t>
  </si>
  <si>
    <t>Mount Prospect</t>
  </si>
  <si>
    <t>Hiseeu 5MP 10"LCD 16CH NVR WIFI Outdoor Security Camera System IP Audio 1TB HDD</t>
  </si>
  <si>
    <t>Lorex LBV4711-C  4MP MPX IR BULLET CAMERAS 12V IN (10 AVAILABLE) SAFETY SECURITY</t>
  </si>
  <si>
    <t>Seller_356</t>
  </si>
  <si>
    <t>Tallmadge</t>
  </si>
  <si>
    <t>COMPACT Nest Floodlight Camera Complete Mount Kit~With Bracket/screws/nuts</t>
  </si>
  <si>
    <t>PRO-VISION PD-1800 Solid State HD DVR, 8 Channel, SD Card, LAN, USB, Black</t>
  </si>
  <si>
    <t>Pro-Vision</t>
  </si>
  <si>
    <t>PD-1800</t>
  </si>
  <si>
    <t>Solid State Hd Dvr</t>
  </si>
  <si>
    <t>Seller_357</t>
  </si>
  <si>
    <t>Southbridge</t>
  </si>
  <si>
    <t>Seller_358</t>
  </si>
  <si>
    <t>4 x Wi-Fi Smart Camera Full HD 1080p Motion Detector/Spay camera/Mini /Charge</t>
  </si>
  <si>
    <t>ZOSI 4MP WiFi Outdoor Security Camera 100ft Nigh tVision Spotlight Sound Alarm</t>
  </si>
  <si>
    <t>Wireless Camera</t>
  </si>
  <si>
    <t>Hiseeu 4K 8MP 10CH 10" Touch Screen NVR Security Camera System 1TB HDD EseeCloud</t>
  </si>
  <si>
    <t>WK-10CA-4HB618-AT</t>
  </si>
  <si>
    <t>4K Ultra HD Wireless 1080P Mini screw Module WIFI Pinhole DIY Camera DVR Cam USA</t>
  </si>
  <si>
    <t>Seller_359</t>
  </si>
  <si>
    <t>Speco N16NRP4TB 16 Channels 4K H.265 Network Recorder Built-In PoE UNTESTED</t>
  </si>
  <si>
    <t>Seller_360</t>
  </si>
  <si>
    <t>ALARM.COM XT-511-US-VZ-LTEUP LTE Module Verizon NEW Sealed Security Simon XT/XTI</t>
  </si>
  <si>
    <t>Alarm.Com</t>
  </si>
  <si>
    <t>XT-511-US-VZ-LTEUP</t>
  </si>
  <si>
    <t>Lte Module</t>
  </si>
  <si>
    <t>Seller_361</t>
  </si>
  <si>
    <t>Brigade MDR-504-1-G2-CMR 4 Channel Mobile Digital Recorder Gray + Wiring</t>
  </si>
  <si>
    <t>Brigade</t>
  </si>
  <si>
    <t>MDR-504-1-G2-CMR</t>
  </si>
  <si>
    <t>Mobile Digital Recorder</t>
  </si>
  <si>
    <t>Seller_362</t>
  </si>
  <si>
    <t>Clay Springs</t>
  </si>
  <si>
    <t>Lorex Fusion 4K 20-Channel (16 Wired and 4 Fusion Wi-Fi) Digital Video Recorder</t>
  </si>
  <si>
    <t>D863A6</t>
  </si>
  <si>
    <t>500m Wireless Driveway Alarms System Long Range Outdoor Motion Sensor Detectors</t>
  </si>
  <si>
    <t>Driveway Alarm Alert Wireless System</t>
  </si>
  <si>
    <t>BNC Male to F-Type Female Coaxial Cable Adapter Converter Connector Multi LOT</t>
  </si>
  <si>
    <t>Lorex 4K 8MP IP Wired Dual Camera Outdoor E871AB-Z - 180 deg view</t>
  </si>
  <si>
    <t>E871AB</t>
  </si>
  <si>
    <t>Seller_363</t>
  </si>
  <si>
    <t>Commerce Township</t>
  </si>
  <si>
    <t>ANNKE 12MP Audio PoE Security IP Camera AI Detection Outdoor Color Night Vision</t>
  </si>
  <si>
    <t>I91DN</t>
  </si>
  <si>
    <t>SANNCE 5MP Audio POE Security Camera System 4K 8CH NVR Outdoor Human Detection</t>
  </si>
  <si>
    <t>SU-N98PBD0-54FQ-P-OP</t>
  </si>
  <si>
    <t>Pack of 2 Arlo Pro 4 VMC4041P Spotlight Camera NO Battery/ NO Housing</t>
  </si>
  <si>
    <t>Vikylin 4K 8MP 25X PTZ 360 degree POE IP Camera Outdoor IR Audio Auto Tracking</t>
  </si>
  <si>
    <t>Wyze WZEC3FL Outdoor Floodlight Security Camera 2600 Lumen White*FREE SHIPPING*</t>
  </si>
  <si>
    <t>WZEC3FL</t>
  </si>
  <si>
    <t>Seller_364</t>
  </si>
  <si>
    <t>Lutz</t>
  </si>
  <si>
    <t>ANNKE 8CH 12MP NVR POE AI Security IP Network Video Recorder Smart Search H.265+</t>
  </si>
  <si>
    <t>AU-N98PBK000</t>
  </si>
  <si>
    <t>1080P Mini Camera CCTV WiFi HD IP Night Vision Camcorder Home Security Cam US</t>
  </si>
  <si>
    <t>Blink Outdoor 4 Floodlight Wireless Security Camera, Black</t>
  </si>
  <si>
    <t>Single Room System</t>
  </si>
  <si>
    <t>ANNKE 8CH 4K 8MP 5IN1 HDMI DVR CCTV Security System Digtial Video Recorder</t>
  </si>
  <si>
    <t>48V Power Supply Adapter for Dachau NVR replaces Hoioto ADS-110DL-52-1 480096G</t>
  </si>
  <si>
    <t>Amcrest 5MP IP Camera POE Security Dome IP5M-F1180EW 360°Indoor Fisheye Warranty</t>
  </si>
  <si>
    <t>IP5M-F1180EW</t>
  </si>
  <si>
    <t>Blink Video Doorbell 4" - 5" Vinyl Siding Mounts</t>
  </si>
  <si>
    <t>eufy Indoor Cam E30 Pet/Baby Camera 4K UHD Security Camera 360 Pan-Tilt 2-Cam</t>
  </si>
  <si>
    <t>AKT8417</t>
  </si>
  <si>
    <t>Indoor Cam</t>
  </si>
  <si>
    <t>16CH NVR 4k/8MP support 2HDD 2 bays</t>
  </si>
  <si>
    <t>Q-See 16 ch DVR 16 Channel SIMILAR MODEL QTH916 (NO Q-SEE LOGO) NO HARD DISK</t>
  </si>
  <si>
    <t>Tvt  Manufacture</t>
  </si>
  <si>
    <t>Does Not Apply, NO APPLY</t>
  </si>
  <si>
    <t>Hybrid Dvr</t>
  </si>
  <si>
    <t>ANNKE 3K Lite 8CH DVR FHD 1080P CCTV Security Camera System Outdoor AI Detection</t>
  </si>
  <si>
    <t>AU-DW81KN0-T4FD</t>
  </si>
  <si>
    <t>ANNKE 8CH/16CH 4K 8MP NVR IP Network Security Video Recorder H.265+ Remote APP</t>
  </si>
  <si>
    <t>N48PAW-N46PCK</t>
  </si>
  <si>
    <t>QOLSYS iQ4 iQP4001 WIRELESS ALARM SYSTEM ALARM.COM VERIZON LTE INTERLOGIX 319 N</t>
  </si>
  <si>
    <t>Alarm Panel</t>
  </si>
  <si>
    <t>Blink Sync Module XR System hub for all Blink devices 400ft for Outdoor 4 Camera</t>
  </si>
  <si>
    <t>Blink System Hub</t>
  </si>
  <si>
    <t>Lorex LNE9292B 4K Ultra HD  IP 4X  Motorized Dome Camera, 30FPS, 1 PK</t>
  </si>
  <si>
    <t>LNE9292B</t>
  </si>
  <si>
    <t>ZOSI H.265+ AI 8CH/16CH DVR for Security Camera System 1080P Recorder with HDD</t>
  </si>
  <si>
    <t>4 Channel NVR  (to use as repeater)</t>
  </si>
  <si>
    <t>1080P Full HD USB Webcam For PC Desktop Laptop Web Camera With Microphone / FHD</t>
  </si>
  <si>
    <t>Evergrow</t>
  </si>
  <si>
    <t>CAM-WEB-2MP</t>
  </si>
  <si>
    <t>Webcam</t>
  </si>
  <si>
    <t>Seller_365</t>
  </si>
  <si>
    <t>ANNKE 5MP PoE Security IP Camera AC500 Audio AI Color Night Vision Outdoor IP67</t>
  </si>
  <si>
    <t>Ls Gen 3 Ecm Engine Programming Control Module Reader Diagnostic Pcm Bench Harne</t>
  </si>
  <si>
    <t>Seller_366</t>
  </si>
  <si>
    <t>Arm Mounts for Ubiquiti UniFi Protect G5/G6 Turret Cameras</t>
  </si>
  <si>
    <t>4 Pack Wireless 5G WiFi 1080P Security Camera System Smart Outdoor Night Vision</t>
  </si>
  <si>
    <t>Seller_367</t>
  </si>
  <si>
    <t>SONOFF Smart Human Presence Sensor Zigbee 3.0 Local Smart Scene Motion Detectors</t>
  </si>
  <si>
    <t>Human Presence Sensor</t>
  </si>
  <si>
    <t>Seller_368</t>
  </si>
  <si>
    <t>ZOSI C290 8MP Add-On PoE IP Pan/Tilt Security Camera Outdoor For 4K ZOSI PoE NVR</t>
  </si>
  <si>
    <t>Seller_369</t>
  </si>
  <si>
    <t>Genuine Rechargeable Battery Pack For Ring Video Door Bell 4, 3, 2 Quick Release</t>
  </si>
  <si>
    <t>V4</t>
  </si>
  <si>
    <t>Seller_370</t>
  </si>
  <si>
    <t>Wyze - 2k Smart Lightbulb WI-Fi Security Camera with Color Night Vision &amp; Dim...</t>
  </si>
  <si>
    <t>WYZEC-BC</t>
  </si>
  <si>
    <t>Seller_371</t>
  </si>
  <si>
    <t>Multiple Locations</t>
  </si>
  <si>
    <t>BestBuy Warehouses</t>
  </si>
  <si>
    <t>RoHS 4Ch MPEG4 DVR Digital Recorder With Wide angle Lens Camera And Cabling.</t>
  </si>
  <si>
    <t>Rohs</t>
  </si>
  <si>
    <t>Seller_372</t>
  </si>
  <si>
    <t>IC Realtime Digital Video Recorder AVR-1416-4M - 16 Channel System - Analog DVR</t>
  </si>
  <si>
    <t>Analog Dvr</t>
  </si>
  <si>
    <t>Seller_373</t>
  </si>
  <si>
    <t>MO</t>
  </si>
  <si>
    <t>2 Pack Solar Power Fake Dummy Surveillance Security Camera CCTV &amp; Record Light</t>
  </si>
  <si>
    <t>HZDC-Sbullet</t>
  </si>
  <si>
    <t>Seller_374</t>
  </si>
  <si>
    <t>AVIGILON 9W-H3-3MH-DP1 Outdoor Dome Camera</t>
  </si>
  <si>
    <t>Avigilon</t>
  </si>
  <si>
    <t>Seller_375</t>
  </si>
  <si>
    <t>Lake Mills</t>
  </si>
  <si>
    <t>Verint BA-EM8-1000R-POE Network Video Recorder</t>
  </si>
  <si>
    <t>BA-EM8-1000R-POE</t>
  </si>
  <si>
    <t>Swann DVR video recorder DVR8-4680 1TB HDD HDMI 8 channel DVR-4680 1080p</t>
  </si>
  <si>
    <t>DVR8-4680, DVR-4680, DVR84680, DVR4680, DVR-84680, DVR8-4680H</t>
  </si>
  <si>
    <t>Seller_376</t>
  </si>
  <si>
    <t>Cortland</t>
  </si>
  <si>
    <t>3 Pack Eufy SoloCam S230 2K Outdoor Solar Wireless Security Cameras Night Vision</t>
  </si>
  <si>
    <t>T8124R</t>
  </si>
  <si>
    <t>Seller_377</t>
  </si>
  <si>
    <t>Google NEST Cam IQ Indoor Smart 1080P HD Security Camera A0053 NC3100US Nice</t>
  </si>
  <si>
    <t>ANNKE 12MP 8CH NVR 5MP Two Way Audio POE Security IP Camera System Color Night</t>
  </si>
  <si>
    <t>N98PBK-51HJ</t>
  </si>
  <si>
    <t>QOLSYS iQ4 iQP4 Panel 4 PowerG S-line GE LTE 319.5 MHz VERIZON LTE ALARM SYSTEM</t>
  </si>
  <si>
    <t>IQP4017</t>
  </si>
  <si>
    <t>Seller_378</t>
  </si>
  <si>
    <t>Google Nest Magnet Mount Adapter for Nest Cam Outdoor Camera NC2100ES</t>
  </si>
  <si>
    <t>Canoga Park</t>
  </si>
  <si>
    <t>Seller_379</t>
  </si>
  <si>
    <t>4-Pin Power Supply Adapter for Swann NVR-8580 8 Channel Network Video Recorder</t>
  </si>
  <si>
    <t>64ch NVR 8MP/4K/32MP  support 4HDDs</t>
  </si>
  <si>
    <t>ANNKE 8CH 1080P H.265+ Security Camera System 3K Lite CCTV DVR Outdoor AI Kits</t>
  </si>
  <si>
    <t>DW81KT-51EP/T1GK</t>
  </si>
  <si>
    <t>AOSU Solar Security Cameras Outdoor Wireless,4 Cam-Kit,2K Color Night Vision</t>
  </si>
  <si>
    <t>Seller_380</t>
  </si>
  <si>
    <t>Mobotix Q25 360 Degree IP Security Camera</t>
  </si>
  <si>
    <t>Seller_381</t>
  </si>
  <si>
    <t>Warrenton</t>
  </si>
  <si>
    <t>GeoVision gv-vs04h 4-Channel Network PoE Video Server For Cameras - Powers On</t>
  </si>
  <si>
    <t>Network Video Server</t>
  </si>
  <si>
    <t>Seller_382</t>
  </si>
  <si>
    <t>Harvard</t>
  </si>
  <si>
    <t>ANNKE 8/16/32CH 1080P/5MP Lite 5in1 DVR Video Recorder For CCTV Security Camera</t>
  </si>
  <si>
    <t>AU-DT61BS000/DW61LN/DW81KN/DX31NB</t>
  </si>
  <si>
    <t>3-pack Genuine OEM A-4a Batteries for Arlo Ultra Ultra 2, Arlo Pro 3, Arlo Pro 4</t>
  </si>
  <si>
    <t>5X SimpliSafe Indoor Camera Wi-Fi HD Security Camera SSCM1 &amp; Wall Charger W/cord</t>
  </si>
  <si>
    <t>SSCM1</t>
  </si>
  <si>
    <t>Seller_383</t>
  </si>
  <si>
    <t>Wireless Home Window Door Burglar Security Alarm System Magnetic Sensor Lot</t>
  </si>
  <si>
    <t>Seller_384</t>
  </si>
  <si>
    <t>BLINK SYSTEM SYNC MODULE XR SYSTEM HUB (CAMERA NOT INCLUDED) *NEW in RETAIL BOX*</t>
  </si>
  <si>
    <t>SimpliSafe Wired Wi-Fi video Doorbell Pro 1080p HD Smart security Camera White</t>
  </si>
  <si>
    <t>48V Power Supply Adapter for Amcrest NV4108E CCTV NVR Video Recorder</t>
  </si>
  <si>
    <t>ARCCTV Solar Security Camera System Wireless wifi Battery Powered 4MP Outdoor</t>
  </si>
  <si>
    <t>Aosu Solar-Powered Wireless Security Camera Kit SolarCam P1 Max System</t>
  </si>
  <si>
    <t>Security Camera Kit</t>
  </si>
  <si>
    <t>Seller_385</t>
  </si>
  <si>
    <t>Arcadia</t>
  </si>
  <si>
    <t>Hiseeu 3MP PTZ IP Security Camera System,5G Wifi 16CH NVR,Night Vision,Eseecloud</t>
  </si>
  <si>
    <t>Aosu 3MP Security Camera Indoor No Subscription wifi cam Smart Motion Tracking</t>
  </si>
  <si>
    <t>ANNKE 1080P Home Security Camera System 3K Lite 8CH DVR Outdoor Color Night AI</t>
  </si>
  <si>
    <t>DW81KT-T1GK-51EP-51EF-T1GJ</t>
  </si>
  <si>
    <t>Cctv Camera</t>
  </si>
  <si>
    <t>4 PACK 60ft BNC Cables for CCTV Security Camera DVR System w/ BNC FF Connectors</t>
  </si>
  <si>
    <t>Chargio</t>
  </si>
  <si>
    <t>BNC Cable</t>
  </si>
  <si>
    <t>2K Solar Battery Powered Wifi Outdoor  Home Security Camera System Wireless</t>
  </si>
  <si>
    <t>New Opticom QS4-8 Color Quad Processor Module 8-Channel NTSC</t>
  </si>
  <si>
    <t>Opticom</t>
  </si>
  <si>
    <t>Seller_386</t>
  </si>
  <si>
    <t>Camera Junction Box Mount Bracket for Security Cameras - 10 Pack</t>
  </si>
  <si>
    <t>ClearView Digital Video recorder Panther5-16</t>
  </si>
  <si>
    <t>Clearview</t>
  </si>
  <si>
    <t>Seller_387</t>
  </si>
  <si>
    <t>Elkhart</t>
  </si>
  <si>
    <t>8ch NVR 4108-8P-4KS3  8POE</t>
  </si>
  <si>
    <t>Seller_388</t>
  </si>
  <si>
    <t>NEW Ring Outdoor Cam (Stick Up Cam) Weather-Resistant Outdoor Camera White</t>
  </si>
  <si>
    <t>Ring Outdoor Cam</t>
  </si>
  <si>
    <t>Seller_389</t>
  </si>
  <si>
    <t>Tyco Exacq 940-00122 RevB Input/Output Board</t>
  </si>
  <si>
    <t>Tyco</t>
  </si>
  <si>
    <t>Exacq</t>
  </si>
  <si>
    <t>Seller_390</t>
  </si>
  <si>
    <t>Massillon</t>
  </si>
  <si>
    <t>SANNCE 4x 100ft Video Power Cable BNC RCA Wire for Security Camera System XCL038</t>
  </si>
  <si>
    <t>Lot 10 Ecolink WST-232 Honeywell Compatible Wireless Door/Window Sensors 345 Mhz</t>
  </si>
  <si>
    <t>Ecolink</t>
  </si>
  <si>
    <t>WST-232</t>
  </si>
  <si>
    <t>Seller_391</t>
  </si>
  <si>
    <t>Greenwood</t>
  </si>
  <si>
    <t>BLINK SYSTEM SYNC MODULE CORE (2025 VERSION) (CAMERA NOT INCLUDED) *BRAND NEW!!</t>
  </si>
  <si>
    <t>75ft CCTV Surveillance Security Camera DVR Video Power BNC Cable Wire Cord Black</t>
  </si>
  <si>
    <t>Seller_392</t>
  </si>
  <si>
    <t>Warminster</t>
  </si>
  <si>
    <t>✅ Wyze Cam Floodlight Pro 3000 Lumen LEDs 180° Wide View 2K HD Outdoor  ✅</t>
  </si>
  <si>
    <t>WYZECFLPBL</t>
  </si>
  <si>
    <t>Seller_393</t>
  </si>
  <si>
    <t>Lorex Fusion 4K 16 Bullet Camera Capable 2TB Wired NVR System with 6 Cameras</t>
  </si>
  <si>
    <t>N847A62-8AB6-E</t>
  </si>
  <si>
    <t>Seller_394</t>
  </si>
  <si>
    <t>North Brunswick</t>
  </si>
  <si>
    <t>ANNKE 5MP Audio POE Security Camera System 8CH/16CH 12MP NVR Outdoor Color Night</t>
  </si>
  <si>
    <t>N48PAW/N46PCK-51EM/51EL/51EN/51EH/51EG</t>
  </si>
  <si>
    <t>ANRAN 4G LTE Cellular Solar Battery Security Camera Outdoor Wireless Home IP65</t>
  </si>
  <si>
    <t>N30W1572</t>
  </si>
  <si>
    <t>SimpliSafe Wireless Outdoor Security Camera 1080P Guard Motion CMOB1 White</t>
  </si>
  <si>
    <t>SANNCE 16CH 5IN1 DVR 1080P Home Security Camera System Outdoor IR Night Vision</t>
  </si>
  <si>
    <t>DT61BH-51EE</t>
  </si>
  <si>
    <t>SANNCE 8MP POE Security IP Camera PTZ 20x Zoom Two Way Audio Color Night Vision</t>
  </si>
  <si>
    <t>I91EM</t>
  </si>
  <si>
    <t>Seller_395</t>
  </si>
  <si>
    <t>Pahrump</t>
  </si>
  <si>
    <t>Nevada</t>
  </si>
  <si>
    <t>EDISHINE 240 Degree Motion Sensor,  Motion Sensor for Security Floodlight, Brown</t>
  </si>
  <si>
    <t>Edison</t>
  </si>
  <si>
    <t>GE Interlogix TX-1510-01-1 Wireless DesignLine Recessed Door/Window Sensor New!</t>
  </si>
  <si>
    <t>GE</t>
  </si>
  <si>
    <t>Transmitter</t>
  </si>
  <si>
    <t>Seller_396</t>
  </si>
  <si>
    <t>Maryville</t>
  </si>
  <si>
    <t>ANRAN Solar Battery Powered Wireless Security Camera System Outdoor Home Wifi IP</t>
  </si>
  <si>
    <t>N30W1599</t>
  </si>
  <si>
    <t>Seller_397</t>
  </si>
  <si>
    <t>1/2/3/4 Security Wall Mount Holder Outdoor/Indoor for Wyze Cam Pan Camera System</t>
  </si>
  <si>
    <t>Wowpartspro</t>
  </si>
  <si>
    <t>Wall Mount For Security Camera</t>
  </si>
  <si>
    <t>Seller_398</t>
  </si>
  <si>
    <t>Kamtron Wireless IP Security Camera In White - Brand New In Box</t>
  </si>
  <si>
    <t>Kamtron</t>
  </si>
  <si>
    <t>Seller_399</t>
  </si>
  <si>
    <t>Brandy Station</t>
  </si>
  <si>
    <t>Technicolor 212 Video Recorder Untested for Parts - A2000</t>
  </si>
  <si>
    <t>Technicolor</t>
  </si>
  <si>
    <t>Seller_400</t>
  </si>
  <si>
    <t>Torrance</t>
  </si>
  <si>
    <t>5MP Outdoor WIFI Security Camera For Hiseeu 8CH Wireless Security Camera System</t>
  </si>
  <si>
    <t>HISTZHB612EEU</t>
  </si>
  <si>
    <t>1 to 4 Way Channel DC Power Splitter Adapter Cable Cord for CCTV Security Camera</t>
  </si>
  <si>
    <t>270044F</t>
  </si>
  <si>
    <t>Splitter Cable</t>
  </si>
  <si>
    <t>Arkansas</t>
  </si>
  <si>
    <t>8MP PoE IP B&amp;R Strobe Light Full Color Night Vision Camera Metal Housing 2.8mm</t>
  </si>
  <si>
    <t>ANNKE Wireless 5MP Security Camera System 2-Way Audio 4CH 7" Monitor NVR w/64GB</t>
  </si>
  <si>
    <t>AU-N44WET0-52CN-S2-V2-OP</t>
  </si>
  <si>
    <t>Lorex 4K Dual-Lens IP Camera with Smart Lighting &amp; Motion Detection E872SB</t>
  </si>
  <si>
    <t>BNC Male to RG59 RG6 Twist On Connector CCTV Security Coax Cable Camera Lot</t>
  </si>
  <si>
    <t>ANNKE 6MP POE Security Camera Dual Lens Outdoor Color Night Two-Way Audio FCD600</t>
  </si>
  <si>
    <t>AN-I51HD0102</t>
  </si>
  <si>
    <t>3 Lens 12MP Solar Battery Home Security Camera Outdoor Wifi Wireless PTZ CCTV US</t>
  </si>
  <si>
    <t>Seller_401</t>
  </si>
  <si>
    <t>AXIS T94S01P Conduit Back Box</t>
  </si>
  <si>
    <t>Conduit Back Box</t>
  </si>
  <si>
    <t>Seller_402</t>
  </si>
  <si>
    <t>Baton Rouge</t>
  </si>
  <si>
    <t>ANNKE 7" Monitor 4MP Wireless PT Security Camera System Solar Powered 2-Way Talk</t>
  </si>
  <si>
    <t>AU-N44WET0-82BM-OP</t>
  </si>
  <si>
    <t>Wireless Mini Wifi Security Camera with Night Vision Motion Detection Rechargeab</t>
  </si>
  <si>
    <t>Seller_403</t>
  </si>
  <si>
    <t>Shanghai</t>
  </si>
  <si>
    <t>Ring USB-C to Barrel Plug Adapter for USB-C Solar Panels and Barrel Plug Black</t>
  </si>
  <si>
    <t>75RICMTB</t>
  </si>
  <si>
    <t>LOT OF 10 Watch Guard 4RE-DVR NO KEY WGA00480-601 HDDs Removed MISSING PARTS</t>
  </si>
  <si>
    <t>Watch Guard</t>
  </si>
  <si>
    <t>4RE DVR, WGA00480-601</t>
  </si>
  <si>
    <t>Seller_404</t>
  </si>
  <si>
    <t>Manhattan</t>
  </si>
  <si>
    <t>KS</t>
  </si>
  <si>
    <t>Network Video Recorder Model: HS-N608-Q1/8P</t>
  </si>
  <si>
    <t>Seller_405</t>
  </si>
  <si>
    <t>Charlotte</t>
  </si>
  <si>
    <t>10 Rare Earth Magnets Door Window Alarm White Security System</t>
  </si>
  <si>
    <t>Quick-Switch.C</t>
  </si>
  <si>
    <t>QS 910 MDM</t>
  </si>
  <si>
    <t>Magnet</t>
  </si>
  <si>
    <t>Seller_406</t>
  </si>
  <si>
    <t>Springville</t>
  </si>
  <si>
    <t>SANNCE 5IN1 8CH DVR 1080P Security Camera System CCTV Outdoor Night Vision AI</t>
  </si>
  <si>
    <t>DT81BC-51EE/T1GL</t>
  </si>
  <si>
    <t>ANNKE 4K Ultra HD 5MP/8MP 8CH DVR Video CCTV Home Security Camera System Outdoor</t>
  </si>
  <si>
    <t>DT81DX-R1BG-R1BL-R1CC</t>
  </si>
  <si>
    <t>Paxvigo EBF810 -4K UHD Dual-Lens Panoramic Outdoor PoE Bullet IP Security Camera</t>
  </si>
  <si>
    <t>Paxvigo</t>
  </si>
  <si>
    <t>eufy PoE Bullet-PTZ Cam S4 NVR Wired Add On Cam NVR 4K UHD Triple|Refurb</t>
  </si>
  <si>
    <t>ANNKE 4MP Wireless PT Security IP Camera System Wifi Solar Battery Two Way Audio</t>
  </si>
  <si>
    <t>AU-N98WHR-I81BM</t>
  </si>
  <si>
    <t>Pt Dome</t>
  </si>
  <si>
    <t>Logitech Circle 2 Indoor/Outdoor 1080p Wi-Fi Home Wired Security Camera White</t>
  </si>
  <si>
    <t>Logitech</t>
  </si>
  <si>
    <t>961-000415</t>
  </si>
  <si>
    <t>Seller_407</t>
  </si>
  <si>
    <t>ANNKE 8CH 3K 5MP Lite DVR 1080P CCTV Security Camera System Outdoor Color Night</t>
  </si>
  <si>
    <t>AU-DW81KN0-58EP</t>
  </si>
  <si>
    <t>ANNKE 8MP/5MP/1080P IR Night Vision Home Outdoor Security Camera for CCTV System</t>
  </si>
  <si>
    <t>Genuine Battery A-4a For Arlo Ultra, Arlo Pro 3, 4, 5, 5s Security Camera</t>
  </si>
  <si>
    <t>A-4a, VMS4340P-100NAS, VMS4440P-100NAS, VMS4640P-100NAS, VMC4040B-100NAS, VMC4240B-100NAS, VCS4440B-100NAS, VMS5440-100NAS, VMS5340-100NAS, VMS5240(B)-100NAS, 308-10069-01, VMS5140-100NAS, VMS5440B-100NAS, VMC5040(B)-100NAS, VMS4240P, 308-50012-01, VMC4040P, VMC4041P</t>
  </si>
  <si>
    <t>ANNKE UHD 4K C800 POE Security IP Camera Outdoor AI Detection Color Night Vision</t>
  </si>
  <si>
    <t>AN-I91DL0104-V3</t>
  </si>
  <si>
    <t>Security Camera Wireless System Audio Home CCTV 5MP HD 10CH NVR Outdoor Wifi IR</t>
  </si>
  <si>
    <t>P31-V18/V80-1</t>
  </si>
  <si>
    <t>Seller_408</t>
  </si>
  <si>
    <t>ANNKE 5MP Lite 8CH DVR 5in1 Video Recorder DVR for Smart Security Camera System</t>
  </si>
  <si>
    <t>AU-DW81KN000</t>
  </si>
  <si>
    <t>RG59 Black 1000ft Bulk Siamese Cable 20AWG+18/2 CCTV Security Camera Wire Ntwork</t>
  </si>
  <si>
    <t>rg59</t>
  </si>
  <si>
    <t>Coaxial Video Cable</t>
  </si>
  <si>
    <t>Seller_409</t>
  </si>
  <si>
    <t>San Dimas</t>
  </si>
  <si>
    <t>3X Blink XT/2 In/Outdoor Camera Wall Mount Bracket Protective Adjustable Holder</t>
  </si>
  <si>
    <t>BLINK MOUNT</t>
  </si>
  <si>
    <t>Fake Camera</t>
  </si>
  <si>
    <t>Seller_410</t>
  </si>
  <si>
    <t>Homestead</t>
  </si>
  <si>
    <t>1080P Mini Camera WiFi HD IP Night Vision Camcorder Home Security Video Audio</t>
  </si>
  <si>
    <t>Spy Hidden Camera</t>
  </si>
  <si>
    <t>Seller_411</t>
  </si>
  <si>
    <t>Princeton Junction</t>
  </si>
  <si>
    <t>Tyco Exacq EXG100-00151 Rev A1 BNC Pane</t>
  </si>
  <si>
    <t>Bnc Pane</t>
  </si>
  <si>
    <t>16 Channel Security Recorder DVR for 5MP Hybrid AHD/TVI/CVI/CVBS/IP Analog Cam</t>
  </si>
  <si>
    <t>Google Nest Cam Security Camera Outdoor Wired Cam NC2100ES 1080P Night Vision</t>
  </si>
  <si>
    <t>Seller_412</t>
  </si>
  <si>
    <t>SANNCE 8CH 5IN1 5MP Lite DVR Digital Video Recorder For CCTV Security System</t>
  </si>
  <si>
    <t>DT81BF</t>
  </si>
  <si>
    <t>DC 12V 5A Power Supply Adapter +8 Split Power Cable for CCTV Security Camera DVR</t>
  </si>
  <si>
    <t>Seller_413</t>
  </si>
  <si>
    <t>Lorex 4K+ 12MP 16Ch (Wired + WiFi) 2TB Wired NVR System with 3 Bullet Cameras</t>
  </si>
  <si>
    <t>AZN4KPL2-83WB</t>
  </si>
  <si>
    <t>Arlo Ultra 2 Outdoor Camera 4K HDR 3 Camera and 3 Black Solar Panels Kit</t>
  </si>
  <si>
    <t>VMS5340BUN-CR</t>
  </si>
  <si>
    <t>Seller_414</t>
  </si>
  <si>
    <t>Opa-Locka</t>
  </si>
  <si>
    <t>JENNOV 8MP PTZ Outdoor PoE Security Camera Night Vision IP66 20X Optical Zoom</t>
  </si>
  <si>
    <t>LTD8416M-ST 34CH of 16CH TVI/AHD/CVI/CVBS Upto 8MP+18Ch IP Upto 12MP 4 SATA DVR</t>
  </si>
  <si>
    <t>LTD8416M-ST, LTD8416K-ST, LTD8416M-ST(S), LTD8416T-ST, Platinum</t>
  </si>
  <si>
    <t>Seller_415</t>
  </si>
  <si>
    <t>Torrington</t>
  </si>
  <si>
    <t>ANNKE 4pcs 1080P Video HD Security Camera CCTV Outdoor Color Night Vision IP67</t>
  </si>
  <si>
    <t>AU-KC51EF0403</t>
  </si>
  <si>
    <t>AOSU 2K Solar Security Cameras Wireless Outdoor, 4 Solar Camera for Home</t>
  </si>
  <si>
    <t>ANNKE 16CH 5MP Lite DVR 1080P Outdoor Security Camera System AI Human Detection</t>
  </si>
  <si>
    <t>AU-DW61LN-51EF</t>
  </si>
  <si>
    <t>2 Pack Lorex H20 4K IP Wired Dual Lens Security Camera with Smart Lighting</t>
  </si>
  <si>
    <t>E871AB_K4</t>
  </si>
  <si>
    <t>Wireless WIFI IP Mini Smallest DIY Buttons Camera HD 1080P -Micro Video Recorder</t>
  </si>
  <si>
    <t>Seller_416</t>
  </si>
  <si>
    <t>SANNCE 16CH 4K POE Security NVR 8MP Video Recorder For Camera System IP Network</t>
  </si>
  <si>
    <t>SU-N96PBK000-OP</t>
  </si>
  <si>
    <t>Arlo Pro 2 HD 1080 Add-on Camera VMC4030P NO Battery FREE SHIPPING read</t>
  </si>
  <si>
    <t>Seller_417</t>
  </si>
  <si>
    <t>Ring Floodlight Cam Wired Pro w/ Bird’s Eye View and 3D Motion Detect</t>
  </si>
  <si>
    <t>5B28S4</t>
  </si>
  <si>
    <t>Seller_418</t>
  </si>
  <si>
    <t>Ring Video Doorbell 1080p HD Camera WI-FI Night Vision Motion Detection Wireless</t>
  </si>
  <si>
    <t>Seller_419</t>
  </si>
  <si>
    <t>Arlo Ultra 3 UHD 4K Wire-Free Add-on Security Camera - VMC5050-100NAS Mag Mount</t>
  </si>
  <si>
    <t>VMC5040100NAR</t>
  </si>
  <si>
    <t>Seller_420</t>
  </si>
  <si>
    <t>Palm Beach Gardens</t>
  </si>
  <si>
    <t>Lorex 1080p Wi-Fi Floodlight Camera - Open Box</t>
  </si>
  <si>
    <t>V261LCD-E-R</t>
  </si>
  <si>
    <t>Bosch DVR-16L-200A Security DVR</t>
  </si>
  <si>
    <t>Seller_421</t>
  </si>
  <si>
    <t>Medina</t>
  </si>
  <si>
    <t>Sibell Network Video Recorder NVR-SB32-16P L-439S</t>
  </si>
  <si>
    <t>Sibell</t>
  </si>
  <si>
    <t>Nvr-Sb32-16P</t>
  </si>
  <si>
    <t>Seller_422</t>
  </si>
  <si>
    <t>Erie</t>
  </si>
  <si>
    <t>Arlo Security Cameras,  4 Camera Outdoor with Solar Panels, 2K - VMK3450</t>
  </si>
  <si>
    <t>VMK3450</t>
  </si>
  <si>
    <t>Seller_423</t>
  </si>
  <si>
    <t>Cleveland</t>
  </si>
  <si>
    <t>Water Leak Sensor 3 Pack, Zigbee Wireless Water Leak Detector for Alarm System a</t>
  </si>
  <si>
    <t>Full HD 1080P 4K Cam Wireless WiFi Security Mini Micro Pinhole Screw DIY Cam DVR</t>
  </si>
  <si>
    <t>Reolink 3W/6W/12W Solar Panel Non Stop Power for All Battery Security Cameras</t>
  </si>
  <si>
    <t>ANNKE HD 1080P Outdoor 2MP TVI 4IN1 Security Camera EXIR Night fit for TVI DVR</t>
  </si>
  <si>
    <t>C51EK</t>
  </si>
  <si>
    <t>Reolink Argus 4 Pro + 6W Solar Panel 4K Security Camera 180° Blindspot-Free View</t>
  </si>
  <si>
    <t>Axis M3058-PLVE Indoor/Outdoor Network Security Camera | ig</t>
  </si>
  <si>
    <t>01177-001, M3057PLVE, M3058-PLVE</t>
  </si>
  <si>
    <t>Seller_424</t>
  </si>
  <si>
    <t>Emeryville</t>
  </si>
  <si>
    <t>ED9632H5NV-16P-AN 32CH IP 12MP 20fps 192Mbps 16Port PoE Ai 2xLAN 2xHDMI NDAA NVR</t>
  </si>
  <si>
    <t>Ens</t>
  </si>
  <si>
    <t>NDAA, TVT, Titanium, ED9632H5NV-16P-AN, TD-3332H4-16P-B2</t>
  </si>
  <si>
    <t>Seller_425</t>
  </si>
  <si>
    <t>Katy</t>
  </si>
  <si>
    <t>1x2TB Interlogix Truvision DVR 60 Hybrid Recorder TVR-6016-4T</t>
  </si>
  <si>
    <t>TVR-6016-4T</t>
  </si>
  <si>
    <t>LUMA Surveillance Network Video Recorder LUM-510-NVR-4CH-1T</t>
  </si>
  <si>
    <t>LUM-510-NVR-4CH</t>
  </si>
  <si>
    <t>Seller_426</t>
  </si>
  <si>
    <t>Leesburg</t>
  </si>
  <si>
    <t>Mini APP WiFi Camera 1080P HD Motion Detection Home Security Audio Video Cam</t>
  </si>
  <si>
    <t>Mayvillage</t>
  </si>
  <si>
    <t>Seller_427</t>
  </si>
  <si>
    <t>All-New Blink Outdoor 4 (4Th Gen) Camera Mount, Weatherproof Protective Housing</t>
  </si>
  <si>
    <t>Seller_428</t>
  </si>
  <si>
    <t>Bonner Springs</t>
  </si>
  <si>
    <t>10 Pcs DC Power Supply Female Jack Socket 5.5 x 2.1mm Barrel-Type PCB Mount</t>
  </si>
  <si>
    <t>Seller_429</t>
  </si>
  <si>
    <t>3 Pack IR Bullet Fake Dummy Surveillance Security Camera with Record Light-Black</t>
  </si>
  <si>
    <t>Harleysville</t>
  </si>
  <si>
    <t>ANNKE 6MP POE Security IP Camera Dual Lens Outdoor Color Night Two-Way Audio AI</t>
  </si>
  <si>
    <t>I51HD</t>
  </si>
  <si>
    <t>ANNKE 8MP 4K 6MP Full Color PoE Security Camera Dual Lens Two-Way Audio Outdoor</t>
  </si>
  <si>
    <t>51DW/51HD/91DW/91ET</t>
  </si>
  <si>
    <t>Bullet/Dome</t>
  </si>
  <si>
    <t>ARCCTV Home Security System HD Camera Kit - Solar Powered Model C3 Pro</t>
  </si>
  <si>
    <t>C3 Pro</t>
  </si>
  <si>
    <t>Seller_430</t>
  </si>
  <si>
    <t>ARCCTV Outdoor 360° PTZ Solar Security Camera System Battery Wireless 4MP Home</t>
  </si>
  <si>
    <t>Seller_431</t>
  </si>
  <si>
    <t>4K 8MP PoE IP Vandal Dome Camera IR Mode Outdoor/Indoor Metal Housing 2.8mm</t>
  </si>
  <si>
    <t>2Pack Adjustable Security Wall Mount Bracket for Google Nest Cam Outdoor or Indo</t>
  </si>
  <si>
    <t>NCM01</t>
  </si>
  <si>
    <t>ANNKE 5MP Audio CCTV Security Camera Outdoor Color Night Vision Human Detection</t>
  </si>
  <si>
    <t>R1CX</t>
  </si>
  <si>
    <t>4 X 100Ft Video&amp;Power Cable for Night Owl HD CCTV Security Camera Wire Cord</t>
  </si>
  <si>
    <t>Cctv Security Camera Wire Cord</t>
  </si>
  <si>
    <t>do not apply</t>
  </si>
  <si>
    <t>Seller_432</t>
  </si>
  <si>
    <t>US Warehouse - FREE &amp; FAST Shipping in USA</t>
  </si>
  <si>
    <t>Vietnam</t>
  </si>
  <si>
    <t>Spare Battery for AllSecure650 &amp; AllSecure600 Kits &amp; Cameras SONVW-600BATT</t>
  </si>
  <si>
    <t>SONVW-600BATT-GL</t>
  </si>
  <si>
    <t>Not Available</t>
  </si>
  <si>
    <t>Seller_433</t>
  </si>
  <si>
    <t>SONOFF CAM-B1P Outdoor Smart Security Camera 2K HD With AI Human Detection IP65</t>
  </si>
  <si>
    <t>Smart Home Security Camera</t>
  </si>
  <si>
    <t>1080P 4" Dual Lens HD Car DVR Rearview Video Dash Cam Recorder Camera G-Sensor</t>
  </si>
  <si>
    <t>Other Car Video</t>
  </si>
  <si>
    <t>ANNKE 10MP Wireless PTZ Security Camera Two-Way Audio Color Night Vision 12xzoom</t>
  </si>
  <si>
    <t>AU-I91CS0104</t>
  </si>
  <si>
    <t>16ft DC Power Extension Cable Cord 5.5x2.1mm 16 feet/5M for CCTV Camera DVR BLK</t>
  </si>
  <si>
    <t>Seller_434</t>
  </si>
  <si>
    <t>SANNCE 4K 8CH NVR 3MP POE Security Camera System Two Way Audio Recording Outdoor</t>
  </si>
  <si>
    <t>SU-N98PBD0-74FQ-V1-P-OP</t>
  </si>
  <si>
    <t>Google Nest Camera Charging Cable With A/C Block (Original/Genuine) 3FT.</t>
  </si>
  <si>
    <t>Seller_435</t>
  </si>
  <si>
    <t>Longmont</t>
  </si>
  <si>
    <t>Hiseeu Wifi Security Camera System,16CH NVR,4PCS 3MP PTZ Camera,5G Wifi,500G HDD</t>
  </si>
  <si>
    <t>New Sight Bulb WiFi Smart Camera &amp; Light Pro, 75W Equivalent LED Light</t>
  </si>
  <si>
    <t>Pro</t>
  </si>
  <si>
    <t>Seller_436</t>
  </si>
  <si>
    <t>Bloomfield Hills</t>
  </si>
  <si>
    <t>✅ Night Owl Camera 4K UHD 3840 x 2160 Wired Spotlight CM-DP8LSA-B DP8 NEW ✅</t>
  </si>
  <si>
    <t>CM-DP8LSA-B</t>
  </si>
  <si>
    <t>SONOFF CAM PT2 Wifi Smart Home Security Camera Night Vision 360° Panoramic View</t>
  </si>
  <si>
    <t>Seller_437</t>
  </si>
  <si>
    <t>Optex White BX Shield 80FT Boundary Outdoor Detector PIR Anti-Masking BXS-RAM-W</t>
  </si>
  <si>
    <t>Optex</t>
  </si>
  <si>
    <t>BXS-RAM(W)</t>
  </si>
  <si>
    <t>Outdoor Motion Detector</t>
  </si>
  <si>
    <t>Seller_438</t>
  </si>
  <si>
    <t>Covington</t>
  </si>
  <si>
    <t>Visonic Powermaster 10 G2 Spanish Kit, NEXT K9-85 PG2, MC-302, KF-234 915 Mhz</t>
  </si>
  <si>
    <t>Visonic</t>
  </si>
  <si>
    <t>PMaster 10 915 SP Kit</t>
  </si>
  <si>
    <t>Security Panel Kit</t>
  </si>
  <si>
    <t>Seller_439</t>
  </si>
  <si>
    <t>Sharpsburg</t>
  </si>
  <si>
    <t>eufy SoloCam S340 Solar Wireless Security Camera Outdoor Dual Cam 360° Guardian</t>
  </si>
  <si>
    <t>Ring Wired Doorbell Pro 3rd Gen Retinal 4K 4 inch Vinyl Siding Mounting Bracket</t>
  </si>
  <si>
    <t>4" Vinyl Siding Mounting Wedge Adapter</t>
  </si>
  <si>
    <t>Indoor WiFi Security Camera 360° Motion Alert Two-Way Audio</t>
  </si>
  <si>
    <t>Noahtec</t>
  </si>
  <si>
    <t>Seller_440</t>
  </si>
  <si>
    <t>Wireless 5G WiFi Security Camera System Smart Outdoor Night Vision 1080P</t>
  </si>
  <si>
    <t>Seller_441</t>
  </si>
  <si>
    <t>Warsaw</t>
  </si>
  <si>
    <t>H2C8 Waterproof 656ft Wireless Driveway Alarm Motion Sensor Alarm Indoor Outdoor</t>
  </si>
  <si>
    <t>Replacement Floodlight Wall Base for Google Nest Cam White GPLE9 Original</t>
  </si>
  <si>
    <t>4X Solar Bullet Fake Dummy Surveillance Security Cameras CCTV &amp; Record Light</t>
  </si>
  <si>
    <t>Amcrest HD 1.3-Megapixel 4Ch Network POE Video Security System NEW!</t>
  </si>
  <si>
    <t>567876T5R</t>
  </si>
  <si>
    <t>8 59888 00512 2</t>
  </si>
  <si>
    <t>4MP WDR PoE Network Dome Camera - DS-2CD2142FWD-I 2.8mm</t>
  </si>
  <si>
    <t>Seller_442</t>
  </si>
  <si>
    <t>Knight KT8000 Premium Anti Spy Detector Camera Finder &amp; Hidden Devices Detector</t>
  </si>
  <si>
    <t>Solar Camera Outdoor Wireless 5G -4MP Outdoor Camera Wireless w/ Integrated SP</t>
  </si>
  <si>
    <t>ANNKE 5in1 8CH 3K Lite DVR 1080P TVI CCTV Security Camera System Outdoor Color</t>
  </si>
  <si>
    <t>AU-DW81KD-51EP</t>
  </si>
  <si>
    <t>eufy 2K Plug-in Security Indoor Camera Wi-Fi IP Cam Pet AI Night Vision|Refurb</t>
  </si>
  <si>
    <t>AKT8400</t>
  </si>
  <si>
    <t>10ft DC Power Extension Cable Cord 5.5x2.1mm 10 feet/3M for CCTV Camera DVR</t>
  </si>
  <si>
    <t>DCEXT-F</t>
  </si>
  <si>
    <t>Dc Extension Cable</t>
  </si>
  <si>
    <t>NVR Wi‑Fi Module, Only for  Poe NVR System, Supports up to 16  Wi-Fi Cameras, Vi</t>
  </si>
  <si>
    <t>Seller_443</t>
  </si>
  <si>
    <t>Sheridan</t>
  </si>
  <si>
    <t>2pcs New PIR Motion Sensor Switch infrared wall mount switch AC 110-240V</t>
  </si>
  <si>
    <t>Pir Motion Sensor Switch</t>
  </si>
  <si>
    <t>Seller_444</t>
  </si>
  <si>
    <t>Lorex 2K Dual Lens Indoor Pan-Tilt Wi-Fi Security Camera (Cloud-Enabled)</t>
  </si>
  <si>
    <t>W463AQ-AA</t>
  </si>
  <si>
    <t>ANNKE 5MP Wifi 8CH NVR 3MP Outdoor Wireless Security Camera System Two Way Audio</t>
  </si>
  <si>
    <t>N48WHR0-V2-74GK</t>
  </si>
  <si>
    <t>eufy 2K Solar Security Cameras Wireless Outdoor Spotlight SoloCam S230 (2Pack)</t>
  </si>
  <si>
    <t>AKE8124</t>
  </si>
  <si>
    <t>eufy Security eufyCam C35 Wireless Outdoor and Indoor Magnetic Mount NightVision</t>
  </si>
  <si>
    <t>1-4Pack Wireless 5G WiFi Security Camera System Smart Outdoor Night Vision 1080P</t>
  </si>
  <si>
    <t>Eyemax Magic Series 16‑CH DVR CCTV – Channel 5 Fault, All Others Fully Working</t>
  </si>
  <si>
    <t>Eyemax</t>
  </si>
  <si>
    <t>Seller_445</t>
  </si>
  <si>
    <t>Oklahoma City</t>
  </si>
  <si>
    <t>Oklahoma</t>
  </si>
  <si>
    <t>Hiseeu 4MP 10CH Wireless Wifi Solar Battery Security Camera System Human Detect</t>
  </si>
  <si>
    <t>Maxlinear OEM-VRC7008 8 Channel H.264 PCI Express Add-In Card For DVR [CTA]</t>
  </si>
  <si>
    <t>Maxlinear</t>
  </si>
  <si>
    <t>OEM-VRC7008</t>
  </si>
  <si>
    <t>8 Channel H.264 Pci Express Add-In Card</t>
  </si>
  <si>
    <t>ZOSI H.264 HD 720P DVR Security System with Adapter</t>
  </si>
  <si>
    <t>Seller_446</t>
  </si>
  <si>
    <t>ANNKE 12MP 8CH NVR 4K 8MP PoE Security Camera System Outdoor Color Night Vision</t>
  </si>
  <si>
    <t>AU-N98PBK-91DM</t>
  </si>
  <si>
    <t>Verkada Wall Pole Mount Bracket For Dome Bullet Security Cameras ACC‑MNT‑XLARM‑1</t>
  </si>
  <si>
    <t>Verkada</t>
  </si>
  <si>
    <t>ACC-MNT-XLARM-1</t>
  </si>
  <si>
    <t>Wall &amp; Pole Mount Bracket</t>
  </si>
  <si>
    <t>Closed Circuit Cameras</t>
  </si>
  <si>
    <t>Seller_447</t>
  </si>
  <si>
    <t>Netvue NI-8202 Birdfly Cam FHD Camera 1080p White For Bird Watching</t>
  </si>
  <si>
    <t>Netvue</t>
  </si>
  <si>
    <t>Bird Cam</t>
  </si>
  <si>
    <t>2-Pack Blink Outdoor Camera 4th Gen Rain Canopy Hood Latest Cover Hood</t>
  </si>
  <si>
    <t>Seller_448</t>
  </si>
  <si>
    <t>Reolink Junction Box B10 for Security Camera 510A/810A/1212A/Duo 2 PoE/Duo 2wifi</t>
  </si>
  <si>
    <t>Reolinkproducts</t>
  </si>
  <si>
    <t>ZOSI 16CH 5mp lite Surveillance Security Camera System DVR 1080P Outdoor Home</t>
  </si>
  <si>
    <t>Pool Patrol PA-30 Pool Alarm Certified ASTM Safety Specification F2208</t>
  </si>
  <si>
    <t>Pool Patrol</t>
  </si>
  <si>
    <t>PA-30</t>
  </si>
  <si>
    <t>Swimming Pool Alarms</t>
  </si>
  <si>
    <t>Seller_449</t>
  </si>
  <si>
    <t>GeoVision USAVISION Outdoor PoE Network Mini Security Camera 4MP IR (0-LUX) IP67</t>
  </si>
  <si>
    <t>UA-B40004F</t>
  </si>
  <si>
    <t>Outdoor Poe Network Security Camera / Surveillance Camera</t>
  </si>
  <si>
    <t>Seller_450</t>
  </si>
  <si>
    <t>BZBGEAR 1080P FHD 20X HDMI/3G-SDI/NDI/RS232/485/POE Live Streaming PTZ Camera</t>
  </si>
  <si>
    <t>Bzbgear</t>
  </si>
  <si>
    <t>BG-ND-20XHSRP</t>
  </si>
  <si>
    <t>Streaming Camera</t>
  </si>
  <si>
    <t>Seller_451</t>
  </si>
  <si>
    <t>Verint R250S-16-4000R Analog/IP Network Video Recorder</t>
  </si>
  <si>
    <t>R250S-16-4000R</t>
  </si>
  <si>
    <t>Surveillance Video Recorders</t>
  </si>
  <si>
    <t>LTS LTD8504K-ST 4CH 5MP H.265+ HD-TVI</t>
  </si>
  <si>
    <t>Seller_452</t>
  </si>
  <si>
    <t>Sarver</t>
  </si>
  <si>
    <t>estimated_revenue</t>
  </si>
  <si>
    <t>5 PACK 60ft BNC Cables for CCTV Security Camera DVR System w/ BNC FF Connectors</t>
  </si>
  <si>
    <t>N844A83</t>
  </si>
  <si>
    <t>N843A83</t>
  </si>
  <si>
    <t>N846A63</t>
  </si>
  <si>
    <t>Blink Outdoor (3rd Gen) Add-On Home Security Camera | HD Video work with XT1 XT3</t>
  </si>
  <si>
    <t>Blink Outdoor (4th Gen) Add-On Home Security Camera | HD Video work with XT1 XT3</t>
  </si>
  <si>
    <t>AKT86P2122</t>
  </si>
  <si>
    <t>AKT8111</t>
  </si>
  <si>
    <t>AKT8174</t>
  </si>
  <si>
    <t>AKT8P11</t>
  </si>
  <si>
    <t>AKT88301D2</t>
  </si>
  <si>
    <t>AKT8031</t>
  </si>
  <si>
    <t>AKT8418</t>
  </si>
  <si>
    <t>AKT8921</t>
  </si>
  <si>
    <t>AKT8E01</t>
  </si>
  <si>
    <t>8CH DVR XVR5108HS-I4</t>
  </si>
  <si>
    <t>Voltky 2K WiFi Solar Security Camera Dual Lens AI PIR 10X Zoom Night Vision IP67</t>
  </si>
  <si>
    <t>DMS02</t>
  </si>
  <si>
    <t>AU-DW81KN001</t>
  </si>
  <si>
    <t>SN-C51EU0103-V2</t>
  </si>
  <si>
    <t>AU-N46PCK000-V5</t>
  </si>
  <si>
    <t>5CCEA4</t>
  </si>
  <si>
    <t>AU-DT61BS200-V3</t>
  </si>
  <si>
    <t>D863A7</t>
  </si>
  <si>
    <t>D4K1AD-9</t>
  </si>
  <si>
    <t>Luma LUM-501-NVR-16CH 2TB 16 Channel Network Video Recorder p530</t>
  </si>
  <si>
    <t>3 Pack 7200mAh Rechargeable Battery and Charger Station for Ring Doorbell 2/3/4</t>
  </si>
  <si>
    <t>AVX-HD420IR HD421</t>
  </si>
  <si>
    <t>4 Pack Blink Outdoor Camera Wall Mount Bracket for Blink Outdoor 4th Gen Blin</t>
  </si>
  <si>
    <t>AN-CT1FE0104</t>
  </si>
  <si>
    <t>AN-I91DL0104-V4</t>
  </si>
  <si>
    <t>AU-DT61BS001</t>
  </si>
  <si>
    <t>N98PBK-91DL-V4</t>
  </si>
  <si>
    <t>AU-N46PCK-V4-91DL-V4</t>
  </si>
  <si>
    <t>XCL039</t>
  </si>
  <si>
    <t>AU-N98PBL001</t>
  </si>
  <si>
    <t>ANNKE 12MP 8CH NVR 4K Audio POE Security Camera System Outdoor Color Night IP68</t>
  </si>
  <si>
    <t>ANNKE 5MP PoE Security IP Camera AC500 Audio AI Color Night Vision Outdoor IP68</t>
  </si>
  <si>
    <t>ANNKE 4pcs 1080P Video HD Security Camera CCTV Outdoor Color Night Vision IP68</t>
  </si>
  <si>
    <t>AU-KC51EF0404</t>
  </si>
  <si>
    <t>AU-N98PBK001</t>
  </si>
  <si>
    <t>AN-CR1CW0103</t>
  </si>
  <si>
    <t>ANNKE 6MP POE Security Camera Dual Lens Outdoor Color Night Two-Way Audio FCD601</t>
  </si>
  <si>
    <t>AN-I51HD0103</t>
  </si>
  <si>
    <t>3 Pack Ring Alarm Smoke &amp; Co Listener 9863B-BHASL001</t>
  </si>
  <si>
    <t>9863B-BHASL002</t>
  </si>
  <si>
    <t>NCM02</t>
  </si>
  <si>
    <t>V4, 5AT3S3, 5F53E10</t>
  </si>
  <si>
    <t>308-50012-01, 308-50002-01, 308-10069-01, A-14, 308-50034-01, A-8</t>
  </si>
  <si>
    <t>3 Pack Genuine Battery for Ring Video Doorbell 2 3 4 Spotlight Cam Quick Release</t>
  </si>
  <si>
    <t>3 Pack Genuine Battery A-1 for Arlo Pro , Pro 2 VMA4400 VCS4500C VMS4230 Camera</t>
  </si>
  <si>
    <t>3 Pack Rechargeable Battery Pack &amp;Charging Station for Ring Video Doorbell 2 3 4</t>
  </si>
  <si>
    <t>DW-VA1P5</t>
  </si>
  <si>
    <t>LC2204</t>
  </si>
  <si>
    <t>IP8M-2496EW-AI-V4</t>
  </si>
  <si>
    <t>5 Pack Wall Camera Mount Bracket Indoor Outdoor for Arlo Pro Security Adjustable</t>
  </si>
  <si>
    <t>B08F6GPQQ8</t>
  </si>
  <si>
    <t>VG4-A-PA1</t>
  </si>
  <si>
    <t>V8P1AX12</t>
  </si>
  <si>
    <t>C4L2CA12</t>
  </si>
  <si>
    <t>3 Pack Lot BNC Male Plug to RCA Female Jack Coax Cable Video Adapter Connector</t>
  </si>
  <si>
    <t>4 PACK Lot RCA Male Plug to BNC Female Jack Adapter Coax Connector Coupler CCTV</t>
  </si>
  <si>
    <t>2 to 4 Way Channel DC Power Splitter Adapter Cable Cord for CCTV Security Camera</t>
  </si>
  <si>
    <t>Tapo 1080P Outdoor Wired Pan/Tilt Security Wi-Fi Camera, 360° View, White C501</t>
  </si>
  <si>
    <t>Tapo C501</t>
  </si>
  <si>
    <t>9 Channel H.265 1080P DVR for Security Camera System 1TB Hard Drive USA</t>
  </si>
  <si>
    <t>AC90019019</t>
  </si>
  <si>
    <t>WT4</t>
  </si>
  <si>
    <t>B7</t>
  </si>
  <si>
    <t>7 PCS WIRELESS Home Window Door Burglar Security ALARM System Magnetic Sensor</t>
  </si>
  <si>
    <t>AR-K04W2L7H-B361</t>
  </si>
  <si>
    <t>17 Channel</t>
  </si>
  <si>
    <t>3 x Wall Mount Bracket For Ring Stick Up Cam Wired/Battery Solar Security Camera</t>
  </si>
  <si>
    <t>Google Nest Cam Outdoor Security Camera Wi-Fi Wired 1080P NC2100ES A0034</t>
  </si>
  <si>
    <t>N1060WH/BK-5</t>
  </si>
  <si>
    <t>Night Owl 1080p Wireless Add-On Battery Powered Camera BWNIP-2TA-BS-V5</t>
  </si>
  <si>
    <t>Digital Watchdog Blackjack Mini DW BJMINI4T 12CH Network Video Recorder Lot of 3</t>
  </si>
  <si>
    <t>2027 Smart Mini WiFi Camera Wireless 1080P HD Night Cam w/Battery Home Security</t>
  </si>
  <si>
    <t>SWNVK-MRMINISD4</t>
  </si>
  <si>
    <t>Jar of 100 Platinum Tools 106188J 2-Piece High Performance Connectors, CAT7</t>
  </si>
  <si>
    <t>Cat 7</t>
  </si>
  <si>
    <t>Waterproof 656ft Wireless Driveway Alarm Motion Sensor Alarm Indoor Outdoor H2C9</t>
  </si>
  <si>
    <t>101 pcs Coax Cat5/Cat6 To Camera CCTV BNC Video Balun Coaxial Connector Screw</t>
  </si>
  <si>
    <t>3 Pack Rechargeable Battery A-1 for ARLO PRO &amp; Arlo Pro 2 Camera VMA4400 VMS4230</t>
  </si>
  <si>
    <t>11 pieces Twist-on BNC Male RG59 Connector for CCTV cameras</t>
  </si>
  <si>
    <t>N40W1603</t>
  </si>
  <si>
    <t>ANRAN Home Security Camera System Solar Panel 360°PTZ Wireless 3MP Outdoor IP66</t>
  </si>
  <si>
    <t>CP0000000283</t>
  </si>
  <si>
    <t>SSDB4</t>
  </si>
  <si>
    <t>SRS-0835-051</t>
  </si>
  <si>
    <t>OEM-VRC7009</t>
  </si>
  <si>
    <t>9 Channel H.264 Pci Express Add-In Card</t>
  </si>
  <si>
    <t>Replacement Mount for Eufy SoloCam S340/E30/E42 and 4G LTE Cam S331</t>
  </si>
  <si>
    <t>17 Channel Digital Video Recorder Model: LRA3160N, Pre-Owned .</t>
  </si>
  <si>
    <t>3 Pack Ring V4 Battery For Ring Camera Doorbell Solar Floodligh 2/3/4/3 plus US</t>
  </si>
  <si>
    <t>T8135</t>
  </si>
  <si>
    <t>SimpliSafe 12-Piece Home Security System with HD Camera &amp; Smoke Detector SS-1501</t>
  </si>
  <si>
    <t>SS-1501</t>
  </si>
  <si>
    <t>PA-0503</t>
  </si>
  <si>
    <t>Blink Add-On Sync Module 3</t>
  </si>
  <si>
    <t>53-024487</t>
  </si>
  <si>
    <t>U9K-CM0211</t>
  </si>
  <si>
    <t>T8882122</t>
  </si>
  <si>
    <t>Cartell CP4 Vehicle Sensor Kit Exit Wand 5 Wire  Exit Vehicle Detector - CP-5</t>
  </si>
  <si>
    <t>4 X Wire-Free Cameras &amp; Nvr Tower</t>
  </si>
  <si>
    <t>SU-DT81BD001</t>
  </si>
  <si>
    <t>M3116</t>
  </si>
  <si>
    <t>XCL045</t>
  </si>
  <si>
    <t>SANNCE 4x 100ft Video Power Cable BNC RCA Wire for Security Camera System XCL039</t>
  </si>
  <si>
    <t>AU-KCS1EQ0403</t>
  </si>
  <si>
    <t>AU-I91CS0105</t>
  </si>
  <si>
    <t>ANNKE 12MP 16CH 8CH NVR 4K Audio PoE Security Camera System Color Night AI IP68</t>
  </si>
  <si>
    <t>ANNKE 4K 8MP Audio POE IP Security Camera Outdoor IP67 Color Night Vision C801</t>
  </si>
  <si>
    <t>ANNKE 16CH DVR 5MP Audio Security Camera System Outdoor Color Night Vision H.266</t>
  </si>
  <si>
    <t>Security Camera System</t>
  </si>
  <si>
    <t>A0056</t>
  </si>
  <si>
    <t>3 x Wi-Fi Smart Camera Full HD 1080p Motion Detector/Spay camera/Mini /Charge</t>
  </si>
  <si>
    <t>5 x Wi-Fi Smart Camera Full HD 1080p Motion Detector/Spay camera/Mini /Charge</t>
  </si>
  <si>
    <t>PC1224AD6K02</t>
  </si>
  <si>
    <t>E2</t>
  </si>
  <si>
    <t>5 NEW Northern Outdoor Cameras 3 Eyeball  DWMVFIR960 1 Bullet B6IROSD</t>
  </si>
  <si>
    <t>(Lot of 5) Vivint Smart Home Touchscreen Control Panel | VS-SH2000-C01</t>
  </si>
  <si>
    <t>LUM-301</t>
  </si>
  <si>
    <t>⭐LOT For Tactacam Reveal Battery 7000mAh Compatible X Ultra/Pro 3.0/X Gen 2.1</t>
  </si>
  <si>
    <t>3 Pack Lorex H20 4K IP Wired Dual Lens Security Camera with Smart Lighting</t>
  </si>
  <si>
    <t>E871AB_K5</t>
  </si>
  <si>
    <t>Model HB-T2</t>
  </si>
  <si>
    <t>A61WJ55AS-V1608-2</t>
  </si>
  <si>
    <t>PD1B-16NH3</t>
  </si>
  <si>
    <t>76 ft BNC Video Power Extension Cable for CCTV Security Camera DVR Black lot</t>
  </si>
  <si>
    <t>DS-1280ZJ-DM21, CB140PT, CB136</t>
  </si>
  <si>
    <t>V381</t>
  </si>
  <si>
    <t>["DT8035V"], DT8036</t>
  </si>
  <si>
    <t>9 Bullet &amp; 8 Dome</t>
  </si>
  <si>
    <t>CP0000001241</t>
  </si>
  <si>
    <t>PD-1801</t>
  </si>
  <si>
    <t>5 Pack Wireless 5G WiFi 1080P Security Camera System Smart Outdoor Night Vision</t>
  </si>
  <si>
    <t>SONOFF CAM-B1P Outdoor Smart Security Camera 2K HD With AI Human Detection IP66</t>
  </si>
  <si>
    <t>V5</t>
  </si>
  <si>
    <t>3 Pack Solar Power Fake Dummy Surveillance Security Camera CCTV &amp; Record Light</t>
  </si>
  <si>
    <t>4 Pack IR Bullet Fake Dummy Surveillance Security Camera with Record Light-Black</t>
  </si>
  <si>
    <t>4 Pack Eufy SoloCam S230 2K Outdoor Solar Wireless Security Cameras Night Vision</t>
  </si>
  <si>
    <t>IQP4018</t>
  </si>
  <si>
    <t>Luma LUM-501-DVR-8CH 1TB 8 Channel Digital Video Recorder n372</t>
  </si>
  <si>
    <t>SSCM2</t>
  </si>
  <si>
    <t>ClearView Digital Video recorder Panther5-17</t>
  </si>
  <si>
    <t>WST-233</t>
  </si>
  <si>
    <t>N30W1600</t>
  </si>
  <si>
    <t>AKT8W1F1</t>
  </si>
  <si>
    <t>AKT8420</t>
  </si>
  <si>
    <t>eufy Security Baby Monitor E21 with 4K UHD Camera, 5'' 720p Display 8X Zoom 24/8</t>
  </si>
  <si>
    <t>AKT8355</t>
  </si>
  <si>
    <t>AKT8125</t>
  </si>
  <si>
    <t>AKT8414</t>
  </si>
  <si>
    <t>AKE8135</t>
  </si>
  <si>
    <t>AKT8427</t>
  </si>
  <si>
    <t>AKT86P3</t>
  </si>
  <si>
    <t>AKT8163</t>
  </si>
  <si>
    <t>AKT8401</t>
  </si>
  <si>
    <t>AKE8601</t>
  </si>
  <si>
    <t>AKT8895</t>
  </si>
  <si>
    <t>AKE8875</t>
  </si>
  <si>
    <t>AKE8832</t>
  </si>
  <si>
    <t>T8901</t>
  </si>
  <si>
    <t>AKT8451</t>
  </si>
  <si>
    <t>AK-T8911</t>
  </si>
  <si>
    <t>AKT8135</t>
  </si>
  <si>
    <t>AKT8411</t>
  </si>
  <si>
    <t>AKE8125</t>
  </si>
  <si>
    <t>9 Channel H.265+ 5MP Lite DVR HD 1080p Recorder for Security Camera System</t>
  </si>
  <si>
    <t>17 Channel Security Recorder DVR for 5MP Hybrid AHD/TVI/CVI/CVBS/IP Analog Cam</t>
  </si>
  <si>
    <t>Technicolor 212 Video Recorder Untested for Parts - A2001</t>
  </si>
  <si>
    <t>4 Lens 12MP Solar Battery Home Security Camera Outdoor Wifi Wireless PTZ CCTV US</t>
  </si>
  <si>
    <t>4RE DVR, WGA00480-602</t>
  </si>
  <si>
    <t>11 Rare Earth Magnets Door Window Alarm White Security System</t>
  </si>
  <si>
    <t>961-000416</t>
  </si>
  <si>
    <t>P31-V18/V80-2</t>
  </si>
  <si>
    <t>rg60</t>
  </si>
  <si>
    <t>5B28S5</t>
  </si>
  <si>
    <t>Arlo Security Cameras,  4 Camera Outdoor with Solar Panels, 2K - VMK3451</t>
  </si>
  <si>
    <t>VMK3451</t>
  </si>
  <si>
    <t>NDAA, TVT, Titanium, ED9632H5NV-16P-AN, TD-3332H4-16P-B3</t>
  </si>
  <si>
    <t>11 Pcs DC Power Supply Female Jack Socket 5.5 x 2.1mm Barrel-Type PCB Mount</t>
  </si>
  <si>
    <t>AN-CR1CV0103</t>
  </si>
  <si>
    <t>AU-DT81DW001</t>
  </si>
  <si>
    <t>AU-KCR1CW0403</t>
  </si>
  <si>
    <t>ANNKE 8CH DVR 5MP Audio Security Camera System Human Detection Color Night IP68</t>
  </si>
  <si>
    <t>AN-I91ET0103</t>
  </si>
  <si>
    <t>DW81KN+C51EF*5</t>
  </si>
  <si>
    <t>5 X 100Ft Video&amp;Power Cable for Night Owl HD CCTV Security Camera Wire Cord</t>
  </si>
  <si>
    <t>Verkada Wall Pole Mount Bracket For Dome Bullet Security Cameras ACC‑MNT‑XLARM‑2</t>
  </si>
  <si>
    <t>ACC-MNT-XLARM-2</t>
  </si>
  <si>
    <t>Pool Patrol PA-30 Pool Alarm Certified ASTM Safety Specification F2209</t>
  </si>
  <si>
    <t>PA-31</t>
  </si>
  <si>
    <t>P31HJ55AS-V8010-2</t>
  </si>
  <si>
    <t>8MP 20x Optical Zoom Night Vision POE IP PTZ Security Camera 2-Way Audio IR IP67</t>
  </si>
  <si>
    <t>GeoVision USAVISION Outdoor PoE Network Mini Security Camera 4MP IR (0-LUX) IP68</t>
  </si>
  <si>
    <t>5 Pack IR Bullet Dummy Fake Surveillance Security Camera CCTV with Record Light</t>
  </si>
  <si>
    <t>WL-KEYMOD-COVER-33</t>
  </si>
  <si>
    <t>verint edgevr 201</t>
  </si>
  <si>
    <t>WHDA04</t>
  </si>
  <si>
    <t>20-Pack BNC to RJ45 Balun Transceiver | CCTV Video &amp; Power over CAT5e/7</t>
  </si>
  <si>
    <t>B0B7QMF9T6</t>
  </si>
  <si>
    <t>5 Channel NVR  (to use as repeater)</t>
  </si>
  <si>
    <t>3 Pack Rechargeable Battery A-1 for Arlo Pro 2 Camera VMA4400 VMS4230 VMC4030P</t>
  </si>
  <si>
    <t>A-1, A-1B, A-1C, 308-10029-02</t>
  </si>
  <si>
    <t>Genuine New Extra Battery for ARLO PRO 2 Security Camera VMA4400 VMS4230 VCS4501</t>
  </si>
  <si>
    <t>2x Genuine Battery V4 For Ring Battery Doorbell Plus/Pro, Video Doorbell 2/3/5</t>
  </si>
  <si>
    <t>V4, 5AT3S3, 5F53E9, 5F77E9, 5F79E10</t>
  </si>
  <si>
    <t>17 Gauge Heavy Duty DVR/NVR Security Lock Box with Cooling Fan -21 x 21 x 8 In</t>
  </si>
  <si>
    <t>Security system</t>
  </si>
  <si>
    <t>530113, 530120</t>
  </si>
  <si>
    <t>906909 906909 906910 906911 906912</t>
  </si>
  <si>
    <t>AU-DW81KD000-V8</t>
  </si>
  <si>
    <t>3 Pack Wireless 5G WiFi Security Camera System Smart Outdoor Night Vision 1080P</t>
  </si>
  <si>
    <t>101 PCS Nylon Universal Cable Tie Buckle，Heavy Duty Self-Locking Zip Ties Holder</t>
  </si>
  <si>
    <t>9 59888 00512 2</t>
  </si>
  <si>
    <t>AMCREST HD-LITE 8 CHANNEL VIDEO SECURITY RECORDER UP TO 6TB Capacity AMDVTENL8H6</t>
  </si>
  <si>
    <t>CP0000001024</t>
  </si>
  <si>
    <t>ANRAN 4G LTE Cellular Solar Battery Security Camera Outdoor Wireless Home IP66</t>
  </si>
  <si>
    <t>N30W1573</t>
  </si>
  <si>
    <t>CP0000000332</t>
  </si>
  <si>
    <t>T81601W2</t>
  </si>
  <si>
    <t>T8031</t>
  </si>
  <si>
    <t>5UM7E6</t>
  </si>
  <si>
    <t>3-pack Genuine OEM A-4a Batteries for Arlo Ultra Ultra 2, Arlo Pro 3, Arlo Pro 5</t>
  </si>
  <si>
    <t>TL5</t>
  </si>
  <si>
    <t>YCX-010</t>
  </si>
  <si>
    <t>COLUMNS/ ROWS CHECKING</t>
  </si>
  <si>
    <t xml:space="preserve">Number of UNKNOWN in BRAND COLUMN   = </t>
  </si>
  <si>
    <t xml:space="preserve">Number of UNBRANDED/GENERIC in BRAND COLUMN   = </t>
  </si>
  <si>
    <t>Number of Times "/" Occurred in PRODUCT TYPES</t>
  </si>
  <si>
    <t xml:space="preserve">Number of Times "Not Specified" Occurred in PRODUCT TYPE </t>
  </si>
  <si>
    <t xml:space="preserve">Number of Times "Other" Occurred in PRODUCT TYPE </t>
  </si>
  <si>
    <t xml:space="preserve">Number of Times "Uncategorized" Occurred in PRIMARY CATEGORY </t>
  </si>
  <si>
    <t>Number of Times  "Not Applicable" Occured in MPN</t>
  </si>
  <si>
    <t>Number of Times  "Do Not Apply" Occured in MPN</t>
  </si>
  <si>
    <t>Number of Times  "Does Not Apply/Not Apply" Occured in MPN</t>
  </si>
  <si>
    <t>Number of Times  "Blink Outdoor Indoor Camera" Occured in MPN</t>
  </si>
  <si>
    <t>Number of Times  "Black" Occured in MPN</t>
  </si>
  <si>
    <t>Number of Times  "Go PT Ultra with Solar Panel" Occured in MPN</t>
  </si>
  <si>
    <t>Number of Times  "Orbitell" Occured in MPN</t>
  </si>
  <si>
    <t>Number of Times  "Ring 2 3 4 Battery" Occured in MPN</t>
  </si>
  <si>
    <t>Number of Times  "BLINK MOUNT" Occured in MPN</t>
  </si>
  <si>
    <t>Number of Times  "Other/Generic" Occurred in Smart Home Ecosystem</t>
  </si>
  <si>
    <t>Number of Times  "Generic/Unknown" Occurred in Brand Tier</t>
  </si>
  <si>
    <t xml:space="preserve">Number of Blank Cell in Column C - MPN </t>
  </si>
  <si>
    <t xml:space="preserve">Number of Blank Cell in Column D - UPC </t>
  </si>
  <si>
    <t>Number of Blank Cell in Column L - WasPrice</t>
  </si>
  <si>
    <t>Number of Blank Cell in Column R - Price Per Channel</t>
  </si>
  <si>
    <t>Number of Blank Cell in Column S - Sold</t>
  </si>
  <si>
    <t xml:space="preserve">Number of Blank Cell in Column T - Available </t>
  </si>
  <si>
    <t xml:space="preserve">Number of Blank Cell in Column W - MPN </t>
  </si>
  <si>
    <t xml:space="preserve">Number of Blank Cell in Column X - UPC </t>
  </si>
  <si>
    <t xml:space="preserve">Number of Blank Cell in Column AY - Channel Count </t>
  </si>
  <si>
    <t>Number of Blank Cell in Column BD - Seller City</t>
  </si>
  <si>
    <t>Number of Blank Cell in Column BE - Seller State</t>
  </si>
  <si>
    <t>Number of Blank Cell in Column BF - Seller Country</t>
  </si>
  <si>
    <t>Number of Blank Cell in Column BK - Days Since Update</t>
  </si>
  <si>
    <t>Number of Blank Cell in Column BL - Listing Freshness Scores</t>
  </si>
  <si>
    <t xml:space="preserve">CHECKING FOR DUPLICATE  COLUMN </t>
  </si>
  <si>
    <t>NUMERIC RANGE VALIDATION</t>
  </si>
  <si>
    <t>Compare Title Columns</t>
  </si>
  <si>
    <t>Price Column (MAX)</t>
  </si>
  <si>
    <t>Compare Brand Columns</t>
  </si>
  <si>
    <t>Price Column (MIN)</t>
  </si>
  <si>
    <t>Compare MPN Columns</t>
  </si>
  <si>
    <t>Sold Column (MAX)</t>
  </si>
  <si>
    <t>Compare UPC Columns</t>
  </si>
  <si>
    <t>Sold Column (MIN)</t>
  </si>
  <si>
    <t>Compare Product Type Columns</t>
  </si>
  <si>
    <t>Available Column (MAX)</t>
  </si>
  <si>
    <t>Compare Primary Category Columns</t>
  </si>
  <si>
    <t>Available Column (MIN)</t>
  </si>
  <si>
    <t>Compare Smart Home Ecosystem Columns</t>
  </si>
  <si>
    <t>Discount Column (MAX)</t>
  </si>
  <si>
    <t>Compare Brand Tier Columns</t>
  </si>
  <si>
    <t>Discount Column (MIN)</t>
  </si>
  <si>
    <t>Compare Condition Columns</t>
  </si>
  <si>
    <t>Saving USD Column (MAX)</t>
  </si>
  <si>
    <t>Compare Condition Score Columns</t>
  </si>
  <si>
    <t>Saving USD Column (MIN)</t>
  </si>
  <si>
    <t xml:space="preserve">Column Nmae </t>
  </si>
  <si>
    <t>Value Investigated</t>
  </si>
  <si>
    <t>Formula  Used</t>
  </si>
  <si>
    <t>Count</t>
  </si>
  <si>
    <t>Notes</t>
  </si>
  <si>
    <t xml:space="preserve">Brand </t>
  </si>
  <si>
    <t xml:space="preserve">COUNTIF </t>
  </si>
  <si>
    <t>Verified</t>
  </si>
  <si>
    <t>Product Type</t>
  </si>
  <si>
    <t>Primary Category</t>
  </si>
  <si>
    <t xml:space="preserve">Uncategorized </t>
  </si>
  <si>
    <t xml:space="preserve">MPN </t>
  </si>
  <si>
    <t xml:space="preserve">Not Applicable </t>
  </si>
  <si>
    <t>Does Not Apply</t>
  </si>
  <si>
    <t>Do Apply</t>
  </si>
  <si>
    <t>Blank Cell Count</t>
  </si>
  <si>
    <t>COUNTBLANK</t>
  </si>
  <si>
    <t>Under Review</t>
  </si>
  <si>
    <t>UPC</t>
  </si>
  <si>
    <t>WasPrice</t>
  </si>
  <si>
    <t>Price Per Chanenel</t>
  </si>
  <si>
    <t>Sold</t>
  </si>
  <si>
    <t xml:space="preserve">Available </t>
  </si>
  <si>
    <t>Channel Discount</t>
  </si>
  <si>
    <t>Seller City</t>
  </si>
  <si>
    <t>Seller State</t>
  </si>
  <si>
    <t>Seller Country</t>
  </si>
  <si>
    <t>Days Since Update</t>
  </si>
  <si>
    <t>Listing Freshness Scores</t>
  </si>
  <si>
    <t>Boolean Consistency</t>
  </si>
  <si>
    <t>Filter Review (Unique Values Check)</t>
  </si>
  <si>
    <t>Valid</t>
  </si>
  <si>
    <t>has_two_audio</t>
  </si>
  <si>
    <t xml:space="preserve">Price </t>
  </si>
  <si>
    <t xml:space="preserve">Numeric Validation </t>
  </si>
  <si>
    <t>Manual Review + Numeric Format Check</t>
  </si>
  <si>
    <t>Discount_pct</t>
  </si>
  <si>
    <t>Saved_usd</t>
  </si>
  <si>
    <t>Available</t>
  </si>
  <si>
    <t>Title (A/U)</t>
  </si>
  <si>
    <t>Duplicated Columns</t>
  </si>
  <si>
    <t>IF(A2=U2,"Match","Different")</t>
  </si>
  <si>
    <t>Match</t>
  </si>
  <si>
    <t>Brand (B/V)</t>
  </si>
  <si>
    <t>IF</t>
  </si>
  <si>
    <t>MPN (C/W)</t>
  </si>
  <si>
    <t>Retained Column</t>
  </si>
  <si>
    <t>Different</t>
  </si>
  <si>
    <t>UPC (D/X)</t>
  </si>
  <si>
    <t>Product Type (E/Y)</t>
  </si>
  <si>
    <t>Primary Category (F/Z)</t>
  </si>
  <si>
    <t>Smart Home Ecosystem (G/AA)</t>
  </si>
  <si>
    <t>Brand Tier (H/AB)</t>
  </si>
  <si>
    <t>Condition (I/AC)</t>
  </si>
  <si>
    <t>Condition Score (J/AD)</t>
  </si>
  <si>
    <t>Not Duplicated / Under Investigation</t>
  </si>
  <si>
    <t>Price</t>
  </si>
  <si>
    <t>Numeric Range Review</t>
  </si>
  <si>
    <t>MIN/MAX</t>
  </si>
  <si>
    <t>3 – 1499.99</t>
  </si>
  <si>
    <t>1 – 10872</t>
  </si>
  <si>
    <t>1 – 701</t>
  </si>
  <si>
    <t>Discount %</t>
  </si>
  <si>
    <t>0 – 75</t>
  </si>
  <si>
    <t>Savings USD</t>
  </si>
  <si>
    <t>0 – 480</t>
  </si>
  <si>
    <t>Date</t>
  </si>
  <si>
    <t>Observation Type</t>
  </si>
  <si>
    <t>Details</t>
  </si>
  <si>
    <t>Dataset Structure</t>
  </si>
  <si>
    <t>Dataset contains 863 rows and multiple ecommerce-related columns</t>
  </si>
  <si>
    <t>Dataset</t>
  </si>
  <si>
    <t>Dataset appears related to home surveillance ecommerce product listings and sales performance</t>
  </si>
  <si>
    <t>Data Composition</t>
  </si>
  <si>
    <t>Dataset includes pricing, inventory, seller, product feature, and operational columns</t>
  </si>
  <si>
    <t>Initial Assessment</t>
  </si>
  <si>
    <t>Potential missing or incomplete records observed during initial dataset review</t>
  </si>
  <si>
    <t>Data Type Review</t>
  </si>
  <si>
    <t>Dataset contains numerical, categorical, boolean, and text-based fields</t>
  </si>
  <si>
    <t>Boolean Structure Review</t>
  </si>
  <si>
    <t>Multiple smart-device feature columns appear to function as boolean indicators</t>
  </si>
  <si>
    <t>Pricing Review</t>
  </si>
  <si>
    <t>Pricing-related columns appear primarily numerical pending validation</t>
  </si>
  <si>
    <t>Missing Value Assessment</t>
  </si>
  <si>
    <t>Brand column contains 0 blank cells within Rows 2 - 863</t>
  </si>
  <si>
    <t>The MPN field contains 458 blank cells within Rows 2–863. Additional placeholder values such as "Not Applicable" and "Does Not Apply" are being assessed separately from blank cells. Products remain identifiable using Title and Brand fields. No removal planned.</t>
  </si>
  <si>
    <t>UPC Column contains 661 blank cells within Row 2 - 863</t>
  </si>
  <si>
    <t>WasPrice Column contains 683 blank cells within row 2 - 863</t>
  </si>
  <si>
    <t>ChannelmDiscount Column Contains 661 blank cells within Row 2 - 863</t>
  </si>
  <si>
    <t>Seller City Column contains 64 blank cells within Row 2 - 863</t>
  </si>
  <si>
    <t>Seller State Column contains 64 blank cells within Row 2 - 864</t>
  </si>
  <si>
    <t>Seller Country Column contains 64 blank cells within Row 2 - 865</t>
  </si>
  <si>
    <t>Days Since Updates Column contains 103 blank cells within Row 2 - 866</t>
  </si>
  <si>
    <t>Listing Freshness Scores Column contains 103 blank cells within Row 2 - 867</t>
  </si>
  <si>
    <t>Boolean Validation</t>
  </si>
  <si>
    <t>has_wifi Column appears consistently represented using binary values (0 and 1)</t>
  </si>
  <si>
    <t>has_poe Column appears consistently represented using binary values (0 and 1)</t>
  </si>
  <si>
    <t>has_Cloud_Storage Column appears consistently represented using binary values (0 and 1)</t>
  </si>
  <si>
    <t>has_AI_Detection Column appears consistently represented using binary values (0 and 1)</t>
  </si>
  <si>
    <t>has_motion_Detect Column appears consistently represented using binary values (0 and 1)</t>
  </si>
  <si>
    <t>has_two_way_audio Column appears consistently represented using binary values (0 and 1)</t>
  </si>
  <si>
    <t>has_voice_control Column appears consistently represented using binary values (0 and 1)</t>
  </si>
  <si>
    <t>has_floodlightColumn appears consistently represented using binary values (0 and 1)</t>
  </si>
  <si>
    <t>Numeric Validation</t>
  </si>
  <si>
    <t>Initial review indicates Price Column appears to contain numeric values.</t>
  </si>
  <si>
    <t>Initial review indicates WasPrice Column appears to contain numeric values.</t>
  </si>
  <si>
    <t>Initial review indicates Discount_pct Column appears to contain numeric values.</t>
  </si>
  <si>
    <t>Initial review indicates Saved_Usd Column appears to contain numeric values.</t>
  </si>
  <si>
    <t>Initial review indicates Sold Column appears to contain numeric values</t>
  </si>
  <si>
    <t>Initial review indicates Available Column appears to contain numeric values.</t>
  </si>
  <si>
    <t>Brand  Validation</t>
  </si>
  <si>
    <t>Brand value "Rin.G" reviewed against supporting fields. Product title and Smart Home Ecosystem both reference Ring. No evidence found indicating Rin.G is a separate brand.</t>
  </si>
  <si>
    <t>Product Type Validation</t>
  </si>
  <si>
    <t>Product Type value "?" identified in Row 514. Product title indicates a Digital Video Recorder and Primary Category is Surveillance DVRs &amp; NVRs. No modification performed due to absence of documented business rules.</t>
  </si>
  <si>
    <t>Cleaning Action/ Text Standardizatio Review</t>
  </si>
  <si>
    <t>Brand value "Rin.G" standardized to "Ring" in Working_Data following validation against supporting fields. Raw dataset preserved unchanged.</t>
  </si>
  <si>
    <t>Dataset Structure Validation</t>
  </si>
  <si>
    <t>MPN and UPC repeated columns were reviewed. Values were found to differ across records and appear to represent separate identifiers rather than duplicated fields.</t>
  </si>
  <si>
    <t>Structural Validation</t>
  </si>
  <si>
    <t>Product Type, Primary Category, Smart Home Ecosystem, Brand Tier, and Condition columns matched corresponding repeated fields during sampled validation.</t>
  </si>
  <si>
    <t>Header Validation</t>
  </si>
  <si>
    <t>Column AD shares the same header name as Column J (condition_score), but sampled values differ significantly. Original structure retained pending supporting documentation which requires further investigation before any modification.</t>
  </si>
  <si>
    <t>Text Standardization Review</t>
  </si>
  <si>
    <t>Brand Column contains multiple naming formats for Alarm.com products. Further review suggests values may represent the same brand using different naming conventions.</t>
  </si>
  <si>
    <t>Product Type Review</t>
  </si>
  <si>
    <t>Several Product Type values appear to represent the same category using different naming conventions. Further review required before standardization.</t>
  </si>
  <si>
    <t>Product Type Standardization</t>
  </si>
  <si>
    <t>Bullet / Dome naming variations identified and verified as representing the same product category.</t>
  </si>
  <si>
    <t>CCTV Camera and CCTV Cameras verified as equivalent product types.</t>
  </si>
  <si>
    <t>Digital Video Recorder and Digital Video Recorders require additional review due to differing product contexts.</t>
  </si>
  <si>
    <t>Condition Review</t>
  </si>
  <si>
    <t>Condition field reviewed. No formatting inconsistencies, naming inconsistencies, or standardization issues identified.</t>
  </si>
  <si>
    <t>Sample review of Product Type value "Other" identified products across multiple categories including accessories, NVR systems, mounting equipment, sensors, and smart-home devices. Original value retained.</t>
  </si>
  <si>
    <t>Geographic Review</t>
  </si>
  <si>
    <t>Seller State contains both abbreviated and full state names.</t>
  </si>
  <si>
    <t>Seller Country contains multiple representations of the United States.</t>
  </si>
  <si>
    <t>Seller City contains capitalization inconsistencies.</t>
  </si>
  <si>
    <t>SHEN ZHEN observed as a city value. No alternative spelling identified in dataset.</t>
  </si>
  <si>
    <t>Geographic standardization deferred to preserve source-system values.</t>
  </si>
  <si>
    <t>Pricing, sales, inventory, discount, and savings fields were reviewed using MIN and MAX validation.</t>
  </si>
  <si>
    <t>No negative values, impossible values, or obvious outliers were identified.</t>
  </si>
  <si>
    <t>Numeric fields appear suitable for analysis.</t>
  </si>
  <si>
    <t>Seller Review</t>
  </si>
  <si>
    <t>Seller field reviewed. No blank values, typographical issues, or naming inconsistencies identified. Seller identifiers follow a consistent format.</t>
  </si>
  <si>
    <t>Numeric Review</t>
  </si>
  <si>
    <t>Discount_pct and Savings_USD fields contain zero values representing products with no active discount. Values were retained as valid business information.</t>
  </si>
  <si>
    <t>Data Exploration</t>
  </si>
  <si>
    <t>Descriptive statistics initiated for Price, Sold, Available, Discount Percentage, and Savings USD.</t>
  </si>
  <si>
    <t>Statistical summaries calculated to understand product pricing, sales performance, inventory levels, and discount behavior.</t>
  </si>
  <si>
    <t>Descriptive Statistics</t>
  </si>
  <si>
    <t>Average product price ($117.12) exceeds median price ($73.13), indicating a right-skewed price distribution.</t>
  </si>
  <si>
    <t>Sales volume is concentrated among a small number of products. Average units sold (252.57) significantly exceeds median units sold (41).</t>
  </si>
  <si>
    <t>More than half of products have no recorded discount, as indicated by a median discount percentage of 0%.</t>
  </si>
  <si>
    <t>Descriptive statistics completed for Price, Sold, Available, Discount Percentage, and Savings USD.</t>
  </si>
  <si>
    <t>Summary metrics calculated including Count, Sum, Average, Median, Minimum, and Maximum values.</t>
  </si>
  <si>
    <t>KPI Development</t>
  </si>
  <si>
    <t>Core ecommerce KPIs identified and calculated to support revenue, inventory, pricing, and sales analysis.</t>
  </si>
  <si>
    <t>Added Estimated Revenue metric to Working_Data to support revenue analysis and business performance evaluation.</t>
  </si>
  <si>
    <t>Estimated Revenue calculated as Price × Units Sold for each product listing.</t>
  </si>
  <si>
    <t>Dataset generated estimated revenue of $11,677,296.20 across all product listings.</t>
  </si>
  <si>
    <t>Estimated Revenue column created in BM and populated for all active records.</t>
  </si>
  <si>
    <t>Pivot Analysis</t>
  </si>
  <si>
    <t>Grand total revenue remained consistent across all pivot tables ($11,677,296.20).</t>
  </si>
  <si>
    <t>Revenue aggregation verified across all dimensions using Estimated Revenue metric.</t>
  </si>
  <si>
    <t>Revenue by Brand analysis completed.</t>
  </si>
  <si>
    <t>Eufy generated the highest estimated revenue among all brands.</t>
  </si>
  <si>
    <t>IP/Smart Camera Systems generated the highest category revenue.</t>
  </si>
  <si>
    <t>Camera and Bullet Camera product types generated the largest revenue contribution.</t>
  </si>
  <si>
    <t>Revenue distribution appears concentrated among a limited number of sellers.</t>
  </si>
  <si>
    <t>Other/Generic ecosystem classification generated the highest revenue contribution.</t>
  </si>
  <si>
    <t>Inventory Analysis</t>
  </si>
  <si>
    <t>Units Sold by Brand pivot table created.</t>
  </si>
  <si>
    <t>Available Inventory by Brand pivot table created.</t>
  </si>
  <si>
    <t>Total Units Sold across dataset: 190,692 units.</t>
  </si>
  <si>
    <t>Total Available Inventory across dataset: 17,925 units.</t>
  </si>
  <si>
    <t>Inventory and demand analysis performed at brand level.</t>
  </si>
  <si>
    <t>SQL Preparation</t>
  </si>
  <si>
    <t>Exported cleaned Working_Data dataset as surveillance_products.csv for SQL analysis.</t>
  </si>
  <si>
    <t>Duplicate structural fields excluded from SQL export version.</t>
  </si>
  <si>
    <t>Database Setup</t>
  </si>
  <si>
    <t>Created home_surveillance database in MySQL Workbench 8.0 CE.</t>
  </si>
  <si>
    <t>Data Migration</t>
  </si>
  <si>
    <t>Prepared surveillance_products.csv for import into MySQL database.</t>
  </si>
  <si>
    <t>SQL Analysis Preparation</t>
  </si>
  <si>
    <t>Dataset prepared for advanced business analysis including revenue, inventory, seller performance, discount impact, and ecosystem analysis.</t>
  </si>
  <si>
    <t>Created MySQL database: home_surveillance.</t>
  </si>
  <si>
    <t>File Preparation</t>
  </si>
  <si>
    <t>Exported cleaned dataset as surveillance_products.csv.</t>
  </si>
  <si>
    <t>MySQL Configuration</t>
  </si>
  <si>
    <t>Enabled local_infile and verified configuration.</t>
  </si>
  <si>
    <t>File Placement</t>
  </si>
  <si>
    <t>Moved CSV file into MySQL Uploads directory.</t>
  </si>
  <si>
    <t>Data Import</t>
  </si>
  <si>
    <t>Successfully imported dataset into MySQL using LOAD DATA INFILE.</t>
  </si>
  <si>
    <t>Validation</t>
  </si>
  <si>
    <t>Imported 862 product records (header row excluded).</t>
  </si>
  <si>
    <t>Data Structure Review</t>
  </si>
  <si>
    <t>Confirmed dataset imported into a single raw text column (raw_data).</t>
  </si>
  <si>
    <t>Next Phase</t>
  </si>
  <si>
    <t>Preparing structured table creation for SQL business analysis.</t>
  </si>
  <si>
    <t>Project Completion</t>
  </si>
  <si>
    <t>Completed Home Surveillance E-commerce Analysis project.</t>
  </si>
  <si>
    <t>Project Outcome</t>
  </si>
  <si>
    <t>Produced actionable business insights for surveillance product market performance, pricing strategy, and seller optimization.</t>
  </si>
  <si>
    <t>Recommendation</t>
  </si>
  <si>
    <t>Focus inventory investment on high-performing product categories and premium ecosystem-compatible products.</t>
  </si>
  <si>
    <t>Column  Name</t>
  </si>
  <si>
    <t>Issue Type</t>
  </si>
  <si>
    <t xml:space="preserve">Observations </t>
  </si>
  <si>
    <t xml:space="preserve">Proposed Action </t>
  </si>
  <si>
    <t>Status</t>
  </si>
  <si>
    <t>Data Quality Assessment</t>
  </si>
  <si>
    <t>Potential missing or incomplete values observed during initial review</t>
  </si>
  <si>
    <t>Pending verification</t>
  </si>
  <si>
    <t>Possible blank rows reported during initial inspection</t>
  </si>
  <si>
    <t>Brand</t>
  </si>
  <si>
    <t>Placeholder Value</t>
  </si>
  <si>
    <t>Unknown appears 125 times</t>
  </si>
  <si>
    <t>Standardize as Missing Information</t>
  </si>
  <si>
    <t>Approved</t>
  </si>
  <si>
    <t>Unbranded/Generic appears 17 times</t>
  </si>
  <si>
    <t>Keep as valid business category</t>
  </si>
  <si>
    <t>Other appears 62 times</t>
  </si>
  <si>
    <t>Keep as valid category</t>
  </si>
  <si>
    <t>Not Specified appears 1 time</t>
  </si>
  <si>
    <t>? appears 1 time</t>
  </si>
  <si>
    <t xml:space="preserve">Primary Category </t>
  </si>
  <si>
    <t>Uncategorized  appears 42 time</t>
  </si>
  <si>
    <t>MPN</t>
  </si>
  <si>
    <t>Not Applicable appears 1 time</t>
  </si>
  <si>
    <t>Does Not Apply appears 1 time</t>
  </si>
  <si>
    <t>Do Not Apply appears 1 time</t>
  </si>
  <si>
    <t>Missing Value</t>
  </si>
  <si>
    <t>458 blank cells</t>
  </si>
  <si>
    <t>Retain, assess impact during analysis</t>
  </si>
  <si>
    <t>661 blank cells</t>
  </si>
  <si>
    <t>Retain, product identifiable through Title and Brand</t>
  </si>
  <si>
    <t>Records remain usable despite blank values</t>
  </si>
  <si>
    <t>Retain blanks</t>
  </si>
  <si>
    <t>Price Per Channel</t>
  </si>
  <si>
    <t>64 blank records identified.</t>
  </si>
  <si>
    <t>Retain as missing.</t>
  </si>
  <si>
    <t>65 blank records identified.</t>
  </si>
  <si>
    <t>66 blank records identified.</t>
  </si>
  <si>
    <t xml:space="preserve">Product Type </t>
  </si>
  <si>
    <t>Value "?" observed in Row 514. Supporting fields suggest a valid product classification may exist.</t>
  </si>
  <si>
    <t>Retain original value until business rules are available.</t>
  </si>
  <si>
    <t>Structural Review</t>
  </si>
  <si>
    <t>Repeated field names identified but values differ between columns.</t>
  </si>
  <si>
    <t>Retain both columns.</t>
  </si>
  <si>
    <t>Columns contain matching values in reviewed records.</t>
  </si>
  <si>
    <t>Verify all records before considering removal.</t>
  </si>
  <si>
    <t>Under Investigation</t>
  </si>
  <si>
    <t>Header name matches Column J but values differ substantially.</t>
  </si>
  <si>
    <t>Retain original structure and document discrepancy.</t>
  </si>
  <si>
    <t>Naming Inconsistency</t>
  </si>
  <si>
    <t>Brand recorded as both "Alarm Dot Com" and "Alarm.Com". Product titles suggest reference to the same brand.</t>
  </si>
  <si>
    <t>Standardize naming convention in WORKING_DATA after review.</t>
  </si>
  <si>
    <t>Typographical Error</t>
  </si>
  <si>
    <t>Rin.G identified instead of Ring.</t>
  </si>
  <si>
    <t>Standardize to Ring in WORKING_DATA</t>
  </si>
  <si>
    <t>Bullet / Dome, Bullet Or Dome, and Bullet/ Dome For Option! appear to represent the same camera category.</t>
  </si>
  <si>
    <t>Standardize to Bullet / Dome</t>
  </si>
  <si>
    <t>CCTV Camera and CCTV Cameras appear to represent the same product type.</t>
  </si>
  <si>
    <t>Standardize to CCTV Camera</t>
  </si>
  <si>
    <t>Digital Video Recorder and Digital Video Recorders appear in different product contexts.</t>
  </si>
  <si>
    <t>Further validation required</t>
  </si>
  <si>
    <t>Category Review</t>
  </si>
  <si>
    <t>Value "Other" contains multiple unrelated product categories.</t>
  </si>
  <si>
    <t>Retain original value</t>
  </si>
  <si>
    <t>Mixed Geographic Format</t>
  </si>
  <si>
    <t>Contains both state abbreviations and full state names (TX/Texas, FL/Florida, CA/California).</t>
  </si>
  <si>
    <t>Retain source values. Consider standardization during analysis if required.</t>
  </si>
  <si>
    <t>Multiple representations of United States observed.</t>
  </si>
  <si>
    <t>Retain source values. Review during analysis</t>
  </si>
  <si>
    <t>Capitalization Inconsistency</t>
  </si>
  <si>
    <t>City of Industry / City Of Industry identified.</t>
  </si>
  <si>
    <t>Standardize capitalization.</t>
  </si>
  <si>
    <t>Multiple Locations / Multiple locations identified.</t>
  </si>
  <si>
    <t>Naming Variation</t>
  </si>
  <si>
    <t>SHEN ZHEN observed. No alternative spelling identified.</t>
  </si>
  <si>
    <t>Retain original value.</t>
  </si>
  <si>
    <t>KPI</t>
  </si>
  <si>
    <t>Meaning</t>
  </si>
  <si>
    <t>Revenue Proxy USD</t>
  </si>
  <si>
    <t>Estimated product revenue performance</t>
  </si>
  <si>
    <t>Sell Through Rate</t>
  </si>
  <si>
    <t>Inventory sales efficiency</t>
  </si>
  <si>
    <t>Discount Percentage</t>
  </si>
  <si>
    <t>Product discount intensity</t>
  </si>
  <si>
    <t>Global Reach Score</t>
  </si>
  <si>
    <t>Seller international shipping reach</t>
  </si>
  <si>
    <t>Tech Richness Score</t>
  </si>
  <si>
    <t>Product technology complexity</t>
  </si>
  <si>
    <t>Commercial Value Score</t>
  </si>
  <si>
    <t>Estimated business value indicator</t>
  </si>
  <si>
    <t>Product Demand Tier</t>
  </si>
  <si>
    <t>Product popularity</t>
  </si>
  <si>
    <t>Metric</t>
  </si>
  <si>
    <t>Discount_Pct</t>
  </si>
  <si>
    <t>Saving_USD</t>
  </si>
  <si>
    <t>COUNT</t>
  </si>
  <si>
    <t>SUM</t>
  </si>
  <si>
    <t>AVERAGE</t>
  </si>
  <si>
    <t>MEDIAN</t>
  </si>
  <si>
    <t>MINIMUM</t>
  </si>
  <si>
    <t>MAXIMUM</t>
  </si>
  <si>
    <t>KEY PERFORMANCE INDICATORS (KPIs)</t>
  </si>
  <si>
    <t>VALUE</t>
  </si>
  <si>
    <t>Total Products</t>
  </si>
  <si>
    <t>Total Units Sold</t>
  </si>
  <si>
    <t>Total Inventory Available</t>
  </si>
  <si>
    <t>Average Product Price</t>
  </si>
  <si>
    <t>Average Discount Percentage</t>
  </si>
  <si>
    <t>Total Savings USD</t>
  </si>
  <si>
    <t>Estimated Revenue</t>
  </si>
  <si>
    <t>Revenue by Brand</t>
  </si>
  <si>
    <t>Revenue by Primary Category</t>
  </si>
  <si>
    <t>Revenue by Product Type</t>
  </si>
  <si>
    <t>Revenue by Seller</t>
  </si>
  <si>
    <t>Revenue by Smart Home Ecosystem</t>
  </si>
  <si>
    <t>Units Sold by Brand</t>
  </si>
  <si>
    <t>Available Inventory by Brand</t>
  </si>
  <si>
    <t>SUM of estimated_revenue</t>
  </si>
  <si>
    <t>SUM of sold</t>
  </si>
  <si>
    <t>SUM of available</t>
  </si>
  <si>
    <t>Grand Total</t>
  </si>
  <si>
    <t>Top 10 Brands by Estimated Revenue</t>
  </si>
  <si>
    <t>Top 10 Primary Category by Estimated Revenue</t>
  </si>
  <si>
    <t>Top 10 Product Type by Estimated Revenue</t>
  </si>
  <si>
    <t>Top 10 Seller by Estimated Revenue</t>
  </si>
  <si>
    <t>Top 10 Smart Home Ecosystem by Estimated Revenue</t>
  </si>
  <si>
    <t>Top Brands by Units Sold</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</si>
</sst>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quot;$&quot;#,##0.00"/>
    <numFmt numFmtId="179" formatCode="yyyy\-mm\-dd"/>
    <numFmt numFmtId="180" formatCode="[$$]#,##0.00"/>
  </numFmts>
  <fonts count="32">
    <font>
      <sz val="10"/>
      <color rgb="FF000000"/>
      <name val="Arial"/>
      <charset val="134"/>
      <scheme val="minor"/>
    </font>
    <font>
      <b/>
      <sz val="15"/>
      <color theme="1"/>
      <name val="Times New Roman"/>
      <charset val="134"/>
    </font>
    <font>
      <sz val="14"/>
      <color theme="1"/>
      <name val="Times New Roman"/>
      <charset val="134"/>
    </font>
    <font>
      <sz val="12"/>
      <color theme="1"/>
      <name val="Times New Roman"/>
      <charset val="134"/>
    </font>
    <font>
      <sz val="11"/>
      <color theme="1"/>
      <name val="Arial"/>
      <charset val="134"/>
      <scheme val="minor"/>
    </font>
    <font>
      <sz val="10"/>
      <color theme="1"/>
      <name val="Arial"/>
      <charset val="134"/>
      <scheme val="minor"/>
    </font>
    <font>
      <b/>
      <sz val="14"/>
      <color theme="1"/>
      <name val="Times New Roman"/>
      <charset val="134"/>
    </font>
    <font>
      <b/>
      <sz val="12"/>
      <color theme="1"/>
      <name val="Times New Roman"/>
      <charset val="134"/>
    </font>
    <font>
      <sz val="13"/>
      <color theme="1"/>
      <name val="Times New Roman"/>
      <charset val="134"/>
    </font>
    <font>
      <sz val="12"/>
      <color rgb="FF000000"/>
      <name val="Times New Roman"/>
      <charset val="134"/>
    </font>
    <font>
      <sz val="11"/>
      <color rgb="FF000000"/>
      <name val="Arial"/>
      <charset val="134"/>
    </font>
    <font>
      <u/>
      <sz val="12"/>
      <color rgb="FF0000FF"/>
      <name val="Times New Roman"/>
      <charset val="134"/>
    </font>
    <font>
      <u/>
      <sz val="10"/>
      <color rgb="FF0000FF"/>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rgb="FFABABAB"/>
      </left>
      <right/>
      <top style="thin">
        <color rgb="FFABABAB"/>
      </top>
      <bottom/>
      <diagonal/>
    </border>
    <border>
      <left style="thin">
        <color rgb="FFABABAB"/>
      </left>
      <right style="thin">
        <color rgb="FFABABAB"/>
      </right>
      <top style="thin">
        <color rgb="FFABABAB"/>
      </top>
      <bottom/>
      <diagonal/>
    </border>
    <border>
      <left style="thin">
        <color rgb="FFABABAB"/>
      </left>
      <right/>
      <top/>
      <bottom/>
      <diagonal/>
    </border>
    <border>
      <left style="thin">
        <color rgb="FFABABAB"/>
      </left>
      <right style="thin">
        <color rgb="FFABABAB"/>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4" fillId="2" borderId="7"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8" applyNumberFormat="0" applyFill="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0" fillId="0" borderId="0" applyNumberFormat="0" applyFill="0" applyBorder="0" applyAlignment="0" applyProtection="0">
      <alignment vertical="center"/>
    </xf>
    <xf numFmtId="0" fontId="21" fillId="3" borderId="10" applyNumberFormat="0" applyAlignment="0" applyProtection="0">
      <alignment vertical="center"/>
    </xf>
    <xf numFmtId="0" fontId="22" fillId="4" borderId="11" applyNumberFormat="0" applyAlignment="0" applyProtection="0">
      <alignment vertical="center"/>
    </xf>
    <xf numFmtId="0" fontId="23" fillId="4" borderId="10" applyNumberFormat="0" applyAlignment="0" applyProtection="0">
      <alignment vertical="center"/>
    </xf>
    <xf numFmtId="0" fontId="24" fillId="5" borderId="12" applyNumberFormat="0" applyAlignment="0" applyProtection="0">
      <alignment vertical="center"/>
    </xf>
    <xf numFmtId="0" fontId="25" fillId="0" borderId="13" applyNumberFormat="0" applyFill="0" applyAlignment="0" applyProtection="0">
      <alignment vertical="center"/>
    </xf>
    <xf numFmtId="0" fontId="26" fillId="0" borderId="14" applyNumberFormat="0" applyFill="0" applyAlignment="0" applyProtection="0">
      <alignment vertical="center"/>
    </xf>
    <xf numFmtId="0" fontId="27" fillId="6" borderId="0" applyNumberFormat="0" applyBorder="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cellStyleXfs>
  <cellXfs count="39">
    <xf numFmtId="0" fontId="0" fillId="0" borderId="0" xfId="0" applyFont="1" applyAlignment="1"/>
    <xf numFmtId="0" fontId="1" fillId="0" borderId="0" xfId="0" applyFont="1" applyAlignment="1">
      <alignment horizontal="center"/>
    </xf>
    <xf numFmtId="0" fontId="1" fillId="0" borderId="0" xfId="0" applyFont="1" applyAlignment="1"/>
    <xf numFmtId="0" fontId="2" fillId="0" borderId="0" xfId="0" applyFont="1"/>
    <xf numFmtId="0" fontId="0" fillId="0" borderId="1" xfId="0" applyFont="1" applyBorder="1" applyAlignment="1"/>
    <xf numFmtId="0" fontId="0" fillId="0" borderId="2" xfId="0" applyFont="1" applyBorder="1" applyAlignment="1"/>
    <xf numFmtId="0" fontId="0" fillId="0" borderId="3" xfId="0" applyFont="1" applyBorder="1" applyAlignment="1"/>
    <xf numFmtId="0" fontId="0" fillId="0" borderId="4" xfId="0" applyFont="1" applyBorder="1" applyAlignment="1"/>
    <xf numFmtId="0" fontId="0" fillId="0" borderId="5" xfId="0" applyFont="1" applyBorder="1" applyAlignment="1"/>
    <xf numFmtId="0" fontId="0" fillId="0" borderId="6" xfId="0" applyFont="1" applyBorder="1" applyAlignment="1"/>
    <xf numFmtId="178" fontId="3" fillId="0" borderId="0" xfId="0" applyNumberFormat="1" applyFont="1"/>
    <xf numFmtId="178" fontId="4" fillId="0" borderId="0" xfId="0" applyNumberFormat="1" applyFont="1" applyAlignment="1"/>
    <xf numFmtId="178" fontId="5" fillId="0" borderId="0" xfId="0" applyNumberFormat="1" applyFont="1"/>
    <xf numFmtId="0" fontId="3" fillId="0" borderId="0" xfId="0" applyFont="1"/>
    <xf numFmtId="0" fontId="6" fillId="0" borderId="0" xfId="0" applyFont="1" applyAlignment="1">
      <alignment horizontal="center"/>
    </xf>
    <xf numFmtId="0" fontId="7" fillId="0" borderId="0" xfId="0" applyFont="1" applyAlignment="1"/>
    <xf numFmtId="178" fontId="3" fillId="0" borderId="0" xfId="0" applyNumberFormat="1" applyFont="1" applyAlignment="1"/>
    <xf numFmtId="0" fontId="6" fillId="0" borderId="0" xfId="0" applyFont="1" applyAlignment="1">
      <alignment horizontal="center" wrapText="1"/>
    </xf>
    <xf numFmtId="0" fontId="3" fillId="0" borderId="0" xfId="0" applyFont="1" applyAlignment="1"/>
    <xf numFmtId="0" fontId="3" fillId="0" borderId="0" xfId="0" applyFont="1" applyAlignment="1">
      <alignment wrapText="1"/>
    </xf>
    <xf numFmtId="179" fontId="3" fillId="0" borderId="0" xfId="0" applyNumberFormat="1" applyFont="1" applyAlignment="1">
      <alignment horizontal="left"/>
    </xf>
    <xf numFmtId="179" fontId="8" fillId="0" borderId="0" xfId="0" applyNumberFormat="1" applyFont="1" applyAlignment="1">
      <alignment horizontal="left"/>
    </xf>
    <xf numFmtId="179" fontId="2" fillId="0" borderId="0" xfId="0" applyNumberFormat="1" applyFont="1" applyAlignment="1">
      <alignment horizontal="left"/>
    </xf>
    <xf numFmtId="0" fontId="9" fillId="0" borderId="0" xfId="0" applyFont="1" applyAlignment="1"/>
    <xf numFmtId="0" fontId="9" fillId="0" borderId="0" xfId="0" applyFont="1" applyAlignment="1">
      <alignment wrapText="1"/>
    </xf>
    <xf numFmtId="0" fontId="10" fillId="0" borderId="0" xfId="0" applyFont="1" applyAlignment="1">
      <alignment wrapText="1"/>
    </xf>
    <xf numFmtId="0" fontId="4" fillId="0" borderId="0" xfId="0" applyFont="1" applyAlignment="1"/>
    <xf numFmtId="0" fontId="5" fillId="0" borderId="0" xfId="0" applyFont="1" applyAlignment="1"/>
    <xf numFmtId="180" fontId="3" fillId="0" borderId="0" xfId="0" applyNumberFormat="1" applyFont="1" applyAlignment="1"/>
    <xf numFmtId="178" fontId="6" fillId="0" borderId="0" xfId="0" applyNumberFormat="1" applyFont="1" applyAlignment="1">
      <alignment horizontal="center"/>
    </xf>
    <xf numFmtId="0" fontId="6" fillId="0" borderId="0" xfId="0" applyFont="1" applyAlignment="1"/>
    <xf numFmtId="0" fontId="3" fillId="0" borderId="0" xfId="0" applyFont="1" applyAlignment="1">
      <alignment horizontal="left"/>
    </xf>
    <xf numFmtId="0" fontId="3" fillId="0" borderId="0" xfId="0" applyFont="1" applyAlignment="1">
      <alignment horizontal="right"/>
    </xf>
    <xf numFmtId="0" fontId="3" fillId="0" borderId="0" xfId="0" applyFont="1" applyAlignment="1">
      <alignment horizontal="left" wrapText="1"/>
    </xf>
    <xf numFmtId="0" fontId="11" fillId="0" borderId="0" xfId="0" applyFont="1" applyAlignment="1"/>
    <xf numFmtId="0" fontId="5" fillId="0" borderId="0" xfId="0" applyFont="1"/>
    <xf numFmtId="0" fontId="9" fillId="0" borderId="0" xfId="0" applyFont="1"/>
    <xf numFmtId="4" fontId="5" fillId="0" borderId="0" xfId="0" applyNumberFormat="1" applyFont="1" applyAlignment="1"/>
    <xf numFmtId="0" fontId="12" fillId="0" borderId="0" xfId="0" applyFon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pivotCacheDefinition" Target="pivotCache/pivotCacheDefinition1.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SUM of available vs. brand</a:t>
            </a:r>
            <a:endParaRPr b="0">
              <a:solidFill>
                <a:srgbClr val="757575"/>
              </a:solidFill>
              <a:latin typeface="+mn-lt"/>
            </a:endParaRPr>
          </a:p>
        </c:rich>
      </c:tx>
      <c:layout/>
      <c:overlay val="0"/>
    </c:title>
    <c:autoTitleDeleted val="0"/>
    <c:plotArea>
      <c:layout/>
      <c:barChart>
        <c:barDir val="col"/>
        <c:grouping val="none"/>
        <c:varyColors val="0"/>
        <c:ser>
          <c:idx val="0"/>
          <c:order val="0"/>
          <c:tx>
            <c:strRef>
              <c:f>Pivot_Analysis!$Z$1:$Z$2</c:f>
              <c:strCache>
                <c:ptCount val="1"/>
                <c:pt idx="0">
                  <c:v>Available Inventory by Brand SUM of available</c:v>
                </c:pt>
              </c:strCache>
            </c:strRef>
          </c:tx>
          <c:spPr>
            <a:solidFill>
              <a:schemeClr val="accent1"/>
            </a:solidFill>
            <a:ln cmpd="sng">
              <a:solidFill>
                <a:srgbClr val="000000"/>
              </a:solidFill>
            </a:ln>
          </c:spPr>
          <c:invertIfNegative val="0"/>
          <c:dLbls>
            <c:delete val="1"/>
          </c:dLbls>
          <c:cat>
            <c:strRef>
              <c:f>Pivot_Analysis!$Y$3:$Y$11</c:f>
              <c:strCache>
                <c:ptCount val="9"/>
                <c:pt idx="0">
                  <c:v>3Dexl</c:v>
                </c:pt>
                <c:pt idx="1">
                  <c:v>3Dprintni</c:v>
                </c:pt>
                <c:pt idx="2">
                  <c:v>3Vr Identiv</c:v>
                </c:pt>
                <c:pt idx="3">
                  <c:v>Abetap</c:v>
                </c:pt>
                <c:pt idx="4">
                  <c:v>Adata</c:v>
                </c:pt>
                <c:pt idx="5">
                  <c:v>Adc</c:v>
                </c:pt>
                <c:pt idx="6">
                  <c:v>Adt</c:v>
                </c:pt>
                <c:pt idx="7">
                  <c:v>Aimhduty</c:v>
                </c:pt>
                <c:pt idx="8">
                  <c:v>Alarm.Com</c:v>
                </c:pt>
              </c:strCache>
            </c:strRef>
          </c:cat>
          <c:val>
            <c:numRef>
              <c:f>Pivot_Analysis!$Z$3:$Z$11</c:f>
              <c:numCache>
                <c:formatCode>General</c:formatCode>
                <c:ptCount val="9"/>
                <c:pt idx="0">
                  <c:v>10</c:v>
                </c:pt>
                <c:pt idx="1">
                  <c:v>10</c:v>
                </c:pt>
                <c:pt idx="3">
                  <c:v>3</c:v>
                </c:pt>
                <c:pt idx="5">
                  <c:v>41</c:v>
                </c:pt>
                <c:pt idx="6">
                  <c:v>18</c:v>
                </c:pt>
                <c:pt idx="7">
                  <c:v>1</c:v>
                </c:pt>
                <c:pt idx="8">
                  <c:v>15</c:v>
                </c:pt>
              </c:numCache>
            </c:numRef>
          </c:val>
        </c:ser>
        <c:dLbls>
          <c:showLegendKey val="0"/>
          <c:showVal val="0"/>
          <c:showCatName val="0"/>
          <c:showSerName val="0"/>
          <c:showPercent val="0"/>
          <c:showBubbleSize val="0"/>
        </c:dLbls>
        <c:gapWidth val="150"/>
        <c:axId val="876451657"/>
        <c:axId val="1024439686"/>
      </c:barChart>
      <c:catAx>
        <c:axId val="876451657"/>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brand</a:t>
                </a:r>
                <a:endParaRPr b="0">
                  <a:solidFill>
                    <a:srgbClr val="000000"/>
                  </a:solidFill>
                  <a:latin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024439686"/>
        <c:crosses val="autoZero"/>
        <c:auto val="1"/>
        <c:lblAlgn val="ctr"/>
        <c:lblOffset val="100"/>
        <c:noMultiLvlLbl val="0"/>
      </c:catAx>
      <c:valAx>
        <c:axId val="1024439686"/>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SUM of available</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876451657"/>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560e7bf9-af33-4ed8-87b7-aae25c44d816}"/>
      </c:ext>
    </c:extLst>
  </c:chart>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Top 10 Brands by Estimated Revenue</a:t>
            </a:r>
            <a:endParaRPr b="0">
              <a:solidFill>
                <a:srgbClr val="757575"/>
              </a:solidFill>
              <a:latin typeface="+mn-lt"/>
            </a:endParaRPr>
          </a:p>
        </c:rich>
      </c:tx>
      <c:layout/>
      <c:overlay val="0"/>
    </c:title>
    <c:autoTitleDeleted val="0"/>
    <c:plotArea>
      <c:layout/>
      <c:barChart>
        <c:barDir val="col"/>
        <c:grouping val="none"/>
        <c:varyColors val="0"/>
        <c:ser>
          <c:idx val="0"/>
          <c:order val="0"/>
          <c:tx>
            <c:strRef>
              <c:f>Pivot_Analysis!$B$1:$B$2</c:f>
              <c:strCache>
                <c:ptCount val="1"/>
                <c:pt idx="0">
                  <c:v>Revenue by Brand SUM of estimated_revenue</c:v>
                </c:pt>
              </c:strCache>
            </c:strRef>
          </c:tx>
          <c:spPr>
            <a:solidFill>
              <a:schemeClr val="accent1"/>
            </a:solidFill>
            <a:ln cmpd="sng">
              <a:solidFill>
                <a:srgbClr val="000000"/>
              </a:solidFill>
            </a:ln>
          </c:spPr>
          <c:invertIfNegative val="0"/>
          <c:dLbls>
            <c:delete val="1"/>
          </c:dLbls>
          <c:cat>
            <c:strRef>
              <c:f>Pivot_Analysis!$A$3:$A$11</c:f>
              <c:strCache>
                <c:ptCount val="9"/>
                <c:pt idx="0">
                  <c:v>3Dexl</c:v>
                </c:pt>
                <c:pt idx="1">
                  <c:v>3Dprintni</c:v>
                </c:pt>
                <c:pt idx="2">
                  <c:v>3Vr Identiv</c:v>
                </c:pt>
                <c:pt idx="3">
                  <c:v>Abetap</c:v>
                </c:pt>
                <c:pt idx="4">
                  <c:v>Adata</c:v>
                </c:pt>
                <c:pt idx="5">
                  <c:v>Adc</c:v>
                </c:pt>
                <c:pt idx="6">
                  <c:v>Adt</c:v>
                </c:pt>
                <c:pt idx="7">
                  <c:v>Aimhduty</c:v>
                </c:pt>
                <c:pt idx="8">
                  <c:v>Alarm.Com</c:v>
                </c:pt>
              </c:strCache>
            </c:strRef>
          </c:cat>
          <c:val>
            <c:numRef>
              <c:f>Pivot_Analysis!$B$3:$B$11</c:f>
              <c:numCache>
                <c:formatCode>General</c:formatCode>
                <c:ptCount val="9"/>
                <c:pt idx="0">
                  <c:v>15.95</c:v>
                </c:pt>
                <c:pt idx="1">
                  <c:v>310.05</c:v>
                </c:pt>
                <c:pt idx="2">
                  <c:v>0</c:v>
                </c:pt>
                <c:pt idx="3">
                  <c:v>66.79</c:v>
                </c:pt>
                <c:pt idx="4">
                  <c:v>0</c:v>
                </c:pt>
                <c:pt idx="5">
                  <c:v>10500</c:v>
                </c:pt>
                <c:pt idx="6">
                  <c:v>17119.6</c:v>
                </c:pt>
                <c:pt idx="7">
                  <c:v>26.28</c:v>
                </c:pt>
                <c:pt idx="8">
                  <c:v>52992.76</c:v>
                </c:pt>
              </c:numCache>
            </c:numRef>
          </c:val>
        </c:ser>
        <c:dLbls>
          <c:showLegendKey val="0"/>
          <c:showVal val="0"/>
          <c:showCatName val="0"/>
          <c:showSerName val="0"/>
          <c:showPercent val="0"/>
          <c:showBubbleSize val="0"/>
        </c:dLbls>
        <c:gapWidth val="150"/>
        <c:axId val="1695620402"/>
        <c:axId val="499795085"/>
      </c:barChart>
      <c:catAx>
        <c:axId val="1695620402"/>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brand</a:t>
                </a:r>
                <a:endParaRPr b="0">
                  <a:solidFill>
                    <a:srgbClr val="000000"/>
                  </a:solidFill>
                  <a:latin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499795085"/>
        <c:crosses val="autoZero"/>
        <c:auto val="1"/>
        <c:lblAlgn val="ctr"/>
        <c:lblOffset val="100"/>
        <c:noMultiLvlLbl val="0"/>
      </c:catAx>
      <c:valAx>
        <c:axId val="499795085"/>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SUM of estimated_revenue</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695620402"/>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e17ea24c-9dab-4903-a078-7c5067e6bf8a}"/>
      </c:ext>
    </c:extLst>
  </c:chart>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Top 10 Primary Category by Estimated Revenue</a:t>
            </a:r>
            <a:endParaRPr b="0">
              <a:solidFill>
                <a:srgbClr val="757575"/>
              </a:solidFill>
              <a:latin typeface="+mn-lt"/>
            </a:endParaRPr>
          </a:p>
        </c:rich>
      </c:tx>
      <c:layout/>
      <c:overlay val="0"/>
    </c:title>
    <c:autoTitleDeleted val="0"/>
    <c:plotArea>
      <c:layout/>
      <c:barChart>
        <c:barDir val="col"/>
        <c:grouping val="none"/>
        <c:varyColors val="0"/>
        <c:ser>
          <c:idx val="0"/>
          <c:order val="0"/>
          <c:tx>
            <c:strRef>
              <c:f>Pivot_Analysis!$F$1:$F$2</c:f>
              <c:strCache>
                <c:ptCount val="1"/>
                <c:pt idx="0">
                  <c:v>Revenue by Primary Category SUM of estimated_revenue</c:v>
                </c:pt>
              </c:strCache>
            </c:strRef>
          </c:tx>
          <c:spPr>
            <a:solidFill>
              <a:schemeClr val="accent1"/>
            </a:solidFill>
            <a:ln cmpd="sng">
              <a:solidFill>
                <a:srgbClr val="000000"/>
              </a:solidFill>
            </a:ln>
          </c:spPr>
          <c:invertIfNegative val="0"/>
          <c:dLbls>
            <c:delete val="1"/>
          </c:dLbls>
          <c:cat>
            <c:strRef>
              <c:f>Pivot_Analysis!$E$3:$E$11</c:f>
              <c:strCache>
                <c:ptCount val="9"/>
                <c:pt idx="0">
                  <c:v>Accessories</c:v>
                </c:pt>
                <c:pt idx="1">
                  <c:v>Alarm Systems</c:v>
                </c:pt>
                <c:pt idx="2">
                  <c:v>Cctv Systems</c:v>
                </c:pt>
                <c:pt idx="3">
                  <c:v>Closed Circuit Cameras</c:v>
                </c:pt>
                <c:pt idx="4">
                  <c:v>Dummy Cameras</c:v>
                </c:pt>
                <c:pt idx="5">
                  <c:v>IP/Smart Camera Systems</c:v>
                </c:pt>
                <c:pt idx="6">
                  <c:v>Monitors/Displays</c:v>
                </c:pt>
                <c:pt idx="7">
                  <c:v>Other Car Video</c:v>
                </c:pt>
                <c:pt idx="8">
                  <c:v>Security Camera Brackets &amp; Mounts</c:v>
                </c:pt>
              </c:strCache>
            </c:strRef>
          </c:cat>
          <c:val>
            <c:numRef>
              <c:f>Pivot_Analysis!$F$3:$F$11</c:f>
              <c:numCache>
                <c:formatCode>General</c:formatCode>
                <c:ptCount val="9"/>
                <c:pt idx="0">
                  <c:v>883365.42</c:v>
                </c:pt>
                <c:pt idx="1">
                  <c:v>20987.64</c:v>
                </c:pt>
                <c:pt idx="2">
                  <c:v>15006.91</c:v>
                </c:pt>
                <c:pt idx="3">
                  <c:v>0</c:v>
                </c:pt>
                <c:pt idx="4">
                  <c:v>216757.93</c:v>
                </c:pt>
                <c:pt idx="5">
                  <c:v>5526591.6</c:v>
                </c:pt>
                <c:pt idx="6">
                  <c:v>0</c:v>
                </c:pt>
                <c:pt idx="7">
                  <c:v>18775.12</c:v>
                </c:pt>
                <c:pt idx="8">
                  <c:v>24883.11</c:v>
                </c:pt>
              </c:numCache>
            </c:numRef>
          </c:val>
        </c:ser>
        <c:dLbls>
          <c:showLegendKey val="0"/>
          <c:showVal val="0"/>
          <c:showCatName val="0"/>
          <c:showSerName val="0"/>
          <c:showPercent val="0"/>
          <c:showBubbleSize val="0"/>
        </c:dLbls>
        <c:gapWidth val="150"/>
        <c:axId val="1582219318"/>
        <c:axId val="396065043"/>
      </c:barChart>
      <c:catAx>
        <c:axId val="1582219318"/>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primary_category</a:t>
                </a:r>
                <a:endParaRPr b="0">
                  <a:solidFill>
                    <a:srgbClr val="000000"/>
                  </a:solidFill>
                  <a:latin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396065043"/>
        <c:crosses val="autoZero"/>
        <c:auto val="1"/>
        <c:lblAlgn val="ctr"/>
        <c:lblOffset val="100"/>
        <c:noMultiLvlLbl val="0"/>
      </c:catAx>
      <c:valAx>
        <c:axId val="396065043"/>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SUM of estimated_revenue</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582219318"/>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16f87eaa-c9ec-454e-820a-ad1749ca30c9}"/>
      </c:ext>
    </c:extLst>
  </c:chart>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Top 10 Product Type by Estimated Revenue</a:t>
            </a:r>
            <a:endParaRPr b="0">
              <a:solidFill>
                <a:srgbClr val="757575"/>
              </a:solidFill>
              <a:latin typeface="+mn-lt"/>
            </a:endParaRPr>
          </a:p>
        </c:rich>
      </c:tx>
      <c:layout/>
      <c:overlay val="0"/>
    </c:title>
    <c:autoTitleDeleted val="0"/>
    <c:plotArea>
      <c:layout/>
      <c:barChart>
        <c:barDir val="col"/>
        <c:grouping val="none"/>
        <c:varyColors val="0"/>
        <c:ser>
          <c:idx val="0"/>
          <c:order val="0"/>
          <c:tx>
            <c:strRef>
              <c:f>Pivot_Analysis!$J$1:$J$2</c:f>
              <c:strCache>
                <c:ptCount val="1"/>
                <c:pt idx="0">
                  <c:v>Revenue by Product Type SUM of estimated_revenue</c:v>
                </c:pt>
              </c:strCache>
            </c:strRef>
          </c:tx>
          <c:spPr>
            <a:solidFill>
              <a:schemeClr val="accent1"/>
            </a:solidFill>
            <a:ln cmpd="sng">
              <a:solidFill>
                <a:srgbClr val="000000"/>
              </a:solidFill>
            </a:ln>
          </c:spPr>
          <c:invertIfNegative val="0"/>
          <c:dLbls>
            <c:delete val="1"/>
          </c:dLbls>
          <c:cat>
            <c:strRef>
              <c:f>Pivot_Analysis!$I$3:$I$11</c:f>
              <c:strCache>
                <c:ptCount val="9"/>
                <c:pt idx="0">
                  <c:v>(Digital Video Recorder)</c:v>
                </c:pt>
                <c:pt idx="1">
                  <c:v>?</c:v>
                </c:pt>
                <c:pt idx="2">
                  <c:v>12Ch Network Video Recorder</c:v>
                </c:pt>
                <c:pt idx="3">
                  <c:v>16 Channel</c:v>
                </c:pt>
                <c:pt idx="4">
                  <c:v>3 X Wire-Free Cameras &amp; Nvr Tower</c:v>
                </c:pt>
                <c:pt idx="5">
                  <c:v>4" Vinyl Siding Mounting Wedge Adapter</c:v>
                </c:pt>
                <c:pt idx="6">
                  <c:v>4G Lte Security Camera</c:v>
                </c:pt>
                <c:pt idx="7">
                  <c:v>5Mp/8Mp Poe Camera System</c:v>
                </c:pt>
                <c:pt idx="8">
                  <c:v>8 Bullet &amp; 8 Dome</c:v>
                </c:pt>
              </c:strCache>
            </c:strRef>
          </c:cat>
          <c:val>
            <c:numRef>
              <c:f>Pivot_Analysis!$J$3:$J$11</c:f>
              <c:numCache>
                <c:formatCode>General</c:formatCode>
                <c:ptCount val="9"/>
                <c:pt idx="0">
                  <c:v>0</c:v>
                </c:pt>
                <c:pt idx="1">
                  <c:v>0</c:v>
                </c:pt>
                <c:pt idx="2">
                  <c:v>0</c:v>
                </c:pt>
                <c:pt idx="3">
                  <c:v>0</c:v>
                </c:pt>
                <c:pt idx="4">
                  <c:v>269.98</c:v>
                </c:pt>
                <c:pt idx="5">
                  <c:v>447.68</c:v>
                </c:pt>
                <c:pt idx="6">
                  <c:v>8555.38</c:v>
                </c:pt>
                <c:pt idx="7">
                  <c:v>27339.24</c:v>
                </c:pt>
                <c:pt idx="8">
                  <c:v>53708.69</c:v>
                </c:pt>
              </c:numCache>
            </c:numRef>
          </c:val>
        </c:ser>
        <c:dLbls>
          <c:showLegendKey val="0"/>
          <c:showVal val="0"/>
          <c:showCatName val="0"/>
          <c:showSerName val="0"/>
          <c:showPercent val="0"/>
          <c:showBubbleSize val="0"/>
        </c:dLbls>
        <c:gapWidth val="150"/>
        <c:axId val="1539997160"/>
        <c:axId val="1039663627"/>
      </c:barChart>
      <c:catAx>
        <c:axId val="1539997160"/>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product_type</a:t>
                </a:r>
                <a:endParaRPr b="0">
                  <a:solidFill>
                    <a:srgbClr val="000000"/>
                  </a:solidFill>
                  <a:latin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039663627"/>
        <c:crosses val="autoZero"/>
        <c:auto val="1"/>
        <c:lblAlgn val="ctr"/>
        <c:lblOffset val="100"/>
        <c:noMultiLvlLbl val="0"/>
      </c:catAx>
      <c:valAx>
        <c:axId val="1039663627"/>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SUM of estimated_revenue</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539997160"/>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13dfb30a-c882-44c5-8e6c-9125b38224c9}"/>
      </c:ext>
    </c:extLst>
  </c:chart>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Top 10 Seller by Estimated Revenue</a:t>
            </a:r>
            <a:endParaRPr b="0">
              <a:solidFill>
                <a:srgbClr val="757575"/>
              </a:solidFill>
              <a:latin typeface="+mn-lt"/>
            </a:endParaRPr>
          </a:p>
        </c:rich>
      </c:tx>
      <c:layout/>
      <c:overlay val="0"/>
    </c:title>
    <c:autoTitleDeleted val="0"/>
    <c:plotArea>
      <c:layout/>
      <c:barChart>
        <c:barDir val="col"/>
        <c:grouping val="none"/>
        <c:varyColors val="0"/>
        <c:ser>
          <c:idx val="0"/>
          <c:order val="0"/>
          <c:tx>
            <c:strRef>
              <c:f>Pivot_Analysis!$N$1:$N$2</c:f>
              <c:strCache>
                <c:ptCount val="1"/>
                <c:pt idx="0">
                  <c:v>Revenue by Seller SUM of estimated_revenue</c:v>
                </c:pt>
              </c:strCache>
            </c:strRef>
          </c:tx>
          <c:spPr>
            <a:solidFill>
              <a:schemeClr val="accent1"/>
            </a:solidFill>
            <a:ln cmpd="sng">
              <a:solidFill>
                <a:srgbClr val="000000"/>
              </a:solidFill>
            </a:ln>
          </c:spPr>
          <c:invertIfNegative val="0"/>
          <c:dLbls>
            <c:delete val="1"/>
          </c:dLbls>
          <c:cat>
            <c:strRef>
              <c:f>Pivot_Analysis!$M$3:$M$11</c:f>
              <c:strCache>
                <c:ptCount val="9"/>
                <c:pt idx="0">
                  <c:v>Seller_1</c:v>
                </c:pt>
                <c:pt idx="1">
                  <c:v>Seller_10</c:v>
                </c:pt>
                <c:pt idx="2">
                  <c:v>Seller_100</c:v>
                </c:pt>
                <c:pt idx="3">
                  <c:v>Seller_101</c:v>
                </c:pt>
                <c:pt idx="4">
                  <c:v>Seller_102</c:v>
                </c:pt>
                <c:pt idx="5">
                  <c:v>Seller_103</c:v>
                </c:pt>
                <c:pt idx="6">
                  <c:v>Seller_104</c:v>
                </c:pt>
                <c:pt idx="7">
                  <c:v>Seller_105</c:v>
                </c:pt>
                <c:pt idx="8">
                  <c:v>Seller_106</c:v>
                </c:pt>
              </c:strCache>
            </c:strRef>
          </c:cat>
          <c:val>
            <c:numRef>
              <c:f>Pivot_Analysis!$N$3:$N$11</c:f>
              <c:numCache>
                <c:formatCode>General</c:formatCode>
                <c:ptCount val="9"/>
                <c:pt idx="0">
                  <c:v>36173.09</c:v>
                </c:pt>
                <c:pt idx="1">
                  <c:v>64877.65</c:v>
                </c:pt>
                <c:pt idx="2">
                  <c:v>22870.55</c:v>
                </c:pt>
                <c:pt idx="3">
                  <c:v>0</c:v>
                </c:pt>
                <c:pt idx="4">
                  <c:v>599.97</c:v>
                </c:pt>
                <c:pt idx="5">
                  <c:v>0</c:v>
                </c:pt>
                <c:pt idx="6">
                  <c:v>3507.66</c:v>
                </c:pt>
                <c:pt idx="7">
                  <c:v>7234.5</c:v>
                </c:pt>
                <c:pt idx="8">
                  <c:v>66851.42</c:v>
                </c:pt>
              </c:numCache>
            </c:numRef>
          </c:val>
        </c:ser>
        <c:dLbls>
          <c:showLegendKey val="0"/>
          <c:showVal val="0"/>
          <c:showCatName val="0"/>
          <c:showSerName val="0"/>
          <c:showPercent val="0"/>
          <c:showBubbleSize val="0"/>
        </c:dLbls>
        <c:gapWidth val="150"/>
        <c:axId val="1005406423"/>
        <c:axId val="1777865802"/>
      </c:barChart>
      <c:catAx>
        <c:axId val="1005406423"/>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seller</a:t>
                </a:r>
                <a:endParaRPr b="0">
                  <a:solidFill>
                    <a:srgbClr val="000000"/>
                  </a:solidFill>
                  <a:latin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777865802"/>
        <c:crosses val="autoZero"/>
        <c:auto val="1"/>
        <c:lblAlgn val="ctr"/>
        <c:lblOffset val="100"/>
        <c:noMultiLvlLbl val="0"/>
      </c:catAx>
      <c:valAx>
        <c:axId val="1777865802"/>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SUM of estimated_revenue</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005406423"/>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1c7828a5-404e-4d23-9baa-538bd5978151}"/>
      </c:ext>
    </c:extLst>
  </c:chart>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Top 10 Smart Home Ecosystem by Estimated Revenue</a:t>
            </a:r>
            <a:endParaRPr b="0">
              <a:solidFill>
                <a:srgbClr val="757575"/>
              </a:solidFill>
              <a:latin typeface="+mn-lt"/>
            </a:endParaRPr>
          </a:p>
        </c:rich>
      </c:tx>
      <c:layout/>
      <c:overlay val="0"/>
    </c:title>
    <c:autoTitleDeleted val="0"/>
    <c:view3D>
      <c:rotX val="50"/>
      <c:rotY val="0"/>
      <c:depthPercent val="100"/>
      <c:rAngAx val="0"/>
      <c:perspective val="0"/>
    </c:view3D>
    <c:floor>
      <c:thickness val="0"/>
    </c:floor>
    <c:sideWall>
      <c:thickness val="0"/>
    </c:sideWall>
    <c:backWall>
      <c:thickness val="0"/>
    </c:backWall>
    <c:plotArea>
      <c:layout/>
      <c:pie3DChart>
        <c:varyColors val="1"/>
        <c:ser>
          <c:idx val="0"/>
          <c:order val="0"/>
          <c:tx>
            <c:strRef>
              <c:f>Pivot_Analysis!$R$1:$R$2</c:f>
              <c:strCache>
                <c:ptCount val="1"/>
                <c:pt idx="0">
                  <c:v>Revenue by Smart Home Ecosystem SUM of estimated_revenue</c:v>
                </c:pt>
              </c:strCache>
            </c:strRef>
          </c:tx>
          <c:explosion val="0"/>
          <c:dPt>
            <c:idx val="0"/>
            <c:bubble3D val="0"/>
            <c:spPr>
              <a:solidFill>
                <a:srgbClr val="4285F4"/>
              </a:solidFill>
            </c:spPr>
          </c:dPt>
          <c:dPt>
            <c:idx val="1"/>
            <c:bubble3D val="0"/>
            <c:spPr>
              <a:solidFill>
                <a:srgbClr val="EA4335"/>
              </a:solidFill>
            </c:spPr>
          </c:dPt>
          <c:dPt>
            <c:idx val="2"/>
            <c:bubble3D val="0"/>
            <c:spPr>
              <a:solidFill>
                <a:srgbClr val="FBBC04"/>
              </a:solidFill>
            </c:spPr>
          </c:dPt>
          <c:dPt>
            <c:idx val="3"/>
            <c:bubble3D val="0"/>
            <c:spPr>
              <a:solidFill>
                <a:srgbClr val="34A853"/>
              </a:solidFill>
            </c:spPr>
          </c:dPt>
          <c:dPt>
            <c:idx val="4"/>
            <c:bubble3D val="0"/>
            <c:spPr>
              <a:solidFill>
                <a:srgbClr val="FF6D01"/>
              </a:solidFill>
            </c:spPr>
          </c:dPt>
          <c:dPt>
            <c:idx val="5"/>
            <c:bubble3D val="0"/>
            <c:spPr>
              <a:solidFill>
                <a:srgbClr val="46BDC6"/>
              </a:solidFill>
            </c:spPr>
          </c:dPt>
          <c:dPt>
            <c:idx val="6"/>
            <c:bubble3D val="0"/>
            <c:spPr>
              <a:solidFill>
                <a:srgbClr val="7BAAF7"/>
              </a:solidFill>
            </c:spPr>
          </c:dPt>
          <c:dPt>
            <c:idx val="7"/>
            <c:bubble3D val="0"/>
            <c:spPr>
              <a:solidFill>
                <a:srgbClr val="F07B72"/>
              </a:solidFill>
            </c:spPr>
          </c:dPt>
          <c:dPt>
            <c:idx val="8"/>
            <c:bubble3D val="0"/>
            <c:spPr>
              <a:solidFill>
                <a:srgbClr val="FCD04F"/>
              </a:solidFill>
            </c:spPr>
          </c:dPt>
          <c:dLbls>
            <c:delete val="1"/>
          </c:dLbls>
          <c:cat>
            <c:strRef>
              <c:f>Pivot_Analysis!$Q$3:$Q$11</c:f>
              <c:strCache>
                <c:ptCount val="9"/>
                <c:pt idx="0">
                  <c:v>Amcrest</c:v>
                </c:pt>
                <c:pt idx="1">
                  <c:v>Arlo</c:v>
                </c:pt>
                <c:pt idx="2">
                  <c:v>Blink (Amazon)</c:v>
                </c:pt>
                <c:pt idx="3">
                  <c:v>Eufy (Anker)</c:v>
                </c:pt>
                <c:pt idx="4">
                  <c:v>Google Nest</c:v>
                </c:pt>
                <c:pt idx="5">
                  <c:v>Lorex</c:v>
                </c:pt>
                <c:pt idx="6">
                  <c:v>Other/Generic</c:v>
                </c:pt>
                <c:pt idx="7">
                  <c:v>Reolink</c:v>
                </c:pt>
                <c:pt idx="8">
                  <c:v>Ring (Amazon)</c:v>
                </c:pt>
              </c:strCache>
            </c:strRef>
          </c:cat>
          <c:val>
            <c:numRef>
              <c:f>Pivot_Analysis!$R$3:$R$11</c:f>
              <c:numCache>
                <c:formatCode>General</c:formatCode>
                <c:ptCount val="9"/>
                <c:pt idx="0">
                  <c:v>9884.24</c:v>
                </c:pt>
                <c:pt idx="1">
                  <c:v>68956.19</c:v>
                </c:pt>
                <c:pt idx="2">
                  <c:v>194509.86</c:v>
                </c:pt>
                <c:pt idx="3">
                  <c:v>3628817.58</c:v>
                </c:pt>
                <c:pt idx="4">
                  <c:v>142503.04</c:v>
                </c:pt>
                <c:pt idx="5">
                  <c:v>184512.36</c:v>
                </c:pt>
                <c:pt idx="6">
                  <c:v>6971091.03</c:v>
                </c:pt>
                <c:pt idx="7">
                  <c:v>225000.56</c:v>
                </c:pt>
                <c:pt idx="8">
                  <c:v>200404.35</c:v>
                </c:pt>
              </c:numCache>
            </c:numRef>
          </c:val>
        </c:ser>
        <c:dLbls>
          <c:showLegendKey val="0"/>
          <c:showVal val="0"/>
          <c:showCatName val="0"/>
          <c:showSerName val="0"/>
          <c:showPercent val="0"/>
          <c:showBubbleSize val="0"/>
        </c:dLbls>
      </c:pie3DChart>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02f2748c-aae2-496d-a8c4-8df7acd3ef35}"/>
      </c:ext>
    </c:extLst>
  </c:chart>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Top Brands by Units Sold</a:t>
            </a:r>
            <a:endParaRPr b="0">
              <a:solidFill>
                <a:srgbClr val="757575"/>
              </a:solidFill>
              <a:latin typeface="+mn-lt"/>
            </a:endParaRPr>
          </a:p>
        </c:rich>
      </c:tx>
      <c:layout/>
      <c:overlay val="0"/>
    </c:title>
    <c:autoTitleDeleted val="0"/>
    <c:plotArea>
      <c:layout/>
      <c:barChart>
        <c:barDir val="col"/>
        <c:grouping val="none"/>
        <c:varyColors val="0"/>
        <c:ser>
          <c:idx val="0"/>
          <c:order val="0"/>
          <c:tx>
            <c:strRef>
              <c:f>Pivot_Analysis!$V$1:$V$2</c:f>
              <c:strCache>
                <c:ptCount val="1"/>
                <c:pt idx="0">
                  <c:v>Units Sold by Brand SUM of sold</c:v>
                </c:pt>
              </c:strCache>
            </c:strRef>
          </c:tx>
          <c:spPr>
            <a:solidFill>
              <a:schemeClr val="accent1"/>
            </a:solidFill>
            <a:ln cmpd="sng">
              <a:solidFill>
                <a:srgbClr val="000000"/>
              </a:solidFill>
            </a:ln>
          </c:spPr>
          <c:invertIfNegative val="0"/>
          <c:dLbls>
            <c:delete val="1"/>
          </c:dLbls>
          <c:cat>
            <c:strRef>
              <c:f>Pivot_Analysis!$U$3:$U$11</c:f>
              <c:strCache>
                <c:ptCount val="9"/>
                <c:pt idx="0">
                  <c:v>3Dexl</c:v>
                </c:pt>
                <c:pt idx="1">
                  <c:v>3Dprintni</c:v>
                </c:pt>
                <c:pt idx="2">
                  <c:v>3Vr Identiv</c:v>
                </c:pt>
                <c:pt idx="3">
                  <c:v>Abetap</c:v>
                </c:pt>
                <c:pt idx="4">
                  <c:v>Adata</c:v>
                </c:pt>
                <c:pt idx="5">
                  <c:v>Adc</c:v>
                </c:pt>
                <c:pt idx="6">
                  <c:v>Adt</c:v>
                </c:pt>
                <c:pt idx="7">
                  <c:v>Aimhduty</c:v>
                </c:pt>
                <c:pt idx="8">
                  <c:v>Alarm.Com</c:v>
                </c:pt>
              </c:strCache>
            </c:strRef>
          </c:cat>
          <c:val>
            <c:numRef>
              <c:f>Pivot_Analysis!$V$3:$V$11</c:f>
              <c:numCache>
                <c:formatCode>General</c:formatCode>
                <c:ptCount val="9"/>
                <c:pt idx="0">
                  <c:v>1</c:v>
                </c:pt>
                <c:pt idx="1">
                  <c:v>39</c:v>
                </c:pt>
                <c:pt idx="3">
                  <c:v>1</c:v>
                </c:pt>
                <c:pt idx="5">
                  <c:v>42</c:v>
                </c:pt>
                <c:pt idx="6">
                  <c:v>209</c:v>
                </c:pt>
                <c:pt idx="7">
                  <c:v>3</c:v>
                </c:pt>
                <c:pt idx="8">
                  <c:v>387</c:v>
                </c:pt>
              </c:numCache>
            </c:numRef>
          </c:val>
        </c:ser>
        <c:dLbls>
          <c:showLegendKey val="0"/>
          <c:showVal val="0"/>
          <c:showCatName val="0"/>
          <c:showSerName val="0"/>
          <c:showPercent val="0"/>
          <c:showBubbleSize val="0"/>
        </c:dLbls>
        <c:gapWidth val="150"/>
        <c:axId val="578043733"/>
        <c:axId val="690849101"/>
      </c:barChart>
      <c:catAx>
        <c:axId val="578043733"/>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brand</a:t>
                </a:r>
                <a:endParaRPr b="0">
                  <a:solidFill>
                    <a:srgbClr val="000000"/>
                  </a:solidFill>
                  <a:latin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690849101"/>
        <c:crosses val="autoZero"/>
        <c:auto val="1"/>
        <c:lblAlgn val="ctr"/>
        <c:lblOffset val="100"/>
        <c:noMultiLvlLbl val="0"/>
      </c:catAx>
      <c:valAx>
        <c:axId val="690849101"/>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SUM of sold</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578043733"/>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92d557c5-d460-43c4-af28-f023150d5af9}"/>
      </c:ext>
    </c:extLst>
  </c:chart>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en-US" sz="1800" b="0" i="0" u="none" strike="noStrike" kern="1200" baseline="0">
                <a:solidFill>
                  <a:srgbClr val="757575"/>
                </a:solidFill>
                <a:latin typeface="+mn-lt"/>
                <a:ea typeface="+mn-ea"/>
                <a:cs typeface="+mn-cs"/>
              </a:defRPr>
            </a:pPr>
            <a:r>
              <a:rPr b="0">
                <a:solidFill>
                  <a:srgbClr val="757575"/>
                </a:solidFill>
                <a:latin typeface="+mn-lt"/>
              </a:rPr>
              <a:t>Available Inventory by Brand</a:t>
            </a:r>
            <a:endParaRPr b="0">
              <a:solidFill>
                <a:srgbClr val="757575"/>
              </a:solidFill>
              <a:latin typeface="+mn-lt"/>
            </a:endParaRPr>
          </a:p>
        </c:rich>
      </c:tx>
      <c:layout/>
      <c:overlay val="0"/>
    </c:title>
    <c:autoTitleDeleted val="0"/>
    <c:plotArea>
      <c:layout/>
      <c:barChart>
        <c:barDir val="col"/>
        <c:grouping val="none"/>
        <c:varyColors val="0"/>
        <c:ser>
          <c:idx val="0"/>
          <c:order val="0"/>
          <c:tx>
            <c:strRef>
              <c:f>Pivot_Analysis!$Z$1:$Z$2</c:f>
              <c:strCache>
                <c:ptCount val="1"/>
                <c:pt idx="0">
                  <c:v>Available Inventory by Brand SUM of available</c:v>
                </c:pt>
              </c:strCache>
            </c:strRef>
          </c:tx>
          <c:spPr>
            <a:solidFill>
              <a:schemeClr val="accent1"/>
            </a:solidFill>
            <a:ln cmpd="sng">
              <a:solidFill>
                <a:srgbClr val="000000"/>
              </a:solidFill>
            </a:ln>
          </c:spPr>
          <c:invertIfNegative val="0"/>
          <c:dLbls>
            <c:delete val="1"/>
          </c:dLbls>
          <c:cat>
            <c:strRef>
              <c:f>Pivot_Analysis!$Y$3:$Y$11</c:f>
              <c:strCache>
                <c:ptCount val="9"/>
                <c:pt idx="0">
                  <c:v>3Dexl</c:v>
                </c:pt>
                <c:pt idx="1">
                  <c:v>3Dprintni</c:v>
                </c:pt>
                <c:pt idx="2">
                  <c:v>3Vr Identiv</c:v>
                </c:pt>
                <c:pt idx="3">
                  <c:v>Abetap</c:v>
                </c:pt>
                <c:pt idx="4">
                  <c:v>Adata</c:v>
                </c:pt>
                <c:pt idx="5">
                  <c:v>Adc</c:v>
                </c:pt>
                <c:pt idx="6">
                  <c:v>Adt</c:v>
                </c:pt>
                <c:pt idx="7">
                  <c:v>Aimhduty</c:v>
                </c:pt>
                <c:pt idx="8">
                  <c:v>Alarm.Com</c:v>
                </c:pt>
              </c:strCache>
            </c:strRef>
          </c:cat>
          <c:val>
            <c:numRef>
              <c:f>Pivot_Analysis!$Z$3:$Z$11</c:f>
              <c:numCache>
                <c:formatCode>General</c:formatCode>
                <c:ptCount val="9"/>
                <c:pt idx="0">
                  <c:v>10</c:v>
                </c:pt>
                <c:pt idx="1">
                  <c:v>10</c:v>
                </c:pt>
                <c:pt idx="3">
                  <c:v>3</c:v>
                </c:pt>
                <c:pt idx="5">
                  <c:v>41</c:v>
                </c:pt>
                <c:pt idx="6">
                  <c:v>18</c:v>
                </c:pt>
                <c:pt idx="7">
                  <c:v>1</c:v>
                </c:pt>
                <c:pt idx="8">
                  <c:v>15</c:v>
                </c:pt>
              </c:numCache>
            </c:numRef>
          </c:val>
        </c:ser>
        <c:dLbls>
          <c:showLegendKey val="0"/>
          <c:showVal val="0"/>
          <c:showCatName val="0"/>
          <c:showSerName val="0"/>
          <c:showPercent val="0"/>
          <c:showBubbleSize val="0"/>
        </c:dLbls>
        <c:gapWidth val="150"/>
        <c:axId val="1011239095"/>
        <c:axId val="746624685"/>
      </c:barChart>
      <c:catAx>
        <c:axId val="1011239095"/>
        <c:scaling>
          <c:orientation val="minMax"/>
        </c:scaling>
        <c:delete val="0"/>
        <c:axPos val="b"/>
        <c:title>
          <c:tx>
            <c:rich>
              <a:bodyPr rot="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brand</a:t>
                </a:r>
                <a:endParaRPr b="0">
                  <a:solidFill>
                    <a:srgbClr val="000000"/>
                  </a:solidFill>
                  <a:latin typeface="+mn-lt"/>
                </a:endParaRPr>
              </a:p>
            </c:rich>
          </c:tx>
          <c:layout/>
          <c:overlay val="0"/>
        </c:title>
        <c:numFmt formatCode="General"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746624685"/>
        <c:crosses val="autoZero"/>
        <c:auto val="1"/>
        <c:lblAlgn val="ctr"/>
        <c:lblOffset val="100"/>
        <c:noMultiLvlLbl val="0"/>
      </c:catAx>
      <c:valAx>
        <c:axId val="746624685"/>
        <c:scaling>
          <c:orientation val="minMax"/>
        </c:scaling>
        <c:delete val="0"/>
        <c:axPos val="l"/>
        <c:majorGridlines>
          <c:spPr>
            <a:ln w="6350" cap="flat" cmpd="sng" algn="ctr">
              <a:solidFill>
                <a:srgbClr val="B7B7B7"/>
              </a:solidFill>
              <a:prstDash val="solid"/>
              <a:round/>
            </a:ln>
          </c:spPr>
        </c:majorGridlines>
        <c:minorGridlines>
          <c:spPr>
            <a:ln w="6350" cap="flat" cmpd="sng" algn="ctr">
              <a:solidFill>
                <a:srgbClr val="CCCCCC">
                  <a:alpha val="0"/>
                </a:srgbClr>
              </a:solidFill>
              <a:prstDash val="solid"/>
              <a:round/>
            </a:ln>
          </c:spPr>
        </c:minorGridlines>
        <c:title>
          <c:tx>
            <c:rich>
              <a:bodyPr rot="-5400000" spcFirstLastPara="0" vertOverflow="ellipsis" vert="horz" wrap="square" anchor="ctr" anchorCtr="1"/>
              <a:lstStyle/>
              <a:p>
                <a:pPr lvl="0">
                  <a:defRPr lang="en-US" sz="1000" b="0" i="0" u="none" strike="noStrike" kern="1200" baseline="0">
                    <a:solidFill>
                      <a:srgbClr val="000000"/>
                    </a:solidFill>
                    <a:latin typeface="+mn-lt"/>
                    <a:ea typeface="+mn-ea"/>
                    <a:cs typeface="+mn-cs"/>
                  </a:defRPr>
                </a:pPr>
                <a:r>
                  <a:rPr b="0">
                    <a:solidFill>
                      <a:srgbClr val="000000"/>
                    </a:solidFill>
                    <a:latin typeface="+mn-lt"/>
                  </a:rPr>
                  <a:t>SUM of available</a:t>
                </a:r>
                <a:endParaRPr b="0">
                  <a:solidFill>
                    <a:srgbClr val="000000"/>
                  </a:solidFill>
                  <a:latin typeface="+mn-lt"/>
                </a:endParaRPr>
              </a:p>
            </c:rich>
          </c:tx>
          <c:layout/>
          <c:overlay val="0"/>
        </c:title>
        <c:numFmt formatCode="General" sourceLinked="1"/>
        <c:majorTickMark val="none"/>
        <c:minorTickMark val="none"/>
        <c:tickLblPos val="nextTo"/>
        <c:spPr>
          <a:ln w="6350" cap="flat" cmpd="sng" algn="ctr">
            <a:solidFill>
              <a:schemeClr val="tx1">
                <a:tint val="75000"/>
              </a:schemeClr>
            </a:solidFill>
            <a:prstDash val="solid"/>
            <a:round/>
          </a:ln>
        </c:spPr>
        <c:txPr>
          <a:bodyPr rot="-60000000" spcFirstLastPara="0" vertOverflow="ellipsis" vert="horz" wrap="square" anchor="ctr" anchorCtr="1"/>
          <a:lstStyle/>
          <a:p>
            <a:pPr>
              <a:defRPr lang="en-US" sz="1000" b="0" i="0" u="none" strike="noStrike" kern="1200" baseline="0">
                <a:solidFill>
                  <a:srgbClr val="000000"/>
                </a:solidFill>
                <a:latin typeface="+mn-lt"/>
                <a:ea typeface="+mn-ea"/>
                <a:cs typeface="+mn-cs"/>
              </a:defRPr>
            </a:pPr>
          </a:p>
        </c:txPr>
        <c:crossAx val="1011239095"/>
        <c:crosses val="autoZero"/>
        <c:crossBetween val="between"/>
      </c:valAx>
    </c:plotArea>
    <c:legend>
      <c:legendPos val="r"/>
      <c:layout/>
      <c:overlay val="0"/>
      <c:txPr>
        <a:bodyPr rot="0" spcFirstLastPara="0" vertOverflow="ellipsis" vert="horz" wrap="square" anchor="ctr" anchorCtr="1"/>
        <a:lstStyle/>
        <a:p>
          <a:pPr>
            <a:defRPr lang="en-US" sz="1000" b="0" i="0" u="none" strike="noStrike" kern="1200" baseline="0">
              <a:solidFill>
                <a:srgbClr val="1A1A1A"/>
              </a:solidFill>
              <a:latin typeface="+mn-lt"/>
              <a:ea typeface="+mn-ea"/>
              <a:cs typeface="+mn-cs"/>
            </a:defRPr>
          </a:pPr>
        </a:p>
      </c:txPr>
    </c:legend>
    <c:plotVisOnly val="1"/>
    <c:dispBlanksAs val="gap"/>
    <c:showDLblsOverMax val="0"/>
    <c:extLst>
      <c:ext uri="{0b15fc19-7d7d-44ad-8c2d-2c3a37ce22c3}">
        <chartProps xmlns="https://web.wps.cn/et/2018/main" chartId="{405b1e72-8f63-4053-a0a0-99be84a58c2b}"/>
      </c:ext>
    </c:extLst>
  </c:chart>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7" Type="http://schemas.openxmlformats.org/officeDocument/2006/relationships/chart" Target="../charts/chart8.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16</xdr:col>
      <xdr:colOff>1647825</xdr:colOff>
      <xdr:row>0</xdr:row>
      <xdr:rowOff>95250</xdr:rowOff>
    </xdr:from>
    <xdr:ext cx="5715000" cy="3533775"/>
    <xdr:graphicFrame>
      <xdr:nvGraphicFramePr>
        <xdr:cNvPr id="2" name="Chart 1" title="Chart"/>
        <xdr:cNvGraphicFramePr/>
      </xdr:nvGraphicFramePr>
      <xdr:xfrm>
        <a:off x="26354405" y="95250"/>
        <a:ext cx="5715000" cy="35337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419100</xdr:colOff>
      <xdr:row>3</xdr:row>
      <xdr:rowOff>47625</xdr:rowOff>
    </xdr:from>
    <xdr:ext cx="5715000" cy="3533775"/>
    <xdr:graphicFrame>
      <xdr:nvGraphicFramePr>
        <xdr:cNvPr id="2" name="Chart 2" title="Chart"/>
        <xdr:cNvGraphicFramePr/>
      </xdr:nvGraphicFramePr>
      <xdr:xfrm>
        <a:off x="1261110" y="647700"/>
        <a:ext cx="5715000" cy="3533775"/>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771525</xdr:colOff>
      <xdr:row>3</xdr:row>
      <xdr:rowOff>47625</xdr:rowOff>
    </xdr:from>
    <xdr:ext cx="5715000" cy="3533775"/>
    <xdr:graphicFrame>
      <xdr:nvGraphicFramePr>
        <xdr:cNvPr id="3" name="Chart 3" title="Chart"/>
        <xdr:cNvGraphicFramePr/>
      </xdr:nvGraphicFramePr>
      <xdr:xfrm>
        <a:off x="7448550" y="647700"/>
        <a:ext cx="5715000" cy="3533775"/>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8</xdr:col>
      <xdr:colOff>371475</xdr:colOff>
      <xdr:row>3</xdr:row>
      <xdr:rowOff>47625</xdr:rowOff>
    </xdr:from>
    <xdr:ext cx="5715000" cy="3533775"/>
    <xdr:graphicFrame>
      <xdr:nvGraphicFramePr>
        <xdr:cNvPr id="4" name="Chart 4" title="Chart"/>
        <xdr:cNvGraphicFramePr/>
      </xdr:nvGraphicFramePr>
      <xdr:xfrm>
        <a:off x="14150340" y="647700"/>
        <a:ext cx="5715000" cy="3533775"/>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14</xdr:col>
      <xdr:colOff>533400</xdr:colOff>
      <xdr:row>3</xdr:row>
      <xdr:rowOff>47625</xdr:rowOff>
    </xdr:from>
    <xdr:ext cx="5715000" cy="3533775"/>
    <xdr:graphicFrame>
      <xdr:nvGraphicFramePr>
        <xdr:cNvPr id="5" name="Chart 5" title="Chart"/>
        <xdr:cNvGraphicFramePr/>
      </xdr:nvGraphicFramePr>
      <xdr:xfrm>
        <a:off x="21156295" y="647700"/>
        <a:ext cx="5715000" cy="3533775"/>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19</xdr:col>
      <xdr:colOff>104775</xdr:colOff>
      <xdr:row>3</xdr:row>
      <xdr:rowOff>47625</xdr:rowOff>
    </xdr:from>
    <xdr:ext cx="5715000" cy="3533775"/>
    <xdr:graphicFrame>
      <xdr:nvGraphicFramePr>
        <xdr:cNvPr id="6" name="Chart 6" title="Chart"/>
        <xdr:cNvGraphicFramePr/>
      </xdr:nvGraphicFramePr>
      <xdr:xfrm>
        <a:off x="27054175" y="647700"/>
        <a:ext cx="5715000" cy="3533775"/>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1</xdr:col>
      <xdr:colOff>247650</xdr:colOff>
      <xdr:row>30</xdr:row>
      <xdr:rowOff>19050</xdr:rowOff>
    </xdr:from>
    <xdr:ext cx="5715000" cy="3533775"/>
    <xdr:graphicFrame>
      <xdr:nvGraphicFramePr>
        <xdr:cNvPr id="7" name="Chart 7" title="Chart"/>
        <xdr:cNvGraphicFramePr/>
      </xdr:nvGraphicFramePr>
      <xdr:xfrm>
        <a:off x="1089660" y="6019800"/>
        <a:ext cx="5715000" cy="3533775"/>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4</xdr:col>
      <xdr:colOff>647700</xdr:colOff>
      <xdr:row>30</xdr:row>
      <xdr:rowOff>19050</xdr:rowOff>
    </xdr:from>
    <xdr:ext cx="5715000" cy="3533775"/>
    <xdr:graphicFrame>
      <xdr:nvGraphicFramePr>
        <xdr:cNvPr id="8" name="Chart 8" title="Chart"/>
        <xdr:cNvGraphicFramePr/>
      </xdr:nvGraphicFramePr>
      <xdr:xfrm>
        <a:off x="7324725" y="6019800"/>
        <a:ext cx="5715000" cy="3533775"/>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invalid="1" refreshOnLoad="1" refreshedVersion="5" refreshedDate="46185.9927430556" refreshedBy="MIRACLE" recordCount="862">
  <cacheSource type="worksheet">
    <worksheetSource ref="A1:BM863" sheet="Working_Data"/>
  </cacheSource>
  <cacheFields count="65">
    <cacheField name="title" numFmtId="0">
      <sharedItems count="844">
        <s v="Lorex 4K+ 12MP IP Wired Bullet Security Camera with Smart  Lighting (E910AB)"/>
        <s v="Lorex LNB9292B 4K Ultra HD IP 4x Motorized Bullet Camera, 30FPS, IP67, 1PK"/>
        <s v="4 PACK 60ft BNC Cables for CCTV Security Camera DVR System w/ BNC FF Connectors"/>
        <s v="Lorex LNE9292B 4K Ultra HD  IP 4X  Motorized Dome Camera, 30FPS, 1 PK"/>
        <s v="Lorex D841A82B 4K 8Ch Analog Ultra HD DVR 1 HDD 2TB with Smart Home Voice, Black"/>
        <s v="Lorex N844A82 4K 8-Channel 2TB NVR, Smart Motion, Voice Control, Fusion (M.Ref)"/>
        <s v="Lorex N843A82 4K 8-Channel Network Video Recorder, Smart Motion Detection(M.Ref)"/>
        <s v="Lorex N846A62 Fusion 4K Ultra HD 16-Channel (8 wired and 8 Wi-Fi) 2TB NVR(M.Ref)"/>
        <s v="Solar Camera Outdoor Wireless 5G -4MP Outdoor Camera Wireless w/ Integrated SP"/>
        <s v="Lot 8 YI Home Camera 1080p Wireless IP Security Surveillance System Night Vision"/>
        <s v="BRAND NEW SimpliSafe Base Station - Current Gen 3 (Latest) + Power Adapter"/>
        <s v="SimpliSafe CM006 Smart Alarm Night Vision Motion Camera Wireless Indoor Security"/>
        <s v="NEW SimpliSafe Entry ES3 Door Sensor White Magnetic Home Security (Latest)"/>
        <s v="Amcrest NV2116-HS 4K 16CH NVR 6TB 1080p/3MP/4MP/5MP/8MP) - NIB"/>
        <s v="GeoVision GV-VS04H, 4 Channel H.264 Video Server, PoE / 12V DC, GPS, GV-GIS"/>
        <s v="Verint Edge VR 80 Black NVR Surveillance Recorder with Cables and Accessories"/>
        <s v="Verint EdgeVR 80 DVR Wired Black, Includes DVR Unit, Cables, Accessories"/>
        <s v="Mini DVR 5.8G-FPV Video Recorder Module CVBS Signal Input Support 32GB TF Card"/>
        <s v="Ring Pro Power Kit V3 (2 units)- New &amp; Unused – $8 per 2 units – 100+ Available"/>
        <s v="Ring Pro Power Kit V2 (2 units) – New &amp; Unused – $8 per 2 units – 100+ Available"/>
        <s v="Blink Outdoor (3rd Gen) Add-On Home Security Camera | HD Video work with XT1 XT2"/>
        <s v="Blink Sync Module 2 for existing Blink Outdoor (3rd Gen) Home Security Systems"/>
        <s v="Blink Outdoor  (4th Gen) Wireless smart HD security camera | Black Add-on camera"/>
        <s v="Blink Outdoor (4th Gen) Add-On Home Security Camera | HD Video work with XT1 XT2"/>
        <s v="Solar Battery Powered Wireless WiFi Home Security Camera System Outdoor Pan/Tilt"/>
        <s v="Ring Floodlight Cam Wired Plus **BRAND NEW** 1080p HD White"/>
        <s v="LTS 8 Sony Cameras + 8 Channel 500GB DVR with Hi-Res VGA  security system GS"/>
        <s v="eufy 4G LTE Cam S330 4K Cellular Wireless Security Camera Solar Powered+SIM Card"/>
        <s v="eufy Security SoloCam S340 Solar Wireless Outdoor Camera 4-Cam Kit 360° Pan WiFI"/>
        <s v="eufy eufyCam C35 4Cam Kit Wireless Indoor/Outdoor Security Camera Magnetic Mount"/>
        <s v="eufy SoloCam E42 4K Security Wireless Outdoor Solar Powered AI Motion Tracking"/>
        <s v="eufy PoE Turret Security Camera E41, NVR Add On Cam, 4K UHD, Color Night Vision"/>
        <s v="eufy Security eufyCam S3 Pro 6-Cam Kit Solar Camera Outdoor Wireless 4K MaxColor"/>
        <s v="eufy eufyCam S4 Solar Security Camera Wireless Outdoor 4K UHD Color Night Vision"/>
        <s v="eufy Outdoor Floodlight Security Camera E340 with20ft AC Cable 360° PTZ Dual Cam"/>
        <s v="eufy SoloCam S340 Solar Wireless Security Camera Outdoor Dual Cam 360° Guardian"/>
        <s v="eufy Security Smart Wireless System w/Alexa 1080P Battery Camera eufyCam 2C Kit"/>
        <s v="eufy S380 HomeBase 3 Edge Security Center Local Expandable Storage up to 16TB"/>
        <s v="eufy Indoor Cam E30 Pet/Baby Camera 4K UHD Security Camera 360 Pan-Tilt 2-Cam"/>
        <s v="eufy Security Water and Freeze Sensor with Remote Alerts Waterproof App Control"/>
        <s v="eufy PoE NVR Security System S4 Max 8CH 16MP Triple Lens Camera 360°PTZ+2TB HDD"/>
        <s v="eufy Security eufyCam C35 Wireless Outdoor and Indoor Magnetic Mount NightVision"/>
        <s v="10Pcs BNC Male to RCA Female Coax Coaxial Connector Adapter for CCTV camera"/>
        <s v="Q-See 16 ch DVR 16 Channel SIMILAR MODEL QTH916 (NO Q-SEE LOGO) NO HARD DISK"/>
        <s v="8CH DVR XVR5108HS-I3"/>
        <s v="Voltky 2K WiFi Solar Security Camera Dual Lens AI PIR 10X Zoom Night Vision IP66"/>
        <s v="BNC Male to Dual BNC Female Connector Adapter T Shape Splitter Coaxial Cable Lot"/>
        <s v="BNC Male to RG59 RG6 Twist On Connector CCTV Security Coax Cable Camera Lot"/>
        <s v="BNC Female to RCA Male Connector Coax Cable Adapter Converter CCTV Camera Lot"/>
        <s v="RCA Female to BNC Male Connector Coax Plug Adapter Converter CCTV Camera Lot"/>
        <s v="RG59 Siamese Cable 250ft 500ft 1000ft Coaxial 20AWG + 18/2 Security Camera Wire"/>
        <s v="GMOX 4G LTE Cellular Solar Security Camera Outdoor No WiFi Non-Stop Power 365Day"/>
        <s v="Dome Wireless Z-Wave Plus Siren ( DMS01 ) Works With Ring. SEALED FREE SHIPPING"/>
        <s v="Arlo VMS5240-100NAS Ultra - 4K UHD Wire-Free Security 2 Camera"/>
        <s v="500m Wireless Driveway Alarms System Long Range Outdoor Motion Sensor Detectors"/>
        <s v="Wuloo 1800feet Solar Powered Driveway Alarms Long Range Wireless Motion Sensors"/>
        <s v="Wuloo 1800feet Long Range Solar Driveway Alarms Wireless Motion Sensor for Home"/>
        <s v="Wuloo Wireless Driveway Alarm 500Meter Long Range Outdoor Motion Detector Sensor"/>
        <s v="ANNKE 5MP Lite 8CH DVR 5in1 Video Recorder DVR for Smart Security Camera System"/>
        <s v="ANNKE 8CH 16CH 12MP NVR POE Security IP Network Video Recorder H.265+ Remote APP"/>
        <s v="ANNKE 8CH 5MP Lite DVR 1080P CCTV Security Camera System AI Color Night Vision"/>
        <s v="SANNCE Wireless 3MP Security Camera System 5MP 10CH NVR Two-Way Audio Recording"/>
        <s v="SANNCE 4IN1 HD 1080P Video Outdoor CCTV Security Camera 100ft EXIR Night Vision"/>
        <s v="SANNCE 8CH DVR 1080P Video Security Camera System CCTV Outdoor Human Detection"/>
        <s v="SANNCE Wireless 5MP 8CH NVR 3MP Two Way Audio AI Security Camera System Outdoor"/>
        <s v="SANNCE 8CH 4K NVR 8MP POE Security Camera System PT Auto Tracking Two Way Audio"/>
        <s v="ANNKE 60/100ft CCTV BNC Extension Wire Cord Security Camera Video DC Power Cable"/>
        <s v="ANNKE 12MP 16CH NVR POE AI Security Video Recorder System IP Network P2P H.265+"/>
        <s v="MaximalPower Fake CCTV Security Dummy Dome Camera w/ Red LED Light for Home Lot"/>
        <s v="Security Cameras Outdoor Wireless, 4 Cam Kit, Solar Powered.360 Pan NEW(Open Box"/>
        <s v="Ring Spotlight Cam Pro (Newest Model, 2nd Gen, 4K, Black, Plug-In) New, In Hand"/>
        <s v="Ring Floodlight Cam Pro (2nd Gen) Retinal 4K , 10x Zoom, ultra-bright motion"/>
        <s v="RING WIRED DOORBELL PRO (3RD GEN) RETINAL 4K FOR ULTRA-CLEAR VIDEO- New"/>
        <s v="Ring Floodlight Cam Pro 4K Wired 2nd gen Sealed White"/>
        <s v="Annke Black Surveillance Recorder 2TB DVR DT61BS"/>
        <s v="HaiVision Network Video S-VF-Stingray Set Top Box USED - GOOD CONDITION"/>
        <s v="4x Night Owl Replacement Security Cameras w/ Cables &amp; Power – BNC CCTV – No DVR"/>
        <s v="Solar Panel Charging for Arlo Essential Spotlight / XL Spotlight Camera W/ Cable"/>
        <s v="Smart wifi camera with human detection two way audio wireless model SQ001-L"/>
        <s v="Hiseeu 8MP 16CH NVR Wireless 5G Wifi Security Camera System Kit For Home Outdoor"/>
        <s v="Hiseeu 3MP PTZ IP Security Camera System,5G Wifi 16CH NVR,Night Vision,Eseecloud"/>
        <s v="Hiseeu 5MP 10&quot;LCD 16CH NVR WIFI Outdoor Security Camera System IP Audio 1TB HDD"/>
        <s v="Vivotek FD8177-HT | 4Mp, 30M Ir, Wdr Pro, Smart Stream Ii"/>
        <s v="Lorex 4K Spotlight Wi-Fi 6 Security Camera W/ Smart Security Lighting - Open Box"/>
        <s v="Lorex Fusion 4K 20-Channel (16 Wired and 4 Fusion Wi-Fi) Digital Video Recorder"/>
        <s v="Lorex Classic Fusion 4K 12-Channel (8 Wired + 4 Wi-Fi) 1TB Wired DVR System with"/>
        <s v="Lorex Fusion 4K 16 Camera Capable (Wired / Fusion Wi-Fi) 4TB NVR"/>
        <s v="Lorex A10 IP Wired Dome Security Camera with Listen-In Audio and IK10 Vandal Pro"/>
        <s v="Lorex 4K Spotlight Indoor/Outdoor Wi-Fi 6 Security Camera"/>
        <s v="Lorex 4K+ 12MP 16Ch (Wired + WiFi) 2TB Wired NVR System with 3 Bullet Cameras"/>
        <s v="Lorex 2K Dual Lens Indoor Pan-Tilt Wi-Fi Security Camera (Cloud-Enabled)"/>
        <s v="Lorex 2K Wi-Fi Video Doorbell (Battery-Operated, 32GB, Open Box)"/>
        <s v="Lorex 4K+12MP 16 Camera Capable (8 Wired + 8 Fusion Wi-Fi) NVR - Open Box"/>
        <s v="Lorex Fusion 4K 16 Camera Capable (Wired / Fusion Wi-Fi) 4TB NVR - Open Box"/>
        <s v="Lorex 1080p Wi-Fi Floodlight Camera - Open Box"/>
        <s v="Lorex 2K Wi-Fi Video Doorbell 32GB (Wired, White, Single) - Open Box"/>
        <s v="Luma LUM-501-NVR-16CH 2TB 16 Channel Network Video Recorder p529"/>
        <s v="Entry Magnetic Window Door Super Loud Alarm Indoor Anti-theft White Host Durable"/>
        <s v="2 Pack 7200mAh Rechargeable Battery and Charger Station for Ring Doorbell 2/3/4"/>
        <s v="Blink Outdoor 4 XR Wireless Security 2 Camera System with XR Sync Module NEW!"/>
        <s v="Avertx 4MP Mini IP Bullet In/Outdoor Night Vision Camera AVX-HD420IR HD420, NEW"/>
        <s v="Lorex E893AB 4K UHD Smart Deterrence Outdoor Network Bullet Camera"/>
        <s v="Lorex LNB9252-C 4K Smart IP Bullet Camera White, Open Box"/>
        <s v="Lorex 4K+ Ultra HD 12MP Smart Security Deterrence Dome Wired IP Camera E910DD"/>
        <s v="3 Pack Blink Outdoor Camera Wall Mount Bracket for Blink Outdoor 4th Gen Blin"/>
        <s v="5Pc PIR Infrared Motion Sensor Detector 110V Smart Switch Light Lamp Switch Auto"/>
        <s v="Auto Off Sensor Switch Motion Infrared PIR Vacancy Wall Light Lamp"/>
        <s v="CCTV Camera 2.4MP 1080P 1/2.5 SONY 6-60mm IP66 POE PROIMAGE PROI-810WB Digital"/>
        <s v="Blink BSM00300U Sync Module 2 for Blink Home Security Camera System New No Box"/>
        <s v="WYZE Outdoor Floodlight Security Camera Pro 2.5K HD 3000Lumen LED 180° Wide View"/>
        <s v="Blink Video Doorbell + Outdoor 4 – Wireless smart security"/>
        <s v="Solar Outdoor Motion Sensor Alarm-Dog Barking or Gunshot Sound,Support Recording"/>
        <s v="Lot RCR123a Rechargeable Batteries 3.7V 700mAh for Arlo Security Camera"/>
        <s v="ANNKE 1080P HD 4in1 CCTV Home Security Surveillance Camera Outdoor Night Vision"/>
        <s v="ANNKE 4MP Wireless Dual Lens Security IP Camera Color Night Vision Two Way Audio"/>
        <s v="ANNKE Wireless 5MP Security Camera System 2-Way Audio 4CH 7&quot; Monitor NVR w/64GB"/>
        <s v="ANNKE 8CH 3K 5MP Lite DVR 1080P CCTV Security Camera System Outdoor Color Night"/>
        <s v="ANNKE UHD 4K C800 POE Security IP Camera Outdoor AI Detection Color Night Vision"/>
        <s v="ANNKE 16CH 5MP Lite DVR 1080P Outdoor Security Camera System AI Human Detection"/>
        <s v="ANNKE 8CH 16CH H.265+ 5MP Lite DVR Recorder for CCTV Home Security Camera System"/>
        <s v="ANNKE 5in1 16CH 1080P Lite DVR 2MP Video Recorder for CCTV Home Security System"/>
        <s v="ANNKE 8CH 5MP 3K Lite DVR 1080P CCTV Security Camera System Outdoor Color Night"/>
        <s v="ANNKE 5MP Lite 8CH DVR 1080P Color Night Security Camera System Human Detection"/>
        <s v="ANNKE 5MP Lite 8CH DVR 1080P CCTV Security Camera System Outdoor Human Detection"/>
        <s v="ANNKE 12MP 8CH POE NVR 4K AI Color Night Security Camera System Audio Recording"/>
        <s v="ANNKE 12MP 16CH NVR PoE 4K AI Color Night Security Camera System Audio Recording"/>
        <s v="ANNKE 3K Lite 8CH DVR FHD 1080P CCTV Security Camera System Outdoor AI Detection"/>
        <s v="ANNKE 4PCS 100FT 30m Video Power BNC Cable for CCTV Security Camera System White"/>
        <s v="ANNKE 8CH/16CH 4K 8MP NVR IP Network Security Video Recorder H.265+ Remote APP"/>
        <s v="ANNKE 5IN1 5MP Lite 8CH DVR Security Video Recorder for Home Surveillance System"/>
        <s v="ANNKE 7&quot; Monitor 4MP Wireless PT Security Camera System Solar Powered 2-Way Talk"/>
        <s v="ANNKE 5IN1 4K 8MP 8CH DVR Video for CCTV Security Camera System AI Motion H.265+"/>
        <s v="ANNKE 16CH 1080P Lite DVR CCTV Security Video Recorder for Camera System H.265+"/>
        <s v="ANNKE 4K 8MP POE NVR IP Network Video Recorder H.265+ for Smart Security System"/>
        <s v="ANNKE 16CH 12MP NVR 4K POE AI Color Night Security Camera System Audio Recording"/>
        <s v="ANNKE 12MP 8CH NVR 4K Audio POE Security Camera System Outdoor Color Night IP67"/>
        <s v="ANNKE 8CH DVR 5MP Audio Security Camera System H.265+ AI Detection Color Night"/>
        <s v="ANNKE 5MP PoE Security IP Camera AC500 Audio AI Color Night Vision Outdoor IP67"/>
        <s v="ANNKE 4pcs 1080P Video HD Security Camera CCTV Outdoor Color Night Vision IP67"/>
        <s v="ANNKE 8-Port 16-Port POE Ethernet Switch IP Network Plug&amp;Play for NVR IP Camera"/>
        <s v="ANNKE 8CH 12MP NVR POE AI Security IP Network Video Recorder Smart Search H.265+"/>
        <s v="ANNKE 8CH 12MP NVR POE 5MP AI Color Night Vision Security Camera System Outdoor"/>
        <s v="ANNKE 4IN1 5MP Security Camera Full Color Night Vision Outdoor Audio Recording"/>
        <s v="ANNKE 8CH 5MP Lite DVR Outdoor 1080P CCTV ecurity Camera System AI Color Night"/>
        <s v="ANNKE 6MP POE Security Camera Dual Lens Outdoor Color Night Two-Way Audio FCD600"/>
        <s v="ANNKE HD 4K/5MP 16CH/32CH Digital Video Recorder 5in1 DVR for CCTV Camera System"/>
        <s v="Wifi Smart Water Valve and Auto Shut-Off, Automation Scene Works with Leak Detec"/>
        <s v="Water Leak Sensor 3 Pack, Zigbee Wireless Water Leak Detector for Alarm System a"/>
        <s v="Hoovy Easy To Install Baby Car Camera Monitor with HD Real Time"/>
        <s v="Ring Alarm Keypad 1st Gen"/>
        <s v="BNC Male to BNC Male RG59 Coax Gold Connector Cord Cable, 3 Ft, 6 Ft, 12Ft 25 Ft"/>
        <s v="3FT Magnetic Charging Cable &amp; Power Plug for Arlo Ultra, 2, Pro 3/4 Pro 5s"/>
        <s v="2 Pack Ring Alarm Smoke &amp; Co Listener 9863B-BHASL001"/>
        <s v="Chamberlain myQ Outdoor Battery Camera 2K Color Night Vision Spotlight NEW"/>
        <s v="12V 5A Power Supply for CCTV Security Camera DVR Swann Lorex Defender 8 Split CG"/>
        <s v="2Pack Adjustable Security Wall Mount Bracket for Google Nest Cam Outdoor or Indo"/>
        <s v="Wired Surface Mounted NC Magnetic Door Window Contact Sensor Alarm Switch 5 Pack"/>
        <s v="1/4Pack Ring V4 Battery for Ring camera Doorbell Solar Floodligh 2/3/4/3 plus"/>
        <s v="Genuine Battery A-7a A-14 for Arlo Go 2, Ultra 2 XL ,Pro 4 XL ,Pro 5s 2K XL"/>
        <s v="2 Pack Genuine Battery for Ring Video Doorbell 2 3 4 Spotlight Cam Quick Release"/>
        <s v="Genuine Battery A-1 for Arlo Pro , Pro 2 LIGHT Camera VMC4030 VMA4400 VCS4500C"/>
        <s v="2 Pack Genuine Battery A-1 for Arlo Pro , Pro 2 VMA4400 VCS4500C VMS4230 Camera"/>
        <s v="Digital Video Recorder Standalone DVR"/>
        <s v="Netvue NI-8202 Birdfly Cam FHD Camera 1080p White For Bird Watching"/>
        <s v="GOOGLE GRJ15 Wired Nest Cam Outdoor 2K 2nd Gen Snow"/>
        <s v="All-New Blink Outdoor 4 (4th Gen) Wire-Free Smart Security Camera HD 2-Way Audio"/>
        <s v="Blink Sync Module XR Hub for All Blink Devices 400ft for Outdoor 4 Camera"/>
        <s v="2x Dummy Security Camera Fake LEDs Flashing Light Home Surveillance Waterproof"/>
        <s v="2 Pack Rechargeable Battery Pack &amp;Charging Station for Ring Video Doorbell 2 3 4"/>
        <s v="Digital Watchdog DW-VA1P4 4 Channel HD-AHD/TVI Universal HD over Coax DVR"/>
        <s v="IC Realtime NVR‑MX16POE‑1U4K1 used"/>
        <s v="Blink Outdoor 2K+ Wireless Smart Security Camera System (5 Cameras) Sync Module"/>
        <s v="2X Battery For Ring-Doorbell Video 2/3/3 Plus/4 Spotlight/Stick Up Peephole Cam"/>
        <s v="JaiHo 14 Inch LCD Security CCTV Monitor Only Model:JH1257🛑🛑NOT TESTED"/>
        <s v="Mini Wireless Record Camera WiFi IP Home Security DVR Night Vision HD USB 1080P"/>
        <s v="NUUO NVRmini2 NE-2040 NVR 4-Channel, Two 1TB Seagate Hard Drives, 2 Drive Bays"/>
        <s v="Voice Recorder  8GB"/>
        <s v="1080P 360 Degree Indoor WiFi Home Security Camera, Night Vision, Cloud Storage"/>
        <s v="Ring USB-C to Barrel Plug Adapter for USB-C Solar Panels and Barrel Plug Black"/>
        <s v="Ring Spare Parts Kit for Spotlight Cam Pro Battery &amp; Spotlight Cam Plus Battery"/>
        <s v="5G &amp; 2.4G WiFi  Security Camera 2K Wireless Home Camera Easy Install"/>
        <s v="Camara Espia Oculta Reloj Despertador Seguridad 1080P Detector Movimiento NUEVO"/>
        <s v="HTZSAFE 800 Meters Long Range Wireless Driveway Alarm Outdoor Weather-Resistant"/>
        <s v="Camara De Seguridad Solar Inalambricas Para Exterior Con Vision Nocturna y Audio"/>
        <s v="Lorex E895AB 4K Deterrence Bullet PoE IP Wired Add-On Security Camera - B Grade"/>
        <s v="Lorex Security Cameras C883DA Mixed-Grade (24 Total Cameras)"/>
        <s v="Skyworth H80 Pro 4K 8MP Indoor Security Camera 2.4 &amp; 5 Ghz Pet Baby Monitor PTZ"/>
        <s v="New Sealed Ring Wired Doorbell Pro (3rd Gen) Retinal 4K ultra-clear video 10x Z"/>
        <s v="Verint BA32 TBR EdgeVR300 NVR with 4x16TB HDD and RAID1 Storage G2U"/>
        <s v="Amcrest 4K (8MP) IP POE Camera UltraHD Outdoor Bullet IP8M-2496EW-AI-V3 Warranty"/>
        <s v="Amcrest 5MP IP Camera POE Security Dome IP5M-F1180EW 360°Indoor Fisheye Warranty"/>
        <s v="Amcrest NV4116-HS 720p/1080p 3MP-8MP 4K NVR w/ 2TB HDD Supports up to 6TB HDD -"/>
        <s v="16ch 16POE NVR Support 2HDD 5216-16P"/>
        <s v="16CH NVR 4k/8MP support 2HDD 2 bays"/>
        <s v="PFB2203W Waterproof Wall Mount Bracket for Security IP Dome Camera"/>
        <s v="64ch NVR 8MP/4K/32MP  support 4HDDs"/>
        <s v="Wireless Doorbell Plug in &amp; Play Waterproof Door Bell Kit LED 1000ft 39 Chimes"/>
        <s v="4 Pack Wall Camera Mount Bracket Indoor Outdoor for Arlo Pro Security Adjustable"/>
        <s v="Ring Floodlight Cam Plus Outdoor Wired 1080p FHD Surveillance Camera - White"/>
        <s v="InVid Tech PD1B-32NH 32 Channel DVR Black HDMI VGA USB Ethernet BNC 110-240V"/>
        <s v="Bosch VG4-A-PA0 Autodome Security Camera Pendant Arm Power Box, 24 VAC Sealed"/>
        <s v="AOSU Video Doorbell Pro V8P1AX11 + WiFi Homebase Black/Space Gray Open Box"/>
        <s v="AOSU Security Cam P1 LITE 2K Wi-Fi Security 2-Camera Model: C4L2CA11 Open Box"/>
        <s v="AOSU SolarCam Pro/Max 2K/5MP Replacement Wifi Home Base ONLY Model: H1L"/>
        <s v="Outdoor Solar Wireless Motion Sensor Alarm 13 Sound Detector 130db Loud Noise"/>
        <s v="Siamese Cable CCTV Security Camera BNC DC Power/Video Wire Black/White Pack LOT"/>
        <s v="2 Pack Lot BNC Male Plug to RCA Female Jack Coax Cable Video Adapter Connector"/>
        <s v="3 PACK Lot RCA Male Plug to BNC Female Jack Adapter Coax Connector Coupler CCTV"/>
        <s v="18/4 Security Alarm Wire Cable Stranded Shielded 4 Conductor 18 AWG CL3R 1000ft"/>
        <s v="1 to 4 Way Channel DC Power Splitter Adapter Cable Cord for CCTV Security Camera"/>
        <s v="Wireless Home Window Door Burglar Security Alarm System Magnetic Sensor lot"/>
        <s v="Tapo 1080P Outdoor Wired Pan/Tilt Security Wi-Fi Camera, 360° View, White C500"/>
        <s v="Panasonic HomeHawk Window Camera -1080p HD Color Night Vision Smart Security Cam"/>
        <s v="4/8 Channel H.265 1080P DVR for Home Security Camera System 1TB Hard Drive"/>
        <s v="8 Channel H.265 1080P DVR for Security Camera System 1TB Hard Drive USA"/>
        <s v="AIMHDUTY BNC Coupler Female to Connector 5-Pack and Male Male..."/>
        <s v="2025 Smart Mini WiFi Camera Wireless 1080P HD Night Cam w/Battery Home Security"/>
        <s v="1-4Pack Wireless 5G WiFi Security Camera System Smart Outdoor Night Vision 1080P"/>
        <s v="1080P HD Rearview Mirror Car DVR Dual Dash Cam Camera Front Rear Video Recorder"/>
        <s v="H2C8 Waterproof 656ft Wireless Driveway Alarm Motion Sensor Alarm Indoor Outdoor"/>
        <s v="Solar Alarm LED Light Solar Strobe Light Wireless Motion Sensor Detector Outdoor"/>
        <s v="ADC ADC-CSVR2000P-1X2TB 16 Channel Pro Series Commercial Stream Video Rec. (NEW)"/>
        <s v="2-Pack HomeKit Door Window contact Sensors, Wireless Mini Sensor for iOS"/>
        <s v="FLIR Digimerge DNR216P1 Network Video Recorder NVR 4xPoE No HDDs/P/S No Admin PW"/>
        <s v="Google Nest Magnet Mount Adapter for Nest Cam Outdoor Camera NC2100ES"/>
        <s v="SimpliSafe Water Sensor (WT3) Water Flood Leak Detector New"/>
        <s v="Google Nest Cam 1st Gen Outdoor 1080P Wired (NC2100ES) Open Box 1 Year Warranty"/>
        <s v="2K Home Wireless Battery Security Camera"/>
        <s v="Cinnado 2 Pack 2K Cameras Home Security 2.4G WiFi Outdoor Wireless Solar Battery"/>
        <s v="1-8Pack Dummy Camera Fake Security CCTV Dome Camera with Flashing Red LED Light"/>
        <s v="SimpliSafe Smart Home Security System (7-Piece Kit) – Base Station, Keypad-NEW"/>
        <s v="6 PCS WIRELESS Home Window Door Burglar Security ALARM System Magnetic Sensor"/>
        <s v="360° 1080P IP E27 Light Bulb Camera Wi-Fi IR Night Smart Home Wireless Security"/>
        <s v="1080P 4&quot; Dual Lens HD Car DVR Rearview Video Dash Cam Recorder Camera G-Sensor"/>
        <s v="eufy eufyCam S4 Solar Security Camera Wireless Outdoor 4K UHD with Pan and Tilt"/>
        <s v="ARCCTV Security Camera System 4MP Solar Battery 5Ghz Wifi Wireless Night Vision"/>
        <s v="ARCCTV Solar Security Camera System Wireless wifi Battery Powered 4MP Outdoor"/>
        <s v="Onvif 16 Ch. HD 4K Video Recorder TDVR2716TTEC-TVI HD4TB Seagate Skyhawk Not Use"/>
        <s v="2 x Wall Mount Bracket For Ring Stick Up Cam Wired/Battery Solar Security Camera"/>
        <s v="Google Nest Cam Outdoor Security Camera Wi-Fi Wired 1080P NC2100ES A0033"/>
        <s v="SimpliSafe Wired Wi-Fi video Doorbell Pro 1080p HD Smart security Camera White"/>
        <s v="SimpliSafe Wireless Outdoor Security Camera 1080P Guard Motion CMOB1 White"/>
        <s v="XVIM WiFi Solar Wireless Home Camera Security System Outdoor Camera 2K Monitor"/>
        <s v="4Pcs Wireless Security Camera System Outdoor WiFi 360 Solar Battery Powered IP"/>
        <s v="4PK Wireless Solar Security Camera System 1080P HD WiFi Solar Battery Camera"/>
        <s v="4MP Wireless Solar Power Camera Outdoor Wifi Battery Pan/Tilt Securty Camera"/>
        <s v="2/4PK Solar Camera Outdoor Wireless Solar Security Camera System 4MP WiFi iP Cam"/>
        <s v="3Pcs Wireless Solar Battery Powered Camera Wifi Outdoor Security Camera System"/>
        <s v="Night Owl CM-FTD4LS-B-V2, 2K 2560x1440 (4MP) Wired Add-on Camera with Spotlight"/>
        <s v="Night Owl 1080p Wireless Add-On Battery Powered Camera BWNIP-2TA-BS-V4"/>
        <s v="Pack of 4 Night Owl, CM-FTD4LS-B 2K 2560x1440 (4MP) Wired Camera with Cables"/>
        <s v="Digital Watchdog Blackjack Mini DW BJMINI4T 12CH Network Video Recorder Lot of 2"/>
        <s v="INTERLOGIX TRUVISION NVR 11 DIGITAL VIDEO RECORDER H.264 8-CHANNEL IP PoE 2TB"/>
        <s v="BNC Male Balun Connector for Coax CAT5 CAT6 CAT7 to CCTV Surveillance Camera LOT"/>
        <s v="USB Camera Module 8.0MP with usb cable 4K_8MWDR_M1_V3.0 perfect for DIY  project"/>
        <s v="SANNCE 5IN1 8CH DVR 1080P Security Camera System CCTV Outdoor Night Vision AI"/>
        <s v="SANNCE Wireless 3MP Security IP Camera System 5MP 8CH NVR WIFI AI Two Way Audio"/>
        <s v="ieGeek Wireless Outdoor Solar Security Camera 2K Home CCTV System WiFi IP Camera"/>
        <s v="1080P Mini Camera CCTV WiFi HD IP Night Vision Camcorder Home Security Cam US"/>
        <s v="2026 Smart Mini WiFi Camera Wireless 1080P HD Night Cam w/Battery Home Security"/>
        <s v="Swann MaxRanger Mini 4K Wireless Security System, 3-Pack"/>
        <s v="Pelco 16-Channel Surveillance DVR CCTV Recorder BNC LAN VGA USB Audio-Out"/>
        <s v="Ring Wired Doorbell Pro (3rd Gen) Retinal 4K New+ Sealed"/>
        <s v="Ring Outdoor Cam Pro Retinal 4K Plug-in Camera 10x Zoom, White ,New+Sealed"/>
        <s v="Ring Floodlight Cam Pro Wired 2nd Gen Retinal 4K - White , New + Sealed"/>
        <s v="Jar of 100 Platinum Tools 106188J 2-Piece High Performance Connectors, CAT6"/>
        <s v="48V Power Supply Adapter for Amcrest NV4108E CCTV NVR Video Recorder"/>
        <s v="48V Power Supply Adapter for ZOSI 8UC-1804W4-20-US-A4 NVR Video Recorder"/>
        <s v="48V Power Supply Adapter for Dachau NVR replaces Hoioto ADS-110DL-52-1 480096G"/>
        <s v="4-Pin Power Supply Adapter for Swann NVR-8580 8 Channel Network Video Recorder"/>
        <s v="Infrared IR Light for CCTV Ir Illuminator 6pcs Array LEDS Powerful 90°"/>
        <s v="Wyze Cam v4 2.5K QHD Indoor/Outdoor WiFi Smart Security Camera Wired New Sealed"/>
        <s v="1x2TB Interlogix Truvision DVR 60 Hybrid Recorder TVR-6016-4T"/>
        <s v="Used OpenEye OE3-E480 16 Channel Embedded Digital Video Recorder 1TB"/>
        <s v="100Pcs AC 100-240V DC 12V 1A 5.5 x 2.1MM Charger Power Supply Adapter US Plug"/>
        <s v="ToughDog Security Systems IP-NVR, 24 channel - TDNVR24P24KS"/>
        <s v="Waterproof 656ft Wireless Driveway Alarm Motion Sensor Alarm Indoor Outdoor H2C8"/>
        <s v="AA Lithium Battery Extension Pack for Blink Outdoor 4 Camera (2 Pack)"/>
        <s v="100 pcs Coax Cat5/Cat6 To Camera CCTV BNC Video Balun Coaxial Connector Screw"/>
        <s v="10ft DC Power Extension Cable Cord 5.5x2.1mm 10 feet/3M for CCTV Camera DVR"/>
        <s v="(5-Pack) DC Power Pigtail Male Barrel Plug 6-inch Wire Cable 5.5mm x 2.1mm 5X"/>
        <s v="5pair 12V 5.5x2.1mm Male + Female DC Power Socket Jack Connector Cable Plug Wire"/>
        <s v="DC Power Extension Cable 5.5mm x 2.1mm Male Female Cord 18AWG 12V 24V 10A"/>
        <s v="2 Pack Rechargeable Battery A-1 for ARLO PRO &amp; Arlo Pro 2 Camera VMA4400 VMS4230"/>
        <s v="Long Range Driveway Alarm System with 2 Sensors &amp; 38 Chimes for Maximum Security"/>
        <s v="OpenEye OE1-D1200 4500 4 Channel Digital Video Recorder UNTESTED READ."/>
        <s v="Speco D16WVSM3TB 16-Channel Wall Mount Covert DVR w/ Built-in Monitor 3TB HDD"/>
        <s v="Blink Sync Module XR System hub for all Blink devices 400ft for Outdoor 4 Camera"/>
        <s v="Blink Outdoor  4th Gen Add-on Camera WiFi Security HD Cam - requires sync module"/>
        <s v="REOLINK Go Argus , Solar Panel 2, 4K Wifi 6 Camera Wireless Outdoor. New Sealed"/>
        <s v="10 pieces Twist-on BNC Male RG59 Connector for CCTV cameras"/>
        <s v="Premium 5Amp Power Adapter with 8 way splitter for Night Owl Cameras 12v Charger"/>
        <s v="Solar Power Dummy Security Camera Fake Waterproof LED Light Surveillance Outdoor"/>
        <s v="AOSU 5MP Solar Security Cameras Outdoor Wireless,Home Security System 4-Cam Kit"/>
        <s v="Aosu 3MP Security Camera Indoor No Subscription wifi cam Smart Motion Tracking"/>
        <s v="Aosu 3MP Solar Camera Outdoor Wireless WiFi Camera for Home Surveillance"/>
        <s v="AOSU Solar Security Cameras Outdoor Wireless,4 Cam-Kit,2K Color Night Vision"/>
        <s v="ANRAN Wireless Outdoor Security Camera System Solar Battery Powered Wifi Cameras"/>
        <s v="ANRAN Home Security Camera System Solar Panel 360°PTZ Wireless 3MP Outdoor IP65"/>
        <s v="Mini WiFi Camera HD 1080P IP Motion Detection Camcorder Home Security Cam"/>
        <s v="Motion Sensor Switch DC 12V-24V 8A Motion Sensor Motion Sensor Infrared PIR LED"/>
        <s v="DSC WIRELESS TECHNOLOGY MOTION DETECTOR PG9984P Power G"/>
        <s v="Ubiquiti G5 Turret Ultra (UVC-G5-Turret-Ultra) Multicolour"/>
        <s v="Ring Wired Doorbell Pro 3rd Gen Retinal 4K 4 inch Vinyl Siding Mounting Bracket"/>
        <s v="Ring Video Doorbell 1080p 2nd Gen Vertical Wedge Up/Down Angle 5  10  15 Degree"/>
        <s v="SimpliSafe Video Doorbell Wedge Angle Mount Bracket 15 25 35 45 60 90 Degree"/>
        <s v="Security Systems NVR H.264 Mobile Phone Surveillance 3G 3TB Network Recorder Hom"/>
        <s v="3VR Identiv SRS-0835-050 S-Series NVR 8 Channel Video Recorder 500GB HDD [CTNO]"/>
        <s v="Maxlinear OEM-VRC7008 8 Channel H.264 PCI Express Add-In Card For DVR [CTA]"/>
        <s v="BLINK SYSTEM SYNC MODULE CORE (2025 VERSION) (CAMERA NOT INCLUDED) *BRAND NEW!!"/>
        <s v="BLINK OUTDOOR 4 WIFI HOME SECURITY ADD-ON CAMERA (4th GENERATION) *BRAND NEW*"/>
        <s v="BLINK SYSTEM SYNC MODULE XR SYSTEM HUB (CAMERA NOT INCLUDED) *NEW in RETAIL BOX*"/>
        <s v="BLINK SYSTEM SYNC MODULE 2 (2024 VERSION) (CAMERA NOT INCLUDED) *BRAND NEW!!"/>
        <s v="Knight Hidden Devices Detector - Hidden Camera Detectors RF &amp; Bug Detector NEW"/>
        <s v="Knight KT8000 Premium Anti Spy Detector Camera Finder &amp; Hidden Devices Detector"/>
        <s v="Arlo Anti-Theft Mount Back Plate CUSTOM for VMA5100-10000S and Pro 3 Floodlight"/>
        <s v="COMPACT Nest Floodlight Camera Complete Mount Kit~With Bracket/screws/nuts"/>
        <s v="Replacement Mount for Eufy SoloCam S340/E30/E42 and 4G LTE Cam S330"/>
        <s v="Nest Cam (outdoor/indoor, battery) Mounting Bracket/Plate, QTY 2 per Order"/>
        <s v="1080P Light Bulb Camera 2.4GHz &amp; 5G WiFi E27 Smart Bulb 360 Security IP Camera"/>
        <s v="Smart Water Leak Sensor Detector APP Alarm WiFi Home Water Leak Detector Lot"/>
        <s v="JENNOV 8MP PTZ Outdoor PoE Security Camera Night Vision IP66 20X Optical Zoom"/>
        <s v="JENNOV 5MP Wireless Home Security Camera System WiFi Outdoor 360° PTZ 10CH NVR"/>
        <s v="JENNOV 10CH NVR 5MP Wireless Security Camera System WiFi Outdoor IP 2 Way Audio"/>
        <s v="Solar Security Cameras Wireless Outdoor for Home Security 2.4&amp;5GHz WiFi"/>
        <s v="2K Solar Battery Powered Wifi Outdoor  Home Security Camera System Wireless"/>
        <s v="3PACK Water Leakage Alarm Detector 120dB Water Leak Sensors Overflow Alert USA"/>
        <s v="Astak Digital Video Recorder"/>
        <s v="4MP Solar Powered, 4 Cam Kit, Color Night Vision, 360° PTZ, 500G HDD Local Reco"/>
        <s v="Roku Smart Home Wireless Video Doorbell &amp; Chime - 1440p HD Night Vision"/>
        <s v="FUJITSU IP-920E HD/SD MPEG4 AVC VIDEO ENCODER"/>
        <s v="PTZOptics Move SE – 3rd Generation PTZ Camera - No Power Included"/>
        <s v="Dual Lens 4K WiFi Security Camera 8X Zoom Outdoor Home Night Vision CCTV PTZ"/>
        <s v="Ring Alarm Motion Detector (2nd gen) Z-Wave - 5AT2S9 - 2 Pack (/RT6-22964-5AT..."/>
        <s v="Ring Security System. Everything You Need To Have A Great Setup For Security"/>
        <s v="Honeywell 8 Channel DVR Model HRGX85 960H"/>
        <s v="Orbitell 1080p WiFi Video Doorbell Camera 2-Way Audio Night Vision AI"/>
        <s v="Mini Camara Oculta Espia De Seguridad WiFi 1080P Inalambrica Con Audio y Video"/>
        <s v="4K SolarCam P1 Max with aosuCortex System. New Open Box Never Used   (4 Cameras)"/>
        <s v="VIVOSUN GrowCam C4 2K QHD WiFi Smart Camera for Grow Tent &amp; Home Camera"/>
        <s v="1080P HD Indoor Window Camera Night Vision Motion Alert App Audio No Monthly Fee"/>
        <s v="BOLIDE (BN-NVR/S4POE) 4-Channel PoE Network Video Recorder with 1TB Hard drive"/>
        <s v="16 Channel Digital Video Recorder Model: LRA3160N, Pre-Owned ."/>
        <s v="4/8 Channel H.265 1080P DVR with Hard Drive 500GB for Security Camera System USA"/>
        <s v="BOLIDE (BN-NVR/S4POE) 4-Channel PoE Network Video Recorder"/>
        <s v="New Sealed Arlo Ultra 4K 3rd Gen Single Add On Camera Battery Powered"/>
        <s v="Wireless Driveway Alert Kit. Motion Activated Sensor.  200ft Range. 25ft Sensing"/>
        <s v="2 Pack Ring V4 Battery For Ring Camera Doorbell Solar Floodligh 2/3/4/3 plus US"/>
        <s v="SimpliSafe Video Doorbell Camera Wi-Fi Wired Camera 1080p"/>
        <s v="eufy SoloCam S220 2K Solar Powered Wireless Outdoor Security Camera - 2 Pack"/>
        <s v="SimpliSafe 12-Piece Home Security System with HD Camera &amp; Smoke Detector SS-1500"/>
        <s v="Lot Of 10 Samsung SCC131A SCC130B SCC130A Digital Color Cameras - UNTESTED"/>
        <s v="Zmodo WiFi Camera Power adapter (5V / 2A)"/>
        <s v="Arlo Indoor Pan Tilt Camera Essential Vmc3073-100nas"/>
        <s v="Arlo Essential Security Camera 2K Outdoor 2ndGen Wireless with Spotlight. NEW"/>
        <s v="5x5 mm"/>
        <s v="Blink Add-On Sync Module 2"/>
        <s v="Panasonic WJ-ND400K NVR Security Camera  Recorder CCTV"/>
        <s v="New Sealed LED IR Illuminator Night Vision 850nm Infrared S-SA1-60-C-IR"/>
        <s v="SONOFF SNZB-05P Zigbee 3.0 Water Leak Detector IP67 Waterproof Remote Control"/>
        <s v="Plant Vase Case for Ring Indoor Cam - Cover Faux Nanny"/>
        <s v="8CH Home Security Camera System with 1TB HDD, 5MP Lite DVR, 1080P Indoor/Outdoor"/>
        <s v="Brand New SimpliSafe Outdoor Security Camera Series 2 (CM021) Fast Free Shipping"/>
        <s v="eufy Cam S300 3C 3-Cam Kit 4K Outdoor Camera Wireless Spotlight Bionicmind AI"/>
        <s v="VIVOSUN GrowCam C4 2K QHD WiFi Smart Camera Timelapse Night Vision Indoor Plants"/>
        <s v="Cartell CP4 Vehicle Sensor Kit Exit Wand 5 Wire  Exit Vehicle Detector - CP-4"/>
        <s v="JENNOV Security Camera System Outdoor Wireless Audio Wifi Home CCTV 5MP 10CH NVR"/>
        <s v="SolarCam 2K Wireless Outdoor Security Camera - Solar-Powered No Monthly Fees"/>
        <s v="Swann 2K HD Wire-Free Wireless Security camera System Battery Powered Record 8CH"/>
        <s v="SANNCE 4K 8CH NVR 3MP POE Security Camera System Two Way Audio Recording Outdoor"/>
        <s v="SANNCE HD 8CH 1080P Lite CCTV DVR TVI Video Recorder for Security Camera System"/>
        <s v="Axis M3115-LVE Outdoor Network Dome Camera - White"/>
        <s v="DVR9208 8 Channel Video Recorder - With 2 Hard Drives One Is 1.5TB"/>
        <s v="Lts Dvr Ltd8504t-st 3mp Hd-Tvi"/>
        <s v="ExacqVision IPS-2000-R2-L Exacq Network Digital Video Recorder"/>
        <s v="Personal Media Center-Mustek Pvr-h140 Voice Recoder, Photo Player, Movie Player"/>
        <s v="PSI PowerTec Solutions PS18L-U2 NXG-Vision MicroUPS 3.5 mm x 1.35 mm Jack"/>
        <s v="Arlo Wireless Pro 5S 2K Spotlight Security Cameras •3 Pack w/Solar Panel Sealed"/>
        <s v="SimpliSafe Home Security System Indoor Camera 8 Piece Kit New Sealed. Fast Ship"/>
        <s v="10M 33ft WiFi Antenna Extension Cable Cord for Wireless Security Camera RP-SMA"/>
        <s v="Security Camera Junction Box"/>
        <s v="Camera Junction Box Mount Bracket for Security Cameras - 10 Pack"/>
        <s v="ONVIF CCTV NVR 4 Channel Network DVR Video Recorder 1 TB"/>
        <s v="NEW No Box Lorex 4K 8MP IP Metal Dome PoE Wired Security Camera"/>
        <s v="ANNKE 8MP/5MP/1080P IR Night Vision Home Outdoor Security Camera for CCTV System"/>
        <s v="ANNKE 4MP Wireless PT Security IP Camera System Wifi Solar Battery Two Way Audio"/>
        <s v="SANNCE 16CH 5IN1 DVR 1080P Home Security Camera System Outdoor IR Night Vision"/>
        <s v="SANNCE 8MP POE Security IP Camera PTZ 20x Zoom Two Way Audio Color Night Vision"/>
        <s v="SANNCE 8CH 5IN1 5MP Lite DVR Digital Video Recorder For CCTV Security System"/>
        <s v="ANNKE 8CH 1080P H.265+ Security Camera System 3K Lite CCTV DVR Outdoor AI Kits"/>
        <s v="ANNKE 8MP 4K 6MP Full Color PoE Security Camera Dual Lens Two-Way Audio Outdoor"/>
        <s v="ANNKE 32CH 12MP NVR 4K Audio AI POE Security IP Camera System Color Night Vision"/>
        <s v="ANNKE H.265+ 8CH 16CH 12MP NVR 5MP Audio POE Security Camera System Color Night"/>
        <s v="ANNKE Wireless 4CH NVR 7&quot; Monitor 3MP Audio Security Camera System Two-Way Audio"/>
        <s v="ANNKE 3K Lite 8CH DVR 1080P CCTV Outdoor Night Vision Security Camera System AI"/>
        <s v="ANNKE 4K Ultra HD 5MP/8MP 8CH DVR Video CCTV Home Security Camera System Outdoor"/>
        <s v="ANNKE HD 1080P Outdoor 2MP TVI 4IN1 Security Camera EXIR Night fit for TVI DVR"/>
        <s v="ANNKE 6MP POE Security IP Camera Dual Lens Outdoor Color Night Two-Way Audio AI"/>
        <s v="ANNKE 5in1 8CH 3K Lite DVR 1080P TVI CCTV Security Camera System Outdoor Color"/>
        <s v="ANNKE 3K 8MP 4K 12MP Audio PoE IP Security Camera Outdoor Color Night Vision AI"/>
        <s v="4pcs 100ft Video Power Cable BNC RCA Cord Wire for CCTV Security Camera System"/>
        <s v="SANNCE 4x 100ft Video Power Cable BNC RCA Wire for Security Camera System XCL038"/>
        <s v="ANNKE Solar Battery Powered Wireless Security Camera System WiFiIP Outdoor Color"/>
        <s v="ANNKE H.265+ 3K Lite 8CH DVR 1080P CCTV Security Camera System Human Detection"/>
        <s v="ANNKE 4PCS 4K 8MP Security Camera Outdoor Color Night Vision for DVR CCTV System"/>
        <s v="ANNKE 5MP 8CH/16CH DVR Audio Security Camera System Outdoor Color Night Vision"/>
        <s v="ANNKE 4K 8MP PoE IP Security Camera PT Two Way Audio Outdoor Color Night Vision"/>
        <s v="ANNKE 5MP Home Security Camera Outdoor Color Night Vision Motion Digital WDR"/>
        <s v="ANNKE 10MP Wireless PTZ Security Camera Two-Way Audio Color Night Vision 12xzoom"/>
        <s v="ANNKE 16CH 5IN1 5MP-N DVR H.265+ Digital Video Recorder for CCTV Security Camera"/>
        <s v="ANNKE 8CH 4K 8MP 5IN1 HDMI DVR CCTV Security System Digtial Video Recorder"/>
        <s v="ANNKE 8CH Channel H.265+ 8MP Security NVR Recorder for 4MP/6MP/8MP POE IP Camera"/>
        <s v="ANNKE 8CH 6MP NVR 5MP Two Way Audio PoE Security Camera System Outdoor Color AI"/>
        <s v="ANNKE 12MP 16CH 8CH NVR 4K Audio PoE Security Camera System Color Night AI IP67"/>
        <s v="ANNKE 5MP Two Way Audio POE Security IP Camera System 8MP 8CH NVR Outdoor Color"/>
        <s v="ANNKE 5MP Audio POE IP Security Camera Color Night Vision IP67 AC500 AI Detect"/>
        <s v="ANNKE 12MP Audio PoE Security IP Camera AI Detection Outdoor Color Night Vision"/>
        <s v="ANNKE 12MP 8CH NVR 5MP Two Way Audio POE Security IP Camera System Color Night"/>
        <s v="ANNKE 8CH H.265+ 8MP NVR 5MP Color POE IP Security Camera System Audio CCTV AI"/>
        <s v="SANNCE 8CH 4K NVR 8MP Two Way Audio POE PT Security Camera System AI Detection"/>
        <s v="SANNCE 8CH 1080P Lite DVR 1080P CCTV Home Security Camera System Night Vision AI"/>
        <s v="SANNCE 3MP WIFI Security Camera System Outdoor Wireless Two Way Audio 16CH NVR"/>
        <s v="SANNCE 5MP Audio POE Security Camera System 4K 8CH NVR Outdoor Human Detection"/>
        <s v="SANNCE 1080P 4CH 8CH 5IN1 DVR Home Security Camera System Outdoor Night Vision"/>
        <s v="SANNCE Wireless 3MP Two Way Audio IP Security Camera System 8MP 16CH NVR WIFI AI"/>
        <s v="SANNCE 4CH/8CH/16CH 1080P Lite 5in1 DVR Recorder Video fr Security Camera System"/>
        <s v="SANNCE 8CH 8MP NVR 4K HD POE IP Home Video Recorder for Security Camera System"/>
        <s v="ANNKE 3K Lite 8CH DVR 1080P Video Security Camera System AI Human Detection CCTV"/>
        <s v="ANNKE 4MP Wireless Security Camera System Wifi Solar Battery Powered 2 Way Audio"/>
        <s v="ANNKE 8CH NVR 4K Audio POE Security Camera System Human Vehicle Detection Color"/>
        <s v="ANNKE 8CH 3K 1TB DVR 5MP Full Color Security Camera System 24/7 Audio Recording"/>
        <s v="ANNKE 4K/3K/5MP 16CH/32CH Digital Video Recorder 5in1 DVR for Security Camera"/>
        <s v="ANNKE 4K 8MP Audio POE IP Security Camera Outdoor IP67 Color Night Vision C800"/>
        <s v="ANNKE 5MP Wifi 8CH NVR 3MP Outdoor Wireless Security Camera System Two Way Audio"/>
        <s v="ANNKE 12MP 8CH NVR 4K Color Dual-Lens POE Security Camera System Two Way Audio"/>
        <s v="ANNKE 16CH DVR 5MP Audio Security Camera System Outdoor Color Night Vision H.265"/>
        <s v="ANNKE 8/16/32CH 1080P/5MP Lite 5in1 DVR Video Recorder For CCTV Security Camera"/>
        <s v="SANNCE 16CH 8MP NVR 4K Two Way Audio PoE PT Security Camera System Auto Tracking"/>
        <s v="ZOSI 3K Lite Security Camera System 8 Bullet Cameras 1TB"/>
        <s v="Lorex LNB4321-C 4MP HD IP IR Bullet Camera Untested"/>
        <s v="8MP 4K Window Camera,2.4GHz &amp; 5GHz WiFi Window Cameras for Home Security with Co"/>
        <s v="Arlo Rechargeable Battery VMA5400-10000S for Pro 3 Pro 4 Pro 5S 2K Ultra Genuine"/>
        <s v="Google Nest Cam IQ Outdoor A0055 &amp; NC4100US Camera Only Tested Replacement"/>
        <s v="Google NEST Cam IQ Indoor Smart 1080P HD Security Camera A0053 NC3100US Nice"/>
        <s v="SimpliSafe Original Generation (ES1000) Door/Window Entry Sensor - BRAND NEW"/>
        <s v="2 x Wi-Fi Smart Camera Full HD 1080p Motion Detector/Spay camera/Mini /Charge"/>
        <s v="4 x Wi-Fi Smart Camera Full HD 1080p Motion Detector/Spay camera/Mini /Charge"/>
        <s v="Nuvico Digital Video Recorder, ED-P400 - Untested"/>
        <s v="Mini Camera WiFi 1080P HD Home PIR DVR Camcorder Night Vision Home Security Cam"/>
        <s v="NEW HID iCLASS Smart Card 2100PGGMN Format H53536 (1 Card)"/>
        <s v="Reolink Go PT Ultra Outdoor 4G LTE Battery Solar Powered Security Camera PanTilt"/>
        <s v="Micro SDXC Class 10 TF Memory Card for Reolink Security Camera 64/128/256GB"/>
        <s v="Reolink 3W/6W/12W Solar Panel Non Stop Power for All Battery Security Cameras"/>
        <s v="Reolink 5MP POE Security Camera System 8CH NVR RLN8-410 2TB HDD Smart Detection"/>
        <s v="Reolink Duo 2 PoE 4K Security Camera System Outdoor Human/Vehicle/Pet Detection"/>
        <s v="Reolink RLC-510A 5MP PoE Security Camera Outdoor Human/Vehicle Detection 4PCS"/>
        <s v="Reolink  1224A 12MP PoE Security Camera Smart Color Night Vision Two-Way Audio"/>
        <s v="Reolink Argus 4 Pro + 6W Solar Panel 4K Security Camera 180° Blindspot-Free View"/>
        <s v="Reolink 5MP PoE Security Camera System 8CH 2TB HDD NVR 24/7 Video Recording"/>
        <s v="Reolink 5MP 16 Channel 4TB HDD NVR Outdoor PoE DIY CCTV Security Camera System"/>
        <s v="Reolink Elite WiFi 8MP 4K Dual-Lens Plug-in Security Camera Color Night Vision"/>
        <s v="Reolink E1 4MP 360° PT WiFi Security Camera Indoor Crying Detection AutoTracking"/>
        <s v="Reolink 16CH NVR Network Video Recorder for Security Camera System with 4TB HDD"/>
        <s v="Reolink Home Hub Wireless Security Center Encrypted Expandable Local Storage"/>
        <s v="Reolink Duo 3 WiFi 16MP WiFi 6 Security IP Camera Outdoor 180° Ultra-Wide Angle"/>
        <s v="Reolink Argus PT Ultra 4K 8MP Battery Solar Security Camera WiFi 360° Pan Tilt"/>
        <s v="Reolink 4K Battery WiFi Outdoor Security Camera Argus PT Ultra + 3W Solar Panel"/>
        <s v="Reolink Junction Box B10 for Security Camera 510A/810A/1212A/Duo 2 PoE/Duo 2wifi"/>
        <s v="4 NEW Northern Outdoor Cameras 3 Eyeball  DWMVFIR960 1 Bullet B6IROSD"/>
        <s v="Samsung Wisenet  8 Ir Bullet Cameras (Sdh-c75083bf) No Dvr Read DESCRIPTION"/>
        <s v="Sale  Mini 4G Wireless Wifi Camera 1080P HD +32GB memory card"/>
        <s v="2Pack 10Ft/3M Power Cord and Adapter for Blink Outdoor 4(4Th Gen)/(3Rd Gen)/Blin"/>
        <s v="ADT OC845 1080p Wireless Outdoor Security Camera | White Color"/>
        <s v="New Roku Video Doorbell and Chime SE Wired DS1000R - New/Sealed"/>
        <s v="Sistema De Seguridad 8 Camaras Para Exterior 4K Con Visión Nocturna 8CH 5MP CCTV"/>
        <s v="Verint S1816E 16-Port Video Network Server"/>
        <s v="Ring Floodlight Cam Pro Wired 2nd Gen (Newest Model) Retinal 4K - White"/>
        <s v="Solar Security Cameras Outdoor Wireless,4 Cam-Kit,2K 360° Pan &amp; Tilt NEW Openbox"/>
        <s v="Security Cameras Outdoor Wireless, 6Cam Kit, Solar Powered.360 Pan 5MP NEW(open"/>
        <s v="AOSU 2K Solar Security Cameras Wireless Outdoor, 4 Solar Camera for Home"/>
        <s v="Wireless Driveway Alarm Infrared Motion Sensor Home Garage Alert Security System"/>
        <s v="2Pack Dummy Fake Camera Surveillance Security CCTV Dome Indoor Outdoor LED Light"/>
        <s v="(Lot of 5) Vivint Smart Home Touchscreen Control Panel | VS-SH2000-C00"/>
        <s v="4-Pack Wireless 5G WiFi Security Camera System Smart Outdoor Night Vision 1080P"/>
        <s v="Guardline GL5000 Wireless Driveway Alarm Long Range Outdoor Motion Sensor System"/>
        <s v="4x Amcrest IP2M-866EW Optical Zoom Outdoor Vandal Security Camera | C275DS"/>
        <s v="Speco Technologies D4CS-500 Digital Video Recorder Security Surveillance Unit"/>
        <s v="EUFY BY ANKER T8E00 PoE CAM S4 BULLET PTZ CAM CAMERA 16MP TRIPLE  LENS -NEW!"/>
        <s v="Ring Wired Doorbell Pro 4K (Newest Model) | 3rd Gen | Sealed"/>
        <s v="Video Doorbell 1080p HD Camera WI-FI Night Vision Motion Detection Wireless"/>
        <s v="ARCCTV Solar Powered Wireless Battery Security Camera System Outdoor Home Wifi"/>
        <s v="Lorex DV704-DFS3 1080p HD MPX DVR 4 Channel Recorder 1TB Tested Works"/>
        <s v="Camera Mount Bracket for Tree, Pole, Wall, Siding for Ring Outdoor Cam Plus"/>
        <s v="CR-E Series Compact Embedded 4-Channel DVR CR4000E w/Azco Passive Video Balun"/>
        <s v="Lot Of 3 Luma Surveillance™ 310 Series Turret Analog Camera LUM-310-TUR-A-WH"/>
        <s v="AOSU Solar Camera Security Outdoor 360° Panoramic /Human Auto Tracking 2K View"/>
        <s v="Ring Floodlight Cam Plus Outdoor Camera 1080p Brand New Sealed Black"/>
        <s v="Blink XT Security Camera System - 2 Cameras + Sync Module Indoor &amp; Outdoor"/>
        <s v="⭐LOT For Tactacam Reveal Battery 7000mAh Compatible X Ultra/Pro 3.0/X Gen 2.0"/>
        <s v="Smart Mini Wireless WiFi Camera Home Security 1080P HD Night Cam"/>
        <s v="American Dynamics ADTVRLT16100 DVR"/>
        <s v="(5) Pack 6ft. DC Barrel Power 5.5mm x 2.1mm Extension Cable Male to Female"/>
        <s v="Wyze Cam v4 - 2.5K QHD Indoor/Outdoor WiFi Smart Security Camera"/>
        <s v="Solar Camera 4MP Wireless Outdoor Solar Battery Security Camera WiFi Smart Home"/>
        <s v="4MP Wireless Solar Battery Camera 4PCS Pan/Tilt WiFi Security Camera System"/>
        <s v="2PK Solar Camera 4MP Wireless Security Camera Outdoor Solar Battery Camera"/>
        <s v="Blink Video Doorbell (newest model) Required Sync Module not included"/>
        <s v="Lorex 4K Dual-Lens IP Camera with Smart Lighting &amp; Motion Detection E872SB"/>
        <s v="2 Pack Lorex H20 4K IP Wired Dual Lens Security Camera with Smart Lighting"/>
        <s v="Kastar Battery For WYZE Removable Battery Pack Battery Cam Pro 2K Video Camera"/>
        <s v="10CH 1TB HDD Monitor with Cameras 5MP Wired Security Camera System Wireless Kit"/>
        <s v="Invid Tech PD1B-16NH2 16Ch+ 8 Bonus IP CH Universal Port Recorder"/>
        <s v="Invid Tech Vis-P5bxir4lc Ip Camera, 4W, Color"/>
        <s v="4FT DC 5.5MM x 2.5MM Male and Female Plug to Bare Wire Open End Power Wire Suppl"/>
        <s v="Only For 2025 Nintendo Switch 2 4K HDMI Adapter Charger TV Docking Dock Station"/>
        <s v="Solar Panel Compatible with SimpliSafe Outdoor Security Camera, Waterproof 4W 5V"/>
        <s v="75 ft BNC Video Power Extension Cable for CCTV Security Camera DVR Black lot"/>
        <s v="AXIS COMMUNICATIONS Surveillance Card 128GB (01491-001)"/>
        <s v="HIK DS-1280ZJ-DM21, CB135, Junction Box Bracket For DS-2CD2347G1-LU Dome camera"/>
        <s v="3X 360° 1080P IP E27 Light Bulb Camera wifi IR Night SmartHome Wireless Security"/>
        <s v="（1ZP）VORGUT Wireless Security Camera System 10” LCD 2CAMS x 3MP PTZ NVR 500G HDD"/>
        <s v="256GB USB Flash Drive, Outlet Wall Mount Holder for Blink Sync Module 2 with Sho"/>
        <s v="2-pack Batteries + Dual Battery Charger for Arlo Pro Arlo Pro 2 Security Camera"/>
        <s v="V380 Q4 WiFi Smart Camera | Outdoor | Solar Panel (V380PRO) | Gray/Black"/>
        <s v="Cyber Home CH-DVR 1500 Good Working Condition!!! No Remote. Has Cord"/>
        <s v="RTSP 2MP IR Bullet IP Camera HD 8 pk Night Vision ONVIF POE Wired CNB LXC1050IR"/>
        <s v="16CH TVI DVR Model GAR336-16/A"/>
        <s v="Honeywell Home DT8035V DUAL TEC Motion Sensor, 40' 56' Range"/>
        <s v="ZOSI ZG2615E 5MP Add-on PoE IP Camera Bullet Camera IP66 Night Vision with Cable"/>
        <s v="ZOSI 2Pack C296 4K 8MP PoE IP PTZ Dome Security Camera Add-on Outdoor With Cable"/>
        <s v="ZOSI HD 720P Security Outdoor Wide Angle CCTV Bullet Camera 65ft IR Night Vision"/>
        <s v="ZOSI 4K 16CH NVR 5MP/8MP Security IP Camera System Waterproof AI Detect Audio"/>
        <s v="ZOSI C290 8MP Add-On PoE IP Pan/Tilt Security Camera Outdoor For 4K ZOSI PoE NVR"/>
        <s v="ZOSI H.265+ Security DVR 8CH AI Detect 1080p Record for CCTV Surveillance Camera"/>
        <s v="ZOSI 8CH 4K 5MP/8MP POE Security Camera System NVR CCTV Audio AI Detect IR Night"/>
        <s v="ZOSI 8CH/16CH 5MP/8MP POE IP Security Camera System 4K AI Face Detect NVR Audio"/>
        <s v="ZOSI 16 Channel H.265+ DVR Hard Drive 2TB 16 1080p Security Camera System"/>
        <s v="ZOSI 12V 2A Power Supply Adapter DC 1 to 4 Way Power Splitter Cable for Cameras"/>
        <s v="ZOSI 8CH 1080p H.265+ Security Camera System 5MP Lite CCTV DVR Outdoor HD IR Kit"/>
        <s v="ZOSI 5mp Lite 8CH DVR 1080p AI Security Camera System Outdoor H.265+ CCTV Kit"/>
        <s v="ZOSI 5MP Lite Home 8CH DVR 1080P H.265+ CCTV Security Camera System 1TB Outdoor"/>
        <s v="ZOSI 8CH 5MP DVR 1080P Pan/Tilt 360° Security Camera System Detect Night Vision"/>
        <s v="ZOSI 8CH 5MP 1080p Home Security Camera System Outdoor Lite DVR Hard Drive 2TB"/>
        <s v="ZOSI 16CH 5mp lite Surveillance Security Camera System DVR 1080P Outdoor Home"/>
        <s v="ZOSI H.265+ 8CH/16CH DVR for Security Camera System 1080P Recorder with HDD"/>
        <s v="ZOSI H.265+ AI 8CH/16CH DVR for Security Camera System 1080P Recorder with HDD"/>
        <s v="ZOSI 4MP WiFi Outdoor Security Camera 100ft Nigh tVision Spotlight Sound Alarm"/>
        <s v="Mini 1080P Camera Charger - Wireless Camera - No Wifi Tiny USB Charger Camera..."/>
        <s v="Ring Chime 3rd Gen Enhanced Audio Real-Time Alerts Home Security NEW In Box"/>
        <s v="Luma Lum-120-NVR-4ch 1TB HDD 4 Channel POE NVR- no power cord"/>
        <s v="ARCCTV 4MP WiFi6 Wireless Security Camera System Solar Powered Outdoor PTZ CCTV"/>
        <s v="Rain Shade Cover Compatible with Eufy SoloCam S340, Solar Security Camera"/>
        <s v="Paxvigo EBF810 -4K UHD Dual-Lens Panoramic Outdoor PoE Bullet IP Security Camera"/>
        <s v="WYZE 1080p HD Indoor Outdoor 2-Way Cam Starter Bundle Base Station and 1 Camera"/>
        <s v="Lorex LBV4711-C  4MP MPX IR BULLET CAMERAS 12V IN (10 AVAILABLE) SAFETY SECURITY"/>
        <s v="PRO-VISION PD-1800 Solid State HD DVR, 8 Channel, SD Card, LAN, USB, Black"/>
        <s v="Full HD 1080P 4K Cam Wireless WiFi Security Mini Micro Pinhole Screw DIY Cam DVR"/>
        <s v="4K Ultra HD Wireless 1080P Mini screw Module WIFI Pinhole DIY Camera DVR Cam USA"/>
        <s v="HTZSAFE  1/2 Mile  Solar Driveway Alarm System 1 Receiver + 1 Sensor"/>
        <s v="Htzsafe Solar Driveway Alarm System 1/4 Mile Long Transmission Range waterproof"/>
        <s v="HTZSAFE Owl Home Security Wireless Driveway Alarm 1 Receiver + 2 Sensors"/>
        <s v="HTZSAFE 1/2 Mile Solar Power Driveway Alarm System 1 Receiver + 3 Sensors"/>
        <s v="Speco N16NRP4TB 16 Channels 4K H.265 Network Recorder Built-In PoE UNTESTED"/>
        <s v="ALARM.COM XT-511-US-VZ-LTEUP LTE Module Verizon NEW Sealed Security Simon XT/XTI"/>
        <s v="Brigade MDR-504-1-G2-CMR 4 Channel Mobile Digital Recorder Gray + Wiring"/>
        <s v="Lorex 4K 8MP IP Wired Dual Camera Outdoor E871AB-Z - 180 deg view"/>
        <s v="Wyze WZEC3FL Outdoor Floodlight Security Camera 2600 Lumen White*FREE SHIPPING*"/>
        <s v="1080P Full HD USB Webcam For PC Desktop Laptop Web Camera With Microphone / FHD"/>
        <s v="Ls Gen 3 Ecm Engine Programming Control Module Reader Diagnostic Pcm Bench Harne"/>
        <s v="4 Pack Wireless 5G WiFi 1080P Security Camera System Smart Outdoor Night Vision"/>
        <s v="SONOFF CAM-B1P Outdoor Smart Security Camera 2K HD With AI Human Detection IP65"/>
        <s v="SONOFF Smart Human Presence Sensor Zigbee 3.0 Local Smart Scene Motion Detectors"/>
        <s v="8PCS 3MP HD Cameras ,Wireless WiFi Security Camera systen 10CH NVR+3TB harddrive"/>
        <s v="Genuine Rechargeable Battery Pack For Ring Video Door Bell 4, 3, 2 Quick Release"/>
        <s v="Wyze - 2k Smart Lightbulb WI-Fi Security Camera with Color Night Vision &amp; Dim..."/>
        <s v="RoHS 4Ch MPEG4 DVR Digital Recorder With Wide angle Lens Camera And Cabling."/>
        <s v="IC Realtime Digital Video Recorder AVR-1416-4M - 16 Channel System - Analog DVR"/>
        <s v="2 Pack Solar Power Fake Dummy Surveillance Security Camera CCTV &amp; Record Light"/>
        <s v="4X Solar Bullet Fake Dummy Surveillance Security Cameras CCTV &amp; Record Light"/>
        <s v="3 Pack IR Bullet Fake Dummy Surveillance Security Camera with Record Light-Black"/>
        <s v="AVIGILON 9W-H3-3MH-DP1 Outdoor Dome Camera"/>
        <s v="Swann DVR video recorder DVR8-4680 1TB HDD HDMI 8 channel DVR-4680 1080p"/>
        <s v="3 Pack Eufy SoloCam S230 2K Outdoor Solar Wireless Security Cameras Night Vision"/>
        <s v="Replacement Floodlight Wall Base for Google Nest Cam White GPLE9 Original"/>
        <s v="QOLSYS iQ4 iQP4 Panel 4 PowerG S-line GE LTE 319.5 MHz VERIZON LTE ALARM SYSTEM"/>
        <s v="Luma LUM-501-DVR-8CH 1TB 8 Channel Digital Video Recorder n371"/>
        <s v="Mobotix Q25 360 Degree IP Security Camera"/>
        <s v="GeoVision gv-vs04h 4-Channel Network PoE Video Server For Cameras - Powers On"/>
        <s v="5X SimpliSafe Indoor Camera Wi-Fi HD Security Camera SSCM1 &amp; Wall Charger W/cord"/>
        <s v="Aosu Solar-Powered Wireless Security Camera Kit SolarCam P1 Max System"/>
        <s v="New Opticom QS4-8 Color Quad Processor Module 8-Channel NTSC"/>
        <s v="ClearView Digital Video recorder Panther5-16"/>
        <s v="8ch NVR 4108-8P-4KS3  8POE"/>
        <s v="NEW Ring Outdoor Cam (Stick Up Cam) Weather-Resistant Outdoor Camera White"/>
        <s v="Hiseeu WIFI Solar Battery Outdoor 4MP HD Wireless Security Camera 2Way Audio"/>
        <s v="1~3PCS Hiseeu Solar Security Camera 4MP Wireless PTZ PIR Outdoor 8W Solar Panel"/>
        <s v="Hiseeu 3MP 16CH NVR Outdoor Wifi PTZ Audio IP Security Camera System 24/7 Record"/>
        <s v="2PCS Hiseeu WIFI Solar Battery Outdoor 4MP Wireless Security Camera 2-Way Audio"/>
        <s v="4PCS 4MP Bullet Security Camera 4CH POE NVR Outdoor System One-Way Audio NO HDD"/>
        <s v="Hiseeu 5MP Wireless Wifi Security Camera System 10CH NVR 10''LCD Monitor Lot"/>
        <s v="Hiseeu 4MP 10CH Wireless Wifi Solar Battery Security Camera System Human Detect"/>
        <s v="Hiseeu Wifi Security Camera System,16CH NVR,4PCS 3MP PTZ Camera,5G Wifi,500G HDD"/>
        <s v="Tyco Exacq 940-00122 RevB Input/Output Board"/>
        <s v="Tyco Exacq EXG100-00151 Rev A1 BNC Pane"/>
        <s v="Lot 10 Ecolink WST-232 Honeywell Compatible Wireless Door/Window Sensors 345 Mhz"/>
        <s v="75ft CCTV Surveillance Security Camera DVR Video Power BNC Cable Wire Cord Black"/>
        <s v="✅ Night Owl Camera 4K UHD 3840 x 2160 Wired Spotlight CM-DP8LSA-B DP8 NEW ✅"/>
        <s v="✅ Wyze Cam Floodlight Pro 3000 Lumen LEDs 180° Wide View 2K HD Outdoor  ✅"/>
        <s v="Lorex Fusion 4K 16 Bullet Camera Capable 2TB Wired NVR System with 6 Cameras"/>
        <s v="GE Interlogix TX-1510-01-1 Wireless DesignLine Recessed Door/Window Sensor New!"/>
        <s v="ANRAN Solar Battery Powered Wireless Security Camera System Outdoor Home Wifi IP"/>
        <s v="1/2/3/4 Security Wall Mount Holder Outdoor/Indoor for Wyze Cam Pan Camera System"/>
        <s v="Kamtron Wireless IP Security Camera In White - Brand New In Box"/>
        <s v="eufy Floodlight Camera E340 Security Camera 3K Dual Camera Color Night Vision"/>
        <s v="eufy 2K Smart Security Camera Indoor Cam C220 AI Motion Track NightVision|Refurb"/>
        <s v="eufy Indoor Cam C210 Home Security Camera 1080P 360° PTZ Night Vision |Refurbish"/>
        <s v="eufy Security Baby Monitor E21 with 4K UHD Camera, 5'' 720p Display 8X Zoom 24/7"/>
        <s v="eufy 2K Outdoor Solar Security Cameras (SoloCam S230) Spotlight Cam Night Vision"/>
        <s v="eufy eufyCam S4 Security Solar Camera Wireless Outdoor 4K UHD Color 360 Pan/Tilt"/>
        <s v="eufy SoloCam S340 Solar Wireless Outdoor Camera 4-Cam Kit 360° Pan &amp; Tilt Wi-Fi"/>
        <s v="eufy SoloCam E42 4K HD Security Camera Wireless Outdoor Solar Powered AI Motion"/>
        <s v="eufy 2K Security Indoor Camera Wi-Fi Webcam Motion Tracking 2-Way Audio |Refurb"/>
        <s v="eufy S220 SoloCam Solar Security Camera 2K Wireless Outdoor Cam 2-Cam |Refurbish"/>
        <s v="eufy Security Floodlight Camera E30 2K HD Outdoor Cam 360° P&amp;T AI Detect|Refurb"/>
        <s v="eufy Security 4G LTE Cam S330 4K Cellular Solar Wireless Security Cameras|Refurb"/>
        <s v="eufy S220 SoloCam 2K Solar Security Camera Wireless Outdoor Camera Wi-Fi 4-Cam"/>
        <s v="eufy Security eufyCam S3 Pro Add-on Camera with Solar Panel, Outdoor Wireless 4K"/>
        <s v="eufy SoloCam E30 2-Cam Kit 2K Solar Camera Outdoor Wireless 360° Pan AI Tracking"/>
        <s v="eufy 2K Plug-in Security Indoor Camera Wi-Fi IP Cam Pet AI Night Vision|Refurb"/>
        <s v="eufy Security eufyCam E330 4K Outdoor Security Camera System with 1TB HDD|Refurb"/>
        <s v="eufy eufyCam S3 Pro Solar Camera Security System 4K MaxColor Night Vision|Refurb"/>
        <s v="eufy eufyCam 3 Wireless 4K Solar Powered Security Camera System 5-Cam Kit|Refurb"/>
        <s v="eufy eufyCam 2C Wireless Home Security System+ Solar Panel 1080P Outdoor Cameras"/>
        <s v="eufy Entry Sensor Send Alert Triggers Siren for Doors Windows Detects|Refurb"/>
        <s v="eufy Security Garage Door Sensor Add-On for Garage-Control Cam and Cam Plus"/>
        <s v="eufy Home Alarm System Motion Sensor 30ft Detect Adjustable Sensor|Refurb"/>
        <s v="eufy S220 SoloCam Solar Security Camera 2K Wi-Fi Wireless Outdoor |Refurb"/>
        <s v="eufy E220 Indoor Security Camera 3MP Wi-Fi Baby Pet Monitor Night Vision|Refurb"/>
        <s v="eufy SoloCam E42 HD 4K Solar Wireless Security Camera Outdoor Strobe Light AI"/>
        <s v="eufy SoloCam S3 Solar Wireless Security Camera 360°PTZ 3K Dual-Cam Night Vision"/>
        <s v="eufy PoE Bullet-PTZ Cam S4 NVR Wired Add On Cam NVR 4K UHD Triple|Refurb"/>
        <s v="eufy SoloCam S220 Wireless Home Security System 2K Outdoor Cameras Solar Powered"/>
        <s v="eufy PoE NVR Security System S4 Max 8CH 16MP Triple Lens Camera 360°PTZ |Refurb"/>
        <s v="eufy Security SoloCam E30, 4-Cam Kit Solar Security Cameras Wireless Outdoor360°"/>
        <s v="eufy 2K Solar Security Cameras Wireless Outdoor Spotlight SoloCam S230 (2Pack)"/>
        <s v="eufy eufyCam 3 Security Camera System 4K Outdoor Wireless Camera w/ Solar Panel"/>
        <s v="eufy SoloCam S340 Outdoor Solar Security Camera 3K Dual-Camera Pan&amp;Tilt 8xZoom"/>
        <s v="8 Channel H.265+ 5MP Lite DVR HD 1080p Recorder for Security Camera System"/>
        <s v="16 Channel Security Recorder DVR for 5MP Hybrid AHD/TVI/CVI/CVBS/IP Analog Cam"/>
        <s v="Technicolor 212 Video Recorder Untested for Parts - A2000"/>
        <s v="3 Lens 12MP Solar Battery Home Security Camera Outdoor Wifi Wireless PTZ CCTV US"/>
        <s v="AXIS T94S01P Conduit Back Box"/>
        <s v="Wireless Mini Wifi Security Camera with Night Vision Motion Detection Rechargeab"/>
        <s v="LOT OF 10 Watch Guard 4RE-DVR NO KEY WGA00480-601 HDDs Removed MISSING PARTS"/>
        <s v="Network Video Recorder Model: HS-N608-Q1/8P"/>
        <s v="10 Rare Earth Magnets Door Window Alarm White Security System"/>
        <s v="Logitech Circle 2 Indoor/Outdoor 1080p Wi-Fi Home Wired Security Camera White"/>
        <s v="Security Camera Wireless System Audio Home CCTV 5MP HD 10CH NVR Outdoor Wifi IR"/>
        <s v="RG59 Black 1000ft Bulk Siamese Cable 20AWG+18/2 CCTV Security Camera Wire Ntwork"/>
        <s v="AOMG H.264 Network Video Recorder NVR 8 CH"/>
        <s v="1080P Mini Camera WiFi HD IP Night Vision Camcorder Home Security Video Audio"/>
        <s v="Google Nest Cam Security Camera Outdoor Wired Cam NC2100ES 1080P Night Vision"/>
        <s v="DC 12V 5A Power Supply Adapter +8 Split Power Cable for CCTV Security Camera DVR"/>
        <s v="Arlo Ultra 2 Outdoor Camera 4K HDR 3 Camera and 3 Black Solar Panels Kit"/>
        <s v="LTD8416M-ST 34CH of 16CH TVI/AHD/CVI/CVBS Upto 8MP+18Ch IP Upto 12MP 4 SATA DVR"/>
        <s v="Wireless WIFI IP Mini Smallest DIY Buttons Camera HD 1080P -Micro Video Recorder"/>
        <s v="Arlo Pro 2 HD 1080 Add-on Camera VMC4030P NO Battery FREE SHIPPING read"/>
        <s v="Ring Floodlight Cam Wired Pro w/ Bird’s Eye View and 3D Motion Detect"/>
        <s v="Ring Video Doorbell 1080p HD Camera WI-FI Night Vision Motion Detection Wireless"/>
        <s v="Wifi and 3/4G GSM Home Burglar Security Alarm System Auto Dial with Smart Life a"/>
        <s v="Arlo Ultra 3 UHD 4K Wire-Free Add-on Security Camera - VMC5050-100NAS Mag Mount"/>
        <s v="Bosch DVR-16L-200A Security DVR"/>
        <s v="Sibell Network Video Recorder NVR-SB32-16P L-439S"/>
        <s v="Arlo Security Cameras,  4 Camera Outdoor with Solar Panels, 2K - VMK3450"/>
        <s v="Axis M3058-PLVE Indoor/Outdoor Network Security Camera | ig"/>
        <s v="ED9632H5NV-16P-AN 32CH IP 12MP 20fps 192Mbps 16Port PoE Ai 2xLAN 2xHDMI NDAA NVR"/>
        <s v="LUMA Surveillance Network Video Recorder LUM-510-NVR-4CH-1T"/>
        <s v="Mini APP WiFi Camera 1080P HD Motion Detection Home Security Audio Video Cam"/>
        <s v="All-New Blink Outdoor 4 (4Th Gen) Camera Mount, Weatherproof Protective Housing"/>
        <s v="10 Pcs DC Power Supply Female Jack Socket 5.5 x 2.1mm Barrel-Type PCB Mount"/>
        <s v="ANNKE 16CH 8CH 3K 5MP Lite H.265+ DVR CCTV Security Video Recorder AI Detection"/>
        <s v="ANNKE 5MP Video CCTV Security Camera Outdoor Color Night Vision Audio Recording"/>
        <s v="ANNKE 1080P CCTV Security Camera System 5MP Lite 8CH DVR Outdoor AI Color Night"/>
        <s v="ANNKE 8CH 4K 8MP 5IN1 H.265+ DVR Video Recorder for CCTV Security Camera System"/>
        <s v="ANNKE HD 8CH 4K NVR POE IP Network 8MP Video Recorder for Security Camera System"/>
        <s v="ANNKE 4x 5MP CCTV Security Camera Outdoor AI Color Night Vision Audio Recording"/>
        <s v="ANNKE 8CH DVR 5MP Audio Security Camera System Human Detection Color Night IP67"/>
        <s v="ANNKE 4K Dual Lens 180° View AI Color Night PoE Security IP Camera Two-Way Audio"/>
        <s v="ANNKE 1080P CCTV Security Camera System 8CH 5MP Lite DVR Outdoor AI Color Night"/>
        <s v="SANNCE 4IN1 HD 1080P Night Vision Outdoor CCTV Security Camera Home Surveillance"/>
        <s v="ARCCTV Home Security System HD Camera Kit - Solar Powered Model C3 Pro"/>
        <s v="ARCCTV Outdoor 360° PTZ Solar Security Camera System Battery Wireless 4MP Home"/>
        <s v="4 X 100Ft Video&amp;Power Cable for Night Owl HD CCTV Security Camera Wire Cord"/>
        <s v="Spare Battery for AllSecure650 &amp; AllSecure600 Kits &amp; Cameras SONVW-600BATT"/>
        <s v="16ft DC Power Extension Cable Cord 5.5x2.1mm 16 feet/5M for CCTV Camera DVR BLK"/>
        <s v="Google Nest Camera Charging Cable With A/C Block (Original/Genuine) 3FT."/>
        <s v="New Sight Bulb WiFi Smart Camera &amp; Light Pro, 75W Equivalent LED Light"/>
        <s v="SONOFF CAM PT2 Wifi Smart Home Security Camera Night Vision 360° Panoramic View"/>
        <s v="Optex White BX Shield 80FT Boundary Outdoor Detector PIR Anti-Masking BXS-RAM-W"/>
        <s v="Visonic Powermaster 10 G2 Spanish Kit, NEXT K9-85 PG2, MC-302, KF-234 915 Mhz"/>
        <s v="Solar Security Camera System Wireless Outdoor Dual-Lens Dual PIR Detect NVR Set"/>
        <s v="Indoor WiFi Security Camera 360° Motion Alert Two-Way Audio"/>
        <s v="Wireless 5G WiFi Security Camera System Smart Outdoor Night Vision 1080P"/>
        <s v="4MP WDR PoE Network Dome Camera - DS-2CD2142FWD-I 2.8mm"/>
        <s v="NVR Wi‑Fi Module, Only for  Poe NVR System, Supports up to 16  Wi-Fi Cameras, Vi"/>
        <s v="2pcs New PIR Motion Sensor Switch infrared wall mount switch AC 110-240V"/>
        <s v="Eyemax Magic Series 16‑CH DVR CCTV – Channel 5 Fault, All Others Fully Working"/>
        <s v="ZOSI H.264 HD 720P DVR Security System with Adapter"/>
        <s v="Verkada Wall Pole Mount Bracket For Dome Bullet Security Cameras ACC‑MNT‑XLARM‑1"/>
        <s v="2-Pack Blink Outdoor Camera 4th Gen Rain Canopy Hood Latest Cover Hood"/>
        <s v="Pool Patrol PA-30 Pool Alarm Certified ASTM Safety Specification F2208"/>
        <s v="Lot 4K 8MP PoE IP Camera Weatherproof Security Camera Color Night Vision Audio"/>
        <s v="JENNOV 10&quot;LCD 10CH 5MP NVR WiFi IP Outdoor Wireless Security Camera System CCTV"/>
        <s v="4-Pack Wireless 2.4G WiFi Security Camera System Smart Outdoor Night Vision 3MP"/>
        <s v="5MP Outdoor Wireless Security Camera System Home WiFi 10CH NVR Night Vision 30m"/>
        <s v="Security Camera System Outdoor Wireless 5MP NVR WIFI Two Way Audio Night Vision"/>
        <s v="8MP 20x Optical Zoom Night Vision POE IP PTZ Security Camera 2-Way Audio IR IP66"/>
        <s v="GeoVision USAVISION Outdoor PoE Network Mini Security Camera 4MP IR (0-LUX) IP67"/>
        <s v="BZBGEAR 1080P FHD 20X HDMI/3G-SDI/NDI/RS232/485/POE Live Streaming PTZ Camera"/>
        <s v="LTS LTD8504K-ST 4CH 5MP H.265+ HD-TVI"/>
        <s v="QOLSYS iQ4 iQP4001 WIRELESS ALARM SYSTEM ALARM.COM VERIZON LTE INTERLOGIX 319 N"/>
        <s v="QOLSYS iQ2+ HONEYWELL 2GIG POWER G WIRELESS SYS ALARM.COM VERIZON LTE QS9201-5 U"/>
        <s v="Blink Mini / Mini 2 / Mini 2K+ Security Camera – 1080p/2K, Night Vision."/>
        <s v="4 Pack IR Bullet Dummy Fake Surveillance Security Camera CCTV with Record Light"/>
        <s v="HD 1080P Mini Camera Portable Micro Cam Pocket Video Recorder Motion Detection"/>
        <s v="Ring Floodlight Cam Pro 4K (Newest Model) Wired | 2nd gen | Sealed | White"/>
        <s v="SANNCE 16CH 4K POE Security NVR 8MP Video Recorder For Camera System IP Network"/>
        <s v="SANNCE 5in1 8CH 1080P Lite TVI DVR Video Recorder for CCTV Security System 1TB"/>
        <s v="amazon ring indoor camera window mount (MOUNT ONLY)"/>
        <s v="Ubiquiti UniFi Protect G4 Dome PoE Camera (UVC-G4-Dome)"/>
        <s v="Ubiquiti UNVR-Instant Network Video Recorder (Non-Kit Version)"/>
        <s v="verint edgevr 200"/>
        <s v="Faceplate for Ring Generation Gen 2 doorbell cover - pick a colour!"/>
        <s v="Hiseeu 4K 8MP 10CH 10&quot; Touch Screen NVR Security Camera System 1TB HDD EseeCloud"/>
        <s v="Hiseeu 2K Solar Battery Powered Wireless WIFI Security Camera System Outdoor lot"/>
        <s v="Hiseeu 5MP 10CH NVR Wireless Wifi Security Camera System Kit For Home Outdoor"/>
        <s v="Hiseeu 10&quot;LCD 10CH NVR WIFI IP Wireless Security Camera System Outdoor 1TB HDD"/>
        <s v="5MP Outdoor WIFI Security Camera For Hiseeu 8CH Wireless Security Camera System"/>
        <s v="2PCS/Lot Hiseeu Wifi Solar Security Camera 2.4G/5GWiFi For Home Security Use"/>
        <s v="1~4PCS Hiseeu 3MP PTZ Security Camera 5G Wifi Night Vision Auto Track 24/7Record"/>
        <s v="20-Pack BNC to RJ45 Balun Transceiver | CCTV Video &amp; Power over CAT5e/6"/>
        <s v="Ring Spotlight Cam Plus / Battery Outdoor Camera Pack of 2 *New In Box*"/>
        <s v="Zmodo Wi-Fi Camera Power adapter Cord"/>
        <s v="4 Channel NVR  (to use as repeater)"/>
        <s v="Zmodo 8 Channel Network Video Recorder with 500GB hard driver (Black version)"/>
        <s v="4MP PoE IP Vandal Bullet Camera IR Mode Outdoor/Indoor Metal Housing 2.8mm"/>
        <s v="4K 8MP Dual Lens POE IP Camera 180° Panoramic Color Night Vision Metal Housing"/>
        <s v="5MP Dome TVI AHD CCTV 4IN1 Security Camera 65ft Night Vision Metal Housing 2.8mm"/>
        <s v="2MP 180° Panoramic Fisheye Dome TVI 4IN1 CCTV Security Camera Metal Housing"/>
        <s v="2MP Dome TVI AHD CCTV 4IN1 Security Camera 65ft Night Vision Metal Housing 2.8mm"/>
        <s v="4K 8MP PoE IP Vandal Dome Camera IR Mode Outdoor/Indoor Metal Housing 2.8mm"/>
        <s v="8MP PoE IP B&amp;R Strobe Light Full Color Night Vision Camera Metal Housing 2.8mm"/>
        <s v="Ring Outdoor Camera Battery Smart Security Camera with 2-Way Talk"/>
        <s v="Ring Pan-Tilt Indoor Camera 360° HD Video Two-Way Talk"/>
        <s v="New Ring Floodlight Cam Pro Wired 2nd Gen (Newest Model) Retinal 4K - Black"/>
        <s v="Genuine Battery A-4a For Arlo Ultra, Arlo Pro 3, 4, 5, 5s Security Camera"/>
        <s v="2 Pack Rechargeable Battery A-1 for Arlo Pro 2 Camera VMA4400 VMS4230 VMC4030P"/>
        <s v="Genuine New Extra Battery for ARLO PRO 2 Security Camera VMA4400 VMS4230 VCS4500"/>
        <s v="2x Genuine Battery V4 For Ring Battery Doorbell Plus/Pro, Video Doorbell 2/3/4"/>
        <s v="Genuine Battery for Ring Video Doorbell 2/3/4, Spotlight/Peephole/Stick Up Cam"/>
        <s v="Arlo Essential Indoor Pan Tilt Security Camera 2K (2025 Release) -2 Cam Set NEW"/>
        <s v="16 Gauge Heavy Duty DVR/NVR Security Lock Box with Cooling Fan -21 x 21 x 8 In"/>
        <s v="FyuuI Wireless Security NVR 8CH CCTV Recorder HDMI VGA No HDD Included"/>
        <s v="AXIS P5534 60HZ"/>
        <s v="ADATA 10 inch Display with 4 channel dvr"/>
        <s v="Mobotix MX-OPT-RS1-EXT Weatherproof RS232 I/O Interface Box NEW OPEN BOX"/>
        <s v="Wireless WIFI Camera Home Security System Outdoor CCTV 5MP 10CH 1TB NVR Lot"/>
        <s v="Bosch NIN-63023-A3-A Flexidome IP Starlight 6000 Dome 2MP HDR Security Camera"/>
        <s v="Verint BA-EM8-1000R-POE Network Video Recorder"/>
        <s v="American Dynamics ADHD32060A Hybrid Digital Video Recorder"/>
        <s v="Mier BW-FC242410-QT NEMA Type 3R Outdoor Polycarbonate Enclosure"/>
        <s v="Verint BA-16-8000R EdgeVR 300 Network Video Recorder (NVR)"/>
        <s v="Verint R250S-16-4000R Analog/IP Network Video Recorder"/>
        <s v="Mikrotik Cloud Router Switch CRS326-24G-2S+RM"/>
        <s v="BNC Female to BNC Female Coax Cable Connector Coupler Adapter Multi-Pack LOT"/>
        <s v="BNC Male to F-Type Female Coaxial Cable Adapter Converter Connector Multi LOT"/>
        <s v="DC Power Pigtail Cable Plug 18AWG 2.1mm x 5.5mm 12V 5A Female Connector Pack Lot"/>
        <s v="DC Power Pigtail Cable Plug 18AWG 2.1mm x 5.5mm 12V 5A Male &amp; Female Pack Lot"/>
        <s v="Security Camera Cable BNC Extension Power Cord CCTV Surveillance DVR Wire - lot"/>
        <s v="DC Power Connector 2.1 x 5.5mm BNC RCA Male /Female CCTV Video Balun Adapter LOT"/>
        <s v="Burglar Security ALARM Cable 500ft 1000ft UTP 18/2 18/4 22/2 22/4 Stranded Solid"/>
        <s v="ADT OC845 1080p Wireless Security Camera | White Color | Outdoor"/>
        <s v="CCTV BNC Video Power Extension Cable For Security Camera DVR System HD"/>
        <s v="3X Blink XT/2 In/Outdoor Camera Wall Mount Bracket Protective Adjustable Holder"/>
        <s v="Blink Video Doorbell 4&quot; - 5&quot; Vinyl Siding Mounts"/>
        <s v="Google Nest Doorbell (Battery) Replacement Mounting Bracket / Wall Mount"/>
        <s v="Ubiquiti UniFi G5/G6 PTZ Camera Corner Mount"/>
        <s v="Arm Mounts for Ubiquiti UniFi Protect G5/G6 Turret Cameras"/>
        <s v="ANNKE 1080P Home Security Camera System 3K Lite 8CH DVR Outdoor Color Night AI"/>
        <s v="ANNKE 16CH 3K Lite 5in1 DVR 1080P CCTV Security Camera System Color Night Vision"/>
        <s v="ANNKE 4K 8MP 5MP 1080P Video Outdoor Security Camera Night Vision for DVR Kits"/>
        <s v="ANNKE 5MP Audio POE Security Camera System 8CH/16CH 12MP NVR Outdoor Color Night"/>
        <s v="ANNKE 16CH 8CH 3K 5MP Lite H.265+ 5IN1 DVR CCTV Security Video Recorder AI Alert"/>
        <s v="ANNKE 5MP Audio CCTV Security Camera Outdoor Color Night Vision Human Detection"/>
        <s v="ANNKE 3K Lite 8CH DVR CCTV 1080P Security Camera System Human Detection IP67 1TB"/>
        <s v="ANNKE 8CH 3K Lite H.265+ DVR Recorder For Surveillance Security Camera System"/>
        <s v="ANNKE 12MP 8CH NVR 4K 8MP PoE Security Camera System Outdoor Color Night Vision"/>
        <s v="Ring Floodlight Cam Wired Outdoor Security Camera Lot of 7 Units, For Parts Only"/>
        <s v="Ring Wall Mount for Cameras and Solar Panels -White"/>
        <s v="Floodlight Cam Pro with 2K Video and Ring Vision, 2 LED Lights, Dual Band Wi-Fi"/>
        <s v="Ring - Stick Up Cam PRO Plug In Indoor/Outdoor Security Camera with 3D Motion"/>
        <s v="Hybrid 16CH DVR for TVI, AHD, CVI, CVBS &amp;  Cameras"/>
        <s v="ROLA Mini Companion Robot with Camera | AI Smart Pet Interactive Home Assistant"/>
        <s v="2 Pack Wireless 5G WiFi Security Camera System Smart Outdoor Night Vision 1080P"/>
        <s v="EDISHINE 240 Degree Motion Sensor,  Motion Sensor for Security Floodlight, Brown"/>
        <s v="EDISHINE Motion Sensor, Automatic Dusk to Dawn, 180 Degree Replacement Brown"/>
        <s v="100 PCS Nylon Universal Cable Tie Buckle，Heavy Duty Self-Locking Zip Ties Holder"/>
        <s v="Vikylin 4K 8MP 40X 18X PTZ 360° IP Camera IR POE Mic Auto Tracking Outdoor NDAA"/>
        <s v="Vikylin 4K 8MP 5MP 40X 18X PTZ 360° IP Camera POE Mic Auto Tracking Outdoor CCTV"/>
        <s v="Vikylin 4K 8MP 25X PTZ 360 degree POE IP Camera Outdoor IR Audio Auto Tracking"/>
        <s v="Ring Stick Up Cam Battery - Indoor/Outdoor Smart Security Camera, Black New*"/>
        <s v="Guardline 500 Foot Range Wireless Driveway Alarm System (1 Sensor 1 Receiver)"/>
        <s v="Amcrest HD 1.3-Megapixel 4Ch Network POE Video Security System NEW!"/>
        <s v="Amcrest 4K 8-Channel POE NVR Supports up to 6TB HDD NV2108E-HS"/>
        <s v="AMCREST HD-LITE 8 CHANNEL VIDEO SECURITY RECORDER UP TO 6TB Capacity AMDVTENL8H5"/>
        <s v="Night Owl 10 Channel 4K Wi-Fi NVR 1TB Drive WNVR-BTWN8-V2- New Open Box w/Acc."/>
        <s v="3D Aluminum 3 Position Selector Safety Cam for Kriss Vector RATL-R"/>
        <s v="ANRAN 8CH NVR 5MP Wifi Outdoor Security Camera System Wireless 2TB Night Vision"/>
        <s v="ANRAN Home Outdoor Wireless Security WiFi Camera System CCTV 5MP HD NVR 2TB HDD"/>
        <s v="ANRAN 4G LTE Cellular Solar Battery Security Camera Outdoor Wireless Home IP65"/>
        <s v="ARCCTV Solar Battery Powered Wireless Security Camera System WiFiIP Outdoor Home"/>
        <s v="Genuine New Extra Battery A-1 for ARLO PRO 2 Security Camera"/>
        <s v="64GB Mini Camera Video Camera Car Key HD 1080P Portable Video Sound Recording-"/>
        <s v="KJB Professional Digital DD1206 RF WiFi GSM Bug Detector Counter Surveillance"/>
        <s v="Arlo Essential,Security,Camera,Wall Clips,Mount,(3)pack .comes With Screws"/>
        <s v="Arlo Pro 4 VMC4041P Spotlight Indoor/Outdoor Camera Black (Set of 4)"/>
        <s v="Arlo Pro 4 VMC4041P Spotlight Indoor/Outdoor Camera White(Set of 4)"/>
        <s v="Pack of 2 Arlo Pro 4 VMC4041P Spotlight Camera NO Battery/ NO Housing"/>
        <s v="Arlo Protected Smart Security Yard Sign (254-50153-01)"/>
        <s v="Blink Outdoor 4 Floodlight Wireless Security Camera, Black"/>
        <s v="Eufy S330 eufyCam 3 Solar Power Wire-Free Security Add-On Camera (T8160)"/>
        <s v="Eufy Security S380 HomeBase T8030 (Power supply + LAN)"/>
        <s v="Ring 5UM7E5 Stick Up Cam Security Camera - White (No Battery &amp; Mounting Plate)"/>
        <s v="3-pack Genuine OEM A-4a Batteries for Arlo Ultra Ultra 2, Arlo Pro 3, Arlo Pro 4"/>
        <s v="NEW Alarm.com ADC-VC838PF IP67 4MP Turret PoE Security Camera - Varifocal Lens"/>
        <s v="Visonic MCT-302 SMA Wireless Door/Window Contact - Brand New"/>
        <s v="Hanwha PNM-9084QZ1 8MP (2MP x 4) Multi-Sensor, Multi-Directional PTRZ Camera"/>
        <s v="Bolide SVR9516H 16-Channel H.265 5MP HD Over Coax/IP Hybrid DVR USED W/ 2 TB HDD"/>
        <s v="Seon Design Hard Drive TL-H250G 250G for use in Trooper TL4 TL-4 DVR School Bus"/>
        <s v="Seon Trooper TL4 DVR Surveillance System With 5 CQ903A Cameras &amp; Wiring Bus CCTV"/>
        <s v="Smart Wireless WiFi Video Doorbell Phone Door Ring Intercom Security Camera Bell"/>
        <s v="VIKYLIN 4K 8MP 5X Zoom IR POE Dome PTZ IP Camera Two-Way Audio w/bracket Outdoor"/>
        <s v="Ring Alarm Wireless Home Security Kit 5-Piece System - (1st Gen)"/>
        <s v="Unifi Ubiquiti Black Camera Standard Junction Box UACC-Camera-JB-B - Free Ship!"/>
      </sharedItems>
    </cacheField>
    <cacheField name="brand" numFmtId="0">
      <sharedItems count="204">
        <s v="Lorex"/>
        <s v="Chargio"/>
        <s v="Unknown"/>
        <s v="YI"/>
        <s v="Simplisafe"/>
        <s v="Amcrest"/>
        <s v="Geovision"/>
        <s v="Verint"/>
        <s v="Ring"/>
        <s v="Blink"/>
        <s v="Smartsecurity"/>
        <s v="Sony"/>
        <s v="Eufy"/>
        <s v="Rca"/>
        <s v="Tvt  Manufacture"/>
        <s v="Voltky"/>
        <s v="Electro-Store4U"/>
        <s v="Gmox"/>
        <s v="Elexa"/>
        <s v="Arlo"/>
        <s v="Wuloo"/>
        <s v="Annke"/>
        <s v="Sannce"/>
        <s v="Maximalpower"/>
        <s v="Aosu"/>
        <s v="Haivision"/>
        <s v="Night Owl"/>
        <s v="Hiseeu"/>
        <s v="Vivotek"/>
        <s v="Luma"/>
        <s v="Besttechtrading"/>
        <s v="Avertx"/>
        <s v="Luc"/>
        <s v="Westgate"/>
        <s v="Proimage"/>
        <s v="Wyze"/>
        <s v="Qd-Gotrays"/>
        <s v="Hixon"/>
        <s v="Hoovy"/>
        <s v="Amazon"/>
        <s v="Chamberlain"/>
        <s v="Unbranded/Generic"/>
        <s v="Netvue"/>
        <s v="Jytrend"/>
        <s v="Kratax"/>
        <s v="Digital Watchdog"/>
        <s v="Ic Realtime"/>
        <s v="Jaiho"/>
        <s v="Nuuo"/>
        <s v="Gyration"/>
        <s v="Htzsafe"/>
        <s v="Skyworth"/>
        <s v="Herphia"/>
        <s v="Htwon"/>
        <s v="Invid Tech"/>
        <s v="Bosch"/>
        <s v="Cable-Zilla"/>
        <s v="Tapo"/>
        <s v="Panasonic"/>
        <s v="Floureon"/>
        <s v="Aimhduty"/>
        <s v="Mm Electronicles"/>
        <s v="Adc"/>
        <s v="Onvis"/>
        <s v="Flir"/>
        <s v="Google Nest"/>
        <s v="Flux"/>
        <s v="Cinnado"/>
        <s v="The Perfect Part"/>
        <s v="Arcctv"/>
        <s v="Onvif"/>
        <s v="Xvim"/>
        <s v="Woolink"/>
        <s v="Xvim/Woolink"/>
        <s v="Interlogix"/>
        <s v="Iegeek"/>
        <s v="Swann"/>
        <s v="Pelco"/>
        <s v="The Platinum Tools"/>
        <s v="Openeye"/>
        <s v="Toughdog"/>
        <s v="Wasserstein"/>
        <s v="Jacobsparts"/>
        <s v="Tqthl"/>
        <s v="Speco"/>
        <s v="Reolink"/>
        <s v="Generic"/>
        <s v="Navitroey"/>
        <s v="Anran"/>
        <s v="Dsc"/>
        <s v="Ubiquiti Networks"/>
        <s v="Avc Security Systems"/>
        <s v="3Vr Identiv"/>
        <s v="Maxlinear"/>
        <s v="Knight"/>
        <s v="Jennov"/>
        <s v="Camoon"/>
        <s v="Astak"/>
        <s v="Kcsnyo"/>
        <s v="Roku"/>
        <s v="Fujitsu"/>
        <s v="Ptz Optics"/>
        <s v="Hanks Minerals"/>
        <s v="Honeywell"/>
        <s v="Vivosun"/>
        <s v="The Smart Home"/>
        <s v="Bolide"/>
        <s v="LG"/>
        <s v="Kerui"/>
        <s v="Azco Technologies"/>
        <s v="Samsung"/>
        <s v="Zmodo"/>
        <s v="Sonoff"/>
        <s v="Decaldino"/>
        <s v="Jousecu"/>
        <s v="Vivousn"/>
        <s v="Cartell"/>
        <s v="Axis"/>
        <s v="Lts"/>
        <s v="Exacqvision"/>
        <s v="Mustek"/>
        <s v="Powertech Solutions International"/>
        <s v="Nvr"/>
        <s v="Zosi"/>
        <s v="Abetap"/>
        <s v="Monrade"/>
        <s v="Nuvico"/>
        <s v="Hid"/>
        <s v="Northern Video"/>
        <s v="Ito"/>
        <s v="Adt"/>
        <s v="Kepeak"/>
        <s v="Vivint"/>
        <s v="Guardline"/>
        <s v="Orbitell"/>
        <s v="3Dexl"/>
        <s v="Costar"/>
        <s v="Dome"/>
        <s v="Alltechrevival"/>
        <s v="American Dynamics"/>
        <s v="Keen Eye"/>
        <s v="Woolink/Xvim"/>
        <s v="Kastar"/>
        <s v="Othoking"/>
        <s v="Siwiqu"/>
        <s v="Kabaconsultingllc"/>
        <s v="Caliwiretech"/>
        <s v="Boykeep"/>
        <s v="Vorgut"/>
        <s v="V380"/>
        <s v="Cyberhome"/>
        <s v="Cnb"/>
        <s v="Tvi"/>
        <s v="Paxvigo"/>
        <s v="Pro-Vision"/>
        <s v="Alarm.Com"/>
        <s v="Brigade"/>
        <s v="Evergrow"/>
        <s v="Smartsf"/>
        <s v="Rohs"/>
        <s v="Horizon"/>
        <s v="Avigilon"/>
        <s v="Qolsys"/>
        <s v="Mobotix"/>
        <s v="Opticom"/>
        <s v="Clearview"/>
        <s v="Tyco"/>
        <s v="Ecolink"/>
        <s v="GE"/>
        <s v="Wowpartspro"/>
        <s v="Kamtron"/>
        <s v="Technicolor"/>
        <s v="Watch Guard"/>
        <s v="Quick-Switch.C"/>
        <s v="Logitech"/>
        <s v="Aomg"/>
        <s v="Sibell"/>
        <s v="Ens"/>
        <s v="Mayvillage"/>
        <s v="Cctv Security Camera Wire Cord"/>
        <s v="Pro"/>
        <s v="Optex"/>
        <s v="Visonic"/>
        <s v="Camcamp"/>
        <s v="Noahtec"/>
        <s v="Eyemax"/>
        <s v="Verkada"/>
        <s v="Pool Patrol"/>
        <s v="Bzbgear"/>
        <s v="3Dprintni"/>
        <s v="Centropower"/>
        <s v="Fyuui"/>
        <s v="Adata"/>
        <s v="Mier Products, Inc"/>
        <s v="Mikrotik"/>
        <s v="Satmaximum"/>
        <s v="Gator Cable"/>
        <s v="Linkpal"/>
        <s v="Enabot"/>
        <s v="Edishine"/>
        <s v="Vikylin"/>
        <s v="Sma"/>
        <s v="Hanwha Techwin"/>
        <s v="Seon"/>
      </sharedItems>
    </cacheField>
    <cacheField name="mpn" numFmtId="0">
      <sharedItems containsBlank="1" containsNumber="1" containsInteger="1" containsMixedTypes="1" count="356">
        <s v="E910AB"/>
        <s v="LNB9292B-1PK"/>
        <s v="BNC Cable"/>
        <s v="LNE9292B"/>
        <s v="D841A82B-W"/>
        <s v="N844A82"/>
        <s v="N843A82"/>
        <s v="N846A62"/>
        <m/>
        <s v="B086DKMSSM"/>
        <s v="Blink Outdoor Indoor Camera"/>
        <s v="AKT86P2121"/>
        <s v="AKT8170"/>
        <s v="AKT8110"/>
        <s v="AKT8173"/>
        <s v="AKT8P10"/>
        <s v="AKT8172"/>
        <s v="AKT8425"/>
        <s v="AKT88301D1"/>
        <s v="AKT8030"/>
        <s v="AKT8417"/>
        <s v="AKT8920"/>
        <s v="AKT8E00"/>
        <s v="Does Not Apply, NO APPLY"/>
        <s v="DMS01"/>
        <s v="VMS5240, VMS5240-100NAS"/>
        <s v="AU-DW81KN000"/>
        <s v="N98PBK/N46PCK"/>
        <s v="AU-DW81KN-51EP"/>
        <s v="SU-N98WHG-71GL"/>
        <s v="SN-C51EU0103-V1"/>
        <s v="SU-DT81BD-51FE"/>
        <s v="SU-N98WHE0-74GL-V2-OP"/>
        <s v="N98PBD-91FT"/>
        <s v="XCLCable"/>
        <s v="AU-N46PCK000-V4"/>
        <s v="B0DZ8YQ2VB"/>
        <s v="5CCEA3"/>
        <s v="B0F151GFYR"/>
        <s v="AU-DT61BS200-V2"/>
        <s v="TZ-HB618/WK-8HB618-CT"/>
        <s v="WK-4HDA03-EG"/>
        <s v="W881AAD-E-R"/>
        <s v="D863A6"/>
        <s v="D4K1AD-8"/>
        <s v="N864A64B"/>
        <s v="E851AD"/>
        <s v="W881AAD"/>
        <s v="AZN4KPL2-83WB"/>
        <s v="W463AQ-AA"/>
        <s v="B463AJD"/>
        <s v="N910A62-R"/>
        <s v="N864A64B-R"/>
        <s v="V261LCD-E-R"/>
        <s v="B451AJD"/>
        <s v="AVX-HD420IR HD420"/>
        <s v="HIXMAX-J090A"/>
        <s v="AN-CT1FE0103"/>
        <s v="AU-I41DQ0104-OP"/>
        <s v="AU-N44WET0-52CN-S2-V2-OP"/>
        <s v="AU-DW81KN0-58EP"/>
        <s v="AN-I91DL0104-V3"/>
        <s v="AU-DW61LN-51EF"/>
        <s v="DW81KN/DW61LN"/>
        <s v="AU-DT61BS000"/>
        <s v="DW81KT-51EP/51EF/T1GK/T1GJ"/>
        <s v="AU-DW81KN-51EF"/>
        <s v="AU-DW81KN0-58EF"/>
        <s v="N98PBK-91DL-V3"/>
        <s v="AU-N46PCK-V4-91DL-V3"/>
        <s v="AU-DW81KN0-T4FD"/>
        <s v="XCL038"/>
        <s v="N48PAW-N46PCK"/>
        <s v="AU-DW81KN000-OP"/>
        <s v="AU-N44WET0-82BM-OP"/>
        <s v="DT81DW"/>
        <s v="AU-N98PBL000"/>
        <s v="AU-N46PCK-V4-91DM"/>
        <s v="AU-N98PBK0-94DM"/>
        <s v="AU-DW81KN0-R4CW"/>
        <s v="I51EM"/>
        <s v="AU-KC51EF0403"/>
        <s v="AU-N98PBK000"/>
        <s v="AU-N98PBK0-58EM"/>
        <s v="AN-CR1CW0102"/>
        <s v="AU-DW81KT-T1GJ"/>
        <s v="AN-I51HD0102"/>
        <s v="D961BC/DX31NB/DW61LN"/>
        <n v="93146854"/>
        <s v="9863B-BHASL001"/>
        <s v="MYQ-C39VXXW"/>
        <s v="NCM01"/>
        <s v="V4, 5AT3S3, 5F53E9"/>
        <s v="308-50012-01, 308-50002-01, 308-10069-01, A-14, 308-50034-01, A-7"/>
        <s v="308-10029-01, A-1b, A-1C"/>
        <s v="HIXPOW-K-J743-US"/>
        <s v="DW-VA1P4"/>
        <s v="75RICMTB"/>
        <s v="E895AB"/>
        <s v="LC2203"/>
        <s v="BA-32 TBR"/>
        <s v="IP8M-2496EW-AI-V3"/>
        <s v="IP5M-F1180EW"/>
        <s v="NV4116-HS"/>
        <s v="B08F6GPQQ7"/>
        <s v="VG4-A-PA0"/>
        <s v="V8P1AX11"/>
        <s v="C4L2CA11"/>
        <n v="503444"/>
        <n v="503421"/>
        <s v="155454GY"/>
        <s v="270044F"/>
        <s v="Tapo C500"/>
        <s v="KXHNC500W"/>
        <s v="AC90019018"/>
        <s v="WT3"/>
        <s v="B6"/>
        <s v="K02W7271US"/>
        <s v="AR-K04W2L7H-B360"/>
        <s v="N1150TYN-4PK"/>
        <s v="N1060WH-1/4P"/>
        <s v="N1060WH/BK-4"/>
        <s v="TVN-1104cS-1T"/>
        <s v="DT81BC-51EE/T1GL"/>
        <s v="SU-N48WHE-71GL"/>
        <s v="SWNVK-MRMINISD3"/>
        <s v="WYZEC4WH"/>
        <s v="TVR-6016-4T"/>
        <s v="Black"/>
        <s v="DCEXT-F"/>
        <s v="DCCONN-D-5PK"/>
        <s v="DCCONN-DE"/>
        <s v="DCEXT-G_M"/>
        <s v="N40W1602"/>
        <s v="CP0000000282"/>
        <s v="UVC-G5-Turret-Ultra"/>
        <s v="SSDB3"/>
        <s v="AVCN3516K"/>
        <s v="SRS-0835-050"/>
        <s v="OEM-VRC7008"/>
        <s v="VMA5100-10000S"/>
        <s v="P87HM85-30X-EAS"/>
        <s v="Orbitell"/>
        <s v="Ring 2 3 4 Battery"/>
        <s v="T8134"/>
        <s v="SS-1500"/>
        <s v="PA-0502"/>
        <s v="VMC3050-100NAS"/>
        <s v="53-024486"/>
        <s v="U9K-CM0210"/>
        <s v="T8882121"/>
        <s v="CP4-100-5W"/>
        <s v="SU-N98PBD0-74FQ-V1-P-OP"/>
        <s v="SU-DT81BD000"/>
        <s v="M3115"/>
        <s v="VMK4360P-1SCNAS"/>
        <s v="W2225147XLZ8PEZ"/>
        <s v="E842CDB"/>
        <s v="ANNKE Cam"/>
        <s v="AU-N98WHR-I81BM"/>
        <s v="DT61BH-51EE"/>
        <s v="I91EM"/>
        <s v="DT81BF"/>
        <s v="DW81KT-51EP/T1GK"/>
        <s v="51DW/51HD/91DW/91ET"/>
        <s v="N931BB-91DL"/>
        <s v="N48PAW/N46PCK-51EL"/>
        <s v="AU-N44WET0-72GK-V2-OP"/>
        <s v="DW81KN+54EP"/>
        <s v="DT81DX-R1BG-R1BL-R1CC"/>
        <s v="C51EK"/>
        <s v="I51HD"/>
        <s v="AU-DW81KD-51EP"/>
        <s v="91DM/91DL/91DF/51EM/51EL/51EN/51ES/51EF/91DS/91DH"/>
        <s v="XCL044"/>
        <s v="N54WHF0-84BM"/>
        <s v="AU-DW81KT-51EP"/>
        <s v="AU-KCS1EQ0402"/>
        <s v="I91EP"/>
        <s v="R1CW"/>
        <s v="AU-I91CS0104"/>
        <s v="N98PBL"/>
        <s v="N98PBL-51HJ"/>
        <s v="N48PAW/N46PCK-91DM"/>
        <s v="I91DN"/>
        <s v="N98PBK-51HJ"/>
        <s v="N98PBL0-54EM"/>
        <s v="SU-DT81BC0-52EE"/>
        <s v="N98WHG0-74GL"/>
        <s v="SU-N98PBD0-54FQ-P-OP"/>
        <s v="DT81BC-51EE"/>
        <s v="N48WHG-71GL"/>
        <s v="DN41CS-DN81BS-DT61BH"/>
        <s v="SU-N98PBD000-OP"/>
        <s v="DW81KT-T1FD"/>
        <s v="N98WHR-81BJ"/>
        <s v="AU-N98PBL-91DF"/>
        <s v="DW81KT+R1CW"/>
        <s v="I91DF"/>
        <s v="N48WHR0-V2-74GK"/>
        <s v="N98PBK-91ET"/>
        <s v="AU-DW61LN-R1CW"/>
        <s v="AU-DT61BS000/DW61LN/DW81KN/DX31NB"/>
        <s v="N96PBK-91FT"/>
        <s v="LNB-4321-C"/>
        <s v="VMA5400-10000S"/>
        <s v="A0055"/>
        <s v="Go PT Ultra with Solar Panel"/>
        <s v="PC1224AD6K01"/>
        <s v="HDMEIIR90W"/>
        <s v="DS1000R"/>
        <s v="S1816E"/>
        <s v="IP2M-866EW"/>
        <s v="DV704D"/>
        <s v="LUM-300"/>
        <s v="US-N1060WH-XM4MP"/>
        <s v="N1060WH-4PK"/>
        <s v="N3070BK-XM/001*2PK"/>
        <s v="E871AB_K4"/>
        <s v="Model HB-T1"/>
        <s v="A61WJ55AS-V1608-1"/>
        <s v="PD1B-16NH2"/>
        <s v="VIS-P5BXIR4LC"/>
        <s v="S3 MAX"/>
        <s v="DS-1280ZJ-DM21, CB140PT, CB135"/>
        <s v="[&quot;DT8035V&quot;], DT8035"/>
        <s v="AC-2AT4-US"/>
        <s v="B0FBC8ZWDH"/>
        <s v="LUM – 120 – NVR – CH"/>
        <s v="CP0000001240"/>
        <s v="PD-1800"/>
        <s v="XT-511-US-VZ-LTEUP"/>
        <s v="MDR-504-1-G2-CMR"/>
        <s v="E871AB"/>
        <s v="WZEC3FL"/>
        <s v="CAM-WEB-2MP"/>
        <n v="60550"/>
        <s v="V4"/>
        <s v="WYZEC-BC"/>
        <s v="HZDC-Sbullet"/>
        <s v="DVR8-4680, DVR-4680, DVR84680, DVR4680, DVR-84680, DVR8-4680H"/>
        <s v="T8124R"/>
        <s v="IQP4017"/>
        <s v="SSCM1"/>
        <s v="WST-232"/>
        <s v="CM-DP8LSA-B"/>
        <s v="WYZECFLPBL"/>
        <s v="N847A62-8AB6-E"/>
        <s v="N30W1599"/>
        <n v="826"/>
        <s v="AKT8W1F0"/>
        <s v="AKT8419"/>
        <s v="AKT8354"/>
        <s v="AKT8124"/>
        <s v="AKT8413"/>
        <s v="AKE8134"/>
        <s v="AKT8426"/>
        <s v="AKT86P2"/>
        <s v="AKT8162"/>
        <s v="AKT8171"/>
        <s v="AKT8400"/>
        <s v="AKE8600"/>
        <s v="AKT8894"/>
        <s v="AKE8874"/>
        <s v="AKE8831"/>
        <s v="T8900"/>
        <s v="AKT8450"/>
        <s v="AK-T8910"/>
        <s v="AKT8134"/>
        <s v="AKT8410"/>
        <s v="AKE8124"/>
        <s v="4RE DVR, WGA00480-601"/>
        <s v="QS 910 MDM"/>
        <s v="961-000415"/>
        <s v="P31-V18/V80-1"/>
        <s v="rg59"/>
        <s v="VMS5340BUN-CR"/>
        <s v="LTD8416M-ST, LTD8416K-ST, LTD8416M-ST(S), LTD8416T-ST, Platinum"/>
        <s v="5B28S4"/>
        <s v="VMC5040100NAR"/>
        <s v="VMK3450"/>
        <s v="01177-001, M3057PLVE, M3058-PLVE"/>
        <s v="NDAA, TVT, Titanium, ED9632H5NV-16P-AN, TD-3332H4-16P-B2"/>
        <s v="LUM-510-NVR-4CH"/>
        <s v="AU-DW81KN/DW61LN"/>
        <s v="AN-CR1CV0102"/>
        <s v="DW81KN-51EP/51EF/T1GK/T1GJ"/>
        <s v="AU-DT81DW000"/>
        <s v="AU-KCR1CW0402"/>
        <s v="AU-DW81KN-R1CW"/>
        <s v="AN-I91ET0102"/>
        <s v="DW81KN+C51EF*4"/>
        <s v="C3 Pro"/>
        <s v="do not apply"/>
        <s v="SONVW-600BATT-GL"/>
        <s v="BXS-RAM(W)"/>
        <s v="PMaster 10 915 SP Kit"/>
        <s v="ACC-MNT-XLARM-1"/>
        <s v="PA-30"/>
        <s v="A95WF85-3-EAS"/>
        <s v="A31HH35-3-FAS"/>
        <s v="P31HJ55AS-V8010-1"/>
        <s v="UA-B40004F"/>
        <s v="BG-ND-20XHSRP"/>
        <s v="Not Applicable"/>
        <s v="WL-KEYMOD-COVER-32"/>
        <s v="SU-N96PBK000-OP"/>
        <s v="SU-DT81BD100-R"/>
        <s v="UVC-G4-DOME"/>
        <s v="UNVR-Instant-US"/>
        <s v="WK-10CA-4HB618-AT"/>
        <s v="HISTZHB612EEU"/>
        <s v="WHDA03"/>
        <s v="B0B7QMF9T5"/>
        <s v="A-4a, VMS4340P-100NAS, VMS4440P-100NAS, VMS4640P-100NAS, VMC4040B-100NAS, VMC4240B-100NAS, VCS4440B-100NAS, VMS5440-100NAS, VMS5340-100NAS, VMS5240(B)-100NAS, 308-10069-01, VMS5140-100NAS, VMS5440B-100NAS, VMC5040(B)-100NAS, VMS4240P, 308-50012-01, VMC404"/>
        <s v="A-1, A-1B, A-1C, 308-10029-01"/>
        <s v="A-1, 308-10029-01, VMS4230-100PAS, VMC4030P-100NAS, VMA4400, VCS4500C, VMS4230P"/>
        <s v="V4, 5AT3S3, 5F53E9, 5F77E9, 5F79E9"/>
        <s v="VMC3273-100NAS"/>
        <s v="MX-OPT-RS1-EXT"/>
        <s v="NIN-63023-A3-A"/>
        <s v="BA-EM8-1000R-POE"/>
        <s v="ADHD32060A"/>
        <s v="BW-FC242410-QT"/>
        <s v="BA-16-8000R"/>
        <s v="R250S-16-4000R"/>
        <n v="900057"/>
        <n v="900905"/>
        <n v="530119"/>
        <s v="530113, 530119"/>
        <s v="906908 906909 906910 906911 906912"/>
        <s v="CCTV-Security-Surveillance-BNC-Cable-DVR-4K-Black"/>
        <s v="BLINK MOUNT"/>
        <s v="DW81KT-T1GK-51EP-51EF-T1GJ"/>
        <s v="DW61LN-T1GJ"/>
        <s v="N48PAW/N46PCK-51EM/51EL/51EN/51EH/51EG"/>
        <s v="R1CX"/>
        <s v="AU-DW81KT1-T4FC"/>
        <s v="AU-DW81KD000-V7"/>
        <s v="AU-N98PBK-91DM"/>
        <s v="B0CG6RXMNV/B08FCWQWDZ"/>
        <s v="B09CKN2D4S"/>
        <s v="567876T5R"/>
        <s v="NV2108E-HS"/>
        <s v="CP0000001023"/>
        <s v="N30W1572"/>
        <s v="CP0000000331"/>
        <s v="DD1206S"/>
        <s v="VMC4041P"/>
        <s v="T81601W1"/>
        <s v="T8030"/>
        <s v="5UM7E5"/>
        <s v="ADC-VC838PF"/>
        <s v="TL4"/>
        <s v="NOT SPECIFIED"/>
        <s v="YCX-009"/>
      </sharedItems>
    </cacheField>
    <cacheField name="upc" numFmtId="0">
      <sharedItems containsBlank="1" containsNumber="1" containsInteger="1" containsMixedTypes="1" count="186">
        <n v="695529055725"/>
        <n v="695529025988"/>
        <n v="704537716990"/>
        <n v="695529026374"/>
        <n v="695529021133"/>
        <n v="695529036816"/>
        <n v="695529034140"/>
        <n v="695529043753"/>
        <m/>
        <n v="843261112729"/>
        <n v="840080527864"/>
        <n v="194644178307"/>
        <n v="194644246754"/>
        <n v="194644245672"/>
        <n v="194644243746"/>
        <n v="194644239725"/>
        <n v="194644259600"/>
        <n v="194644245757"/>
        <n v="194644211127"/>
        <n v="194644137380"/>
        <n v="194644107369"/>
        <n v="194644236144"/>
        <n v="194644123307"/>
        <n v="194644239749"/>
        <n v="194644245658"/>
        <n v="768231568910"/>
        <n v="753575864149"/>
        <n v="840414665354"/>
        <n v="695529053417"/>
        <n v="695529052106"/>
        <n v="695529059501"/>
        <n v="695529059310"/>
        <n v="695529063782"/>
        <n v="695529050584"/>
        <n v="810083471167"/>
        <n v="713651297148"/>
        <n v="313101250237"/>
        <n v="726084614659"/>
        <n v="850001215428"/>
        <n v="842861101560"/>
        <n v="12381230310"/>
        <n v="313113793708"/>
        <n v="711181021455"/>
        <n v="840268907754"/>
        <n v="610098787006"/>
        <n v="744390953460"/>
        <n v="656081895105"/>
        <n v="6935085302272"/>
        <s v="Do Not Apply"/>
        <n v="850007530198"/>
        <n v="850005687719"/>
        <n v="840080598574"/>
        <n v="800549669511"/>
        <n v="636391130097"/>
        <n v="636391130066"/>
        <n v="636391137584"/>
        <n v="649722501763"/>
        <n v="840030705861"/>
        <n v="885170361201"/>
        <n v="843261112149"/>
        <n v="698596310384"/>
        <n v="698596305991"/>
        <n v="769230880102"/>
        <n v="769230879731"/>
        <n v="755113382788"/>
        <n v="840236142859"/>
        <n v="840414648951"/>
        <n v="810083473673"/>
        <n v="4895230324233"/>
        <n v="845832018287"/>
        <n v="845832018430"/>
        <n v="845832029665"/>
        <n v="30519015943"/>
        <n v="763769907477"/>
        <n v="810084693575"/>
        <n v="815017029698"/>
        <n v="196852605996"/>
        <n v="6901425854602"/>
        <n v="313085250209"/>
        <n v="193108149785"/>
        <n v="843261113870"/>
        <n v="194644131579"/>
        <n v="815017020459"/>
        <n v="889490018937"/>
        <n v="193108145657"/>
        <n v="705353045271"/>
        <n v="4893993199266"/>
        <n v="6901425847949"/>
        <n v="7331021065765"/>
        <n v="193108146531"/>
        <n v="843261113962"/>
        <n v="695529052168"/>
        <n v="7445023784729"/>
        <n v="606449138467"/>
        <n v="725423889475"/>
        <n v="840414626881"/>
        <n v="194644239718"/>
        <n v="850812007298"/>
        <n v="810155034399"/>
        <n v="768476589350"/>
        <n v="196271032298"/>
        <n v="194160005491"/>
        <n v="612068820645"/>
        <n v="6971627218182"/>
        <n v="840414663411"/>
        <n v="6973667281805"/>
        <n v="859696007172"/>
        <n v="695529051413"/>
        <n v="850025015691"/>
        <n v="744759414236"/>
        <n v="6901425854312"/>
        <n v="810083474830"/>
        <n v="814763020782"/>
        <n v="194644036287"/>
        <n v="193575030968"/>
        <n v="843261112378"/>
        <n v="6977118370568"/>
        <n v="808226371665"/>
        <n v="810083472119"/>
        <n v="695529055633"/>
        <n v="194644179267"/>
        <n v="194644294090"/>
        <n v="194644293987"/>
        <n v="194644190903"/>
        <n v="194644308599"/>
        <n v="194644305574"/>
        <n v="194644311742"/>
        <n v="649661372202"/>
        <n v="194644168278"/>
        <n v="194644290191"/>
        <n v="194644169701"/>
        <n v="194644185497"/>
        <n v="194644210670"/>
        <n v="194644229405"/>
        <n v="786513666574"/>
        <n v="194644177751"/>
        <n v="194644287726"/>
        <n v="194644037260"/>
        <n v="194644290856"/>
        <n v="760575257451"/>
        <n v="194644082901"/>
        <n v="649661207733"/>
        <n v="194644322960"/>
        <n v="786513667403"/>
        <n v="194644396848"/>
        <n v="194644178727"/>
        <n v="194644308117"/>
        <n v="194644042523"/>
        <n v="194644305604"/>
        <n v="194644232290"/>
        <n v="194644176099"/>
        <n v="854109004816"/>
        <n v="659680647939"/>
        <n v="726084490314"/>
        <n v="313097460412"/>
        <n v="193108145978"/>
        <n v="726084631939"/>
        <n v="840236135356"/>
        <n v="850045533144"/>
        <n v="788924502519"/>
        <n v="7445054699658"/>
        <n v="789681012365"/>
        <n v="850009357519"/>
        <n v="810010073013"/>
        <n v="810177163602"/>
        <n v="840268930653"/>
        <n v="889490020145"/>
        <n v="840268905552"/>
        <n v="840268955465"/>
        <n v="193108148504"/>
        <n v="814320022990"/>
        <n v="765066008291"/>
        <n v="612212082523"/>
        <n v="765066008673"/>
        <n v="765066010324"/>
        <n v="840268949747"/>
        <n v="840268985202"/>
        <n v="840268985332"/>
        <s v="8 59888 00512 2"/>
        <n v="854088008430"/>
        <n v="854088008492"/>
        <n v="840268997335"/>
        <n v="194644096915"/>
        <n v="194644104160"/>
        <n v="756395040137"/>
        <n v="780245006813"/>
      </sharedItems>
    </cacheField>
    <cacheField name="product_type" numFmtId="0">
      <sharedItems count="209">
        <s v="Bullet Camera"/>
        <s v="Other"/>
        <s v="Dome Camera"/>
        <s v="DVR"/>
        <s v="Monitor/Display"/>
        <s v="Not Specified"/>
        <s v="NVR"/>
        <s v="Camera"/>
        <s v="Base System"/>
        <s v="Door Sensor"/>
        <s v="Video Server"/>
        <s v="Video Recorder"/>
        <s v="Power Kit"/>
        <s v="Security System"/>
        <s v="Complete System"/>
        <s v="Edge Security Center"/>
        <s v="Indoor Cam"/>
        <s v="Water And Freeze Sensor"/>
        <s v="Cable/Accessory"/>
        <s v="Hybrid Dvr"/>
        <s v="8Ch Dvr"/>
        <s v="Ptz"/>
        <s v="Bnc Connector"/>
        <s v="Rg-59/U Cable"/>
        <s v="Details In Description"/>
        <s v="Panic Alarm Siren"/>
        <s v="Wire-Free Security System"/>
        <s v="Driveway Alarm Alert Wireless System"/>
        <s v="Driveway Alarm System"/>
        <s v="Sensors &amp; Motion Detectors"/>
        <s v="Pan&amp;Tilt Dome"/>
        <s v="Power&amp;Video Cable"/>
        <s v="Dummy Camera"/>
        <s v="Floodlight Camera"/>
        <s v="Solar Panel"/>
        <s v="(Digital Video Recorder)"/>
        <s v="Doorbell Camera"/>
        <s v="Pir Motion Sensor Light Switch"/>
        <s v="Sensor Switch"/>
        <s v="Multiple Room System"/>
        <s v="Alarm/Sensor"/>
        <s v="Battery"/>
        <s v="Digital Video Recorder"/>
        <s v="Bullet / Dome"/>
        <s v="Turret Camera"/>
        <s v="Ethernet Switch"/>
        <s v="Voice Recorder"/>
        <s v="Baby Monitors"/>
        <s v="Keypad"/>
        <s v="Plastic"/>
        <s v="Listener"/>
        <s v="Cctv Security Camera Dvr Power Supply"/>
        <s v="Video Doorbell Camera Battery"/>
        <s v="Battery Replacement"/>
        <s v="Bird Cam"/>
        <s v="Sync Module"/>
        <s v="Ring Video Doorbell Replacement Battery"/>
        <s v="Surveillance Dvrs &amp; Nvrs"/>
        <s v="Recorder"/>
        <s v="Cctv Monitor"/>
        <s v="Indoor Security Camera"/>
        <s v="Wifi Camera"/>
        <s v="Driveway Alarm"/>
        <s v="Nvr (Network Video Recorder)"/>
        <s v="Box Camera"/>
        <s v="Mount/Bracket"/>
        <s v="Wireless Doorbell"/>
        <s v="Pendant Arm Power Box"/>
        <s v="Motion Sensor Alarm"/>
        <s v="Security Wire"/>
        <s v="Splitter Cable"/>
        <s v="Dash Camera"/>
        <s v="Wireless Driveway Alarm Sensors &amp; Motion Detectors"/>
        <s v="Solar Alarm"/>
        <s v="Commercial Stream Recorder"/>
        <s v="Window Sensor"/>
        <s v="Water Sensor"/>
        <s v="Smart Home Security System (7-Piece Kit)"/>
        <s v="16 Channel"/>
        <s v="Wall Mount Bracket"/>
        <s v="Spy Camera"/>
        <s v="12Ch Network Video Recorder"/>
        <s v="Cctv Camera"/>
        <s v="Mini Wifi Camera"/>
        <s v="Surveillance Dvr"/>
        <s v="Cat 6"/>
        <s v="Illuminator"/>
        <s v="Power Adapter"/>
        <s v="Nvr - 32 Channel"/>
        <s v="Balun"/>
        <s v="Dc Extension Cable"/>
        <s v="Dc Power Connector"/>
        <s v="Extension Cable"/>
        <s v="Covert"/>
        <s v="Blink System Hub"/>
        <s v="Solar Wall Light"/>
        <s v="Motion Detector"/>
        <s v="4&quot; Vinyl Siding Mounting Wedge Adapter"/>
        <s v="Vertical Wedge Up/Down Angle 5 - 10 - 15 Degree"/>
        <s v="Power Distribution Box"/>
        <s v="8 Channel H.264 Pci Express Add-In Card"/>
        <s v="Anti Spy Detector"/>
        <s v="Ip Camera"/>
        <s v="Solar Security Camera"/>
        <s v="Water Leak Alarm"/>
        <s v="Compact Video Encoder"/>
        <s v="Ptz Camera"/>
        <s v="Surveillance Recording"/>
        <s v="Smart Camera For Grow Tent"/>
        <s v="Motion Sensor"/>
        <s v="Simplisafe"/>
        <s v="Ir Illuminator Array Infrared Lamps"/>
        <s v="Water Leak Sensor"/>
        <s v="Case"/>
        <s v="Vehicle Sensor"/>
        <s v="3 X Wire-Free Cameras &amp; Nvr Tower"/>
        <s v="Ups"/>
        <s v="Wifi Antenna"/>
        <s v="Security Camera Junction Box"/>
        <s v="Pt Dome"/>
        <s v="Bullet/Turret"/>
        <s v="Turret Ip Camera"/>
        <s v="Digital Video Recorders"/>
        <s v="Dvr Recorder"/>
        <s v="Security Camera System"/>
        <s v="?"/>
        <s v="Door Entry System"/>
        <s v="4G Lte Security Camera"/>
        <s v="Accessories"/>
        <s v="Dual-Lens Plug-In Security Camera"/>
        <s v="E1"/>
        <s v="Panoramic"/>
        <s v="Solar/Battery Camera"/>
        <s v="Reolinkproducts"/>
        <s v="Wired"/>
        <s v="Home Security Camera System"/>
        <s v="Alarm"/>
        <s v="Touch Screen"/>
        <s v="Power Cable"/>
        <s v="Floodlight Security Camera / Surveillance Camera"/>
        <s v="Charger Camera"/>
        <s v="Security &amp; Surveillance &gt; Closed Circuit Tv Systems &amp; Accessories"/>
        <s v="Adaptor"/>
        <s v="Premade Siamese Cable"/>
        <s v="Micro Sd Card"/>
        <s v="Light Bulb Camera"/>
        <s v="Surveillance System"/>
        <s v="5Mp/8Mp Poe Camera System"/>
        <s v="8 Bullet &amp; 8 Dome"/>
        <s v="Adapter And Splitter Cable"/>
        <s v="Wireless Camera"/>
        <s v="Camera Charger"/>
        <s v="Audio Alerts"/>
        <s v="Solid State Hd Dvr"/>
        <s v="Lte Module"/>
        <s v="Mobile Digital Recorder"/>
        <s v="Webcam"/>
        <s v="Smart Home Security Camera"/>
        <s v="Human Presence Sensor"/>
        <s v="Nvr Indoor Outdoor Ip Camera Kit"/>
        <s v="Analog Dvr"/>
        <s v="Panel"/>
        <s v="Network Video Server"/>
        <s v="Security Camera Kit"/>
        <s v="Ring Outdoor Cam"/>
        <s v="Bullet Ip Camera"/>
        <s v="Exacq"/>
        <s v="Bnc Pane"/>
        <s v="Audio Intercom"/>
        <s v="Transmitter"/>
        <s v="Wall Mount For Security Camera"/>
        <s v="Conduit Back Box"/>
        <s v="Magnet"/>
        <s v="Coaxial Video Cable"/>
        <s v="Network Video Recorder Nvr"/>
        <s v="Spy Hidden Camera"/>
        <s v="Nvr-Sb32-16P"/>
        <s v="Not Available"/>
        <s v="Outdoor Motion Detector"/>
        <s v="Security Panel Kit"/>
        <s v="Wireless Solar Security Camera System"/>
        <s v="Pir Motion Sensor Switch"/>
        <s v="Wall &amp; Pole Mount Bracket"/>
        <s v="Swimming Pool Alarms"/>
        <s v="Outdoor Poe Network Security Camera / Surveillance Camera"/>
        <s v="Streaming Camera"/>
        <s v="Alarm Panel"/>
        <s v="Security Cameras"/>
        <s v="Ptz Wifi Camera"/>
        <s v="Rechargeable Battery"/>
        <s v="Dvr /Display"/>
        <s v="Interface"/>
        <s v="Surveillance Video Recorders"/>
        <s v="Router Switch"/>
        <s v="Unshielded Solid Stranded Cable"/>
        <s v="Cctv Video Cable Bnc Extension Wire"/>
        <s v="Fake Camera"/>
        <s v="Camera Mount"/>
        <s v="Replacement Motion Sensor"/>
        <s v="Cable Ties"/>
        <s v="Driveway"/>
        <s v="Safety Cam"/>
        <s v="Bug Hunter Locates All Hidden Active Transmitters"/>
        <s v="Yard Sign"/>
        <s v="Single Room System"/>
        <s v="Home Security Systems"/>
        <s v="Wireless Sensor"/>
        <s v="Multi Directional Camera"/>
        <s v="Hard Drive"/>
      </sharedItems>
    </cacheField>
    <cacheField name="primary_category" numFmtId="0">
      <sharedItems count="15">
        <s v="Security Cameras"/>
        <s v="Accessories"/>
        <s v="Uncategorized"/>
        <s v="IP/Smart Camera Systems"/>
        <s v="Sensors &amp; Motion Detectors"/>
        <s v="Surveillance Dvrs &amp; Nvrs"/>
        <s v="Alarm Systems"/>
        <s v="Dummy Cameras"/>
        <s v="Cctv Systems"/>
        <s v="Security Camera Brackets &amp; Mounts"/>
        <s v="Monitors/Displays"/>
        <s v="Other Car Video"/>
        <s v="Surveillance Illuminators"/>
        <s v="Security Camera Cases &amp; Housings"/>
        <s v="Closed Circuit Cameras"/>
      </sharedItems>
    </cacheField>
    <cacheField name="smart_home_ecosystem" numFmtId="0">
      <sharedItems count="11">
        <s v="Lorex"/>
        <s v="Other/Generic"/>
        <s v="Amcrest"/>
        <s v="Ring (Amazon)"/>
        <s v="Blink (Amazon)"/>
        <s v="Eufy (Anker)"/>
        <s v="Arlo"/>
        <s v="Wyze"/>
        <s v="Google Nest"/>
        <s v="Swann"/>
        <s v="Reolink"/>
      </sharedItems>
    </cacheField>
    <cacheField name="brand_tier" numFmtId="0">
      <sharedItems count="6">
        <s v="Prosumer"/>
        <s v="Other Brand"/>
        <s v="Generic/Unknown"/>
        <s v="Premium Consumer"/>
        <s v="Value"/>
        <s v="Premium Enterprise"/>
      </sharedItems>
    </cacheField>
    <cacheField name="condition" numFmtId="0">
      <sharedItems count="7">
        <s v="Excellent Refurbished"/>
        <s v="New"/>
        <s v="Used"/>
        <s v="Open Box"/>
        <s v="Certified Refurbished"/>
        <s v="For Parts"/>
        <s v="Unknown"/>
      </sharedItems>
    </cacheField>
    <cacheField name="condition_score" numFmtId="0">
      <sharedItems containsSemiMixedTypes="0" containsString="0" containsNumber="1" containsInteger="1" minValue="0" maxValue="5" count="6">
        <n v="3"/>
        <n v="5"/>
        <n v="2"/>
        <n v="4"/>
        <n v="1"/>
        <n v="0"/>
      </sharedItems>
    </cacheField>
    <cacheField name="price" numFmtId="178">
      <sharedItems containsSemiMixedTypes="0" containsString="0" containsNumber="1" minValue="3" maxValue="1499.99" count="502">
        <n v="89.99"/>
        <n v="129.99"/>
        <n v="19.99"/>
        <n v="154.99"/>
        <n v="399.99"/>
        <n v="259.99"/>
        <n v="254.99"/>
        <n v="289.99"/>
        <n v="21.99"/>
        <n v="79.99"/>
        <n v="27.95"/>
        <n v="72.49"/>
        <n v="7.95"/>
        <n v="129.5"/>
        <n v="199.99"/>
        <n v="300"/>
        <n v="200"/>
        <n v="29.98"/>
        <n v="44.99"/>
        <n v="31.99"/>
        <n v="39.99"/>
        <n v="36.99"/>
        <n v="49.99"/>
        <n v="114.99"/>
        <n v="169.99"/>
        <n v="899.99"/>
        <n v="199.96"/>
        <n v="919.99"/>
        <n v="349.99"/>
        <n v="239.99"/>
        <n v="149.99"/>
        <n v="109.99"/>
        <n v="34.99"/>
        <n v="1499.99"/>
        <n v="59.98"/>
        <n v="8.9"/>
        <n v="293.3"/>
        <n v="140"/>
        <n v="59.99"/>
        <n v="6.75"/>
        <n v="43.99"/>
        <n v="24.99"/>
        <n v="19.95"/>
        <n v="215"/>
        <n v="40.49"/>
        <n v="42.99"/>
        <n v="49.98"/>
        <n v="103.41"/>
        <n v="67.19"/>
        <n v="129.49"/>
        <n v="16.79"/>
        <n v="58.49"/>
        <n v="119.99"/>
        <n v="11.99"/>
        <n v="172.19"/>
        <n v="49.97"/>
        <n v="189.99"/>
        <n v="152"/>
        <n v="175"/>
        <n v="151"/>
        <n v="90"/>
        <n v="65"/>
        <n v="145"/>
        <n v="19.68"/>
        <n v="52.82"/>
        <n v="99.99"/>
        <n v="145.99"/>
        <n v="299.99"/>
        <n v="70"/>
        <n v="439.99"/>
        <n v="675"/>
        <n v="419.99"/>
        <n v="110.99"/>
        <n v="219.99"/>
        <n v="934.99"/>
        <n v="274.99"/>
        <n v="341.99"/>
        <n v="265.5"/>
        <n v="13.29"/>
        <n v="26.99"/>
        <n v="89.24"/>
        <n v="142.49"/>
        <n v="84.55"/>
        <n v="94.05"/>
        <n v="113.05"/>
        <n v="13.66"/>
        <n v="12.99"/>
        <n v="12.89"/>
        <n v="29.94"/>
        <n v="119.4"/>
        <n v="29.88"/>
        <n v="62.67"/>
        <n v="16.49"/>
        <n v="146.99"/>
        <n v="159.59"/>
        <n v="49.49"/>
        <n v="134.39"/>
        <n v="79.79"/>
        <n v="109.19"/>
        <n v="148.49"/>
        <n v="357.49"/>
        <n v="96.59"/>
        <n v="25.19"/>
        <n v="53.99"/>
        <n v="167.99"/>
        <n v="263.19"/>
        <n v="76.99"/>
        <n v="153.99"/>
        <n v="35.99"/>
        <n v="377.99"/>
        <n v="26.59"/>
        <n v="100.79"/>
        <n v="107.99"/>
        <n v="286.28"/>
        <n v="89.86"/>
        <n v="20.99"/>
        <n v="29"/>
        <n v="13.49"/>
        <n v="35"/>
        <n v="49.5"/>
        <n v="14.17"/>
        <n v="9.79"/>
        <n v="38.99"/>
        <n v="32.95"/>
        <n v="22.99"/>
        <n v="41.99"/>
        <n v="170"/>
        <n v="16.96"/>
        <n v="53.47"/>
        <n v="109.97"/>
        <n v="27.99"/>
        <n v="40"/>
        <n v="6.29"/>
        <n v="69"/>
        <n v="129"/>
        <n v="19"/>
        <n v="14.99"/>
        <n v="9.99"/>
        <n v="8.99"/>
        <n v="45.59"/>
        <n v="25.99"/>
        <n v="228.99"/>
        <n v="54.99"/>
        <n v="149"/>
        <n v="52.49"/>
        <n v="149.95"/>
        <n v="370"/>
        <n v="96.99"/>
        <n v="179.69"/>
        <n v="179.99"/>
        <n v="455"/>
        <n v="13.99"/>
        <n v="669"/>
        <n v="10.95"/>
        <n v="105"/>
        <n v="123.5"/>
        <n v="60"/>
        <n v="39.9"/>
        <n v="29.9"/>
        <n v="10.55"/>
        <n v="5.99"/>
        <n v="280.2"/>
        <n v="6.99"/>
        <n v="3.89"/>
        <n v="63.99"/>
        <n v="8.76"/>
        <n v="19.33"/>
        <n v="59.82"/>
        <n v="23.37"/>
        <n v="22.18"/>
        <n v="13.8"/>
        <n v="250"/>
        <n v="26.64"/>
        <n v="147.99"/>
        <n v="29.99"/>
        <n v="49.95"/>
        <n v="7.88"/>
        <n v="74.99"/>
        <n v="9.98"/>
        <n v="16.99"/>
        <n v="25.79"/>
        <n v="320"/>
        <n v="47.99"/>
        <n v="159"/>
        <n v="159.42"/>
        <n v="67.68"/>
        <n v="109.77"/>
        <n v="128.99"/>
        <n v="139.99"/>
        <n v="69.99"/>
        <n v="39.95"/>
        <n v="29.95"/>
        <n v="183.88"/>
        <n v="225"/>
        <n v="57.68"/>
        <n v="6.36"/>
        <n v="25"/>
        <n v="49.38"/>
        <n v="98.99"/>
        <n v="14.9"/>
        <n v="195"/>
        <n v="75.99"/>
        <n v="148"/>
        <n v="178"/>
        <n v="28.99"/>
        <n v="120.99"/>
        <n v="324.85"/>
        <n v="18.04"/>
        <n v="6.33"/>
        <n v="7.19"/>
        <n v="28.85"/>
        <n v="17.66"/>
        <n v="640"/>
        <n v="36.98"/>
        <n v="5.5"/>
        <n v="10.99"/>
        <n v="177.6"/>
        <n v="48"/>
        <n v="265.46"/>
        <n v="45.99"/>
        <n v="48.99"/>
        <n v="75"/>
        <n v="282.15"/>
        <n v="187.15"/>
        <n v="33.99"/>
        <n v="17.99"/>
        <n v="12.73"/>
        <n v="15.93"/>
        <n v="161.99"/>
        <n v="211.59"/>
        <n v="216.19"/>
        <n v="115"/>
        <n v="108.56"/>
        <n v="11.46"/>
        <n v="340.23"/>
        <n v="42"/>
        <n v="209.99"/>
        <n v="600"/>
        <n v="34.98"/>
        <n v="85"/>
        <n v="50"/>
        <n v="18.99"/>
        <n v="330"/>
        <n v="18.95"/>
        <n v="126"/>
        <n v="68.99"/>
        <n v="88"/>
        <n v="129.95"/>
        <n v="58"/>
        <n v="139.51"/>
        <n v="46.76"/>
        <n v="30"/>
        <n v="37.5"/>
        <n v="20.49"/>
        <n v="172.95"/>
        <n v="279.95"/>
        <n v="199.95"/>
        <n v="409.99"/>
        <n v="134.99"/>
        <n v="144.49"/>
        <n v="47.59"/>
        <n v="97"/>
        <n v="119.91"/>
        <n v="89"/>
        <n v="270"/>
        <n v="122.99"/>
        <n v="12.95"/>
        <n v="112.5"/>
        <n v="80"/>
        <n v="117.59"/>
        <n v="114.39"/>
        <n v="139.79"/>
        <n v="51.99"/>
        <n v="108.03"/>
        <n v="89.59"/>
        <n v="676.49"/>
        <n v="233.99"/>
        <n v="125.55"/>
        <n v="99.89"/>
        <n v="182.24"/>
        <n v="17.49"/>
        <n v="155.39"/>
        <n v="199.49"/>
        <n v="59.19"/>
        <n v="125.79"/>
        <n v="69.59"/>
        <n v="26.38"/>
        <n v="68.79"/>
        <n v="103.59"/>
        <n v="109.49"/>
        <n v="226.19"/>
        <n v="135.97"/>
        <n v="275.59"/>
        <n v="136.49"/>
        <n v="123.99"/>
        <n v="205.39"/>
        <n v="323.99"/>
        <n v="299.69"/>
        <n v="104.99"/>
        <n v="219.96"/>
        <n v="129.93"/>
        <n v="188.49"/>
        <n v="192.39"/>
        <n v="59.39"/>
        <n v="319.79"/>
        <n v="387.56"/>
        <n v="61.59"/>
        <n v="66.79"/>
        <n v="77.39"/>
        <n v="71.98"/>
        <n v="9.95"/>
        <n v="16.95"/>
        <n v="26.95"/>
        <n v="8.94"/>
        <n v="137.99"/>
        <n v="669.99"/>
        <n v="1149"/>
        <n v="325"/>
        <n v="27.9"/>
        <n v="22.24"/>
        <n v="39.88"/>
        <n v="102.99"/>
        <n v="325.99"/>
        <n v="168.95"/>
        <n v="18.98"/>
        <n v="189.89"/>
        <n v="309.99"/>
        <n v="159.99"/>
        <n v="15.89"/>
        <n v="139"/>
        <n v="236.49"/>
        <n v="143.99"/>
        <n v="13.7"/>
        <n v="229.99"/>
        <n v="69.87"/>
        <n v="15.95"/>
        <n v="18.89"/>
        <n v="23.35"/>
        <n v="73.77"/>
        <n v="126.99"/>
        <n v="27.19"/>
        <n v="223.99"/>
        <n v="399.98"/>
        <n v="246.99"/>
        <n v="127.99"/>
        <n v="16.26"/>
        <n v="27.51"/>
        <n v="52.99"/>
        <n v="49.94"/>
        <n v="150"/>
        <n v="95"/>
        <n v="44"/>
        <n v="151.99"/>
        <n v="316.34"/>
        <n v="55.99"/>
        <n v="65.99"/>
        <n v="339.99"/>
        <n v="369.99"/>
        <n v="215.19"/>
        <n v="103.99"/>
        <n v="105.99"/>
        <n v="58.98"/>
        <n v="187.5"/>
        <n v="69.95"/>
        <n v="18.3"/>
        <n v="23.99"/>
        <n v="38.39"/>
        <n v="43.19"/>
        <n v="114.95"/>
        <n v="37.46"/>
        <n v="400"/>
        <n v="14.95"/>
        <n v="47.18"/>
        <n v="58.39"/>
        <n v="19.9"/>
        <n v="79.97"/>
        <n v="229.49"/>
        <n v="277.19"/>
        <n v="17.91"/>
        <n v="24.65"/>
        <n v="179.95"/>
        <n v="119"/>
        <n v="279"/>
        <n v="234.99"/>
        <n v="100"/>
        <n v="160"/>
        <n v="109.95"/>
        <n v="4.78"/>
        <n v="158.1"/>
        <n v="190"/>
        <n v="66.98"/>
        <n v="64"/>
        <n v="799.99"/>
        <n v="26"/>
        <n v="18"/>
        <n v="9.01"/>
        <n v="146"/>
        <n v="135.99"/>
        <n v="279.99"/>
        <n v="529.99"/>
        <n v="52.79"/>
        <n v="28.49"/>
        <n v="329"/>
        <n v="435.99"/>
        <n v="138.74"/>
        <n v="15.29"/>
        <n v="380"/>
        <n v="1019.99"/>
        <n v="124.99"/>
        <n v="79.11"/>
        <n v="179.04"/>
        <n v="98.84"/>
        <n v="21.95"/>
        <n v="84.22"/>
        <n v="17"/>
        <n v="88.88"/>
        <n v="206.99"/>
        <n v="107.5"/>
        <n v="45"/>
        <n v="164.28"/>
        <n v="783.99"/>
        <n v="32.99"/>
        <n v="118.43"/>
        <n v="255"/>
        <n v="599.89"/>
        <n v="64.88"/>
        <n v="14.24"/>
        <n v="3"/>
        <n v="55.16"/>
        <n v="26.26"/>
        <n v="109.56"/>
        <n v="110.41"/>
        <n v="63.85"/>
        <n v="98.51"/>
        <n v="399.41"/>
        <n v="87.07"/>
        <n v="101.91"/>
        <n v="16.91"/>
        <n v="86.99"/>
        <n v="39.89"/>
        <n v="7.25"/>
        <n v="10.9"/>
        <n v="19.79"/>
        <n v="79.89"/>
        <n v="90.99"/>
        <n v="99.95"/>
        <n v="11.34"/>
        <n v="110"/>
        <n v="32.92"/>
        <n v="228.79"/>
        <n v="183.76"/>
        <n v="156.59"/>
        <n v="86.9"/>
        <n v="599"/>
        <n v="299.95"/>
        <n v="144.99"/>
        <n v="113.39"/>
        <n v="95.39"/>
        <n v="249.99"/>
        <n v="220.99"/>
        <n v="37.99"/>
        <n v="27.25"/>
        <n v="43.95"/>
        <n v="185"/>
        <n v="21.9"/>
        <n v="32.9"/>
        <n v="59.97"/>
        <n v="43.11"/>
        <n v="193.99"/>
        <n v="800"/>
        <n v="305.99"/>
        <n v="500"/>
        <n v="10.59"/>
        <n v="40.19"/>
        <n v="13.96"/>
        <n v="12"/>
        <n v="9"/>
        <n v="127.49"/>
        <n v="231.69"/>
        <n v="56.24"/>
        <n v="21.74"/>
        <n v="84.79"/>
        <n v="152.5"/>
        <n v="26.09"/>
        <n v="147.25"/>
        <n v="175.99"/>
        <n v="169"/>
        <n v="7.5"/>
        <n v="150.22"/>
        <n v="151.05"/>
        <n v="109.1"/>
        <n v="89.9"/>
        <n v="59.6"/>
        <n v="59.95"/>
        <n v="91.9"/>
        <n v="549"/>
        <n v="58.99"/>
        <n v="210"/>
        <n v="58.95"/>
        <n v="374.95"/>
        <n v="35.89"/>
        <n v="118.75"/>
      </sharedItems>
    </cacheField>
    <cacheField name="wasPrice" numFmtId="178">
      <sharedItems containsString="0" containsBlank="1" containsNumber="1" minValue="4.86" maxValue="1499.99" count="129">
        <m/>
        <n v="349.99"/>
        <n v="179.99"/>
        <n v="1199.99"/>
        <n v="129.99"/>
        <n v="89.99"/>
        <n v="49.98"/>
        <n v="59.5"/>
        <n v="79.99"/>
        <n v="184.99"/>
        <n v="199.99"/>
        <n v="209.99"/>
        <n v="162.84"/>
        <n v="162.21"/>
        <n v="428.56"/>
        <n v="589.99"/>
        <n v="104.99"/>
        <n v="149.99"/>
        <n v="14.38"/>
        <n v="74.99"/>
        <n v="174.99"/>
        <n v="189.99"/>
        <n v="159.99"/>
        <n v="99.99"/>
        <n v="132.99"/>
        <n v="269.99"/>
        <n v="649.99"/>
        <n v="114.99"/>
        <n v="375.99"/>
        <n v="109.99"/>
        <n v="499.98"/>
        <n v="499.99"/>
        <n v="219.99"/>
        <n v="539.99"/>
        <n v="119.99"/>
        <n v="49.99"/>
        <n v="19.95"/>
        <n v="69.99"/>
        <n v="500"/>
        <n v="294.95"/>
        <n v="4.86"/>
        <n v="23.86"/>
        <n v="73.85"/>
        <n v="28.85"/>
        <n v="27.38"/>
        <n v="17.04"/>
        <n v="370.85"/>
        <n v="139.35"/>
        <n v="229.55"/>
        <n v="27.99"/>
        <n v="208.95"/>
        <n v="60.96"/>
        <n v="164.99"/>
        <n v="319.99"/>
        <n v="299.99"/>
        <n v="297"/>
        <n v="197"/>
        <n v="229.99"/>
        <n v="12.59"/>
        <n v="249.99"/>
        <n v="150"/>
        <n v="59.95"/>
        <n v="14.99"/>
        <n v="169.99"/>
        <n v="55.99"/>
        <n v="157.77"/>
        <n v="75.74"/>
        <n v="284.99"/>
        <n v="347.99"/>
        <n v="236.93"/>
        <n v="85.99"/>
        <n v="79.98"/>
        <n v="29.95"/>
        <n v="399.99"/>
        <n v="259.99"/>
        <n v="39.99"/>
        <n v="87.49"/>
        <n v="49.95"/>
        <n v="72.99"/>
        <n v="34.99"/>
        <n v="24.9"/>
        <n v="346.49"/>
        <n v="18.85"/>
        <n v="25.95"/>
        <n v="359.9"/>
        <n v="5.98"/>
        <n v="41.1"/>
        <n v="52.84"/>
        <n v="82.49"/>
        <n v="111.1"/>
        <n v="287.49"/>
        <n v="1099.99"/>
        <n v="29.99"/>
        <n v="449.99"/>
        <n v="559.99"/>
        <n v="95.99"/>
        <n v="42.99"/>
        <n v="599.99"/>
        <n v="799.99"/>
        <n v="859.99"/>
        <n v="59.99"/>
        <n v="54.99"/>
        <n v="263.99"/>
        <n v="379.99"/>
        <n v="1499.99"/>
        <n v="549.99"/>
        <n v="328.56"/>
        <n v="139"/>
        <n v="64.89"/>
        <n v="128.89"/>
        <n v="129.89"/>
        <n v="93.89"/>
        <n v="115.89"/>
        <n v="469.89"/>
        <n v="119.89"/>
        <n v="14.77"/>
        <n v="39.19"/>
        <n v="125.99"/>
        <n v="105.99"/>
        <n v="332.99"/>
        <n v="245.54"/>
        <n v="62.99"/>
        <n v="37.88"/>
        <n v="65.99"/>
        <n v="155"/>
        <n v="214.6"/>
        <n v="159"/>
        <n v="329.99"/>
        <n v="125"/>
      </sharedItems>
    </cacheField>
    <cacheField name="discount_pct" numFmtId="178">
      <sharedItems containsSemiMixedTypes="0" containsString="0" containsNumber="1" minValue="0" maxValue="75" count="87">
        <n v="0"/>
        <n v="42.87"/>
        <n v="27.78"/>
        <n v="23.33"/>
        <n v="15.39"/>
        <n v="33.35"/>
        <n v="50"/>
        <n v="16"/>
        <n v="20.45"/>
        <n v="30"/>
        <n v="35"/>
        <n v="40"/>
        <n v="18"/>
        <n v="38.6"/>
        <n v="10"/>
        <n v="55"/>
        <n v="15"/>
        <n v="5"/>
        <n v="5.01"/>
        <n v="20"/>
        <n v="45.01"/>
        <n v="45"/>
        <n v="58.01"/>
        <n v="14.99"/>
        <n v="25"/>
        <n v="26"/>
        <n v="19.96"/>
        <n v="18.99"/>
        <n v="19"/>
        <n v="19.01"/>
        <n v="57.01"/>
        <n v="51.43"/>
        <n v="52.18"/>
        <n v="12"/>
        <n v="31.25"/>
        <n v="75"/>
        <n v="8"/>
        <n v="6"/>
        <n v="8.98"/>
        <n v="43.48"/>
        <n v="22"/>
        <n v="33.36"/>
        <n v="24"/>
        <n v="15.51"/>
        <n v="41"/>
        <n v="10.02"/>
        <n v="10.01"/>
        <n v="25.01"/>
        <n v="14.29"/>
        <n v="20.08"/>
        <n v="4.99"/>
        <n v="20.07"/>
        <n v="37"/>
        <n v="33.91"/>
        <n v="27.27"/>
        <n v="33.63"/>
        <n v="22.86"/>
        <n v="16.67"/>
        <n v="47.69"/>
        <n v="67.56"/>
        <n v="5.36"/>
        <n v="60.87"/>
        <n v="31.34"/>
        <n v="44"/>
        <n v="60"/>
        <n v="45.72"/>
        <n v="33.73"/>
        <n v="45.17"/>
        <n v="45.5"/>
        <n v="51.16"/>
        <n v="36.93"/>
        <n v="56.3"/>
        <n v="48.19"/>
        <n v="36.67"/>
        <n v="24.24"/>
        <n v="55.26"/>
        <n v="32"/>
        <n v="47.27"/>
        <n v="58.34"/>
        <n v="56.36"/>
        <n v="47.5"/>
        <n v="14.39"/>
        <n v="31.99"/>
        <n v="13"/>
        <n v="25.72"/>
        <n v="36.51"/>
        <n v="36.36"/>
      </sharedItems>
    </cacheField>
    <cacheField name="savings_usd" numFmtId="178">
      <sharedItems containsSemiMixedTypes="0" containsString="0" containsNumber="1" minValue="0" maxValue="480" count="151">
        <n v="0"/>
        <n v="150.03"/>
        <n v="50"/>
        <n v="280"/>
        <n v="20"/>
        <n v="30.01"/>
        <n v="24.99"/>
        <n v="9.52"/>
        <n v="26.58"/>
        <n v="12.8"/>
        <n v="55.5"/>
        <n v="31.5"/>
        <n v="80"/>
        <n v="37.8"/>
        <n v="62.85"/>
        <n v="16.22"/>
        <n v="128.57"/>
        <n v="324.49"/>
        <n v="15.75"/>
        <n v="7.5"/>
        <n v="0.72"/>
        <n v="15"/>
        <n v="28"/>
        <n v="30.4"/>
        <n v="40.5"/>
        <n v="25.6"/>
        <n v="40"/>
        <n v="53.2"/>
        <n v="20.8"/>
        <n v="121.5"/>
        <n v="292.5"/>
        <n v="18.4"/>
        <n v="90"/>
        <n v="36"/>
        <n v="32"/>
        <n v="112.8"/>
        <n v="33"/>
        <n v="224.99"/>
        <n v="225"/>
        <n v="66"/>
        <n v="162"/>
        <n v="19.2"/>
        <n v="72"/>
        <n v="29"/>
        <n v="2.99"/>
        <n v="17.5"/>
        <n v="130"/>
        <n v="14.75"/>
        <n v="0.97"/>
        <n v="4.53"/>
        <n v="14.03"/>
        <n v="5.48"/>
        <n v="5.2"/>
        <n v="3.24"/>
        <n v="75"/>
        <n v="211.43"/>
        <n v="71.67"/>
        <n v="119.78"/>
        <n v="1.4"/>
        <n v="25.07"/>
        <n v="11.58"/>
        <n v="100"/>
        <n v="14.85"/>
        <n v="9.85"/>
        <n v="18"/>
        <n v="13.8"/>
        <n v="1.13"/>
        <n v="24"/>
        <n v="13.19"/>
        <n v="5"/>
        <n v="25.5"/>
        <n v="8.4"/>
        <n v="37.86"/>
        <n v="11.75"/>
        <n v="85.5"/>
        <n v="121.8"/>
        <n v="97.14"/>
        <n v="8.6"/>
        <n v="8"/>
        <n v="3"/>
        <n v="92"/>
        <n v="160"/>
        <n v="1.5"/>
        <n v="13"/>
        <n v="4"/>
        <n v="38"/>
        <n v="12.49"/>
        <n v="14.6"/>
        <n v="69.3"/>
        <n v="0.94"/>
        <n v="1.3"/>
        <n v="179.95"/>
        <n v="1.2"/>
        <n v="4.11"/>
        <n v="15.85"/>
        <n v="16.5"/>
        <n v="41.11"/>
        <n v="97.5"/>
        <n v="300"/>
        <n v="73.99"/>
        <n v="124"/>
        <n v="304"/>
        <n v="30"/>
        <n v="12"/>
        <n v="43.2"/>
        <n v="140"/>
        <n v="47"/>
        <n v="110"/>
        <n v="240"/>
        <n v="60"/>
        <n v="14.5"/>
        <n v="270.99"/>
        <n v="364"/>
        <n v="440"/>
        <n v="81.25"/>
        <n v="19.7"/>
        <n v="10"/>
        <n v="26.5"/>
        <n v="219.99"/>
        <n v="64"/>
        <n v="210"/>
        <n v="480"/>
        <n v="260"/>
        <n v="175"/>
        <n v="310"/>
        <n v="94.99"/>
        <n v="23"/>
        <n v="164.28"/>
        <n v="9.73"/>
        <n v="19.33"/>
        <n v="19.48"/>
        <n v="30.04"/>
        <n v="17.38"/>
        <n v="70.48"/>
        <n v="17.98"/>
        <n v="1.48"/>
        <n v="6.27"/>
        <n v="31.2"/>
        <n v="23.4"/>
        <n v="12.6"/>
        <n v="10.6"/>
        <n v="33.3"/>
        <n v="24.55"/>
        <n v="2"/>
        <n v="1.89"/>
        <n v="7.75"/>
        <n v="44"/>
        <n v="64.38"/>
        <n v="7.95"/>
        <n v="120"/>
        <n v="6.25"/>
      </sharedItems>
    </cacheField>
    <cacheField name="has_discount" numFmtId="0">
      <sharedItems containsSemiMixedTypes="0" containsString="0" containsNumber="1" containsInteger="1" minValue="0" maxValue="1" count="2">
        <n v="0"/>
        <n v="1"/>
      </sharedItems>
    </cacheField>
    <cacheField name="price_tier" numFmtId="0">
      <sharedItems count="5">
        <s v="Mid-Range ($75–$200)"/>
        <s v="Budget (&lt;$25)"/>
        <s v="Premium ($200–$500)"/>
        <s v="Value ($25–$75)"/>
        <s v="High-End ($500–$1.5K)"/>
      </sharedItems>
    </cacheField>
    <cacheField name="log_price" numFmtId="0">
      <sharedItems containsSemiMixedTypes="0" containsString="0" containsNumber="1" minValue="1.386294" maxValue="7.31388" count="502">
        <n v="4.51075"/>
        <n v="4.875121"/>
        <n v="3.044046"/>
        <n v="5.049792"/>
        <n v="5.993936"/>
        <n v="5.564482"/>
        <n v="5.545138"/>
        <n v="5.673289"/>
        <n v="3.135059"/>
        <n v="4.394326"/>
        <n v="3.36557"/>
        <n v="4.297149"/>
        <n v="2.191654"/>
        <n v="4.871373"/>
        <n v="5.303255"/>
        <n v="5.70711"/>
        <n v="5.303305"/>
        <n v="3.433342"/>
        <n v="3.828424"/>
        <n v="3.496204"/>
        <n v="3.713328"/>
        <n v="3.637323"/>
        <n v="3.93163"/>
        <n v="4.753504"/>
        <n v="5.141605"/>
        <n v="6.803494"/>
        <n v="5.303106"/>
        <n v="6.825449"/>
        <n v="5.860758"/>
        <n v="5.484755"/>
        <n v="5.017214"/>
        <n v="4.70944"/>
        <n v="3.583241"/>
        <n v="7.31388"/>
        <n v="4.110546"/>
        <n v="2.292535"/>
        <n v="5.6846"/>
        <n v="4.94876"/>
        <n v="4.11071"/>
        <n v="2.047693"/>
        <n v="3.80644"/>
        <n v="3.257712"/>
        <n v="3.042139"/>
        <n v="5.375278"/>
        <n v="3.725452"/>
        <n v="3.783962"/>
        <n v="3.931433"/>
        <n v="4.648325"/>
        <n v="4.222298"/>
        <n v="4.871297"/>
        <n v="2.878637"/>
        <n v="4.085808"/>
        <n v="4.795708"/>
        <n v="2.56418"/>
        <n v="5.154389"/>
        <n v="3.931237"/>
        <n v="5.252221"/>
        <n v="5.030438"/>
        <n v="5.170484"/>
        <n v="5.023881"/>
        <n v="4.51086"/>
        <n v="4.189655"/>
        <n v="4.983607"/>
        <n v="3.029167"/>
        <n v="3.985645"/>
        <n v="4.615022"/>
        <n v="4.990365"/>
        <n v="5.707077"/>
        <n v="4.26268"/>
        <n v="6.089022"/>
        <n v="6.516193"/>
        <n v="6.042609"/>
        <n v="4.71841"/>
        <n v="5.398117"/>
        <n v="6.841605"/>
        <n v="5.620365"/>
        <n v="5.837701"/>
        <n v="5.585374"/>
        <n v="2.65956"/>
        <n v="3.331847"/>
        <n v="4.502473"/>
        <n v="4.966265"/>
        <n v="4.449101"/>
        <n v="4.554403"/>
        <n v="4.736637"/>
        <n v="2.685123"/>
        <n v="2.638343"/>
        <n v="2.631169"/>
        <n v="3.43205"/>
        <n v="4.79082"/>
        <n v="3.430109"/>
        <n v="4.153713"/>
        <n v="2.861629"/>
        <n v="4.997145"/>
        <n v="5.078855"/>
        <n v="3.921775"/>
        <n v="4.90816"/>
        <n v="4.391853"/>
        <n v="4.702206"/>
        <n v="5.00723"/>
        <n v="5.881901"/>
        <n v="4.580775"/>
        <n v="3.265378"/>
        <n v="4.007151"/>
        <n v="5.12984"/>
        <n v="5.576669"/>
        <n v="4.356581"/>
        <n v="5.043361"/>
        <n v="3.610648"/>
        <n v="5.93751"/>
        <n v="3.317453"/>
        <n v="4.622912"/>
        <n v="4.691256"/>
        <n v="5.660457"/>
        <n v="4.50932"/>
        <n v="3.090588"/>
        <n v="3.401197"/>
        <n v="2.673459"/>
        <n v="3.583519"/>
        <n v="3.921973"/>
        <n v="2.71932"/>
        <n v="2.37862"/>
        <n v="3.688629"/>
        <n v="3.524889"/>
        <n v="3.177637"/>
        <n v="3.760968"/>
        <n v="5.141664"/>
        <n v="2.888147"/>
        <n v="3.99765"/>
        <n v="4.70926"/>
        <n v="3.366951"/>
        <n v="3.713572"/>
        <n v="1.986504"/>
        <n v="4.248495"/>
        <n v="4.867534"/>
        <n v="2.995732"/>
        <n v="2.771964"/>
        <n v="2.396986"/>
        <n v="2.301585"/>
        <n v="3.841386"/>
        <n v="3.295466"/>
        <n v="5.438036"/>
        <n v="4.025173"/>
        <n v="5.010635"/>
        <n v="3.979495"/>
        <n v="5.016949"/>
        <n v="5.916202"/>
        <n v="4.584865"/>
        <n v="5.196783"/>
        <n v="5.198442"/>
        <n v="6.122493"/>
        <n v="2.707383"/>
        <n v="6.507278"/>
        <n v="2.480731"/>
        <n v="4.663439"/>
        <n v="4.824306"/>
        <n v="4.110874"/>
        <n v="3.71113"/>
        <n v="3.430756"/>
        <n v="2.446685"/>
        <n v="1.944481"/>
        <n v="5.639066"/>
        <n v="2.078191"/>
        <n v="1.587192"/>
        <n v="4.174233"/>
        <n v="2.278292"/>
        <n v="3.012098"/>
        <n v="4.107919"/>
        <n v="3.193353"/>
        <n v="3.14329"/>
        <n v="2.694627"/>
        <n v="5.525453"/>
        <n v="3.319264"/>
        <n v="5.003879"/>
        <n v="3.433665"/>
        <n v="3.930845"/>
        <n v="2.183802"/>
        <n v="4.330602"/>
        <n v="2.396075"/>
        <n v="2.889816"/>
        <n v="3.288029"/>
        <n v="5.771441"/>
        <n v="3.891616"/>
        <n v="5.075174"/>
        <n v="5.077795"/>
        <n v="4.229458"/>
        <n v="4.707456"/>
        <n v="4.867458"/>
        <n v="4.948689"/>
        <n v="4.262539"/>
        <n v="3.712352"/>
        <n v="3.432373"/>
        <n v="5.219707"/>
        <n v="5.420535"/>
        <n v="4.072099"/>
        <n v="1.99606"/>
        <n v="3.258097"/>
        <n v="3.919594"/>
        <n v="4.60507"/>
        <n v="2.766319"/>
        <n v="5.278115"/>
        <n v="4.343676"/>
        <n v="5.003946"/>
        <n v="5.187386"/>
        <n v="3.400864"/>
        <n v="4.803939"/>
        <n v="5.786437"/>
        <n v="2.946542"/>
        <n v="1.991976"/>
        <n v="2.102914"/>
        <n v="3.396185"/>
        <n v="2.926382"/>
        <n v="6.463029"/>
        <n v="3.63706"/>
        <n v="1.871802"/>
        <n v="2.484073"/>
        <n v="5.185149"/>
        <n v="3.89182"/>
        <n v="5.585224"/>
        <n v="3.849935"/>
        <n v="3.911823"/>
        <n v="4.330733"/>
        <n v="5.645977"/>
        <n v="5.23724"/>
        <n v="3.555062"/>
        <n v="2.943913"/>
        <n v="2.619583"/>
        <n v="2.829087"/>
        <n v="5.093689"/>
        <n v="5.359365"/>
        <n v="5.380773"/>
        <n v="4.75359"/>
        <n v="4.696472"/>
        <n v="2.522524"/>
        <n v="5.832557"/>
        <n v="3.7612"/>
        <n v="5.351811"/>
        <n v="6.398595"/>
        <n v="3.582963"/>
        <n v="4.454347"/>
        <n v="3.931826"/>
        <n v="2.995232"/>
        <n v="5.802118"/>
        <n v="2.993229"/>
        <n v="4.844187"/>
        <n v="4.248352"/>
        <n v="4.488636"/>
        <n v="4.874816"/>
        <n v="4.077537"/>
        <n v="4.945279"/>
        <n v="3.866188"/>
        <n v="3.433987"/>
        <n v="3.650658"/>
        <n v="3.067588"/>
        <n v="5.158768"/>
        <n v="5.638177"/>
        <n v="5.303056"/>
        <n v="6.018569"/>
        <n v="4.912581"/>
        <n v="4.980107"/>
        <n v="3.883418"/>
        <n v="4.584967"/>
        <n v="4.795046"/>
        <n v="4.49981"/>
        <n v="5.602119"/>
        <n v="4.820201"/>
        <n v="2.63548"/>
        <n v="4.731803"/>
        <n v="4.394449"/>
        <n v="4.775672"/>
        <n v="4.748318"/>
        <n v="4.947269"/>
        <n v="3.970103"/>
        <n v="4.691623"/>
        <n v="4.506344"/>
        <n v="6.518395"/>
        <n v="5.459543"/>
        <n v="4.840637"/>
        <n v="4.614031"/>
        <n v="5.210797"/>
        <n v="2.91723"/>
        <n v="5.052353"/>
        <n v="5.300764"/>
        <n v="4.097506"/>
        <n v="4.842532"/>
        <n v="4.256888"/>
        <n v="3.309813"/>
        <n v="4.245491"/>
        <n v="4.650048"/>
        <n v="4.704925"/>
        <n v="5.425787"/>
        <n v="4.919762"/>
        <n v="5.622536"/>
        <n v="4.923551"/>
        <n v="4.828234"/>
        <n v="5.329768"/>
        <n v="5.783794"/>
        <n v="5.70608"/>
        <n v="4.663345"/>
        <n v="5.397982"/>
        <n v="4.874663"/>
        <n v="5.244336"/>
        <n v="5.264709"/>
        <n v="4.100824"/>
        <n v="5.770787"/>
        <n v="5.962448"/>
        <n v="4.136606"/>
        <n v="4.216415"/>
        <n v="4.361696"/>
        <n v="4.290185"/>
        <n v="2.393339"/>
        <n v="2.88759"/>
        <n v="3.330417"/>
        <n v="2.296567"/>
        <n v="4.934402"/>
        <n v="6.508754"/>
        <n v="7.047517"/>
        <n v="5.786897"/>
        <n v="3.363842"/>
        <n v="3.145875"/>
        <n v="3.710641"/>
        <n v="4.644295"/>
        <n v="5.78993"/>
        <n v="5.135504"/>
        <n v="2.994732"/>
        <n v="5.251697"/>
        <n v="5.739761"/>
        <n v="5.081342"/>
        <n v="2.826722"/>
        <n v="4.941642"/>
        <n v="5.470126"/>
        <n v="4.976665"/>
        <n v="2.687847"/>
        <n v="5.442374"/>
        <n v="4.260847"/>
        <n v="2.830268"/>
        <n v="2.990217"/>
        <n v="3.192532"/>
        <n v="4.314417"/>
        <n v="4.851952"/>
        <n v="3.338967"/>
        <n v="5.416056"/>
        <n v="5.993912"/>
        <n v="5.513388"/>
        <n v="4.859735"/>
        <n v="2.848392"/>
        <n v="3.350255"/>
        <n v="3.988799"/>
        <n v="3.930648"/>
        <n v="5.01728"/>
        <n v="4.564348"/>
        <n v="3.806662"/>
        <n v="5.030373"/>
        <n v="5.759974"/>
        <n v="4.042876"/>
        <n v="4.204543"/>
        <n v="5.831853"/>
        <n v="5.916175"/>
        <n v="5.376158"/>
        <n v="4.653865"/>
        <n v="4.672735"/>
        <n v="4.094011"/>
        <n v="5.239098"/>
        <n v="4.261975"/>
        <n v="2.960105"/>
        <n v="3.218476"/>
        <n v="3.673512"/>
        <n v="3.788499"/>
        <n v="4.753159"/>
        <n v="3.649619"/>
        <n v="5.993961"/>
        <n v="2.769459"/>
        <n v="3.874944"/>
        <n v="4.084126"/>
        <n v="3.039749"/>
        <n v="4.394079"/>
        <n v="5.440207"/>
        <n v="5.628304"/>
        <n v="2.939691"/>
        <n v="3.244544"/>
        <n v="5.198221"/>
        <n v="4.787492"/>
        <n v="5.63479"/>
        <n v="5.463789"/>
        <n v="4.615121"/>
        <n v="5.081404"/>
        <n v="4.70908"/>
        <n v="1.754404"/>
        <n v="5.069533"/>
        <n v="5.252273"/>
        <n v="4.219214"/>
        <n v="4.174387"/>
        <n v="6.685848"/>
        <n v="3.295837"/>
        <n v="2.944439"/>
        <n v="2.303585"/>
        <n v="4.990433"/>
        <n v="4.919908"/>
        <n v="5.638319"/>
        <n v="6.274743"/>
        <n v="3.985088"/>
        <n v="3.384051"/>
        <n v="5.799093"/>
        <n v="6.07991"/>
        <n v="4.939784"/>
        <n v="2.790551"/>
        <n v="5.942799"/>
        <n v="6.928528"/>
        <n v="4.836203"/>
        <n v="4.383401"/>
        <n v="5.193179"/>
        <n v="4.603569"/>
        <n v="3.133318"/>
        <n v="4.445236"/>
        <n v="2.890372"/>
        <n v="4.498475"/>
        <n v="5.33749"/>
        <n v="4.68675"/>
        <n v="3.828641"/>
        <n v="5.107641"/>
        <n v="6.665671"/>
        <n v="3.526066"/>
        <n v="4.78273"/>
        <n v="5.545177"/>
        <n v="6.398412"/>
        <n v="4.187835"/>
        <n v="2.723924"/>
        <n v="1.386294"/>
        <n v="4.028205"/>
        <n v="3.30542"/>
        <n v="4.705558"/>
        <n v="4.713217"/>
        <n v="4.172077"/>
        <n v="4.600258"/>
        <n v="5.992489"/>
        <n v="4.478132"/>
        <n v="4.633855"/>
        <n v="2.885359"/>
        <n v="4.477223"/>
        <n v="3.710886"/>
        <n v="2.110213"/>
        <n v="2.476538"/>
        <n v="3.034472"/>
        <n v="4.39309"/>
        <n v="4.52168"/>
        <n v="4.614625"/>
        <n v="2.512846"/>
        <n v="4.70953"/>
        <n v="3.524005"/>
        <n v="5.437166"/>
        <n v="5.219058"/>
        <n v="5.059997"/>
        <n v="4.4762"/>
        <n v="6.39693"/>
        <n v="5.706944"/>
        <n v="4.983538"/>
        <n v="4.739614"/>
        <n v="4.568402"/>
        <n v="5.525413"/>
        <n v="5.402632"/>
        <n v="3.663305"/>
        <n v="3.341093"/>
        <n v="3.805551"/>
        <n v="5.225747"/>
        <n v="3.131137"/>
        <n v="3.523415"/>
        <n v="4.110382"/>
        <n v="3.786687"/>
        <n v="5.272948"/>
        <n v="6.685861"/>
        <n v="5.726815"/>
        <n v="6.216606"/>
        <n v="2.450143"/>
        <n v="3.718196"/>
        <n v="2.70538"/>
        <n v="2.564949"/>
        <n v="2.302585"/>
        <n v="4.855851"/>
        <n v="5.449707"/>
        <n v="4.047253"/>
        <n v="3.124125"/>
        <n v="4.451902"/>
        <n v="5.033701"/>
        <n v="3.299165"/>
        <n v="4.9989"/>
        <n v="5.176093"/>
        <n v="5.135798"/>
        <n v="2.140066"/>
        <n v="5.018736"/>
        <n v="5.024209"/>
        <n v="4.701389"/>
        <n v="4.50976"/>
        <n v="4.104295"/>
        <n v="4.110054"/>
        <n v="4.531524"/>
        <n v="6.309918"/>
        <n v="4.094178"/>
        <n v="5.351858"/>
        <n v="4.093511"/>
        <n v="5.929456"/>
        <n v="3.607941"/>
        <n v="4.785406"/>
      </sharedItems>
    </cacheField>
    <cacheField name="price_per_channel" numFmtId="178">
      <sharedItems containsString="0" containsBlank="1" containsNumber="1" minValue="1.86" maxValue="187.5" count="164">
        <m/>
        <n v="50"/>
        <n v="32.5"/>
        <n v="31.87"/>
        <n v="18.12"/>
        <n v="8.09"/>
        <n v="21.25"/>
        <n v="187.5"/>
        <n v="18.33"/>
        <n v="17.5"/>
        <n v="6.25"/>
        <n v="12.93"/>
        <n v="8.4"/>
        <n v="12.95"/>
        <n v="7.31"/>
        <n v="16.19"/>
        <n v="15"/>
        <n v="10.76"/>
        <n v="9.12"/>
        <n v="18.75"/>
        <n v="22"/>
        <n v="56.25"/>
        <n v="58.44"/>
        <n v="16.59"/>
        <n v="44.62"/>
        <n v="36.75"/>
        <n v="19.95"/>
        <n v="7.5"/>
        <n v="4.99"/>
        <n v="13.65"/>
        <n v="18.56"/>
        <n v="22.34"/>
        <n v="12.07"/>
        <n v="13.75"/>
        <n v="6.75"/>
        <n v="32.9"/>
        <n v="17.19"/>
        <n v="34.37"/>
        <n v="19.25"/>
        <n v="47.25"/>
        <n v="12.6"/>
        <n v="27.49"/>
        <n v="17.25"/>
        <n v="28.44"/>
        <n v="9.37"/>
        <n v="10.45"/>
        <n v="3.86"/>
        <n v="8"/>
        <n v="15.62"/>
        <n v="9.94"/>
        <n v="15.32"/>
        <n v="28.12"/>
        <n v="6.17"/>
        <n v="12.37"/>
        <n v="4.75"/>
        <n v="3.74"/>
        <n v="7.56"/>
        <n v="13.54"/>
        <n v="12.5"/>
        <n v="40"/>
        <n v="35.27"/>
        <n v="23.39"/>
        <n v="21.16"/>
        <n v="21.62"/>
        <n v="7.88"/>
        <n v="8.62"/>
        <n v="41"/>
        <n v="16.87"/>
        <n v="18.06"/>
        <n v="5.95"/>
        <n v="14.99"/>
        <n v="7.15"/>
        <n v="6.5"/>
        <n v="13.5"/>
        <n v="21.14"/>
        <n v="29.25"/>
        <n v="31.39"/>
        <n v="12.49"/>
        <n v="22.78"/>
        <n v="19.42"/>
        <n v="7.4"/>
        <n v="6.47"/>
        <n v="13.69"/>
        <n v="28.27"/>
        <n v="17"/>
        <n v="17.22"/>
        <n v="17.06"/>
        <n v="14.3"/>
        <n v="25.67"/>
        <n v="14.62"/>
        <n v="4.37"/>
        <n v="40.5"/>
        <n v="18.5"/>
        <n v="17.47"/>
        <n v="37.46"/>
        <n v="6.56"/>
        <n v="16.24"/>
        <n v="23.56"/>
        <n v="12.02"/>
        <n v="1.86"/>
        <n v="19.99"/>
        <n v="83.75"/>
        <n v="55"/>
        <n v="71.81"/>
        <n v="12.87"/>
        <n v="24.7"/>
        <n v="5.94"/>
        <n v="19.77"/>
        <n v="8.25"/>
        <n v="42.5"/>
        <n v="46.25"/>
        <n v="25.62"/>
        <n v="26.9"/>
        <n v="13"/>
        <n v="13.25"/>
        <n v="26.25"/>
        <n v="11.25"/>
        <n v="8.75"/>
        <n v="46.88"/>
        <n v="2.29"/>
        <n v="100"/>
        <n v="22.95"/>
        <n v="17.32"/>
        <n v="37.5"/>
        <n v="10.62"/>
        <n v="23.75"/>
        <n v="4.12"/>
        <n v="4"/>
        <n v="19"/>
        <n v="127.5"/>
        <n v="9.89"/>
        <n v="11.19"/>
        <n v="20.7"/>
        <n v="5.62"/>
        <n v="23.06"/>
        <n v="16.22"/>
        <n v="3.45"/>
        <n v="13.7"/>
        <n v="13.8"/>
        <n v="7.98"/>
        <n v="49.93"/>
        <n v="12.74"/>
        <n v="22.88"/>
        <n v="18.38"/>
        <n v="25"/>
        <n v="7.09"/>
        <n v="11.92"/>
        <n v="26"/>
        <n v="29.97"/>
        <n v="22.1"/>
        <n v="10"/>
        <n v="4.31"/>
        <n v="7.97"/>
        <n v="28.96"/>
        <n v="3.52"/>
        <n v="6.19"/>
        <n v="10.6"/>
        <n v="11"/>
        <n v="27.28"/>
        <n v="11.24"/>
        <n v="7.45"/>
        <n v="14"/>
        <n v="35"/>
        <n v="13.12"/>
      </sharedItems>
    </cacheField>
    <cacheField name="sold" numFmtId="178">
      <sharedItems containsString="0" containsBlank="1" containsNumber="1" containsInteger="1" minValue="1" maxValue="10872" count="303">
        <n v="3"/>
        <n v="35"/>
        <n v="36"/>
        <n v="50"/>
        <n v="11"/>
        <n v="5"/>
        <n v="15"/>
        <n v="33"/>
        <n v="802"/>
        <n v="386"/>
        <n v="40"/>
        <n v="1155"/>
        <m/>
        <n v="117"/>
        <n v="543"/>
        <n v="367"/>
        <n v="577"/>
        <n v="771"/>
        <n v="354"/>
        <n v="56"/>
        <n v="34"/>
        <n v="16"/>
        <n v="554"/>
        <n v="24"/>
        <n v="18"/>
        <n v="95"/>
        <n v="21"/>
        <n v="145"/>
        <n v="13"/>
        <n v="1624"/>
        <n v="185"/>
        <n v="852"/>
        <n v="22"/>
        <n v="449"/>
        <n v="2356"/>
        <n v="221"/>
        <n v="1"/>
        <n v="9"/>
        <n v="41"/>
        <n v="78"/>
        <n v="51"/>
        <n v="44"/>
        <n v="31"/>
        <n v="195"/>
        <n v="291"/>
        <n v="349"/>
        <n v="1122"/>
        <n v="49"/>
        <n v="308"/>
        <n v="2376"/>
        <n v="4350"/>
        <n v="490"/>
        <n v="91"/>
        <n v="140"/>
        <n v="1011"/>
        <n v="215"/>
        <n v="304"/>
        <n v="4"/>
        <n v="72"/>
        <n v="6"/>
        <n v="235"/>
        <n v="43"/>
        <n v="38"/>
        <n v="7"/>
        <n v="2"/>
        <n v="61"/>
        <n v="17"/>
        <n v="10"/>
        <n v="54"/>
        <n v="256"/>
        <n v="42"/>
        <n v="8"/>
        <n v="202"/>
        <n v="32"/>
        <n v="86"/>
        <n v="290"/>
        <n v="87"/>
        <n v="39"/>
        <n v="37"/>
        <n v="53"/>
        <n v="726"/>
        <n v="718"/>
        <n v="299"/>
        <n v="374"/>
        <n v="146"/>
        <n v="1450"/>
        <n v="88"/>
        <n v="69"/>
        <n v="237"/>
        <n v="233"/>
        <n v="401"/>
        <n v="74"/>
        <n v="46"/>
        <n v="66"/>
        <n v="265"/>
        <n v="749"/>
        <n v="654"/>
        <n v="375"/>
        <n v="77"/>
        <n v="2282"/>
        <n v="180"/>
        <n v="116"/>
        <n v="4106"/>
        <n v="58"/>
        <n v="19"/>
        <n v="65"/>
        <n v="12"/>
        <n v="6027"/>
        <n v="289"/>
        <n v="236"/>
        <n v="361"/>
        <n v="20"/>
        <n v="14"/>
        <n v="415"/>
        <n v="76"/>
        <n v="119"/>
        <n v="28"/>
        <n v="160"/>
        <n v="144"/>
        <n v="113"/>
        <n v="1024"/>
        <n v="437"/>
        <n v="1521"/>
        <n v="246"/>
        <n v="1812"/>
        <n v="26"/>
        <n v="194"/>
        <n v="264"/>
        <n v="1970"/>
        <n v="1026"/>
        <n v="5304"/>
        <n v="728"/>
        <n v="59"/>
        <n v="163"/>
        <n v="136"/>
        <n v="80"/>
        <n v="23"/>
        <n v="149"/>
        <n v="63"/>
        <n v="257"/>
        <n v="1250"/>
        <n v="650"/>
        <n v="480"/>
        <n v="1231"/>
        <n v="84"/>
        <n v="75"/>
        <n v="724"/>
        <n v="214"/>
        <n v="154"/>
        <n v="213"/>
        <n v="2355"/>
        <n v="142"/>
        <n v="101"/>
        <n v="47"/>
        <n v="639"/>
        <n v="64"/>
        <n v="631"/>
        <n v="1341"/>
        <n v="97"/>
        <n v="82"/>
        <n v="25"/>
        <n v="825"/>
        <n v="111"/>
        <n v="127"/>
        <n v="482"/>
        <n v="60"/>
        <n v="427"/>
        <n v="2484"/>
        <n v="170"/>
        <n v="383"/>
        <n v="319"/>
        <n v="369"/>
        <n v="414"/>
        <n v="206"/>
        <n v="90"/>
        <n v="106"/>
        <n v="161"/>
        <n v="261"/>
        <n v="336"/>
        <n v="297"/>
        <n v="3522"/>
        <n v="1144"/>
        <n v="153"/>
        <n v="96"/>
        <n v="135"/>
        <n v="318"/>
        <n v="67"/>
        <n v="128"/>
        <n v="234"/>
        <n v="697"/>
        <n v="512"/>
        <n v="544"/>
        <n v="730"/>
        <n v="228"/>
        <n v="595"/>
        <n v="708"/>
        <n v="155"/>
        <n v="79"/>
        <n v="248"/>
        <n v="158"/>
        <n v="950"/>
        <n v="420"/>
        <n v="1522"/>
        <n v="62"/>
        <n v="85"/>
        <n v="258"/>
        <n v="131"/>
        <n v="169"/>
        <n v="2108"/>
        <n v="30"/>
        <n v="100"/>
        <n v="103"/>
        <n v="45"/>
        <n v="400"/>
        <n v="280"/>
        <n v="68"/>
        <n v="29"/>
        <n v="2398"/>
        <n v="785"/>
        <n v="129"/>
        <n v="3035"/>
        <n v="1319"/>
        <n v="615"/>
        <n v="217"/>
        <n v="27"/>
        <n v="93"/>
        <n v="205"/>
        <n v="52"/>
        <n v="627"/>
        <n v="663"/>
        <n v="157"/>
        <n v="138"/>
        <n v="225"/>
        <n v="115"/>
        <n v="669"/>
        <n v="320"/>
        <n v="239"/>
        <n v="71"/>
        <n v="210"/>
        <n v="118"/>
        <n v="373"/>
        <n v="1830"/>
        <n v="1707"/>
        <n v="2762"/>
        <n v="192"/>
        <n v="1230"/>
        <n v="162"/>
        <n v="300"/>
        <n v="328"/>
        <n v="596"/>
        <n v="1949"/>
        <n v="107"/>
        <n v="368"/>
        <n v="571"/>
        <n v="442"/>
        <n v="356"/>
        <n v="1409"/>
        <n v="5648"/>
        <n v="646"/>
        <n v="132"/>
        <n v="516"/>
        <n v="833"/>
        <n v="120"/>
        <n v="808"/>
        <n v="3051"/>
        <n v="130"/>
        <n v="48"/>
        <n v="871"/>
        <n v="230"/>
        <n v="207"/>
        <n v="286"/>
        <n v="137"/>
        <n v="381"/>
        <n v="164"/>
        <n v="73"/>
        <n v="165"/>
        <n v="2346"/>
        <n v="81"/>
        <n v="152"/>
        <n v="176"/>
        <n v="952"/>
        <n v="337"/>
        <n v="123"/>
        <n v="55"/>
        <n v="133"/>
        <n v="600"/>
        <n v="352"/>
        <n v="560"/>
        <n v="501"/>
        <n v="670"/>
        <n v="4006"/>
        <n v="923"/>
        <n v="860"/>
        <n v="10872"/>
        <n v="3314"/>
        <n v="2107"/>
        <n v="104"/>
        <n v="327"/>
        <n v="522"/>
        <n v="1387"/>
        <n v="358"/>
        <n v="83"/>
        <n v="121"/>
      </sharedItems>
    </cacheField>
    <cacheField name="available" numFmtId="178">
      <sharedItems containsString="0" containsBlank="1" containsNumber="1" containsInteger="1" minValue="1" maxValue="701" count="69">
        <n v="144"/>
        <n v="185"/>
        <n v="20"/>
        <n v="23"/>
        <n v="19"/>
        <n v="332"/>
        <n v="10"/>
        <n v="8"/>
        <m/>
        <n v="2"/>
        <n v="4"/>
        <n v="3"/>
        <n v="1"/>
        <n v="31"/>
        <n v="37"/>
        <n v="33"/>
        <n v="7"/>
        <n v="15"/>
        <n v="9"/>
        <n v="5"/>
        <n v="701"/>
        <n v="16"/>
        <n v="22"/>
        <n v="41"/>
        <n v="6"/>
        <n v="104"/>
        <n v="18"/>
        <n v="29"/>
        <n v="39"/>
        <n v="91"/>
        <n v="13"/>
        <n v="100"/>
        <n v="30"/>
        <n v="99"/>
        <n v="200"/>
        <n v="47"/>
        <n v="119"/>
        <n v="379"/>
        <n v="50"/>
        <n v="12"/>
        <n v="95"/>
        <n v="396"/>
        <n v="76"/>
        <n v="45"/>
        <n v="315"/>
        <n v="400"/>
        <n v="244"/>
        <n v="184"/>
        <n v="174"/>
        <n v="268"/>
        <n v="150"/>
        <n v="63"/>
        <n v="28"/>
        <n v="127"/>
        <n v="114"/>
        <n v="89"/>
        <n v="52"/>
        <n v="121"/>
        <n v="197"/>
        <n v="137"/>
        <n v="146"/>
        <n v="85"/>
        <n v="83"/>
        <n v="72"/>
        <n v="80"/>
        <n v="42"/>
        <n v="27"/>
        <n v="46"/>
        <n v="57"/>
      </sharedItems>
    </cacheField>
    <cacheField name="title2" numFmtId="0">
      <sharedItems count="844">
        <s v="Lorex 4K+ 12MP IP Wired Bullet Security Camera with Smart  Lighting (E910AB)"/>
        <s v="Lorex LNB9292B 4K Ultra HD IP 4x Motorized Bullet Camera, 30FPS, IP67, 1PK"/>
        <s v="5 PACK 60ft BNC Cables for CCTV Security Camera DVR System w/ BNC FF Connectors"/>
        <s v="Lorex LNE9292B 4K Ultra HD  IP 4X  Motorized Dome Camera, 30FPS, 1 PK"/>
        <s v="Lorex D841A82B 4K 8Ch Analog Ultra HD DVR 1 HDD 2TB with Smart Home Voice, Black"/>
        <s v="Lorex N844A82 4K 8-Channel 2TB NVR, Smart Motion, Voice Control, Fusion (M.Ref)"/>
        <s v="Lorex N843A82 4K 8-Channel Network Video Recorder, Smart Motion Detection(M.Ref)"/>
        <s v="Lorex N846A62 Fusion 4K Ultra HD 16-Channel (8 wired and 8 Wi-Fi) 2TB NVR(M.Ref)"/>
        <s v="Solar Camera Outdoor Wireless 5G -4MP Outdoor Camera Wireless w/ Integrated SP"/>
        <s v="Lot 8 YI Home Camera 1080p Wireless IP Security Surveillance System Night Vision"/>
        <s v="BRAND NEW SimpliSafe Base Station - Current Gen 3 (Latest) + Power Adapter"/>
        <s v="SimpliSafe CM006 Smart Alarm Night Vision Motion Camera Wireless Indoor Security"/>
        <s v="NEW SimpliSafe Entry ES3 Door Sensor White Magnetic Home Security (Latest)"/>
        <s v="Amcrest NV2116-HS 4K 16CH NVR 6TB 1080p/3MP/4MP/5MP/8MP) - NIB"/>
        <s v="GeoVision GV-VS04H, 4 Channel H.264 Video Server, PoE / 12V DC, GPS, GV-GIS"/>
        <s v="Verint Edge VR 80 Black NVR Surveillance Recorder with Cables and Accessories"/>
        <s v="Verint EdgeVR 80 DVR Wired Black, Includes DVR Unit, Cables, Accessories"/>
        <s v="Mini DVR 5.8G-FPV Video Recorder Module CVBS Signal Input Support 32GB TF Card"/>
        <s v="Ring Pro Power Kit V3 (2 units)- New &amp; Unused – $8 per 2 units – 100+ Available"/>
        <s v="Ring Pro Power Kit V2 (2 units) – New &amp; Unused – $8 per 2 units – 100+ Available"/>
        <s v="Blink Outdoor (3rd Gen) Add-On Home Security Camera | HD Video work with XT1 XT3"/>
        <s v="Blink Sync Module 2 for existing Blink Outdoor (3rd Gen) Home Security Systems"/>
        <s v="Blink Outdoor  (4th Gen) Wireless smart HD security camera | Black Add-on camera"/>
        <s v="Blink Outdoor (4th Gen) Add-On Home Security Camera | HD Video work with XT1 XT3"/>
        <s v="Solar Battery Powered Wireless WiFi Home Security Camera System Outdoor Pan/Tilt"/>
        <s v="Ring Floodlight Cam Wired Plus **BRAND NEW** 1080p HD White"/>
        <s v="LTS 8 Sony Cameras + 8 Channel 500GB DVR with Hi-Res VGA  security system GS"/>
        <s v="eufy 4G LTE Cam S330 4K Cellular Wireless Security Camera Solar Powered+SIM Card"/>
        <s v="eufy Security SoloCam S340 Solar Wireless Outdoor Camera 4-Cam Kit 360° Pan WiFI"/>
        <s v="eufy eufyCam C35 4Cam Kit Wireless Indoor/Outdoor Security Camera Magnetic Mount"/>
        <s v="eufy SoloCam E42 4K Security Wireless Outdoor Solar Powered AI Motion Tracking"/>
        <s v="eufy PoE Turret Security Camera E41, NVR Add On Cam, 4K UHD, Color Night Vision"/>
        <s v="eufy Security eufyCam S3 Pro 6-Cam Kit Solar Camera Outdoor Wireless 4K MaxColor"/>
        <s v="eufy eufyCam S4 Solar Security Camera Wireless Outdoor 4K UHD Color Night Vision"/>
        <s v="eufy Outdoor Floodlight Security Camera E340 with20ft AC Cable 360° PTZ Dual Cam"/>
        <s v="eufy SoloCam S340 Solar Wireless Security Camera Outdoor Dual Cam 360° Guardian"/>
        <s v="eufy Security Smart Wireless System w/Alexa 1080P Battery Camera eufyCam 2C Kit"/>
        <s v="eufy S380 HomeBase 3 Edge Security Center Local Expandable Storage up to 16TB"/>
        <s v="eufy Indoor Cam E30 Pet/Baby Camera 4K UHD Security Camera 360 Pan-Tilt 2-Cam"/>
        <s v="eufy Security Water and Freeze Sensor with Remote Alerts Waterproof App Control"/>
        <s v="eufy PoE NVR Security System S4 Max 8CH 16MP Triple Lens Camera 360°PTZ+2TB HDD"/>
        <s v="eufy Security eufyCam C35 Wireless Outdoor and Indoor Magnetic Mount NightVision"/>
        <s v="10Pcs BNC Male to RCA Female Coax Coaxial Connector Adapter for CCTV camera"/>
        <s v="Q-See 16 ch DVR 16 Channel SIMILAR MODEL QTH916 (NO Q-SEE LOGO) NO HARD DISK"/>
        <s v="8CH DVR XVR5108HS-I4"/>
        <s v="Voltky 2K WiFi Solar Security Camera Dual Lens AI PIR 10X Zoom Night Vision IP67"/>
        <s v="BNC Male to Dual BNC Female Connector Adapter T Shape Splitter Coaxial Cable Lot"/>
        <s v="BNC Male to RG59 RG6 Twist On Connector CCTV Security Coax Cable Camera Lot"/>
        <s v="BNC Female to RCA Male Connector Coax Cable Adapter Converter CCTV Camera Lot"/>
        <s v="RCA Female to BNC Male Connector Coax Plug Adapter Converter CCTV Camera Lot"/>
        <s v="RG59 Siamese Cable 250ft 500ft 1000ft Coaxial 20AWG + 18/2 Security Camera Wire"/>
        <s v="GMOX 4G LTE Cellular Solar Security Camera Outdoor No WiFi Non-Stop Power 365Day"/>
        <s v="Dome Wireless Z-Wave Plus Siren ( DMS01 ) Works With Ring. SEALED FREE SHIPPING"/>
        <s v="Arlo VMS5240-100NAS Ultra - 4K UHD Wire-Free Security 2 Camera"/>
        <s v="500m Wireless Driveway Alarms System Long Range Outdoor Motion Sensor Detectors"/>
        <s v="Wuloo 1800feet Solar Powered Driveway Alarms Long Range Wireless Motion Sensors"/>
        <s v="Wuloo 1800feet Long Range Solar Driveway Alarms Wireless Motion Sensor for Home"/>
        <s v="Wuloo Wireless Driveway Alarm 500Meter Long Range Outdoor Motion Detector Sensor"/>
        <s v="ANNKE 5MP Lite 8CH DVR 5in1 Video Recorder DVR for Smart Security Camera System"/>
        <s v="ANNKE 8CH 16CH 12MP NVR POE Security IP Network Video Recorder H.265+ Remote APP"/>
        <s v="ANNKE 8CH 5MP Lite DVR 1080P CCTV Security Camera System AI Color Night Vision"/>
        <s v="SANNCE Wireless 3MP Security Camera System 5MP 10CH NVR Two-Way Audio Recording"/>
        <s v="SANNCE 4IN1 HD 1080P Video Outdoor CCTV Security Camera 100ft EXIR Night Vision"/>
        <s v="SANNCE 8CH DVR 1080P Video Security Camera System CCTV Outdoor Human Detection"/>
        <s v="SANNCE Wireless 5MP 8CH NVR 3MP Two Way Audio AI Security Camera System Outdoor"/>
        <s v="SANNCE 8CH 4K NVR 8MP POE Security Camera System PT Auto Tracking Two Way Audio"/>
        <s v="ANNKE 60/100ft CCTV BNC Extension Wire Cord Security Camera Video DC Power Cable"/>
        <s v="ANNKE 12MP 16CH NVR POE AI Security Video Recorder System IP Network P2P H.265+"/>
        <s v="MaximalPower Fake CCTV Security Dummy Dome Camera w/ Red LED Light for Home Lot"/>
        <s v="Security Cameras Outdoor Wireless, 4 Cam Kit, Solar Powered.360 Pan NEW(Open Box"/>
        <s v="Ring Spotlight Cam Pro (Newest Model, 2nd Gen, 4K, Black, Plug-In) New, In Hand"/>
        <s v="Ring Floodlight Cam Pro (2nd Gen) Retinal 4K , 10x Zoom, ultra-bright motion"/>
        <s v="RING WIRED DOORBELL PRO (3RD GEN) RETINAL 4K FOR ULTRA-CLEAR VIDEO- New"/>
        <s v="Ring Floodlight Cam Pro 4K Wired 2nd gen Sealed White"/>
        <s v="Annke Black Surveillance Recorder 2TB DVR DT61BS"/>
        <s v="HaiVision Network Video S-VF-Stingray Set Top Box USED - GOOD CONDITION"/>
        <s v="4x Night Owl Replacement Security Cameras w/ Cables &amp; Power – BNC CCTV – No DVR"/>
        <s v="Solar Panel Charging for Arlo Essential Spotlight / XL Spotlight Camera W/ Cable"/>
        <s v="Smart wifi camera with human detection two way audio wireless model SQ001-L"/>
        <s v="Hiseeu 8MP 16CH NVR Wireless 5G Wifi Security Camera System Kit For Home Outdoor"/>
        <s v="Hiseeu 3MP PTZ IP Security Camera System,5G Wifi 16CH NVR,Night Vision,Eseecloud"/>
        <s v="Hiseeu 5MP 10&quot;LCD 16CH NVR WIFI Outdoor Security Camera System IP Audio 1TB HDD"/>
        <s v="Vivotek FD8177-HT | 4Mp, 30M Ir, Wdr Pro, Smart Stream Ii"/>
        <s v="Lorex 4K Spotlight Wi-Fi 6 Security Camera W/ Smart Security Lighting - Open Box"/>
        <s v="Lorex Fusion 4K 20-Channel (16 Wired and 4 Fusion Wi-Fi) Digital Video Recorder"/>
        <s v="Lorex Classic Fusion 4K 12-Channel (8 Wired + 4 Wi-Fi) 1TB Wired DVR System with"/>
        <s v="Lorex Fusion 4K 16 Camera Capable (Wired / Fusion Wi-Fi) 4TB NVR"/>
        <s v="Lorex A10 IP Wired Dome Security Camera with Listen-In Audio and IK10 Vandal Pro"/>
        <s v="Lorex 4K Spotlight Indoor/Outdoor Wi-Fi 6 Security Camera"/>
        <s v="Lorex 4K+ 12MP 16Ch (Wired + WiFi) 2TB Wired NVR System with 3 Bullet Cameras"/>
        <s v="Lorex 2K Dual Lens Indoor Pan-Tilt Wi-Fi Security Camera (Cloud-Enabled)"/>
        <s v="Lorex 2K Wi-Fi Video Doorbell (Battery-Operated, 32GB, Open Box)"/>
        <s v="Lorex 4K+12MP 16 Camera Capable (8 Wired + 8 Fusion Wi-Fi) NVR - Open Box"/>
        <s v="Lorex Fusion 4K 16 Camera Capable (Wired / Fusion Wi-Fi) 4TB NVR - Open Box"/>
        <s v="Lorex 1080p Wi-Fi Floodlight Camera - Open Box"/>
        <s v="Lorex 2K Wi-Fi Video Doorbell 32GB (Wired, White, Single) - Open Box"/>
        <s v="Luma LUM-501-NVR-16CH 2TB 16 Channel Network Video Recorder p530"/>
        <s v="Entry Magnetic Window Door Super Loud Alarm Indoor Anti-theft White Host Durable"/>
        <s v="3 Pack 7200mAh Rechargeable Battery and Charger Station for Ring Doorbell 2/3/4"/>
        <s v="Blink Outdoor 4 XR Wireless Security 2 Camera System with XR Sync Module NEW!"/>
        <s v="Avertx 4MP Mini IP Bullet In/Outdoor Night Vision Camera AVX-HD420IR HD420, NEW"/>
        <s v="Lorex E893AB 4K UHD Smart Deterrence Outdoor Network Bullet Camera"/>
        <s v="Lorex LNB9252-C 4K Smart IP Bullet Camera White, Open Box"/>
        <s v="Lorex 4K+ Ultra HD 12MP Smart Security Deterrence Dome Wired IP Camera E910DD"/>
        <s v="4 Pack Blink Outdoor Camera Wall Mount Bracket for Blink Outdoor 4th Gen Blin"/>
        <s v="5Pc PIR Infrared Motion Sensor Detector 110V Smart Switch Light Lamp Switch Auto"/>
        <s v="Auto Off Sensor Switch Motion Infrared PIR Vacancy Wall Light Lamp"/>
        <s v="CCTV Camera 2.4MP 1080P 1/2.5 SONY 6-60mm IP66 POE PROIMAGE PROI-810WB Digital"/>
        <s v="Blink BSM00300U Sync Module 2 for Blink Home Security Camera System New No Box"/>
        <s v="WYZE Outdoor Floodlight Security Camera Pro 2.5K HD 3000Lumen LED 180° Wide View"/>
        <s v="Blink Video Doorbell + Outdoor 4 – Wireless smart security"/>
        <s v="Solar Outdoor Motion Sensor Alarm-Dog Barking or Gunshot Sound,Support Recording"/>
        <s v="Lot RCR123a Rechargeable Batteries 3.7V 700mAh for Arlo Security Camera"/>
        <s v="ANNKE 1080P HD 4in1 CCTV Home Security Surveillance Camera Outdoor Night Vision"/>
        <s v="ANNKE 4MP Wireless Dual Lens Security IP Camera Color Night Vision Two Way Audio"/>
        <s v="ANNKE Wireless 5MP Security Camera System 2-Way Audio 4CH 7&quot; Monitor NVR w/64GB"/>
        <s v="ANNKE 8CH 3K 5MP Lite DVR 1080P CCTV Security Camera System Outdoor Color Night"/>
        <s v="ANNKE UHD 4K C800 POE Security IP Camera Outdoor AI Detection Color Night Vision"/>
        <s v="ANNKE 16CH 5MP Lite DVR 1080P Outdoor Security Camera System AI Human Detection"/>
        <s v="ANNKE 8CH 16CH H.265+ 5MP Lite DVR Recorder for CCTV Home Security Camera System"/>
        <s v="ANNKE 5in1 16CH 1080P Lite DVR 2MP Video Recorder for CCTV Home Security System"/>
        <s v="ANNKE 8CH 5MP 3K Lite DVR 1080P CCTV Security Camera System Outdoor Color Night"/>
        <s v="ANNKE 5MP Lite 8CH DVR 1080P Color Night Security Camera System Human Detection"/>
        <s v="ANNKE 5MP Lite 8CH DVR 1080P CCTV Security Camera System Outdoor Human Detection"/>
        <s v="ANNKE 12MP 8CH POE NVR 4K AI Color Night Security Camera System Audio Recording"/>
        <s v="ANNKE 12MP 16CH NVR PoE 4K AI Color Night Security Camera System Audio Recording"/>
        <s v="ANNKE 3K Lite 8CH DVR FHD 1080P CCTV Security Camera System Outdoor AI Detection"/>
        <s v="ANNKE 4PCS 100FT 30m Video Power BNC Cable for CCTV Security Camera System White"/>
        <s v="ANNKE 8CH/16CH 4K 8MP NVR IP Network Security Video Recorder H.265+ Remote APP"/>
        <s v="ANNKE 5IN1 5MP Lite 8CH DVR Security Video Recorder for Home Surveillance System"/>
        <s v="ANNKE 7&quot; Monitor 4MP Wireless PT Security Camera System Solar Powered 2-Way Talk"/>
        <s v="ANNKE 5IN1 4K 8MP 8CH DVR Video for CCTV Security Camera System AI Motion H.265+"/>
        <s v="ANNKE 16CH 1080P Lite DVR CCTV Security Video Recorder for Camera System H.265+"/>
        <s v="ANNKE 4K 8MP POE NVR IP Network Video Recorder H.265+ for Smart Security System"/>
        <s v="ANNKE 16CH 12MP NVR 4K POE AI Color Night Security Camera System Audio Recording"/>
        <s v="ANNKE 12MP 8CH NVR 4K Audio POE Security Camera System Outdoor Color Night IP68"/>
        <s v="ANNKE 8CH DVR 5MP Audio Security Camera System H.265+ AI Detection Color Night"/>
        <s v="ANNKE 5MP PoE Security IP Camera AC500 Audio AI Color Night Vision Outdoor IP68"/>
        <s v="ANNKE 4pcs 1080P Video HD Security Camera CCTV Outdoor Color Night Vision IP68"/>
        <s v="ANNKE 8-Port 16-Port POE Ethernet Switch IP Network Plug&amp;Play for NVR IP Camera"/>
        <s v="ANNKE 8CH 12MP NVR POE AI Security IP Network Video Recorder Smart Search H.265+"/>
        <s v="ANNKE 8CH 12MP NVR POE 5MP AI Color Night Vision Security Camera System Outdoor"/>
        <s v="ANNKE 4IN1 5MP Security Camera Full Color Night Vision Outdoor Audio Recording"/>
        <s v="ANNKE 8CH 5MP Lite DVR Outdoor 1080P CCTV ecurity Camera System AI Color Night"/>
        <s v="ANNKE 6MP POE Security Camera Dual Lens Outdoor Color Night Two-Way Audio FCD601"/>
        <s v="ANNKE HD 4K/5MP 16CH/32CH Digital Video Recorder 5in1 DVR for CCTV Camera System"/>
        <s v="Wifi Smart Water Valve and Auto Shut-Off, Automation Scene Works with Leak Detec"/>
        <s v="Water Leak Sensor 3 Pack, Zigbee Wireless Water Leak Detector for Alarm System a"/>
        <s v="Hoovy Easy To Install Baby Car Camera Monitor with HD Real Time"/>
        <s v="Ring Alarm Keypad 1st Gen"/>
        <s v="BNC Male to BNC Male RG59 Coax Gold Connector Cord Cable, 3 Ft, 6 Ft, 12Ft 25 Ft"/>
        <s v="3FT Magnetic Charging Cable &amp; Power Plug for Arlo Ultra, 2, Pro 3/4 Pro 5s"/>
        <s v="3 Pack Ring Alarm Smoke &amp; Co Listener 9863B-BHASL001"/>
        <s v="Chamberlain myQ Outdoor Battery Camera 2K Color Night Vision Spotlight NEW"/>
        <s v="12V 5A Power Supply for CCTV Security Camera DVR Swann Lorex Defender 8 Split CG"/>
        <s v="2Pack Adjustable Security Wall Mount Bracket for Google Nest Cam Outdoor or Indo"/>
        <s v="Wired Surface Mounted NC Magnetic Door Window Contact Sensor Alarm Switch 5 Pack"/>
        <s v="1/4Pack Ring V4 Battery for Ring camera Doorbell Solar Floodligh 2/3/4/3 plus"/>
        <s v="Genuine Battery A-7a A-14 for Arlo Go 2, Ultra 2 XL ,Pro 4 XL ,Pro 5s 2K XL"/>
        <s v="3 Pack Genuine Battery for Ring Video Doorbell 2 3 4 Spotlight Cam Quick Release"/>
        <s v="Genuine Battery A-1 for Arlo Pro , Pro 2 LIGHT Camera VMC4030 VMA4400 VCS4500C"/>
        <s v="3 Pack Genuine Battery A-1 for Arlo Pro , Pro 2 VMA4400 VCS4500C VMS4230 Camera"/>
        <s v="Digital Video Recorder Standalone DVR"/>
        <s v="Netvue NI-8202 Birdfly Cam FHD Camera 1080p White For Bird Watching"/>
        <s v="GOOGLE GRJ15 Wired Nest Cam Outdoor 2K 2nd Gen Snow"/>
        <s v="All-New Blink Outdoor 4 (4th Gen) Wire-Free Smart Security Camera HD 2-Way Audio"/>
        <s v="Blink Sync Module XR Hub for All Blink Devices 400ft for Outdoor 4 Camera"/>
        <s v="2x Dummy Security Camera Fake LEDs Flashing Light Home Surveillance Waterproof"/>
        <s v="3 Pack Rechargeable Battery Pack &amp;Charging Station for Ring Video Doorbell 2 3 4"/>
        <s v="Digital Watchdog DW-VA1P4 4 Channel HD-AHD/TVI Universal HD over Coax DVR"/>
        <s v="IC Realtime NVR‑MX16POE‑1U4K1 used"/>
        <s v="Blink Outdoor 2K+ Wireless Smart Security Camera System (5 Cameras) Sync Module"/>
        <s v="2X Battery For Ring-Doorbell Video 2/3/3 Plus/4 Spotlight/Stick Up Peephole Cam"/>
        <s v="JaiHo 14 Inch LCD Security CCTV Monitor Only Model:JH1257🛑🛑NOT TESTED"/>
        <s v="Mini Wireless Record Camera WiFi IP Home Security DVR Night Vision HD USB 1080P"/>
        <s v="NUUO NVRmini2 NE-2040 NVR 4-Channel, Two 1TB Seagate Hard Drives, 2 Drive Bays"/>
        <s v="Voice Recorder  8GB"/>
        <s v="1080P 360 Degree Indoor WiFi Home Security Camera, Night Vision, Cloud Storage"/>
        <s v="Ring USB-C to Barrel Plug Adapter for USB-C Solar Panels and Barrel Plug Black"/>
        <s v="Ring Spare Parts Kit for Spotlight Cam Pro Battery &amp; Spotlight Cam Plus Battery"/>
        <s v="5G &amp; 2.4G WiFi  Security Camera 2K Wireless Home Camera Easy Install"/>
        <s v="Camara Espia Oculta Reloj Despertador Seguridad 1080P Detector Movimiento NUEVO"/>
        <s v="HTZSAFE 800 Meters Long Range Wireless Driveway Alarm Outdoor Weather-Resistant"/>
        <s v="Camara De Seguridad Solar Inalambricas Para Exterior Con Vision Nocturna y Audio"/>
        <s v="Lorex E895AB 4K Deterrence Bullet PoE IP Wired Add-On Security Camera - B Grade"/>
        <s v="Lorex Security Cameras C883DA Mixed-Grade (24 Total Cameras)"/>
        <s v="Skyworth H80 Pro 4K 8MP Indoor Security Camera 2.4 &amp; 5 Ghz Pet Baby Monitor PTZ"/>
        <s v="New Sealed Ring Wired Doorbell Pro (3rd Gen) Retinal 4K ultra-clear video 10x Z"/>
        <s v="Verint BA32 TBR EdgeVR300 NVR with 4x16TB HDD and RAID1 Storage G2U"/>
        <s v="Amcrest 4K (8MP) IP POE Camera UltraHD Outdoor Bullet IP8M-2496EW-AI-V3 Warranty"/>
        <s v="Amcrest 5MP IP Camera POE Security Dome IP5M-F1180EW 360°Indoor Fisheye Warranty"/>
        <s v="Amcrest NV4116-HS 720p/1080p 3MP-8MP 4K NVR w/ 2TB HDD Supports up to 6TB HDD -"/>
        <s v="16ch 16POE NVR Support 2HDD 5216-16P"/>
        <s v="16CH NVR 4k/8MP support 2HDD 2 bays"/>
        <s v="PFB2203W Waterproof Wall Mount Bracket for Security IP Dome Camera"/>
        <s v="64ch NVR 8MP/4K/32MP  support 4HDDs"/>
        <s v="Wireless Doorbell Plug in &amp; Play Waterproof Door Bell Kit LED 1000ft 39 Chimes"/>
        <s v="5 Pack Wall Camera Mount Bracket Indoor Outdoor for Arlo Pro Security Adjustable"/>
        <s v="Ring Floodlight Cam Plus Outdoor Wired 1080p FHD Surveillance Camera - White"/>
        <s v="InVid Tech PD1B-32NH 32 Channel DVR Black HDMI VGA USB Ethernet BNC 110-240V"/>
        <s v="Bosch VG4-A-PA0 Autodome Security Camera Pendant Arm Power Box, 24 VAC Sealed"/>
        <s v="AOSU Video Doorbell Pro V8P1AX11 + WiFi Homebase Black/Space Gray Open Box"/>
        <s v="AOSU Security Cam P1 LITE 2K Wi-Fi Security 2-Camera Model: C4L2CA11 Open Box"/>
        <s v="AOSU SolarCam Pro/Max 2K/5MP Replacement Wifi Home Base ONLY Model: H1L"/>
        <s v="Outdoor Solar Wireless Motion Sensor Alarm 13 Sound Detector 130db Loud Noise"/>
        <s v="Siamese Cable CCTV Security Camera BNC DC Power/Video Wire Black/White Pack LOT"/>
        <s v="3 Pack Lot BNC Male Plug to RCA Female Jack Coax Cable Video Adapter Connector"/>
        <s v="4 PACK Lot RCA Male Plug to BNC Female Jack Adapter Coax Connector Coupler CCTV"/>
        <s v="18/4 Security Alarm Wire Cable Stranded Shielded 4 Conductor 18 AWG CL3R 1000ft"/>
        <s v="2 to 4 Way Channel DC Power Splitter Adapter Cable Cord for CCTV Security Camera"/>
        <s v="Wireless Home Window Door Burglar Security Alarm System Magnetic Sensor lot"/>
        <s v="Tapo 1080P Outdoor Wired Pan/Tilt Security Wi-Fi Camera, 360° View, White C501"/>
        <s v="Panasonic HomeHawk Window Camera -1080p HD Color Night Vision Smart Security Cam"/>
        <s v="4/8 Channel H.265 1080P DVR for Home Security Camera System 1TB Hard Drive"/>
        <s v="9 Channel H.265 1080P DVR for Security Camera System 1TB Hard Drive USA"/>
        <s v="AIMHDUTY BNC Coupler Female to Connector 5-Pack and Male Male..."/>
        <s v="2026 Smart Mini WiFi Camera Wireless 1080P HD Night Cam w/Battery Home Security"/>
        <s v="1-4Pack Wireless 5G WiFi Security Camera System Smart Outdoor Night Vision 1080P"/>
        <s v="1080P HD Rearview Mirror Car DVR Dual Dash Cam Camera Front Rear Video Recorder"/>
        <s v="H2C8 Waterproof 656ft Wireless Driveway Alarm Motion Sensor Alarm Indoor Outdoor"/>
        <s v="Solar Alarm LED Light Solar Strobe Light Wireless Motion Sensor Detector Outdoor"/>
        <s v="ADC ADC-CSVR2000P-1X2TB 16 Channel Pro Series Commercial Stream Video Rec. (NEW)"/>
        <s v="2-Pack HomeKit Door Window contact Sensors, Wireless Mini Sensor for iOS"/>
        <s v="FLIR Digimerge DNR216P1 Network Video Recorder NVR 4xPoE No HDDs/P/S No Admin PW"/>
        <s v="Google Nest Magnet Mount Adapter for Nest Cam Outdoor Camera NC2100ES"/>
        <s v="SimpliSafe Water Sensor (WT3) Water Flood Leak Detector New"/>
        <s v="Google Nest Cam 1st Gen Outdoor 1080P Wired (NC2100ES) Open Box 1 Year Warranty"/>
        <s v="2K Home Wireless Battery Security Camera"/>
        <s v="Cinnado 2 Pack 2K Cameras Home Security 2.4G WiFi Outdoor Wireless Solar Battery"/>
        <s v="1-8Pack Dummy Camera Fake Security CCTV Dome Camera with Flashing Red LED Light"/>
        <s v="SimpliSafe Smart Home Security System (7-Piece Kit) – Base Station, Keypad-NEW"/>
        <s v="7 PCS WIRELESS Home Window Door Burglar Security ALARM System Magnetic Sensor"/>
        <s v="360° 1080P IP E27 Light Bulb Camera Wi-Fi IR Night Smart Home Wireless Security"/>
        <s v="1080P 4&quot; Dual Lens HD Car DVR Rearview Video Dash Cam Recorder Camera G-Sensor"/>
        <s v="eufy eufyCam S4 Solar Security Camera Wireless Outdoor 4K UHD with Pan and Tilt"/>
        <s v="ARCCTV Security Camera System 4MP Solar Battery 5Ghz Wifi Wireless Night Vision"/>
        <s v="ARCCTV Solar Security Camera System Wireless wifi Battery Powered 4MP Outdoor"/>
        <s v="Onvif 16 Ch. HD 4K Video Recorder TDVR2716TTEC-TVI HD4TB Seagate Skyhawk Not Use"/>
        <s v="3 x Wall Mount Bracket For Ring Stick Up Cam Wired/Battery Solar Security Camera"/>
        <s v="Google Nest Cam Outdoor Security Camera Wi-Fi Wired 1080P NC2100ES A0034"/>
        <s v="SimpliSafe Wired Wi-Fi video Doorbell Pro 1080p HD Smart security Camera White"/>
        <s v="SimpliSafe Wireless Outdoor Security Camera 1080P Guard Motion CMOB1 White"/>
        <s v="XVIM WiFi Solar Wireless Home Camera Security System Outdoor Camera 2K Monitor"/>
        <s v="4Pcs Wireless Security Camera System Outdoor WiFi 360 Solar Battery Powered IP"/>
        <s v="4PK Wireless Solar Security Camera System 1080P HD WiFi Solar Battery Camera"/>
        <s v="4MP Wireless Solar Power Camera Outdoor Wifi Battery Pan/Tilt Securty Camera"/>
        <s v="2/4PK Solar Camera Outdoor Wireless Solar Security Camera System 4MP WiFi iP Cam"/>
        <s v="3Pcs Wireless Solar Battery Powered Camera Wifi Outdoor Security Camera System"/>
        <s v="Night Owl CM-FTD4LS-B-V2, 2K 2560x1440 (4MP) Wired Add-on Camera with Spotlight"/>
        <s v="Night Owl 1080p Wireless Add-On Battery Powered Camera BWNIP-2TA-BS-V5"/>
        <s v="Pack of 4 Night Owl, CM-FTD4LS-B 2K 2560x1440 (4MP) Wired Camera with Cables"/>
        <s v="Digital Watchdog Blackjack Mini DW BJMINI4T 12CH Network Video Recorder Lot of 3"/>
        <s v="INTERLOGIX TRUVISION NVR 11 DIGITAL VIDEO RECORDER H.264 8-CHANNEL IP PoE 2TB"/>
        <s v="BNC Male Balun Connector for Coax CAT5 CAT6 CAT7 to CCTV Surveillance Camera LOT"/>
        <s v="USB Camera Module 8.0MP with usb cable 4K_8MWDR_M1_V3.0 perfect for DIY  project"/>
        <s v="SANNCE 5IN1 8CH DVR 1080P Security Camera System CCTV Outdoor Night Vision AI"/>
        <s v="SANNCE Wireless 3MP Security IP Camera System 5MP 8CH NVR WIFI AI Two Way Audio"/>
        <s v="ieGeek Wireless Outdoor Solar Security Camera 2K Home CCTV System WiFi IP Camera"/>
        <s v="1080P Mini Camera CCTV WiFi HD IP Night Vision Camcorder Home Security Cam US"/>
        <s v="2027 Smart Mini WiFi Camera Wireless 1080P HD Night Cam w/Battery Home Security"/>
        <s v="Swann MaxRanger Mini 4K Wireless Security System, 3-Pack"/>
        <s v="Pelco 16-Channel Surveillance DVR CCTV Recorder BNC LAN VGA USB Audio-Out"/>
        <s v="Ring Wired Doorbell Pro (3rd Gen) Retinal 4K New+ Sealed"/>
        <s v="Ring Outdoor Cam Pro Retinal 4K Plug-in Camera 10x Zoom, White ,New+Sealed"/>
        <s v="Ring Floodlight Cam Pro Wired 2nd Gen Retinal 4K - White , New + Sealed"/>
        <s v="Jar of 100 Platinum Tools 106188J 2-Piece High Performance Connectors, CAT7"/>
        <s v="48V Power Supply Adapter for Amcrest NV4108E CCTV NVR Video Recorder"/>
        <s v="48V Power Supply Adapter for ZOSI 8UC-1804W4-20-US-A4 NVR Video Recorder"/>
        <s v="48V Power Supply Adapter for Dachau NVR replaces Hoioto ADS-110DL-52-1 480096G"/>
        <s v="4-Pin Power Supply Adapter for Swann NVR-8580 8 Channel Network Video Recorder"/>
        <s v="Infrared IR Light for CCTV Ir Illuminator 6pcs Array LEDS Powerful 90°"/>
        <s v="Wyze Cam v4 2.5K QHD Indoor/Outdoor WiFi Smart Security Camera Wired New Sealed"/>
        <s v="1x2TB Interlogix Truvision DVR 60 Hybrid Recorder TVR-6016-4T"/>
        <s v="Used OpenEye OE3-E480 16 Channel Embedded Digital Video Recorder 1TB"/>
        <s v="100Pcs AC 100-240V DC 12V 1A 5.5 x 2.1MM Charger Power Supply Adapter US Plug"/>
        <s v="ToughDog Security Systems IP-NVR, 24 channel - TDNVR24P24KS"/>
        <s v="Waterproof 656ft Wireless Driveway Alarm Motion Sensor Alarm Indoor Outdoor H2C9"/>
        <s v="AA Lithium Battery Extension Pack for Blink Outdoor 4 Camera (2 Pack)"/>
        <s v="101 pcs Coax Cat5/Cat6 To Camera CCTV BNC Video Balun Coaxial Connector Screw"/>
        <s v="10ft DC Power Extension Cable Cord 5.5x2.1mm 10 feet/3M for CCTV Camera DVR"/>
        <s v="(5-Pack) DC Power Pigtail Male Barrel Plug 6-inch Wire Cable 5.5mm x 2.1mm 5X"/>
        <s v="5pair 12V 5.5x2.1mm Male + Female DC Power Socket Jack Connector Cable Plug Wire"/>
        <s v="DC Power Extension Cable 5.5mm x 2.1mm Male Female Cord 18AWG 12V 24V 10A"/>
        <s v="3 Pack Rechargeable Battery A-1 for ARLO PRO &amp; Arlo Pro 2 Camera VMA4400 VMS4230"/>
        <s v="Long Range Driveway Alarm System with 2 Sensors &amp; 38 Chimes for Maximum Security"/>
        <s v="OpenEye OE1-D1200 4500 4 Channel Digital Video Recorder UNTESTED READ."/>
        <s v="Speco D16WVSM3TB 16-Channel Wall Mount Covert DVR w/ Built-in Monitor 3TB HDD"/>
        <s v="Blink Sync Module XR System hub for all Blink devices 400ft for Outdoor 4 Camera"/>
        <s v="Blink Outdoor  4th Gen Add-on Camera WiFi Security HD Cam - requires sync module"/>
        <s v="REOLINK Go Argus , Solar Panel 2, 4K Wifi 6 Camera Wireless Outdoor. New Sealed"/>
        <s v="11 pieces Twist-on BNC Male RG59 Connector for CCTV cameras"/>
        <s v="Premium 5Amp Power Adapter with 8 way splitter for Night Owl Cameras 12v Charger"/>
        <s v="Solar Power Dummy Security Camera Fake Waterproof LED Light Surveillance Outdoor"/>
        <s v="AOSU 5MP Solar Security Cameras Outdoor Wireless,Home Security System 4-Cam Kit"/>
        <s v="Aosu 3MP Security Camera Indoor No Subscription wifi cam Smart Motion Tracking"/>
        <s v="Aosu 3MP Solar Camera Outdoor Wireless WiFi Camera for Home Surveillance"/>
        <s v="AOSU Solar Security Cameras Outdoor Wireless,4 Cam-Kit,2K Color Night Vision"/>
        <s v="ANRAN Wireless Outdoor Security Camera System Solar Battery Powered Wifi Cameras"/>
        <s v="ANRAN Home Security Camera System Solar Panel 360°PTZ Wireless 3MP Outdoor IP66"/>
        <s v="Mini WiFi Camera HD 1080P IP Motion Detection Camcorder Home Security Cam"/>
        <s v="Motion Sensor Switch DC 12V-24V 8A Motion Sensor Motion Sensor Infrared PIR LED"/>
        <s v="DSC WIRELESS TECHNOLOGY MOTION DETECTOR PG9984P Power G"/>
        <s v="Ubiquiti G5 Turret Ultra (UVC-G5-Turret-Ultra) Multicolour"/>
        <s v="Ring Wired Doorbell Pro 3rd Gen Retinal 4K 4 inch Vinyl Siding Mounting Bracket"/>
        <s v="Ring Video Doorbell 1080p 2nd Gen Vertical Wedge Up/Down Angle 5  10  15 Degree"/>
        <s v="SimpliSafe Video Doorbell Wedge Angle Mount Bracket 15 25 35 45 60 90 Degree"/>
        <s v="Security Systems NVR H.264 Mobile Phone Surveillance 3G 3TB Network Recorder Hom"/>
        <s v="3VR Identiv SRS-0835-050 S-Series NVR 8 Channel Video Recorder 500GB HDD [CTNO]"/>
        <s v="Maxlinear OEM-VRC7008 8 Channel H.264 PCI Express Add-In Card For DVR [CTA]"/>
        <s v="BLINK SYSTEM SYNC MODULE CORE (2025 VERSION) (CAMERA NOT INCLUDED) *BRAND NEW!!"/>
        <s v="BLINK OUTDOOR 4 WIFI HOME SECURITY ADD-ON CAMERA (4th GENERATION) *BRAND NEW*"/>
        <s v="BLINK SYSTEM SYNC MODULE XR SYSTEM HUB (CAMERA NOT INCLUDED) *NEW in RETAIL BOX*"/>
        <s v="BLINK SYSTEM SYNC MODULE 2 (2024 VERSION) (CAMERA NOT INCLUDED) *BRAND NEW!!"/>
        <s v="Knight Hidden Devices Detector - Hidden Camera Detectors RF &amp; Bug Detector NEW"/>
        <s v="Knight KT8000 Premium Anti Spy Detector Camera Finder &amp; Hidden Devices Detector"/>
        <s v="Arlo Anti-Theft Mount Back Plate CUSTOM for VMA5100-10000S and Pro 3 Floodlight"/>
        <s v="COMPACT Nest Floodlight Camera Complete Mount Kit~With Bracket/screws/nuts"/>
        <s v="Replacement Mount for Eufy SoloCam S340/E30/E42 and 4G LTE Cam S331"/>
        <s v="Nest Cam (outdoor/indoor, battery) Mounting Bracket/Plate, QTY 2 per Order"/>
        <s v="1080P Light Bulb Camera 2.4GHz &amp; 5G WiFi E27 Smart Bulb 360 Security IP Camera"/>
        <s v="Smart Water Leak Sensor Detector APP Alarm WiFi Home Water Leak Detector Lot"/>
        <s v="JENNOV 8MP PTZ Outdoor PoE Security Camera Night Vision IP66 20X Optical Zoom"/>
        <s v="JENNOV 5MP Wireless Home Security Camera System WiFi Outdoor 360° PTZ 10CH NVR"/>
        <s v="JENNOV 10CH NVR 5MP Wireless Security Camera System WiFi Outdoor IP 2 Way Audio"/>
        <s v="Solar Security Cameras Wireless Outdoor for Home Security 2.4&amp;5GHz WiFi"/>
        <s v="2K Solar Battery Powered Wifi Outdoor  Home Security Camera System Wireless"/>
        <s v="3PACK Water Leakage Alarm Detector 120dB Water Leak Sensors Overflow Alert USA"/>
        <s v="Astak Digital Video Recorder"/>
        <s v="4MP Solar Powered, 4 Cam Kit, Color Night Vision, 360° PTZ, 500G HDD Local Reco"/>
        <s v="Roku Smart Home Wireless Video Doorbell &amp; Chime - 1440p HD Night Vision"/>
        <s v="FUJITSU IP-920E HD/SD MPEG4 AVC VIDEO ENCODER"/>
        <s v="PTZOptics Move SE – 3rd Generation PTZ Camera - No Power Included"/>
        <s v="Dual Lens 4K WiFi Security Camera 8X Zoom Outdoor Home Night Vision CCTV PTZ"/>
        <s v="Ring Alarm Motion Detector (2nd gen) Z-Wave - 5AT2S9 - 2 Pack (/RT6-22964-5AT..."/>
        <s v="Ring Security System. Everything You Need To Have A Great Setup For Security"/>
        <s v="Honeywell 8 Channel DVR Model HRGX85 960H"/>
        <s v="Orbitell 1080p WiFi Video Doorbell Camera 2-Way Audio Night Vision AI"/>
        <s v="Mini Camara Oculta Espia De Seguridad WiFi 1080P Inalambrica Con Audio y Video"/>
        <s v="4K SolarCam P1 Max with aosuCortex System. New Open Box Never Used   (4 Cameras)"/>
        <s v="VIVOSUN GrowCam C4 2K QHD WiFi Smart Camera for Grow Tent &amp; Home Camera"/>
        <s v="1080P HD Indoor Window Camera Night Vision Motion Alert App Audio No Monthly Fee"/>
        <s v="BOLIDE (BN-NVR/S4POE) 4-Channel PoE Network Video Recorder with 1TB Hard drive"/>
        <s v="17 Channel Digital Video Recorder Model: LRA3160N, Pre-Owned ."/>
        <s v="4/8 Channel H.265 1080P DVR with Hard Drive 500GB for Security Camera System USA"/>
        <s v="BOLIDE (BN-NVR/S4POE) 4-Channel PoE Network Video Recorder"/>
        <s v="New Sealed Arlo Ultra 4K 3rd Gen Single Add On Camera Battery Powered"/>
        <s v="Wireless Driveway Alert Kit. Motion Activated Sensor.  200ft Range. 25ft Sensing"/>
        <s v="3 Pack Ring V4 Battery For Ring Camera Doorbell Solar Floodligh 2/3/4/3 plus US"/>
        <s v="SimpliSafe Video Doorbell Camera Wi-Fi Wired Camera 1080p"/>
        <s v="eufy SoloCam S220 2K Solar Powered Wireless Outdoor Security Camera - 2 Pack"/>
        <s v="SimpliSafe 12-Piece Home Security System with HD Camera &amp; Smoke Detector SS-1501"/>
        <s v="Lot Of 10 Samsung SCC131A SCC130B SCC130A Digital Color Cameras - UNTESTED"/>
        <s v="Zmodo WiFi Camera Power adapter (5V / 2A)"/>
        <s v="Arlo Indoor Pan Tilt Camera Essential Vmc3073-100nas"/>
        <s v="Arlo Essential Security Camera 2K Outdoor 2ndGen Wireless with Spotlight. NEW"/>
        <s v="5x5 mm"/>
        <s v="Blink Add-On Sync Module 3"/>
        <s v="Panasonic WJ-ND400K NVR Security Camera  Recorder CCTV"/>
        <s v="New Sealed LED IR Illuminator Night Vision 850nm Infrared S-SA1-60-C-IR"/>
        <s v="SONOFF SNZB-05P Zigbee 3.0 Water Leak Detector IP67 Waterproof Remote Control"/>
        <s v="Plant Vase Case for Ring Indoor Cam - Cover Faux Nanny"/>
        <s v="8CH Home Security Camera System with 1TB HDD, 5MP Lite DVR, 1080P Indoor/Outdoor"/>
        <s v="Brand New SimpliSafe Outdoor Security Camera Series 2 (CM021) Fast Free Shipping"/>
        <s v="eufy Cam S300 3C 3-Cam Kit 4K Outdoor Camera Wireless Spotlight Bionicmind AI"/>
        <s v="VIVOSUN GrowCam C4 2K QHD WiFi Smart Camera Timelapse Night Vision Indoor Plants"/>
        <s v="Cartell CP4 Vehicle Sensor Kit Exit Wand 5 Wire  Exit Vehicle Detector - CP-5"/>
        <s v="JENNOV Security Camera System Outdoor Wireless Audio Wifi Home CCTV 5MP 10CH NVR"/>
        <s v="SolarCam 2K Wireless Outdoor Security Camera - Solar-Powered No Monthly Fees"/>
        <s v="Swann 2K HD Wire-Free Wireless Security camera System Battery Powered Record 8CH"/>
        <s v="SANNCE 4K 8CH NVR 3MP POE Security Camera System Two Way Audio Recording Outdoor"/>
        <s v="SANNCE HD 8CH 1080P Lite CCTV DVR TVI Video Recorder for Security Camera System"/>
        <s v="Axis M3115-LVE Outdoor Network Dome Camera - White"/>
        <s v="DVR9208 8 Channel Video Recorder - With 2 Hard Drives One Is 1.5TB"/>
        <s v="Lts Dvr Ltd8504t-st 3mp Hd-Tvi"/>
        <s v="ExacqVision IPS-2000-R2-L Exacq Network Digital Video Recorder"/>
        <s v="Personal Media Center-Mustek Pvr-h140 Voice Recoder, Photo Player, Movie Player"/>
        <s v="PSI PowerTec Solutions PS18L-U2 NXG-Vision MicroUPS 3.5 mm x 1.35 mm Jack"/>
        <s v="Arlo Wireless Pro 5S 2K Spotlight Security Cameras •3 Pack w/Solar Panel Sealed"/>
        <s v="SimpliSafe Home Security System Indoor Camera 8 Piece Kit New Sealed. Fast Ship"/>
        <s v="10M 33ft WiFi Antenna Extension Cable Cord for Wireless Security Camera RP-SMA"/>
        <s v="Security Camera Junction Box"/>
        <s v="Camera Junction Box Mount Bracket for Security Cameras - 10 Pack"/>
        <s v="ONVIF CCTV NVR 4 Channel Network DVR Video Recorder 1 TB"/>
        <s v="NEW No Box Lorex 4K 8MP IP Metal Dome PoE Wired Security Camera"/>
        <s v="ANNKE 8MP/5MP/1080P IR Night Vision Home Outdoor Security Camera for CCTV System"/>
        <s v="ANNKE 4MP Wireless PT Security IP Camera System Wifi Solar Battery Two Way Audio"/>
        <s v="SANNCE 16CH 5IN1 DVR 1080P Home Security Camera System Outdoor IR Night Vision"/>
        <s v="SANNCE 8MP POE Security IP Camera PTZ 20x Zoom Two Way Audio Color Night Vision"/>
        <s v="SANNCE 8CH 5IN1 5MP Lite DVR Digital Video Recorder For CCTV Security System"/>
        <s v="ANNKE 8CH 1080P H.265+ Security Camera System 3K Lite CCTV DVR Outdoor AI Kits"/>
        <s v="ANNKE 8MP 4K 6MP Full Color PoE Security Camera Dual Lens Two-Way Audio Outdoor"/>
        <s v="ANNKE 32CH 12MP NVR 4K Audio AI POE Security IP Camera System Color Night Vision"/>
        <s v="ANNKE H.265+ 8CH 16CH 12MP NVR 5MP Audio POE Security Camera System Color Night"/>
        <s v="ANNKE Wireless 4CH NVR 7&quot; Monitor 3MP Audio Security Camera System Two-Way Audio"/>
        <s v="ANNKE 3K Lite 8CH DVR 1080P CCTV Outdoor Night Vision Security Camera System AI"/>
        <s v="ANNKE 4K Ultra HD 5MP/8MP 8CH DVR Video CCTV Home Security Camera System Outdoor"/>
        <s v="ANNKE HD 1080P Outdoor 2MP TVI 4IN1 Security Camera EXIR Night fit for TVI DVR"/>
        <s v="ANNKE 6MP POE Security IP Camera Dual Lens Outdoor Color Night Two-Way Audio AI"/>
        <s v="ANNKE 5in1 8CH 3K Lite DVR 1080P TVI CCTV Security Camera System Outdoor Color"/>
        <s v="ANNKE 3K 8MP 4K 12MP Audio PoE IP Security Camera Outdoor Color Night Vision AI"/>
        <s v="4pcs 100ft Video Power Cable BNC RCA Cord Wire for CCTV Security Camera System"/>
        <s v="SANNCE 4x 100ft Video Power Cable BNC RCA Wire for Security Camera System XCL039"/>
        <s v="ANNKE Solar Battery Powered Wireless Security Camera System WiFiIP Outdoor Color"/>
        <s v="ANNKE H.265+ 3K Lite 8CH DVR 1080P CCTV Security Camera System Human Detection"/>
        <s v="ANNKE 4PCS 4K 8MP Security Camera Outdoor Color Night Vision for DVR CCTV System"/>
        <s v="ANNKE 5MP 8CH/16CH DVR Audio Security Camera System Outdoor Color Night Vision"/>
        <s v="ANNKE 4K 8MP PoE IP Security Camera PT Two Way Audio Outdoor Color Night Vision"/>
        <s v="ANNKE 5MP Home Security Camera Outdoor Color Night Vision Motion Digital WDR"/>
        <s v="ANNKE 10MP Wireless PTZ Security Camera Two-Way Audio Color Night Vision 12xzoom"/>
        <s v="ANNKE 16CH 5IN1 5MP-N DVR H.265+ Digital Video Recorder for CCTV Security Camera"/>
        <s v="ANNKE 8CH 4K 8MP 5IN1 HDMI DVR CCTV Security System Digtial Video Recorder"/>
        <s v="ANNKE 8CH Channel H.265+ 8MP Security NVR Recorder for 4MP/6MP/8MP POE IP Camera"/>
        <s v="ANNKE 8CH 6MP NVR 5MP Two Way Audio PoE Security Camera System Outdoor Color AI"/>
        <s v="ANNKE 12MP 16CH 8CH NVR 4K Audio PoE Security Camera System Color Night AI IP68"/>
        <s v="ANNKE 5MP Two Way Audio POE Security IP Camera System 8MP 8CH NVR Outdoor Color"/>
        <s v="ANNKE 5MP Audio POE IP Security Camera Color Night Vision IP67 AC500 AI Detect"/>
        <s v="ANNKE 12MP Audio PoE Security IP Camera AI Detection Outdoor Color Night Vision"/>
        <s v="ANNKE 12MP 8CH NVR 5MP Two Way Audio POE Security IP Camera System Color Night"/>
        <s v="ANNKE 8CH H.265+ 8MP NVR 5MP Color POE IP Security Camera System Audio CCTV AI"/>
        <s v="SANNCE 8CH 4K NVR 8MP Two Way Audio POE PT Security Camera System AI Detection"/>
        <s v="SANNCE 8CH 1080P Lite DVR 1080P CCTV Home Security Camera System Night Vision AI"/>
        <s v="SANNCE 3MP WIFI Security Camera System Outdoor Wireless Two Way Audio 16CH NVR"/>
        <s v="SANNCE 5MP Audio POE Security Camera System 4K 8CH NVR Outdoor Human Detection"/>
        <s v="SANNCE 1080P 4CH 8CH 5IN1 DVR Home Security Camera System Outdoor Night Vision"/>
        <s v="SANNCE Wireless 3MP Two Way Audio IP Security Camera System 8MP 16CH NVR WIFI AI"/>
        <s v="SANNCE 4CH/8CH/16CH 1080P Lite 5in1 DVR Recorder Video fr Security Camera System"/>
        <s v="SANNCE 8CH 8MP NVR 4K HD POE IP Home Video Recorder for Security Camera System"/>
        <s v="ANNKE 3K Lite 8CH DVR 1080P Video Security Camera System AI Human Detection CCTV"/>
        <s v="ANNKE 4MP Wireless Security Camera System Wifi Solar Battery Powered 2 Way Audio"/>
        <s v="ANNKE 8CH NVR 4K Audio POE Security Camera System Human Vehicle Detection Color"/>
        <s v="ANNKE 8CH 3K 1TB DVR 5MP Full Color Security Camera System 24/7 Audio Recording"/>
        <s v="ANNKE 4K/3K/5MP 16CH/32CH Digital Video Recorder 5in1 DVR for Security Camera"/>
        <s v="ANNKE 4K 8MP Audio POE IP Security Camera Outdoor IP67 Color Night Vision C801"/>
        <s v="ANNKE 5MP Wifi 8CH NVR 3MP Outdoor Wireless Security Camera System Two Way Audio"/>
        <s v="ANNKE 12MP 8CH NVR 4K Color Dual-Lens POE Security Camera System Two Way Audio"/>
        <s v="ANNKE 16CH DVR 5MP Audio Security Camera System Outdoor Color Night Vision H.266"/>
        <s v="ANNKE 8/16/32CH 1080P/5MP Lite 5in1 DVR Video Recorder For CCTV Security Camera"/>
        <s v="SANNCE 16CH 8MP NVR 4K Two Way Audio PoE PT Security Camera System Auto Tracking"/>
        <s v="ZOSI 3K Lite Security Camera System 8 Bullet Cameras 1TB"/>
        <s v="Lorex LNB4321-C 4MP HD IP IR Bullet Camera Untested"/>
        <s v="8MP 4K Window Camera,2.4GHz &amp; 5GHz WiFi Window Cameras for Home Security with Co"/>
        <s v="Arlo Rechargeable Battery VMA5400-10000S for Pro 3 Pro 4 Pro 5S 2K Ultra Genuine"/>
        <s v="Google Nest Cam IQ Outdoor A0055 &amp; NC4100US Camera Only Tested Replacement"/>
        <s v="Google NEST Cam IQ Indoor Smart 1080P HD Security Camera A0053 NC3100US Nice"/>
        <s v="SimpliSafe Original Generation (ES1000) Door/Window Entry Sensor - BRAND NEW"/>
        <s v="3 x Wi-Fi Smart Camera Full HD 1080p Motion Detector/Spay camera/Mini /Charge"/>
        <s v="5 x Wi-Fi Smart Camera Full HD 1080p Motion Detector/Spay camera/Mini /Charge"/>
        <s v="Nuvico Digital Video Recorder, ED-P400 - Untested"/>
        <s v="Mini Camera WiFi 1080P HD Home PIR DVR Camcorder Night Vision Home Security Cam"/>
        <s v="NEW HID iCLASS Smart Card 2100PGGMN Format H53536 (1 Card)"/>
        <s v="Reolink Go PT Ultra Outdoor 4G LTE Battery Solar Powered Security Camera PanTilt"/>
        <s v="Micro SDXC Class 10 TF Memory Card for Reolink Security Camera 64/128/256GB"/>
        <s v="Reolink 3W/6W/12W Solar Panel Non Stop Power for All Battery Security Cameras"/>
        <s v="Reolink 5MP POE Security Camera System 8CH NVR RLN8-410 2TB HDD Smart Detection"/>
        <s v="Reolink Duo 2 PoE 4K Security Camera System Outdoor Human/Vehicle/Pet Detection"/>
        <s v="Reolink RLC-510A 5MP PoE Security Camera Outdoor Human/Vehicle Detection 4PCS"/>
        <s v="Reolink  1224A 12MP PoE Security Camera Smart Color Night Vision Two-Way Audio"/>
        <s v="Reolink Argus 4 Pro + 6W Solar Panel 4K Security Camera 180° Blindspot-Free View"/>
        <s v="Reolink 5MP PoE Security Camera System 8CH 2TB HDD NVR 24/7 Video Recording"/>
        <s v="Reolink 5MP 16 Channel 4TB HDD NVR Outdoor PoE DIY CCTV Security Camera System"/>
        <s v="Reolink Elite WiFi 8MP 4K Dual-Lens Plug-in Security Camera Color Night Vision"/>
        <s v="Reolink E1 4MP 360° PT WiFi Security Camera Indoor Crying Detection AutoTracking"/>
        <s v="Reolink 16CH NVR Network Video Recorder for Security Camera System with 4TB HDD"/>
        <s v="Reolink Home Hub Wireless Security Center Encrypted Expandable Local Storage"/>
        <s v="Reolink Duo 3 WiFi 16MP WiFi 6 Security IP Camera Outdoor 180° Ultra-Wide Angle"/>
        <s v="Reolink Argus PT Ultra 4K 8MP Battery Solar Security Camera WiFi 360° Pan Tilt"/>
        <s v="Reolink 4K Battery WiFi Outdoor Security Camera Argus PT Ultra + 3W Solar Panel"/>
        <s v="Reolink Junction Box B10 for Security Camera 510A/810A/1212A/Duo 2 PoE/Duo 2wifi"/>
        <s v="5 NEW Northern Outdoor Cameras 3 Eyeball  DWMVFIR960 1 Bullet B6IROSD"/>
        <s v="Samsung Wisenet  8 Ir Bullet Cameras (Sdh-c75083bf) No Dvr Read DESCRIPTION"/>
        <s v="Sale  Mini 4G Wireless Wifi Camera 1080P HD +32GB memory card"/>
        <s v="2Pack 10Ft/3M Power Cord and Adapter for Blink Outdoor 4(4Th Gen)/(3Rd Gen)/Blin"/>
        <s v="ADT OC845 1080p Wireless Outdoor Security Camera | White Color"/>
        <s v="New Roku Video Doorbell and Chime SE Wired DS1000R - New/Sealed"/>
        <s v="Sistema De Seguridad 8 Camaras Para Exterior 4K Con Visión Nocturna 8CH 5MP CCTV"/>
        <s v="Verint S1816E 16-Port Video Network Server"/>
        <s v="Ring Floodlight Cam Pro Wired 2nd Gen (Newest Model) Retinal 4K - White"/>
        <s v="Solar Security Cameras Outdoor Wireless,4 Cam-Kit,2K 360° Pan &amp; Tilt NEW Openbox"/>
        <s v="Security Cameras Outdoor Wireless, 6Cam Kit, Solar Powered.360 Pan 5MP NEW(open"/>
        <s v="AOSU 2K Solar Security Cameras Wireless Outdoor, 4 Solar Camera for Home"/>
        <s v="Wireless Driveway Alarm Infrared Motion Sensor Home Garage Alert Security System"/>
        <s v="2Pack Dummy Fake Camera Surveillance Security CCTV Dome Indoor Outdoor LED Light"/>
        <s v="(Lot of 5) Vivint Smart Home Touchscreen Control Panel | VS-SH2000-C01"/>
        <s v="4-Pack Wireless 5G WiFi Security Camera System Smart Outdoor Night Vision 1080P"/>
        <s v="Guardline GL5000 Wireless Driveway Alarm Long Range Outdoor Motion Sensor System"/>
        <s v="4x Amcrest IP2M-866EW Optical Zoom Outdoor Vandal Security Camera | C275DS"/>
        <s v="Speco Technologies D4CS-500 Digital Video Recorder Security Surveillance Unit"/>
        <s v="EUFY BY ANKER T8E00 PoE CAM S4 BULLET PTZ CAM CAMERA 16MP TRIPLE  LENS -NEW!"/>
        <s v="Ring Wired Doorbell Pro 4K (Newest Model) | 3rd Gen | Sealed"/>
        <s v="Video Doorbell 1080p HD Camera WI-FI Night Vision Motion Detection Wireless"/>
        <s v="ARCCTV Solar Powered Wireless Battery Security Camera System Outdoor Home Wifi"/>
        <s v="Lorex DV704-DFS3 1080p HD MPX DVR 4 Channel Recorder 1TB Tested Works"/>
        <s v="Camera Mount Bracket for Tree, Pole, Wall, Siding for Ring Outdoor Cam Plus"/>
        <s v="CR-E Series Compact Embedded 4-Channel DVR CR4000E w/Azco Passive Video Balun"/>
        <s v="Lot Of 3 Luma Surveillance™ 310 Series Turret Analog Camera LUM-310-TUR-A-WH"/>
        <s v="AOSU Solar Camera Security Outdoor 360° Panoramic /Human Auto Tracking 2K View"/>
        <s v="Ring Floodlight Cam Plus Outdoor Camera 1080p Brand New Sealed Black"/>
        <s v="Blink XT Security Camera System - 2 Cameras + Sync Module Indoor &amp; Outdoor"/>
        <s v="⭐LOT For Tactacam Reveal Battery 7000mAh Compatible X Ultra/Pro 3.0/X Gen 2.1"/>
        <s v="Smart Mini Wireless WiFi Camera Home Security 1080P HD Night Cam"/>
        <s v="American Dynamics ADTVRLT16100 DVR"/>
        <s v="(5) Pack 6ft. DC Barrel Power 5.5mm x 2.1mm Extension Cable Male to Female"/>
        <s v="Wyze Cam v4 - 2.5K QHD Indoor/Outdoor WiFi Smart Security Camera"/>
        <s v="Solar Camera 4MP Wireless Outdoor Solar Battery Security Camera WiFi Smart Home"/>
        <s v="4MP Wireless Solar Battery Camera 4PCS Pan/Tilt WiFi Security Camera System"/>
        <s v="2PK Solar Camera 4MP Wireless Security Camera Outdoor Solar Battery Camera"/>
        <s v="Blink Video Doorbell (newest model) Required Sync Module not included"/>
        <s v="Lorex 4K Dual-Lens IP Camera with Smart Lighting &amp; Motion Detection E872SB"/>
        <s v="3 Pack Lorex H20 4K IP Wired Dual Lens Security Camera with Smart Lighting"/>
        <s v="Kastar Battery For WYZE Removable Battery Pack Battery Cam Pro 2K Video Camera"/>
        <s v="10CH 1TB HDD Monitor with Cameras 5MP Wired Security Camera System Wireless Kit"/>
        <s v="Invid Tech PD1B-16NH2 16Ch+ 8 Bonus IP CH Universal Port Recorder"/>
        <s v="Invid Tech Vis-P5bxir4lc Ip Camera, 4W, Color"/>
        <s v="4FT DC 5.5MM x 2.5MM Male and Female Plug to Bare Wire Open End Power Wire Suppl"/>
        <s v="Only For 2025 Nintendo Switch 2 4K HDMI Adapter Charger TV Docking Dock Station"/>
        <s v="Solar Panel Compatible with SimpliSafe Outdoor Security Camera, Waterproof 4W 5V"/>
        <s v="76 ft BNC Video Power Extension Cable for CCTV Security Camera DVR Black lot"/>
        <s v="AXIS COMMUNICATIONS Surveillance Card 128GB (01491-001)"/>
        <s v="HIK DS-1280ZJ-DM21, CB135, Junction Box Bracket For DS-2CD2347G1-LU Dome camera"/>
        <s v="3X 360° 1080P IP E27 Light Bulb Camera wifi IR Night SmartHome Wireless Security"/>
        <s v="（1ZP）VORGUT Wireless Security Camera System 10” LCD 2CAMS x 3MP PTZ NVR 500G HDD"/>
        <s v="256GB USB Flash Drive, Outlet Wall Mount Holder for Blink Sync Module 2 with Sho"/>
        <s v="2-pack Batteries + Dual Battery Charger for Arlo Pro Arlo Pro 2 Security Camera"/>
        <s v="V380 Q4 WiFi Smart Camera | Outdoor | Solar Panel (V380PRO) | Gray/Black"/>
        <s v="Cyber Home CH-DVR 1500 Good Working Condition!!! No Remote. Has Cord"/>
        <s v="RTSP 2MP IR Bullet IP Camera HD 8 pk Night Vision ONVIF POE Wired CNB LXC1050IR"/>
        <s v="16CH TVI DVR Model GAR336-16/A"/>
        <s v="Honeywell Home DT8035V DUAL TEC Motion Sensor, 40' 56' Range"/>
        <s v="ZOSI ZG2615E 5MP Add-on PoE IP Camera Bullet Camera IP66 Night Vision with Cable"/>
        <s v="ZOSI 2Pack C296 4K 8MP PoE IP PTZ Dome Security Camera Add-on Outdoor With Cable"/>
        <s v="ZOSI HD 720P Security Outdoor Wide Angle CCTV Bullet Camera 65ft IR Night Vision"/>
        <s v="ZOSI 4K 16CH NVR 5MP/8MP Security IP Camera System Waterproof AI Detect Audio"/>
        <s v="ZOSI C290 8MP Add-On PoE IP Pan/Tilt Security Camera Outdoor For 4K ZOSI PoE NVR"/>
        <s v="ZOSI H.265+ Security DVR 8CH AI Detect 1080p Record for CCTV Surveillance Camera"/>
        <s v="ZOSI 8CH 4K 5MP/8MP POE Security Camera System NVR CCTV Audio AI Detect IR Night"/>
        <s v="ZOSI 8CH/16CH 5MP/8MP POE IP Security Camera System 4K AI Face Detect NVR Audio"/>
        <s v="ZOSI 16 Channel H.265+ DVR Hard Drive 2TB 16 1080p Security Camera System"/>
        <s v="ZOSI 12V 2A Power Supply Adapter DC 1 to 4 Way Power Splitter Cable for Cameras"/>
        <s v="ZOSI 8CH 1080p H.265+ Security Camera System 5MP Lite CCTV DVR Outdoor HD IR Kit"/>
        <s v="ZOSI 5mp Lite 8CH DVR 1080p AI Security Camera System Outdoor H.265+ CCTV Kit"/>
        <s v="ZOSI 5MP Lite Home 8CH DVR 1080P H.265+ CCTV Security Camera System 1TB Outdoor"/>
        <s v="ZOSI 8CH 5MP DVR 1080P Pan/Tilt 360° Security Camera System Detect Night Vision"/>
        <s v="ZOSI 8CH 5MP 1080p Home Security Camera System Outdoor Lite DVR Hard Drive 2TB"/>
        <s v="ZOSI 16CH 5mp lite Surveillance Security Camera System DVR 1080P Outdoor Home"/>
        <s v="ZOSI H.265+ 8CH/16CH DVR for Security Camera System 1080P Recorder with HDD"/>
        <s v="ZOSI H.265+ AI 8CH/16CH DVR for Security Camera System 1080P Recorder with HDD"/>
        <s v="ZOSI 4MP WiFi Outdoor Security Camera 100ft Nigh tVision Spotlight Sound Alarm"/>
        <s v="Mini 1080P Camera Charger - Wireless Camera - No Wifi Tiny USB Charger Camera..."/>
        <s v="Ring Chime 3rd Gen Enhanced Audio Real-Time Alerts Home Security NEW In Box"/>
        <s v="Luma Lum-120-NVR-4ch 1TB HDD 4 Channel POE NVR- no power cord"/>
        <s v="ARCCTV 4MP WiFi6 Wireless Security Camera System Solar Powered Outdoor PTZ CCTV"/>
        <s v="Rain Shade Cover Compatible with Eufy SoloCam S340, Solar Security Camera"/>
        <s v="Paxvigo EBF810 -4K UHD Dual-Lens Panoramic Outdoor PoE Bullet IP Security Camera"/>
        <s v="WYZE 1080p HD Indoor Outdoor 2-Way Cam Starter Bundle Base Station and 1 Camera"/>
        <s v="Lorex LBV4711-C  4MP MPX IR BULLET CAMERAS 12V IN (10 AVAILABLE) SAFETY SECURITY"/>
        <s v="PRO-VISION PD-1800 Solid State HD DVR, 8 Channel, SD Card, LAN, USB, Black"/>
        <s v="Full HD 1080P 4K Cam Wireless WiFi Security Mini Micro Pinhole Screw DIY Cam DVR"/>
        <s v="4K Ultra HD Wireless 1080P Mini screw Module WIFI Pinhole DIY Camera DVR Cam USA"/>
        <s v="HTZSAFE  1/2 Mile  Solar Driveway Alarm System 1 Receiver + 1 Sensor"/>
        <s v="Htzsafe Solar Driveway Alarm System 1/4 Mile Long Transmission Range waterproof"/>
        <s v="HTZSAFE Owl Home Security Wireless Driveway Alarm 1 Receiver + 2 Sensors"/>
        <s v="HTZSAFE 1/2 Mile Solar Power Driveway Alarm System 1 Receiver + 3 Sensors"/>
        <s v="Speco N16NRP4TB 16 Channels 4K H.265 Network Recorder Built-In PoE UNTESTED"/>
        <s v="ALARM.COM XT-511-US-VZ-LTEUP LTE Module Verizon NEW Sealed Security Simon XT/XTI"/>
        <s v="Brigade MDR-504-1-G2-CMR 4 Channel Mobile Digital Recorder Gray + Wiring"/>
        <s v="Lorex 4K 8MP IP Wired Dual Camera Outdoor E871AB-Z - 180 deg view"/>
        <s v="Wyze WZEC3FL Outdoor Floodlight Security Camera 2600 Lumen White*FREE SHIPPING*"/>
        <s v="1080P Full HD USB Webcam For PC Desktop Laptop Web Camera With Microphone / FHD"/>
        <s v="Ls Gen 3 Ecm Engine Programming Control Module Reader Diagnostic Pcm Bench Harne"/>
        <s v="5 Pack Wireless 5G WiFi 1080P Security Camera System Smart Outdoor Night Vision"/>
        <s v="SONOFF CAM-B1P Outdoor Smart Security Camera 2K HD With AI Human Detection IP66"/>
        <s v="SONOFF Smart Human Presence Sensor Zigbee 3.0 Local Smart Scene Motion Detectors"/>
        <s v="8PCS 3MP HD Cameras ,Wireless WiFi Security Camera systen 10CH NVR+3TB harddrive"/>
        <s v="Genuine Rechargeable Battery Pack For Ring Video Door Bell 4, 3, 2 Quick Release"/>
        <s v="Wyze - 2k Smart Lightbulb WI-Fi Security Camera with Color Night Vision &amp; Dim..."/>
        <s v="RoHS 4Ch MPEG4 DVR Digital Recorder With Wide angle Lens Camera And Cabling."/>
        <s v="IC Realtime Digital Video Recorder AVR-1416-4M - 16 Channel System - Analog DVR"/>
        <s v="3 Pack Solar Power Fake Dummy Surveillance Security Camera CCTV &amp; Record Light"/>
        <s v="4X Solar Bullet Fake Dummy Surveillance Security Cameras CCTV &amp; Record Light"/>
        <s v="4 Pack IR Bullet Fake Dummy Surveillance Security Camera with Record Light-Black"/>
        <s v="AVIGILON 9W-H3-3MH-DP1 Outdoor Dome Camera"/>
        <s v="Swann DVR video recorder DVR8-4680 1TB HDD HDMI 8 channel DVR-4680 1080p"/>
        <s v="4 Pack Eufy SoloCam S230 2K Outdoor Solar Wireless Security Cameras Night Vision"/>
        <s v="Replacement Floodlight Wall Base for Google Nest Cam White GPLE9 Original"/>
        <s v="QOLSYS iQ4 iQP4 Panel 4 PowerG S-line GE LTE 319.5 MHz VERIZON LTE ALARM SYSTEM"/>
        <s v="Luma LUM-501-DVR-8CH 1TB 8 Channel Digital Video Recorder n372"/>
        <s v="Mobotix Q25 360 Degree IP Security Camera"/>
        <s v="GeoVision gv-vs04h 4-Channel Network PoE Video Server For Cameras - Powers On"/>
        <s v="5X SimpliSafe Indoor Camera Wi-Fi HD Security Camera SSCM1 &amp; Wall Charger W/cord"/>
        <s v="Aosu Solar-Powered Wireless Security Camera Kit SolarCam P1 Max System"/>
        <s v="New Opticom QS4-8 Color Quad Processor Module 8-Channel NTSC"/>
        <s v="ClearView Digital Video recorder Panther5-17"/>
        <s v="8ch NVR 4108-8P-4KS3  8POE"/>
        <s v="NEW Ring Outdoor Cam (Stick Up Cam) Weather-Resistant Outdoor Camera White"/>
        <s v="Hiseeu WIFI Solar Battery Outdoor 4MP HD Wireless Security Camera 2Way Audio"/>
        <s v="1~3PCS Hiseeu Solar Security Camera 4MP Wireless PTZ PIR Outdoor 8W Solar Panel"/>
        <s v="Hiseeu 3MP 16CH NVR Outdoor Wifi PTZ Audio IP Security Camera System 24/7 Record"/>
        <s v="2PCS Hiseeu WIFI Solar Battery Outdoor 4MP Wireless Security Camera 2-Way Audio"/>
        <s v="4PCS 4MP Bullet Security Camera 4CH POE NVR Outdoor System One-Way Audio NO HDD"/>
        <s v="Hiseeu 5MP Wireless Wifi Security Camera System 10CH NVR 10''LCD Monitor Lot"/>
        <s v="Hiseeu 4MP 10CH Wireless Wifi Solar Battery Security Camera System Human Detect"/>
        <s v="Hiseeu Wifi Security Camera System,16CH NVR,4PCS 3MP PTZ Camera,5G Wifi,500G HDD"/>
        <s v="Tyco Exacq 940-00122 RevB Input/Output Board"/>
        <s v="Tyco Exacq EXG100-00151 Rev A1 BNC Pane"/>
        <s v="Lot 10 Ecolink WST-232 Honeywell Compatible Wireless Door/Window Sensors 345 Mhz"/>
        <s v="75ft CCTV Surveillance Security Camera DVR Video Power BNC Cable Wire Cord Black"/>
        <s v="✅ Night Owl Camera 4K UHD 3840 x 2160 Wired Spotlight CM-DP8LSA-B DP8 NEW ✅"/>
        <s v="✅ Wyze Cam Floodlight Pro 3000 Lumen LEDs 180° Wide View 2K HD Outdoor  ✅"/>
        <s v="Lorex Fusion 4K 16 Bullet Camera Capable 2TB Wired NVR System with 6 Cameras"/>
        <s v="GE Interlogix TX-1510-01-1 Wireless DesignLine Recessed Door/Window Sensor New!"/>
        <s v="ANRAN Solar Battery Powered Wireless Security Camera System Outdoor Home Wifi IP"/>
        <s v="1/2/3/4 Security Wall Mount Holder Outdoor/Indoor for Wyze Cam Pan Camera System"/>
        <s v="Kamtron Wireless IP Security Camera In White - Brand New In Box"/>
        <s v="eufy Floodlight Camera E340 Security Camera 3K Dual Camera Color Night Vision"/>
        <s v="eufy 2K Smart Security Camera Indoor Cam C220 AI Motion Track NightVision|Refurb"/>
        <s v="eufy Indoor Cam C210 Home Security Camera 1080P 360° PTZ Night Vision |Refurbish"/>
        <s v="eufy Security Baby Monitor E21 with 4K UHD Camera, 5'' 720p Display 8X Zoom 24/8"/>
        <s v="eufy 2K Outdoor Solar Security Cameras (SoloCam S230) Spotlight Cam Night Vision"/>
        <s v="eufy eufyCam S4 Security Solar Camera Wireless Outdoor 4K UHD Color 360 Pan/Tilt"/>
        <s v="eufy SoloCam S340 Solar Wireless Outdoor Camera 4-Cam Kit 360° Pan &amp; Tilt Wi-Fi"/>
        <s v="eufy SoloCam E42 4K HD Security Camera Wireless Outdoor Solar Powered AI Motion"/>
        <s v="eufy 2K Security Indoor Camera Wi-Fi Webcam Motion Tracking 2-Way Audio |Refurb"/>
        <s v="eufy S220 SoloCam Solar Security Camera 2K Wireless Outdoor Cam 2-Cam |Refurbish"/>
        <s v="eufy Security Floodlight Camera E30 2K HD Outdoor Cam 360° P&amp;T AI Detect|Refurb"/>
        <s v="eufy Security 4G LTE Cam S330 4K Cellular Solar Wireless Security Cameras|Refurb"/>
        <s v="eufy S220 SoloCam 2K Solar Security Camera Wireless Outdoor Camera Wi-Fi 4-Cam"/>
        <s v="eufy Security eufyCam S3 Pro Add-on Camera with Solar Panel, Outdoor Wireless 4K"/>
        <s v="eufy SoloCam E30 2-Cam Kit 2K Solar Camera Outdoor Wireless 360° Pan AI Tracking"/>
        <s v="eufy 2K Plug-in Security Indoor Camera Wi-Fi IP Cam Pet AI Night Vision|Refurb"/>
        <s v="eufy Security eufyCam E330 4K Outdoor Security Camera System with 1TB HDD|Refurb"/>
        <s v="eufy eufyCam S3 Pro Solar Camera Security System 4K MaxColor Night Vision|Refurb"/>
        <s v="eufy eufyCam 3 Wireless 4K Solar Powered Security Camera System 5-Cam Kit|Refurb"/>
        <s v="eufy eufyCam 2C Wireless Home Security System+ Solar Panel 1080P Outdoor Cameras"/>
        <s v="eufy Entry Sensor Send Alert Triggers Siren for Doors Windows Detects|Refurb"/>
        <s v="eufy Security Garage Door Sensor Add-On for Garage-Control Cam and Cam Plus"/>
        <s v="eufy Home Alarm System Motion Sensor 30ft Detect Adjustable Sensor|Refurb"/>
        <s v="eufy S220 SoloCam Solar Security Camera 2K Wi-Fi Wireless Outdoor |Refurb"/>
        <s v="eufy E220 Indoor Security Camera 3MP Wi-Fi Baby Pet Monitor Night Vision|Refurb"/>
        <s v="eufy SoloCam E42 HD 4K Solar Wireless Security Camera Outdoor Strobe Light AI"/>
        <s v="eufy SoloCam S3 Solar Wireless Security Camera 360°PTZ 3K Dual-Cam Night Vision"/>
        <s v="eufy PoE Bullet-PTZ Cam S4 NVR Wired Add On Cam NVR 4K UHD Triple|Refurb"/>
        <s v="eufy SoloCam S220 Wireless Home Security System 2K Outdoor Cameras Solar Powered"/>
        <s v="eufy PoE NVR Security System S4 Max 8CH 16MP Triple Lens Camera 360°PTZ |Refurb"/>
        <s v="eufy Security SoloCam E30, 4-Cam Kit Solar Security Cameras Wireless Outdoor360°"/>
        <s v="eufy 2K Solar Security Cameras Wireless Outdoor Spotlight SoloCam S230 (2Pack)"/>
        <s v="eufy eufyCam 3 Security Camera System 4K Outdoor Wireless Camera w/ Solar Panel"/>
        <s v="eufy SoloCam S340 Outdoor Solar Security Camera 3K Dual-Camera Pan&amp;Tilt 8xZoom"/>
        <s v="9 Channel H.265+ 5MP Lite DVR HD 1080p Recorder for Security Camera System"/>
        <s v="17 Channel Security Recorder DVR for 5MP Hybrid AHD/TVI/CVI/CVBS/IP Analog Cam"/>
        <s v="Technicolor 212 Video Recorder Untested for Parts - A2001"/>
        <s v="4 Lens 12MP Solar Battery Home Security Camera Outdoor Wifi Wireless PTZ CCTV US"/>
        <s v="AXIS T94S01P Conduit Back Box"/>
        <s v="Wireless Mini Wifi Security Camera with Night Vision Motion Detection Rechargeab"/>
        <s v="LOT OF 10 Watch Guard 4RE-DVR NO KEY WGA00480-601 HDDs Removed MISSING PARTS"/>
        <s v="Network Video Recorder Model: HS-N608-Q1/8P"/>
        <s v="11 Rare Earth Magnets Door Window Alarm White Security System"/>
        <s v="Logitech Circle 2 Indoor/Outdoor 1080p Wi-Fi Home Wired Security Camera White"/>
        <s v="Security Camera Wireless System Audio Home CCTV 5MP HD 10CH NVR Outdoor Wifi IR"/>
        <s v="RG59 Black 1000ft Bulk Siamese Cable 20AWG+18/2 CCTV Security Camera Wire Ntwork"/>
        <s v="AOMG H.264 Network Video Recorder NVR 8 CH"/>
        <s v="1080P Mini Camera WiFi HD IP Night Vision Camcorder Home Security Video Audio"/>
        <s v="Google Nest Cam Security Camera Outdoor Wired Cam NC2100ES 1080P Night Vision"/>
        <s v="DC 12V 5A Power Supply Adapter +8 Split Power Cable for CCTV Security Camera DVR"/>
        <s v="Arlo Ultra 2 Outdoor Camera 4K HDR 3 Camera and 3 Black Solar Panels Kit"/>
        <s v="LTD8416M-ST 34CH of 16CH TVI/AHD/CVI/CVBS Upto 8MP+18Ch IP Upto 12MP 4 SATA DVR"/>
        <s v="Wireless WIFI IP Mini Smallest DIY Buttons Camera HD 1080P -Micro Video Recorder"/>
        <s v="Arlo Pro 2 HD 1080 Add-on Camera VMC4030P NO Battery FREE SHIPPING read"/>
        <s v="Ring Floodlight Cam Wired Pro w/ Bird’s Eye View and 3D Motion Detect"/>
        <s v="Ring Video Doorbell 1080p HD Camera WI-FI Night Vision Motion Detection Wireless"/>
        <s v="Wifi and 3/4G GSM Home Burglar Security Alarm System Auto Dial with Smart Life a"/>
        <s v="Arlo Ultra 3 UHD 4K Wire-Free Add-on Security Camera - VMC5050-100NAS Mag Mount"/>
        <s v="Bosch DVR-16L-200A Security DVR"/>
        <s v="Sibell Network Video Recorder NVR-SB32-16P L-439S"/>
        <s v="Arlo Security Cameras,  4 Camera Outdoor with Solar Panels, 2K - VMK3451"/>
        <s v="Axis M3058-PLVE Indoor/Outdoor Network Security Camera | ig"/>
        <s v="ED9632H5NV-16P-AN 32CH IP 12MP 20fps 192Mbps 16Port PoE Ai 2xLAN 2xHDMI NDAA NVR"/>
        <s v="LUMA Surveillance Network Video Recorder LUM-510-NVR-4CH-1T"/>
        <s v="Mini APP WiFi Camera 1080P HD Motion Detection Home Security Audio Video Cam"/>
        <s v="All-New Blink Outdoor 4 (4Th Gen) Camera Mount, Weatherproof Protective Housing"/>
        <s v="11 Pcs DC Power Supply Female Jack Socket 5.5 x 2.1mm Barrel-Type PCB Mount"/>
        <s v="ANNKE 16CH 8CH 3K 5MP Lite H.265+ DVR CCTV Security Video Recorder AI Detection"/>
        <s v="ANNKE 5MP Video CCTV Security Camera Outdoor Color Night Vision Audio Recording"/>
        <s v="ANNKE 1080P CCTV Security Camera System 5MP Lite 8CH DVR Outdoor AI Color Night"/>
        <s v="ANNKE 8CH 4K 8MP 5IN1 H.265+ DVR Video Recorder for CCTV Security Camera System"/>
        <s v="ANNKE HD 8CH 4K NVR POE IP Network 8MP Video Recorder for Security Camera System"/>
        <s v="ANNKE 4x 5MP CCTV Security Camera Outdoor AI Color Night Vision Audio Recording"/>
        <s v="ANNKE 8CH DVR 5MP Audio Security Camera System Human Detection Color Night IP68"/>
        <s v="ANNKE 4K Dual Lens 180° View AI Color Night PoE Security IP Camera Two-Way Audio"/>
        <s v="ANNKE 1080P CCTV Security Camera System 8CH 5MP Lite DVR Outdoor AI Color Night"/>
        <s v="SANNCE 4IN1 HD 1080P Night Vision Outdoor CCTV Security Camera Home Surveillance"/>
        <s v="ARCCTV Home Security System HD Camera Kit - Solar Powered Model C3 Pro"/>
        <s v="ARCCTV Outdoor 360° PTZ Solar Security Camera System Battery Wireless 4MP Home"/>
        <s v="5 X 100Ft Video&amp;Power Cable for Night Owl HD CCTV Security Camera Wire Cord"/>
        <s v="Spare Battery for AllSecure650 &amp; AllSecure600 Kits &amp; Cameras SONVW-600BATT"/>
        <s v="16ft DC Power Extension Cable Cord 5.5x2.1mm 16 feet/5M for CCTV Camera DVR BLK"/>
        <s v="Google Nest Camera Charging Cable With A/C Block (Original/Genuine) 3FT."/>
        <s v="New Sight Bulb WiFi Smart Camera &amp; Light Pro, 75W Equivalent LED Light"/>
        <s v="SONOFF CAM PT2 Wifi Smart Home Security Camera Night Vision 360° Panoramic View"/>
        <s v="Optex White BX Shield 80FT Boundary Outdoor Detector PIR Anti-Masking BXS-RAM-W"/>
        <s v="Visonic Powermaster 10 G2 Spanish Kit, NEXT K9-85 PG2, MC-302, KF-234 915 Mhz"/>
        <s v="Solar Security Camera System Wireless Outdoor Dual-Lens Dual PIR Detect NVR Set"/>
        <s v="Indoor WiFi Security Camera 360° Motion Alert Two-Way Audio"/>
        <s v="Wireless 5G WiFi Security Camera System Smart Outdoor Night Vision 1080P"/>
        <s v="4MP WDR PoE Network Dome Camera - DS-2CD2142FWD-I 2.8mm"/>
        <s v="NVR Wi‑Fi Module, Only for  Poe NVR System, Supports up to 16  Wi-Fi Cameras, Vi"/>
        <s v="2pcs New PIR Motion Sensor Switch infrared wall mount switch AC 110-240V"/>
        <s v="Eyemax Magic Series 16‑CH DVR CCTV – Channel 5 Fault, All Others Fully Working"/>
        <s v="ZOSI H.264 HD 720P DVR Security System with Adapter"/>
        <s v="Verkada Wall Pole Mount Bracket For Dome Bullet Security Cameras ACC‑MNT‑XLARM‑2"/>
        <s v="2-Pack Blink Outdoor Camera 4th Gen Rain Canopy Hood Latest Cover Hood"/>
        <s v="Pool Patrol PA-30 Pool Alarm Certified ASTM Safety Specification F2209"/>
        <s v="Lot 4K 8MP PoE IP Camera Weatherproof Security Camera Color Night Vision Audio"/>
        <s v="JENNOV 10&quot;LCD 10CH 5MP NVR WiFi IP Outdoor Wireless Security Camera System CCTV"/>
        <s v="4-Pack Wireless 2.4G WiFi Security Camera System Smart Outdoor Night Vision 3MP"/>
        <s v="5MP Outdoor Wireless Security Camera System Home WiFi 10CH NVR Night Vision 30m"/>
        <s v="Security Camera System Outdoor Wireless 5MP NVR WIFI Two Way Audio Night Vision"/>
        <s v="8MP 20x Optical Zoom Night Vision POE IP PTZ Security Camera 2-Way Audio IR IP67"/>
        <s v="GeoVision USAVISION Outdoor PoE Network Mini Security Camera 4MP IR (0-LUX) IP68"/>
        <s v="BZBGEAR 1080P FHD 20X HDMI/3G-SDI/NDI/RS232/485/POE Live Streaming PTZ Camera"/>
        <s v="LTS LTD8504K-ST 4CH 5MP H.265+ HD-TVI"/>
        <s v="QOLSYS iQ4 iQP4001 WIRELESS ALARM SYSTEM ALARM.COM VERIZON LTE INTERLOGIX 319 N"/>
        <s v="QOLSYS iQ2+ HONEYWELL 2GIG POWER G WIRELESS SYS ALARM.COM VERIZON LTE QS9201-5 U"/>
        <s v="Blink Mini / Mini 2 / Mini 2K+ Security Camera – 1080p/2K, Night Vision."/>
        <s v="5 Pack IR Bullet Dummy Fake Surveillance Security Camera CCTV with Record Light"/>
        <s v="HD 1080P Mini Camera Portable Micro Cam Pocket Video Recorder Motion Detection"/>
        <s v="Ring Floodlight Cam Pro 4K (Newest Model) Wired | 2nd gen | Sealed | White"/>
        <s v="SANNCE 16CH 4K POE Security NVR 8MP Video Recorder For Camera System IP Network"/>
        <s v="SANNCE 5in1 8CH 1080P Lite TVI DVR Video Recorder for CCTV Security System 1TB"/>
        <s v="amazon ring indoor camera window mount (MOUNT ONLY)"/>
        <s v="Ubiquiti UniFi Protect G4 Dome PoE Camera (UVC-G4-Dome)"/>
        <s v="Ubiquiti UNVR-Instant Network Video Recorder (Non-Kit Version)"/>
        <s v="verint edgevr 201"/>
        <s v="Faceplate for Ring Generation Gen 2 doorbell cover - pick a colour!"/>
        <s v="Hiseeu 4K 8MP 10CH 10&quot; Touch Screen NVR Security Camera System 1TB HDD EseeCloud"/>
        <s v="Hiseeu 2K Solar Battery Powered Wireless WIFI Security Camera System Outdoor lot"/>
        <s v="Hiseeu 5MP 10CH NVR Wireless Wifi Security Camera System Kit For Home Outdoor"/>
        <s v="Hiseeu 10&quot;LCD 10CH NVR WIFI IP Wireless Security Camera System Outdoor 1TB HDD"/>
        <s v="5MP Outdoor WIFI Security Camera For Hiseeu 8CH Wireless Security Camera System"/>
        <s v="2PCS/Lot Hiseeu Wifi Solar Security Camera 2.4G/5GWiFi For Home Security Use"/>
        <s v="1~4PCS Hiseeu 3MP PTZ Security Camera 5G Wifi Night Vision Auto Track 24/7Record"/>
        <s v="20-Pack BNC to RJ45 Balun Transceiver | CCTV Video &amp; Power over CAT5e/7"/>
        <s v="Ring Spotlight Cam Plus / Battery Outdoor Camera Pack of 2 *New In Box*"/>
        <s v="Zmodo Wi-Fi Camera Power adapter Cord"/>
        <s v="5 Channel NVR  (to use as repeater)"/>
        <s v="Zmodo 8 Channel Network Video Recorder with 500GB hard driver (Black version)"/>
        <s v="4MP PoE IP Vandal Bullet Camera IR Mode Outdoor/Indoor Metal Housing 2.8mm"/>
        <s v="4K 8MP Dual Lens POE IP Camera 180° Panoramic Color Night Vision Metal Housing"/>
        <s v="5MP Dome TVI AHD CCTV 4IN1 Security Camera 65ft Night Vision Metal Housing 2.8mm"/>
        <s v="2MP 180° Panoramic Fisheye Dome TVI 4IN1 CCTV Security Camera Metal Housing"/>
        <s v="2MP Dome TVI AHD CCTV 4IN1 Security Camera 65ft Night Vision Metal Housing 2.8mm"/>
        <s v="4K 8MP PoE IP Vandal Dome Camera IR Mode Outdoor/Indoor Metal Housing 2.8mm"/>
        <s v="8MP PoE IP B&amp;R Strobe Light Full Color Night Vision Camera Metal Housing 2.8mm"/>
        <s v="Ring Outdoor Camera Battery Smart Security Camera with 2-Way Talk"/>
        <s v="Ring Pan-Tilt Indoor Camera 360° HD Video Two-Way Talk"/>
        <s v="New Ring Floodlight Cam Pro Wired 2nd Gen (Newest Model) Retinal 4K - Black"/>
        <s v="Genuine Battery A-4a For Arlo Ultra, Arlo Pro 3, 4, 5, 5s Security Camera"/>
        <s v="3 Pack Rechargeable Battery A-1 for Arlo Pro 2 Camera VMA4400 VMS4230 VMC4030P"/>
        <s v="Genuine New Extra Battery for ARLO PRO 2 Security Camera VMA4400 VMS4230 VCS4501"/>
        <s v="2x Genuine Battery V4 For Ring Battery Doorbell Plus/Pro, Video Doorbell 2/3/5"/>
        <s v="Genuine Battery for Ring Video Doorbell 2/3/4, Spotlight/Peephole/Stick Up Cam"/>
        <s v="Arlo Essential Indoor Pan Tilt Security Camera 2K (2025 Release) -2 Cam Set NEW"/>
        <s v="17 Gauge Heavy Duty DVR/NVR Security Lock Box with Cooling Fan -21 x 21 x 8 In"/>
        <s v="FyuuI Wireless Security NVR 8CH CCTV Recorder HDMI VGA No HDD Included"/>
        <s v="AXIS P5534 60HZ"/>
        <s v="ADATA 10 inch Display with 4 channel dvr"/>
        <s v="Mobotix MX-OPT-RS1-EXT Weatherproof RS232 I/O Interface Box NEW OPEN BOX"/>
        <s v="Wireless WIFI Camera Home Security System Outdoor CCTV 5MP 10CH 1TB NVR Lot"/>
        <s v="Bosch NIN-63023-A3-A Flexidome IP Starlight 6000 Dome 2MP HDR Security Camera"/>
        <s v="Verint BA-EM8-1000R-POE Network Video Recorder"/>
        <s v="American Dynamics ADHD32060A Hybrid Digital Video Recorder"/>
        <s v="Mier BW-FC242410-QT NEMA Type 3R Outdoor Polycarbonate Enclosure"/>
        <s v="Verint BA-16-8000R EdgeVR 300 Network Video Recorder (NVR)"/>
        <s v="Verint R250S-16-4000R Analog/IP Network Video Recorder"/>
        <s v="Mikrotik Cloud Router Switch CRS326-24G-2S+RM"/>
        <s v="BNC Female to BNC Female Coax Cable Connector Coupler Adapter Multi-Pack LOT"/>
        <s v="BNC Male to F-Type Female Coaxial Cable Adapter Converter Connector Multi LOT"/>
        <s v="DC Power Pigtail Cable Plug 18AWG 2.1mm x 5.5mm 12V 5A Female Connector Pack Lot"/>
        <s v="DC Power Pigtail Cable Plug 18AWG 2.1mm x 5.5mm 12V 5A Male &amp; Female Pack Lot"/>
        <s v="Security Camera Cable BNC Extension Power Cord CCTV Surveillance DVR Wire - lot"/>
        <s v="DC Power Connector 2.1 x 5.5mm BNC RCA Male /Female CCTV Video Balun Adapter LOT"/>
        <s v="Burglar Security ALARM Cable 500ft 1000ft UTP 18/2 18/4 22/2 22/4 Stranded Solid"/>
        <s v="ADT OC845 1080p Wireless Security Camera | White Color | Outdoor"/>
        <s v="CCTV BNC Video Power Extension Cable For Security Camera DVR System HD"/>
        <s v="3X Blink XT/2 In/Outdoor Camera Wall Mount Bracket Protective Adjustable Holder"/>
        <s v="Blink Video Doorbell 4&quot; - 5&quot; Vinyl Siding Mounts"/>
        <s v="Google Nest Doorbell (Battery) Replacement Mounting Bracket / Wall Mount"/>
        <s v="Ubiquiti UniFi G5/G6 PTZ Camera Corner Mount"/>
        <s v="Arm Mounts for Ubiquiti UniFi Protect G5/G6 Turret Cameras"/>
        <s v="ANNKE 1080P Home Security Camera System 3K Lite 8CH DVR Outdoor Color Night AI"/>
        <s v="ANNKE 16CH 3K Lite 5in1 DVR 1080P CCTV Security Camera System Color Night Vision"/>
        <s v="ANNKE 4K 8MP 5MP 1080P Video Outdoor Security Camera Night Vision for DVR Kits"/>
        <s v="ANNKE 5MP Audio POE Security Camera System 8CH/16CH 12MP NVR Outdoor Color Night"/>
        <s v="ANNKE 16CH 8CH 3K 5MP Lite H.265+ 5IN1 DVR CCTV Security Video Recorder AI Alert"/>
        <s v="ANNKE 5MP Audio CCTV Security Camera Outdoor Color Night Vision Human Detection"/>
        <s v="ANNKE 3K Lite 8CH DVR CCTV 1080P Security Camera System Human Detection IP67 1TB"/>
        <s v="ANNKE 8CH 3K Lite H.265+ DVR Recorder For Surveillance Security Camera System"/>
        <s v="ANNKE 12MP 8CH NVR 4K 8MP PoE Security Camera System Outdoor Color Night Vision"/>
        <s v="Ring Floodlight Cam Wired Outdoor Security Camera Lot of 7 Units, For Parts Only"/>
        <s v="Ring Wall Mount for Cameras and Solar Panels -White"/>
        <s v="Floodlight Cam Pro with 2K Video and Ring Vision, 2 LED Lights, Dual Band Wi-Fi"/>
        <s v="Ring - Stick Up Cam PRO Plug In Indoor/Outdoor Security Camera with 3D Motion"/>
        <s v="Hybrid 16CH DVR for TVI, AHD, CVI, CVBS &amp;  Cameras"/>
        <s v="ROLA Mini Companion Robot with Camera | AI Smart Pet Interactive Home Assistant"/>
        <s v="3 Pack Wireless 5G WiFi Security Camera System Smart Outdoor Night Vision 1080P"/>
        <s v="EDISHINE 240 Degree Motion Sensor,  Motion Sensor for Security Floodlight, Brown"/>
        <s v="EDISHINE Motion Sensor, Automatic Dusk to Dawn, 180 Degree Replacement Brown"/>
        <s v="101 PCS Nylon Universal Cable Tie Buckle，Heavy Duty Self-Locking Zip Ties Holder"/>
        <s v="Vikylin 4K 8MP 40X 18X PTZ 360° IP Camera IR POE Mic Auto Tracking Outdoor NDAA"/>
        <s v="Vikylin 4K 8MP 5MP 40X 18X PTZ 360° IP Camera POE Mic Auto Tracking Outdoor CCTV"/>
        <s v="Vikylin 4K 8MP 25X PTZ 360 degree POE IP Camera Outdoor IR Audio Auto Tracking"/>
        <s v="Ring Stick Up Cam Battery - Indoor/Outdoor Smart Security Camera, Black New*"/>
        <s v="Guardline 500 Foot Range Wireless Driveway Alarm System (1 Sensor 1 Receiver)"/>
        <s v="Amcrest HD 1.3-Megapixel 4Ch Network POE Video Security System NEW!"/>
        <s v="Amcrest 4K 8-Channel POE NVR Supports up to 6TB HDD NV2108E-HS"/>
        <s v="AMCREST HD-LITE 8 CHANNEL VIDEO SECURITY RECORDER UP TO 6TB Capacity AMDVTENL8H6"/>
        <s v="Night Owl 10 Channel 4K Wi-Fi NVR 1TB Drive WNVR-BTWN8-V2- New Open Box w/Acc."/>
        <s v="3D Aluminum 3 Position Selector Safety Cam for Kriss Vector RATL-R"/>
        <s v="ANRAN 8CH NVR 5MP Wifi Outdoor Security Camera System Wireless 2TB Night Vision"/>
        <s v="ANRAN Home Outdoor Wireless Security WiFi Camera System CCTV 5MP HD NVR 2TB HDD"/>
        <s v="ANRAN 4G LTE Cellular Solar Battery Security Camera Outdoor Wireless Home IP66"/>
        <s v="ARCCTV Solar Battery Powered Wireless Security Camera System WiFiIP Outdoor Home"/>
        <s v="Genuine New Extra Battery A-1 for ARLO PRO 2 Security Camera"/>
        <s v="64GB Mini Camera Video Camera Car Key HD 1080P Portable Video Sound Recording-"/>
        <s v="KJB Professional Digital DD1206 RF WiFi GSM Bug Detector Counter Surveillance"/>
        <s v="Arlo Essential,Security,Camera,Wall Clips,Mount,(3)pack .comes With Screws"/>
        <s v="Arlo Pro 4 VMC4041P Spotlight Indoor/Outdoor Camera Black (Set of 4)"/>
        <s v="Arlo Pro 4 VMC4041P Spotlight Indoor/Outdoor Camera White(Set of 4)"/>
        <s v="Pack of 2 Arlo Pro 4 VMC4041P Spotlight Camera NO Battery/ NO Housing"/>
        <s v="Arlo Protected Smart Security Yard Sign (254-50153-01)"/>
        <s v="Blink Outdoor 4 Floodlight Wireless Security Camera, Black"/>
        <s v="Eufy S330 eufyCam 3 Solar Power Wire-Free Security Add-On Camera (T8160)"/>
        <s v="Eufy Security S380 HomeBase T8030 (Power supply + LAN)"/>
        <s v="Ring 5UM7E5 Stick Up Cam Security Camera - White (No Battery &amp; Mounting Plate)"/>
        <s v="3-pack Genuine OEM A-4a Batteries for Arlo Ultra Ultra 2, Arlo Pro 3, Arlo Pro 5"/>
        <s v="NEW Alarm.com ADC-VC838PF IP67 4MP Turret PoE Security Camera - Varifocal Lens"/>
        <s v="Visonic MCT-302 SMA Wireless Door/Window Contact - Brand New"/>
        <s v="Hanwha PNM-9084QZ1 8MP (2MP x 4) Multi-Sensor, Multi-Directional PTRZ Camera"/>
        <s v="Bolide SVR9516H 16-Channel H.265 5MP HD Over Coax/IP Hybrid DVR USED W/ 2 TB HDD"/>
        <s v="Seon Design Hard Drive TL-H250G 250G for use in Trooper TL4 TL-4 DVR School Bus"/>
        <s v="Seon Trooper TL4 DVR Surveillance System With 5 CQ903A Cameras &amp; Wiring Bus CCTV"/>
        <s v="Smart Wireless WiFi Video Doorbell Phone Door Ring Intercom Security Camera Bell"/>
        <s v="VIKYLIN 4K 8MP 5X Zoom IR POE Dome PTZ IP Camera Two-Way Audio w/bracket Outdoor"/>
        <s v="Ring Alarm Wireless Home Security Kit 5-Piece System - (1st Gen)"/>
        <s v="Unifi Ubiquiti Black Camera Standard Junction Box UACC-Camera-JB-B - Free Ship!"/>
      </sharedItems>
    </cacheField>
    <cacheField name="brand2" numFmtId="0">
      <sharedItems count="205">
        <s v="Lorex"/>
        <s v="Chargio"/>
        <s v="Unknown"/>
        <s v="YI"/>
        <s v="Simplisafe"/>
        <s v="Amcrest"/>
        <s v="Geovision"/>
        <s v="Verint"/>
        <s v="Ring"/>
        <s v="Blink"/>
        <s v="Smartsecurity"/>
        <s v="Sony"/>
        <s v="Eufy"/>
        <s v="Rca"/>
        <s v="Tvt  Manufacture"/>
        <s v="Voltky"/>
        <s v="Electro-Store4U"/>
        <s v="Gmox"/>
        <s v="Elexa"/>
        <s v="Arlo"/>
        <s v="Wuloo"/>
        <s v="Annke"/>
        <s v="Sannce"/>
        <s v="Maximalpower"/>
        <s v="Aosu"/>
        <s v="Haivision"/>
        <s v="Night Owl"/>
        <s v="Hiseeu"/>
        <s v="Vivotek"/>
        <s v="Luma"/>
        <s v="Besttechtrading"/>
        <s v="Avertx"/>
        <s v="Luc"/>
        <s v="Westgate"/>
        <s v="Proimage"/>
        <s v="Wyze"/>
        <s v="Qd-Gotrays"/>
        <s v="Hixon"/>
        <s v="Hoovy"/>
        <s v="Amazon"/>
        <s v="Chamberlain"/>
        <s v="Unbranded/Generic"/>
        <s v="Netvue"/>
        <s v="Jytrend"/>
        <s v="Kratax"/>
        <s v="Digital Watchdog"/>
        <s v="Ic Realtime"/>
        <s v="Jaiho"/>
        <s v="Nuuo"/>
        <s v="Gyration"/>
        <s v="Htzsafe"/>
        <s v="Skyworth"/>
        <s v="Herphia"/>
        <s v="Htwon"/>
        <s v="Invid Tech"/>
        <s v="Bosch"/>
        <s v="Cable-Zilla"/>
        <s v="Tapo"/>
        <s v="Panasonic"/>
        <s v="Floureon"/>
        <s v="Aimhduty"/>
        <s v="Mm Electronicles"/>
        <s v="Adc"/>
        <s v="Onvis"/>
        <s v="Flir"/>
        <s v="Google Nest"/>
        <s v="Flux"/>
        <s v="Cinnado"/>
        <s v="The Perfect Part"/>
        <s v="Arcctv"/>
        <s v="Onvif"/>
        <s v="Xvim"/>
        <s v="Woolink"/>
        <s v="Xvim/Woolink"/>
        <s v="Interlogix"/>
        <s v="Iegeek"/>
        <s v="Swann"/>
        <s v="Pelco"/>
        <s v="The Platinum Tools"/>
        <s v="Openeye"/>
        <s v="Toughdog"/>
        <s v="Wasserstein"/>
        <s v="Jacobsparts"/>
        <s v="Tqthl"/>
        <s v="Speco"/>
        <s v="Reolink"/>
        <s v="Generic"/>
        <s v="Navitroey"/>
        <s v="Anran"/>
        <s v="Dsc"/>
        <s v="Ubiquiti Networks"/>
        <s v="Avc Security Systems"/>
        <s v="3Vr Identiv"/>
        <s v="Maxlinear"/>
        <s v="Knight"/>
        <s v="Jennov"/>
        <s v="Camoon"/>
        <s v="Astak"/>
        <s v="Kcsnyo"/>
        <s v="Roku"/>
        <s v="Fujitsu"/>
        <s v="Ptz Optics"/>
        <s v="Hanks Minerals"/>
        <s v="Honeywell"/>
        <s v="Vivosun"/>
        <s v="The Smart Home"/>
        <s v="Bolide"/>
        <s v="LG"/>
        <s v="Kerui"/>
        <s v="Azco Technologies"/>
        <s v="Samsung"/>
        <s v="Zmodo"/>
        <s v="Sonoff"/>
        <s v="Decaldino"/>
        <s v="Jousecu"/>
        <s v="Vivousn"/>
        <s v="Cartell"/>
        <s v="Axis"/>
        <s v="Lts"/>
        <s v="Exacqvision"/>
        <s v="Mustek"/>
        <s v="Powertech Solutions International"/>
        <s v="Nvr"/>
        <s v="Zosi"/>
        <s v="Abetap"/>
        <s v="Monrade"/>
        <s v="Nuvico"/>
        <s v="Hid"/>
        <s v="Northern Video"/>
        <s v="Ito"/>
        <s v="Adt"/>
        <s v="Kepeak"/>
        <s v="Vivint"/>
        <s v="Guardline"/>
        <s v="Orbitell"/>
        <s v="3Dexl"/>
        <s v="Costar"/>
        <s v="Dome"/>
        <s v="Alltechrevival"/>
        <s v="American Dynamics"/>
        <s v="Keen Eye"/>
        <s v="Woolink/Xvim"/>
        <s v="Kastar"/>
        <s v="Othoking"/>
        <s v="Siwiqu"/>
        <s v="Kabaconsultingllc"/>
        <s v="Caliwiretech"/>
        <s v="Boykeep"/>
        <s v="Vorgut"/>
        <s v="V381"/>
        <s v="Cyberhome"/>
        <s v="Cnb"/>
        <s v="Tvi"/>
        <s v="Paxvigo"/>
        <s v="Pro-Vision"/>
        <s v="Alarm.Com"/>
        <s v="Brigade"/>
        <s v="Evergrow"/>
        <s v="Smartsf"/>
        <s v="Rohs"/>
        <s v="Horizon"/>
        <s v="Avigilon"/>
        <s v="Qolsys"/>
        <s v="Mobotix"/>
        <s v="Opticom"/>
        <s v="Clearview"/>
        <s v="Tyco"/>
        <s v="Ecolink"/>
        <s v="GE"/>
        <s v="Wowpartspro"/>
        <s v="Kamtron"/>
        <s v="Technicolor"/>
        <s v="Watch Guard"/>
        <s v="Quick-Switch.C"/>
        <s v="Logitech"/>
        <s v="Aomg"/>
        <s v="Sibell"/>
        <s v="Ens"/>
        <s v="Mayvillage"/>
        <s v="Cctv Security Camera Wire Cord"/>
        <s v="Pro"/>
        <s v="Optex"/>
        <s v="Visonic"/>
        <s v="Camcamp"/>
        <s v="Noahtec"/>
        <s v="Eyemax"/>
        <s v="Verkada"/>
        <s v="Pool Patrol"/>
        <s v="Bzbgear"/>
        <s v="3Dprintni"/>
        <s v="Centropower"/>
        <s v="Fyuui"/>
        <s v="Adata"/>
        <s v="Mier Products, Inc"/>
        <s v="Mikrotik"/>
        <s v="Satmaximum"/>
        <s v="Gator Cable"/>
        <s v="Linkpal"/>
        <s v="Enabot"/>
        <s v="Edishine"/>
        <s v="Vikylin"/>
        <s v="Alarm Dot Com"/>
        <s v="Sma"/>
        <s v="Hanwha Techwin"/>
        <s v="Seon"/>
      </sharedItems>
    </cacheField>
    <cacheField name="mpn2" numFmtId="0">
      <sharedItems containsBlank="1" containsNumber="1" containsInteger="1" containsMixedTypes="1" count="356">
        <s v="E910AB"/>
        <s v="LNB9292B-1PK"/>
        <s v="BNC Cable"/>
        <s v="LNE9292B"/>
        <s v="D841A82B-W"/>
        <s v="N844A83"/>
        <s v="N843A83"/>
        <s v="N846A63"/>
        <m/>
        <s v="B086DKMSSM"/>
        <s v="Blink Outdoor Indoor Camera"/>
        <s v="AKT86P2122"/>
        <s v="AKT8171"/>
        <s v="AKT8111"/>
        <s v="AKT8174"/>
        <s v="AKT8P11"/>
        <s v="AKT8173"/>
        <s v="AKT8426"/>
        <s v="AKT88301D2"/>
        <s v="AKT8031"/>
        <s v="AKT8418"/>
        <s v="AKT8921"/>
        <s v="AKT8E01"/>
        <s v="Does Not Apply, NO APPLY"/>
        <s v="DMS02"/>
        <s v="VMS5240, VMS5240-100NAS"/>
        <s v="AU-DW81KN001"/>
        <s v="N98PBK/N46PCK"/>
        <s v="AU-DW81KN-51EP"/>
        <s v="SU-N98WHG-71GL"/>
        <s v="SN-C51EU0103-V2"/>
        <s v="SU-DT81BD-51FE"/>
        <s v="SU-N98WHE0-74GL-V2-OP"/>
        <s v="N98PBD-91FT"/>
        <s v="XCLCable"/>
        <s v="AU-N46PCK000-V5"/>
        <s v="B0DZ8YQ2VB"/>
        <s v="5CCEA4"/>
        <s v="B0F151GFYR"/>
        <s v="AU-DT61BS200-V3"/>
        <s v="TZ-HB618/WK-8HB618-CT"/>
        <s v="WK-4HDA03-EG"/>
        <s v="W881AAD-E-R"/>
        <s v="D863A7"/>
        <s v="D4K1AD-9"/>
        <s v="N864A64B"/>
        <s v="E851AD"/>
        <s v="W881AAD"/>
        <s v="AZN4KPL2-83WB"/>
        <s v="W463AQ-AA"/>
        <s v="B463AJD"/>
        <s v="N910A62-R"/>
        <s v="N864A64B-R"/>
        <s v="V261LCD-E-R"/>
        <s v="B451AJD"/>
        <s v="AVX-HD420IR HD421"/>
        <s v="HIXMAX-J090A"/>
        <s v="AN-CT1FE0104"/>
        <s v="AU-I41DQ0104-OP"/>
        <s v="AU-N44WET0-52CN-S2-V2-OP"/>
        <s v="AU-DW81KN0-58EP"/>
        <s v="AN-I91DL0104-V4"/>
        <s v="AU-DW61LN-51EF"/>
        <s v="DW81KN/DW61LN"/>
        <s v="AU-DT61BS001"/>
        <s v="DW81KT-51EP/51EF/T1GK/T1GJ"/>
        <s v="AU-DW81KN-51EF"/>
        <s v="AU-DW81KN0-58EF"/>
        <s v="N98PBK-91DL-V4"/>
        <s v="AU-N46PCK-V4-91DL-V4"/>
        <s v="AU-DW81KN0-T4FD"/>
        <s v="XCL039"/>
        <s v="N48PAW-N46PCK"/>
        <s v="AU-DW81KN000-OP"/>
        <s v="AU-N44WET0-82BM-OP"/>
        <s v="DT81DW"/>
        <s v="AU-N98PBL001"/>
        <s v="AU-N46PCK-V4-91DM"/>
        <s v="AU-N98PBK0-94DM"/>
        <s v="AU-DW81KN0-R4CW"/>
        <s v="I51EM"/>
        <s v="AU-KC51EF0404"/>
        <s v="AU-N98PBK001"/>
        <s v="AU-N98PBK0-58EM"/>
        <s v="AN-CR1CW0103"/>
        <s v="AU-DW81KT-T1GJ"/>
        <s v="AN-I51HD0103"/>
        <s v="D961BC/DX31NB/DW61LN"/>
        <n v="1699909284002"/>
        <s v="9863B-BHASL002"/>
        <s v="MYQ-C39VXXW"/>
        <s v="NCM02"/>
        <s v="V4, 5AT3S3, 5F53E10"/>
        <s v="308-50012-01, 308-50002-01, 308-10069-01, A-14, 308-50034-01, A-8"/>
        <s v="308-10029-01, A-1b, A-1C"/>
        <s v="HIXPOW-K-J743-US"/>
        <s v="DW-VA1P5"/>
        <s v="75RICMTB"/>
        <s v="E895AB"/>
        <s v="LC2204"/>
        <s v="BA-32 TBR"/>
        <s v="IP8M-2496EW-AI-V4"/>
        <s v="IP5M-F1180EW"/>
        <s v="NV4116-HS"/>
        <s v="B08F6GPQQ8"/>
        <s v="VG4-A-PA1"/>
        <s v="V8P1AX12"/>
        <s v="C4L2CA12"/>
        <n v="1272781756750"/>
        <n v="1272781756711"/>
        <s v="155454GY"/>
        <s v="270044F"/>
        <s v="Tapo C501"/>
        <s v="KXHNC500W"/>
        <s v="AC90019019"/>
        <s v="WT4"/>
        <s v="B7"/>
        <s v="K02W7271US"/>
        <s v="AR-K04W2L7H-B361"/>
        <s v="N1150TYN-4PK"/>
        <s v="N1060WH-1/4P"/>
        <s v="N1060WH/BK-5"/>
        <s v="TVN-1104cS-1T"/>
        <s v="DT81BC-51EE/T1GL"/>
        <s v="SU-N48WHE-71GL"/>
        <s v="SWNVK-MRMINISD4"/>
        <s v="WYZEC4WH"/>
        <s v="TVR-6016-4T"/>
        <s v="Black"/>
        <s v="DCEXT-F"/>
        <s v="DCCONN-D-5PK"/>
        <s v="DCCONN-DE"/>
        <s v="DCEXT-G_M"/>
        <s v="N40W1603"/>
        <s v="CP0000000283"/>
        <s v="UVC-G5-Turret-Ultra"/>
        <s v="SSDB4"/>
        <s v="AVCN3516K"/>
        <s v="SRS-0835-051"/>
        <s v="OEM-VRC7009"/>
        <s v="VMA5100-10000S"/>
        <s v="P87HM85-30X-EAS"/>
        <s v="Orbitell"/>
        <s v="Ring 2 3 4 Battery"/>
        <s v="T8135"/>
        <s v="SS-1501"/>
        <s v="PA-0503"/>
        <s v="VMC3050-100NAS"/>
        <s v="53-024487"/>
        <s v="U9K-CM0211"/>
        <s v="T8882122"/>
        <s v="CP4-100-5W"/>
        <s v="SU-N98PBD0-74FQ-V1-P-OP"/>
        <s v="SU-DT81BD001"/>
        <s v="M3116"/>
        <s v="VMK4360P-1SCNAS"/>
        <s v="W2225147XLZ8PEZ"/>
        <s v="E842CDB"/>
        <s v="ANNKE Cam"/>
        <s v="AU-N98WHR-I81BM"/>
        <s v="DT61BH-51EE"/>
        <s v="I91EM"/>
        <s v="DT81BF"/>
        <s v="DW81KT-51EP/T1GK"/>
        <s v="51DW/51HD/91DW/91ET"/>
        <s v="N931BB-91DL"/>
        <s v="N48PAW/N46PCK-51EL"/>
        <s v="AU-N44WET0-72GK-V2-OP"/>
        <s v="DW81KN+54EP"/>
        <s v="DT81DX-R1BG-R1BL-R1CC"/>
        <s v="C51EK"/>
        <s v="I51HD"/>
        <s v="AU-DW81KD-51EP"/>
        <s v="91DM/91DL/91DF/51EM/51EL/51EN/51ES/51EF/91DS/91DH"/>
        <s v="XCL045"/>
        <s v="N54WHF0-84BM"/>
        <s v="AU-DW81KT-51EP"/>
        <s v="AU-KCS1EQ0403"/>
        <s v="I91EP"/>
        <s v="R1CW"/>
        <s v="AU-I91CS0105"/>
        <s v="N98PBL"/>
        <s v="N98PBL-51HJ"/>
        <s v="N48PAW/N46PCK-91DM"/>
        <s v="I91DN"/>
        <s v="N98PBK-51HJ"/>
        <s v="N98PBL0-54EM"/>
        <s v="SU-DT81BC0-52EE"/>
        <s v="N98WHG0-74GL"/>
        <s v="SU-N98PBD0-54FQ-P-OP"/>
        <s v="DT81BC-51EE"/>
        <s v="N48WHG-71GL"/>
        <s v="DN41CS-DN81BS-DT61BH"/>
        <s v="SU-N98PBD000-OP"/>
        <s v="DW81KT-T1FD"/>
        <s v="N98WHR-81BJ"/>
        <s v="AU-N98PBL-91DF"/>
        <s v="DW81KT+R1CW"/>
        <s v="I91DF"/>
        <s v="N48WHR0-V2-74GK"/>
        <s v="N98PBK-91ET"/>
        <s v="AU-DW61LN-R1CW"/>
        <s v="AU-DT61BS000/DW61LN/DW81KN/DX31NB"/>
        <s v="N96PBK-91FT"/>
        <s v="LNB-4321-C"/>
        <s v="VMA5400-10000S"/>
        <s v="A0056"/>
        <s v="Go PT Ultra with Solar Panel"/>
        <s v="PC1224AD6K02"/>
        <s v="HDMEIIR90W"/>
        <s v="DS1000R"/>
        <s v="S1816E"/>
        <s v="IP2M-866EW"/>
        <s v="DV704D"/>
        <s v="LUM-301"/>
        <s v="US-N1060WH-XM4MP"/>
        <s v="N1060WH-4PK"/>
        <s v="N3070BK-XM/001*2PK"/>
        <s v="E871AB_K5"/>
        <s v="Model HB-T2"/>
        <s v="A61WJ55AS-V1608-2"/>
        <s v="PD1B-16NH3"/>
        <s v="VIS-P5BXIR4LC"/>
        <s v="S3 MAX"/>
        <s v="DS-1280ZJ-DM21, CB140PT, CB136"/>
        <s v="[&quot;DT8035V&quot;], DT8036"/>
        <s v="AC-2AT4-US"/>
        <s v="B0FBC8ZWDH"/>
        <s v="LUM – 120 – NVR – CH"/>
        <s v="CP0000001241"/>
        <s v="PD-1801"/>
        <s v="XT-511-US-VZ-LTEUP"/>
        <s v="MDR-504-1-G2-CMR"/>
        <s v="E871AB"/>
        <s v="WZEC3FL"/>
        <s v="CAM-WEB-2MP"/>
        <n v="1489518767922"/>
        <s v="V5"/>
        <s v="WYZEC-BC"/>
        <s v="HZDC-Sbullet"/>
        <s v="DVR8-4680, DVR-4680, DVR84680, DVR4680, DVR-84680, DVR8-4680H"/>
        <s v="T8124R"/>
        <s v="IQP4018"/>
        <s v="SSCM2"/>
        <s v="WST-233"/>
        <s v="CM-DP8LSA-B"/>
        <s v="WYZECFLPBL"/>
        <s v="N847A62-8AB6-E"/>
        <s v="N30W1600"/>
        <n v="827"/>
        <s v="AKT8W1F1"/>
        <s v="AKT8420"/>
        <s v="AKT8355"/>
        <s v="AKT8125"/>
        <s v="AKT8414"/>
        <s v="AKE8135"/>
        <s v="AKT8427"/>
        <s v="AKT86P3"/>
        <s v="AKT8163"/>
        <s v="AKT8172"/>
        <s v="AKT8401"/>
        <s v="AKE8601"/>
        <s v="AKT8895"/>
        <s v="AKE8875"/>
        <s v="AKE8832"/>
        <s v="T8901"/>
        <s v="AKT8451"/>
        <s v="AK-T8911"/>
        <s v="AKT8135"/>
        <s v="AKT8411"/>
        <s v="AKE8125"/>
        <s v="4RE DVR, WGA00480-602"/>
        <s v="QS 910 MDM"/>
        <s v="961-000416"/>
        <s v="P31-V18/V80-2"/>
        <s v="rg60"/>
        <s v="VMS5340BUN-CR"/>
        <s v="LTD8416M-ST, LTD8416K-ST, LTD8416M-ST(S), LTD8416T-ST, Platinum"/>
        <s v="5B28S5"/>
        <s v="VMC5040100NAR"/>
        <s v="VMK3451"/>
        <s v="01177-001, M3057PLVE, M3058-PLVE"/>
        <s v="NDAA, TVT, Titanium, ED9632H5NV-16P-AN, TD-3332H4-16P-B3"/>
        <s v="LUM-510-NVR-4CH"/>
        <s v="AU-DW81KN/DW61LN"/>
        <s v="AN-CR1CV0103"/>
        <s v="DW81KN-51EP/51EF/T1GK/T1GJ"/>
        <s v="AU-DT81DW001"/>
        <s v="AU-KCR1CW0403"/>
        <s v="AU-DW81KN-R1CW"/>
        <s v="AN-I91ET0103"/>
        <s v="DW81KN+C51EF*5"/>
        <s v="C3 Pro"/>
        <s v="do not apply"/>
        <s v="SONVW-600BATT-GL"/>
        <s v="BXS-RAM(W)"/>
        <s v="PMaster 10 915 SP Kit"/>
        <s v="ACC-MNT-XLARM-2"/>
        <s v="PA-31"/>
        <s v="A95WF85-3-EAS"/>
        <s v="A31HH35-3-FAS"/>
        <s v="P31HJ55AS-V8010-2"/>
        <s v="UA-B40004F"/>
        <s v="BG-ND-20XHSRP"/>
        <s v="Not Applicable"/>
        <s v="WL-KEYMOD-COVER-33"/>
        <s v="SU-N96PBK000-OP"/>
        <s v="SU-DT81BD100-R"/>
        <s v="UVC-G4-DOME"/>
        <s v="UNVR-Instant-US"/>
        <s v="WK-10CA-4HB618-AT"/>
        <s v="HISTZHB612EEU"/>
        <s v="WHDA04"/>
        <s v="B0B7QMF9T6"/>
        <s v="A-4a, VMS4340P-100NAS, VMS4440P-100NAS, VMS4640P-100NAS, VMC4040B-100NAS, VMC4240B-100NAS, VCS4440B-100NAS, VMS5440-100NAS, VMS5340-100NAS, VMS5240(B)-100NAS, 308-10069-01, VMS5140-100NAS, VMS5440B-100NAS, VMC5040(B)-100NAS, VMS4240P, 308-50012-01, VMC404"/>
        <s v="A-1, A-1B, A-1C, 308-10029-02"/>
        <s v="A-1, 308-10029-01, VMS4230-100PAS, VMC4030P-100NAS, VMA4400, VCS4500C, VMS4230P"/>
        <s v="V4, 5AT3S3, 5F53E9, 5F77E9, 5F79E10"/>
        <s v="VMC3273-100NAS"/>
        <s v="MX-OPT-RS1-EXT"/>
        <s v="NIN-63023-A3-A"/>
        <s v="BA-EM8-1000R-POE"/>
        <s v="ADHD32060A"/>
        <s v="BW-FC242410-QT"/>
        <s v="BA-16-8000R"/>
        <s v="R250S-16-4000R"/>
        <n v="900058"/>
        <n v="900906"/>
        <n v="530120"/>
        <s v="530113, 530120"/>
        <s v="906909 906909 906910 906911 906912"/>
        <s v="CCTV-Security-Surveillance-BNC-Cable-DVR-4K-Black"/>
        <s v="BLINK MOUNT"/>
        <s v="DW81KT-T1GK-51EP-51EF-T1GJ"/>
        <s v="DW61LN-T1GJ"/>
        <s v="N48PAW/N46PCK-51EM/51EL/51EN/51EH/51EG"/>
        <s v="R1CX"/>
        <s v="AU-DW81KT1-T4FC"/>
        <s v="AU-DW81KD000-V8"/>
        <s v="AU-N98PBK-91DM"/>
        <s v="B0CG6RXMNV/B08FCWQWDZ"/>
        <s v="B09CKN2D4S"/>
        <s v="567876T5R"/>
        <s v="NV2108E-HS"/>
        <s v="CP0000001024"/>
        <s v="N30W1573"/>
        <s v="CP0000000332"/>
        <s v="DD1206S"/>
        <s v="VMC4041P"/>
        <s v="T81601W2"/>
        <s v="T8031"/>
        <s v="5UM7E6"/>
        <s v="ADC-VC838PF"/>
        <s v="TL5"/>
        <s v="NOT SPECIFIED"/>
        <s v="YCX-010"/>
      </sharedItems>
    </cacheField>
    <cacheField name="upc2" numFmtId="0">
      <sharedItems containsBlank="1" containsNumber="1" containsInteger="1" containsMixedTypes="1" count="186">
        <n v="695529055726"/>
        <n v="695529025989"/>
        <n v="704537716991"/>
        <n v="695529026375"/>
        <n v="695529021134"/>
        <n v="695529036817"/>
        <n v="695529034141"/>
        <n v="695529043754"/>
        <m/>
        <n v="843261112730"/>
        <n v="840080527865"/>
        <n v="194644178308"/>
        <n v="194644246755"/>
        <n v="194644245673"/>
        <n v="194644243747"/>
        <n v="194644239726"/>
        <n v="194644259601"/>
        <n v="194644245758"/>
        <n v="194644211128"/>
        <n v="194644137381"/>
        <n v="194644107370"/>
        <n v="194644236145"/>
        <n v="194644123308"/>
        <n v="194644239750"/>
        <n v="194644245659"/>
        <n v="768231568911"/>
        <n v="753575864150"/>
        <n v="840414665355"/>
        <n v="695529053418"/>
        <n v="695529052107"/>
        <n v="695529059502"/>
        <n v="695529059311"/>
        <n v="695529063783"/>
        <n v="695529050585"/>
        <n v="810083471168"/>
        <n v="713651297149"/>
        <n v="313101250238"/>
        <n v="726084614660"/>
        <n v="2549817352576"/>
        <n v="842861101561"/>
        <n v="12381230311"/>
        <n v="313113793709"/>
        <n v="711181021456"/>
        <n v="840268907755"/>
        <n v="610098787007"/>
        <n v="744390953461"/>
        <n v="656081895106"/>
        <n v="6935085302273"/>
        <s v="Do Not Apply"/>
        <n v="850007530199"/>
        <n v="850005687720"/>
        <n v="840080598575"/>
        <n v="800549669512"/>
        <n v="1909172383403"/>
        <n v="1909172383356"/>
        <n v="636391137585"/>
        <n v="649722501764"/>
        <n v="840030705862"/>
        <n v="885170361202"/>
        <n v="843261112150"/>
        <n v="698596310385"/>
        <n v="698596305992"/>
        <n v="769230880103"/>
        <n v="769230879732"/>
        <n v="755113382789"/>
        <n v="840236142860"/>
        <n v="840414648952"/>
        <n v="810083473674"/>
        <n v="4895230324234"/>
        <n v="845832018288"/>
        <n v="845832018431"/>
        <n v="845832029666"/>
        <n v="30519015944"/>
        <n v="763769907478"/>
        <n v="810084693576"/>
        <n v="815017029699"/>
        <n v="196852605997"/>
        <n v="6901425854603"/>
        <n v="313085250210"/>
        <n v="193108149786"/>
        <n v="843261113871"/>
        <n v="194644131580"/>
        <n v="815017020460"/>
        <n v="889490018938"/>
        <n v="193108145658"/>
        <n v="705353045272"/>
        <n v="4893993199267"/>
        <n v="6901425847950"/>
        <n v="7331021065766"/>
        <n v="193108146532"/>
        <n v="843261113963"/>
        <n v="695529052169"/>
        <n v="7445023784730"/>
        <n v="606449138468"/>
        <n v="725423889476"/>
        <n v="840414626882"/>
        <n v="194644239719"/>
        <n v="850812007299"/>
        <n v="810155034400"/>
        <n v="768476589351"/>
        <n v="196271032299"/>
        <n v="194160005492"/>
        <n v="612068820646"/>
        <n v="6971627218183"/>
        <n v="840414663412"/>
        <n v="6973667281806"/>
        <n v="859696007173"/>
        <n v="695529051414"/>
        <n v="850025015692"/>
        <n v="2234278121608"/>
        <n v="6901425854313"/>
        <n v="810083474831"/>
        <n v="814763020783"/>
        <n v="194644036288"/>
        <n v="193575030969"/>
        <n v="843261112379"/>
        <n v="6977118370569"/>
        <n v="808226371666"/>
        <n v="810083472120"/>
        <n v="695529055634"/>
        <n v="194644179268"/>
        <n v="194644294091"/>
        <n v="194644293988"/>
        <n v="194644190904"/>
        <n v="194644308600"/>
        <n v="194644305575"/>
        <n v="194644311743"/>
        <n v="649661372203"/>
        <n v="194644168279"/>
        <n v="194644290192"/>
        <n v="194644169702"/>
        <n v="194644185498"/>
        <n v="194644210671"/>
        <n v="194644229406"/>
        <n v="786513666575"/>
        <n v="194644177752"/>
        <n v="194644287727"/>
        <n v="194644037261"/>
        <n v="194644290857"/>
        <n v="760575257452"/>
        <n v="194644082902"/>
        <n v="649661207734"/>
        <n v="194644322961"/>
        <n v="786513667404"/>
        <n v="194644396849"/>
        <n v="194644178728"/>
        <n v="194644308118"/>
        <n v="194644042524"/>
        <n v="194644305605"/>
        <n v="194644232291"/>
        <n v="194644176100"/>
        <n v="854109004817"/>
        <n v="659680647940"/>
        <n v="726084490315"/>
        <n v="313097460413"/>
        <n v="193108145979"/>
        <n v="726084631940"/>
        <n v="840236135357"/>
        <n v="850045533145"/>
        <n v="788924502520"/>
        <n v="7445054699659"/>
        <n v="789681012366"/>
        <n v="850009357520"/>
        <n v="810010073014"/>
        <n v="810177163603"/>
        <n v="840268930654"/>
        <n v="889490020146"/>
        <n v="840268905553"/>
        <n v="840268955466"/>
        <n v="193108148505"/>
        <n v="814320022991"/>
        <n v="765066008292"/>
        <n v="612212082524"/>
        <n v="765066008674"/>
        <n v="765066010325"/>
        <n v="840268949748"/>
        <n v="840268985203"/>
        <n v="840268985333"/>
        <s v="9 59888 00512 2"/>
        <n v="854088008431"/>
        <n v="854088008493"/>
        <n v="840268997336"/>
        <n v="194644096916"/>
        <n v="194644104161"/>
        <n v="756395040138"/>
        <n v="780245006814"/>
      </sharedItems>
    </cacheField>
    <cacheField name="product_type2" numFmtId="0">
      <sharedItems count="214">
        <s v="Bullet Camera"/>
        <s v="Other"/>
        <s v="Dome Camera"/>
        <s v="DVR"/>
        <s v="Monitor/Display"/>
        <s v="Not Specified"/>
        <s v="NVR"/>
        <s v="Camera"/>
        <s v="Base System"/>
        <s v="Door Sensor"/>
        <s v="Video Server"/>
        <s v="Video Recorder"/>
        <s v="Power Kit"/>
        <s v="Security System"/>
        <s v="Complete System"/>
        <s v="Edge Security Center"/>
        <s v="Indoor Cam"/>
        <s v="Water And Freeze Sensor"/>
        <s v="Cable/Accessory"/>
        <s v="Hybrid Dvr"/>
        <s v="8Ch Dvr"/>
        <s v="Ptz"/>
        <s v="Bnc Connector"/>
        <s v="Rg-59/U Cable"/>
        <s v="Details In Description"/>
        <s v="Panic Alarm Siren"/>
        <s v="Wire-Free Security System"/>
        <s v="Driveway Alarm Alert Wireless System"/>
        <s v="Driveway Alarm System"/>
        <s v="Sensors &amp; Motion Detectors"/>
        <s v="Pan&amp;Tilt Dome"/>
        <s v="Power&amp;Video Cable"/>
        <s v="Dummy Camera"/>
        <s v="Floodlight Camera"/>
        <s v="Solar Panel"/>
        <s v="(Digital Video Recorder)"/>
        <s v="Doorbell Camera"/>
        <s v="Pir Motion Sensor Light Switch"/>
        <s v="Sensor Switch"/>
        <s v="Multiple Room System"/>
        <s v="Alarm/Sensor"/>
        <s v="Battery"/>
        <s v="Digital Video Recorder"/>
        <s v="Bullet / Dome"/>
        <s v="Turret Camera"/>
        <s v="Ethernet Switch"/>
        <s v="Voice Recorder"/>
        <s v="Baby Monitors"/>
        <s v="Keypad"/>
        <s v="Plastic"/>
        <s v="Listener"/>
        <s v="Cctv Security Camera Dvr Power Supply"/>
        <s v="Video Doorbell Camera Battery"/>
        <s v="Battery Replacement"/>
        <s v="Bird Cam"/>
        <s v="Sync Module"/>
        <s v="Ring Video Doorbell Replacement Battery"/>
        <s v="Surveillance Dvrs &amp; Nvrs"/>
        <s v="Recorder"/>
        <s v="Cctv Monitor"/>
        <s v="Indoor Security Camera"/>
        <s v="Wifi Camera"/>
        <s v="Driveway Alarm"/>
        <s v="Nvr (Network Video Recorder)"/>
        <s v="Box Camera"/>
        <s v="Mount/Bracket"/>
        <s v="Wireless Doorbell"/>
        <s v="Pendant Arm Power Box"/>
        <s v="Motion Sensor Alarm"/>
        <s v="Security Wire"/>
        <s v="Splitter Cable"/>
        <s v="Dash Camera"/>
        <s v="Wireless Driveway Alarm Sensors &amp; Motion Detectors"/>
        <s v="Solar Alarm"/>
        <s v="Commercial Stream Recorder"/>
        <s v="Window Sensor"/>
        <s v="Water Sensor"/>
        <s v="Smart Home Security System (7-Piece Kit)"/>
        <s v="17 Channel"/>
        <s v="Wall Mount Bracket"/>
        <s v="Spy Camera"/>
        <s v="12Ch Network Video Recorder"/>
        <s v="Cctv Cameras"/>
        <s v="Mini Wifi Camera"/>
        <s v="Surveillance Dvr"/>
        <s v="Cat 7"/>
        <s v="Illuminator"/>
        <s v="Power Adapter"/>
        <s v="Nvr - 32 Channel"/>
        <s v="Balun"/>
        <s v="Dc Extension Cable"/>
        <s v="Dc Power Connector"/>
        <s v="Extension Cable"/>
        <s v="Covert"/>
        <s v="Blink System Hub"/>
        <s v="Solar Wall Light"/>
        <s v="Motion Detector"/>
        <s v="4&quot; Vinyl Siding Mounting Wedge Adapter"/>
        <s v="Vertical Wedge Up/Down Angle 5 - 10 - 15 Degree"/>
        <s v="Power Distribution Box"/>
        <s v="9 Channel H.264 Pci Express Add-In Card"/>
        <s v="Anti Spy Detector"/>
        <s v="Ip Camera"/>
        <s v="Solar Security Camera"/>
        <s v="Water Leak Alarm"/>
        <s v="Compact Video Encoder"/>
        <s v="Ptz Camera"/>
        <s v="Surveillance Recording"/>
        <s v="Smart Camera For Grow Tent"/>
        <s v="Motion Sensor"/>
        <s v="Simplisafe"/>
        <s v="Ir Illuminator Array Infrared Lamps"/>
        <s v="Water Leak Sensor"/>
        <s v="Case"/>
        <s v="Vehicle Sensor"/>
        <s v="4 X Wire-Free Cameras &amp; Nvr Tower"/>
        <s v="Ups"/>
        <s v="Wifi Antenna"/>
        <s v="Security Camera Junction Box"/>
        <s v="Bullet/ Dome For Option!"/>
        <s v="Pt Dome"/>
        <s v="Bullet/Dome"/>
        <s v="Bullet/Turret"/>
        <s v="Turret Ip Camera"/>
        <s v="Digital Video Recorders"/>
        <s v="Dvr Recorder"/>
        <s v="Securitycamerasystem"/>
        <s v="?"/>
        <s v="Door Entry System"/>
        <s v="4G Lte Security Camera"/>
        <s v="Accessories"/>
        <s v="Dual-Lens Plug-In Security Camera"/>
        <s v="E2"/>
        <s v="Panoramic"/>
        <s v="Solar/Battery Camera"/>
        <s v="Reolinkproducts"/>
        <s v="Wired"/>
        <s v="Home Security Camera System"/>
        <s v="Alarm"/>
        <s v="Touch Screen"/>
        <s v="Power Cable"/>
        <s v="Floodlight Security Camera / Surveillance Camera"/>
        <s v="Charger Camera"/>
        <s v="Security &amp; Surveillance &gt; Closed Circuit Tv Systems &amp; Accessories"/>
        <s v="Adaptor"/>
        <s v="Premade Siamese Cable"/>
        <s v="Micro Sd Card"/>
        <s v="Light Bulb Camera"/>
        <s v="Surveillance System"/>
        <s v="5Mp/8Mp Poe Camera System"/>
        <s v="9 Bullet &amp; 8 Dome"/>
        <s v="Adapter And Splitter Cable"/>
        <s v="Bullet Or Dome"/>
        <s v="Wireless Camera"/>
        <s v="Camera Charger"/>
        <s v="Audio Alerts"/>
        <s v="Solid State Hd Dvr"/>
        <s v="Lte Module"/>
        <s v="Mobile Digital Recorder"/>
        <s v="Webcam"/>
        <s v="Smart Home Security Camera"/>
        <s v="Human Presence Sensor"/>
        <s v="Nvr Indoor Outdoor Ip Camera Kit"/>
        <s v="Analog Dvr"/>
        <s v="Panel"/>
        <s v="Network Video Server"/>
        <s v="Security Camera Kit"/>
        <s v="Ring Outdoor Cam"/>
        <s v="Bullet Ip Camera"/>
        <s v="Exacq"/>
        <s v="Bnc Pane"/>
        <s v="Audio Intercom"/>
        <s v="Transmitter"/>
        <s v="Wall Mount For Security Camera"/>
        <s v="Conduit Back Box"/>
        <s v="Magnet"/>
        <s v="Coaxial Video Cable"/>
        <s v="Network Video Recorder Nvr"/>
        <s v="Spy Hidden Camera"/>
        <s v="Nvr-Sb32-16P"/>
        <s v="Not Available"/>
        <s v="Outdoor Motion Detector"/>
        <s v="Security Panel Kit"/>
        <s v="Wireless Solar Security Camera System"/>
        <s v="Pir Motion Sensor Switch"/>
        <s v="Wall &amp; Pole Mount Bracket"/>
        <s v="Swimming Pool Alarms"/>
        <s v="Outdoor Poe Network Security Camera / Surveillance Camera"/>
        <s v="Streaming Camera"/>
        <s v="Alarm Panel"/>
        <s v="Security Cameras"/>
        <s v="Ptz Wifi Camera"/>
        <s v="Rechargeable Battery"/>
        <s v="Dvr /Display"/>
        <s v="Interface"/>
        <s v="Securitysystem"/>
        <s v="Surveillance Video Recorders"/>
        <s v="Router Switch"/>
        <s v="Unshielded Solid Stranded Cable"/>
        <s v="Cctv Video Cable Bnc Extension Wire"/>
        <s v="Fake Camera"/>
        <s v="Camera Mount"/>
        <s v="Cctv Camera"/>
        <s v="Replacement Motion Sensor"/>
        <s v="Cable Ties"/>
        <s v="Driveway"/>
        <s v="Safety Cam"/>
        <s v="Bug Hunter Locates All Hidden Active Transmitters"/>
        <s v="Yard Sign"/>
        <s v="Single Room System"/>
        <s v="Home Security Systems"/>
        <s v="Wireless Sensor"/>
        <s v="Multi Directional Camera"/>
        <s v="Hard Drive"/>
      </sharedItems>
    </cacheField>
    <cacheField name="primary_category2" numFmtId="0">
      <sharedItems count="15">
        <s v="Security Cameras"/>
        <s v="Accessories"/>
        <s v="Uncategorized"/>
        <s v="IP/Smart Camera Systems"/>
        <s v="Sensors &amp; Motion Detectors"/>
        <s v="Surveillance Dvrs &amp; Nvrs"/>
        <s v="Alarm Systems"/>
        <s v="Dummy Cameras"/>
        <s v="Cctv Systems"/>
        <s v="Security Camera Brackets &amp; Mounts"/>
        <s v="Monitors/Displays"/>
        <s v="Other Car Video"/>
        <s v="Surveillance Illuminators"/>
        <s v="Security Camera Cases &amp; Housings"/>
        <s v="Closed Circuit Cameras"/>
      </sharedItems>
    </cacheField>
    <cacheField name="smart_home_ecosystem2" numFmtId="0">
      <sharedItems count="11">
        <s v="Lorex"/>
        <s v="Other/Generic"/>
        <s v="Amcrest"/>
        <s v="Ring (Amazon)"/>
        <s v="Blink (Amazon)"/>
        <s v="Eufy (Anker)"/>
        <s v="Arlo"/>
        <s v="Wyze"/>
        <s v="Google Nest"/>
        <s v="Swann"/>
        <s v="Reolink"/>
      </sharedItems>
    </cacheField>
    <cacheField name="brand_tier2" numFmtId="0">
      <sharedItems count="6">
        <s v="Prosumer"/>
        <s v="Other Brand"/>
        <s v="Generic/Unknown"/>
        <s v="Premium Consumer"/>
        <s v="Value"/>
        <s v="Premium Enterprise"/>
      </sharedItems>
    </cacheField>
    <cacheField name="condition2" numFmtId="0">
      <sharedItems count="7">
        <s v="Excellent Refurbished"/>
        <s v="New"/>
        <s v="Used"/>
        <s v="Open Box"/>
        <s v="Certified Refurbished"/>
        <s v="For Parts"/>
        <s v="Unknown"/>
      </sharedItems>
    </cacheField>
    <cacheField name="condition_score2" numFmtId="0">
      <sharedItems containsSemiMixedTypes="0" containsString="0" containsNumber="1" minValue="-18.2366666666664" maxValue="2994.98" count="641">
        <n v="176.98"/>
        <n v="254.98"/>
        <n v="34.98"/>
        <n v="304.98"/>
        <n v="794.98"/>
        <n v="516.98"/>
        <n v="506.98"/>
        <n v="576.98"/>
        <n v="38.98"/>
        <n v="157.98"/>
        <n v="50.9"/>
        <n v="139.98"/>
        <n v="10.9"/>
        <n v="254"/>
        <n v="397.98"/>
        <n v="596"/>
        <n v="396"/>
        <n v="54.96"/>
        <n v="85.98"/>
        <n v="59.98"/>
        <n v="75.98"/>
        <n v="69.98"/>
        <n v="94.98"/>
        <n v="224.98"/>
        <n v="335.98"/>
        <n v="394.98"/>
        <n v="1794.98"/>
        <n v="77.117333333333"/>
        <n v="24.4086666666668"/>
        <n v="93.2219999999996"/>
        <n v="694.98"/>
        <n v="474.98"/>
        <n v="294.98"/>
        <n v="6.4379999999999"/>
        <n v="64.98"/>
        <n v="2994.98"/>
        <n v="19.9"/>
        <n v="12.8"/>
        <n v="581.6"/>
        <n v="275"/>
        <n v="114.98"/>
        <n v="8.5"/>
        <n v="82.98"/>
        <n v="23.9953333333333"/>
        <n v="34.9"/>
        <n v="426"/>
        <n v="74.98"/>
        <n v="84.98"/>
        <n v="80.98"/>
        <n v="5.01200000000004"/>
        <n v="11.7353333333334"/>
        <n v="5.61399999999995"/>
        <n v="27.9673333333333"/>
        <n v="28.58"/>
        <n v="21.234"/>
        <n v="44.334"/>
        <n v="18.98"/>
        <n v="12.480666666667"/>
        <n v="94.94"/>
        <n v="375.98"/>
        <n v="299"/>
        <n v="345"/>
        <n v="297"/>
        <n v="175"/>
        <n v="128"/>
        <n v="286"/>
        <n v="34.36"/>
        <n v="100.64"/>
        <n v="36.1473333333333"/>
        <n v="0.584666666666607"/>
        <n v="55.571333333333"/>
        <n v="138"/>
        <n v="195.98"/>
        <n v="874.98"/>
        <n v="1345"/>
        <n v="834.98"/>
        <n v="216.98"/>
        <n v="434.98"/>
        <n v="1864.98"/>
        <n v="194.98"/>
        <n v="545.98"/>
        <n v="679.98"/>
        <n v="215.98"/>
        <n v="170.028"/>
        <n v="21.58"/>
        <n v="48.98"/>
        <n v="5.78399999999996"/>
        <n v="-5.16599999999991"/>
        <n v="164.1"/>
        <n v="184.1"/>
        <n v="223.1"/>
        <n v="-0.19066666666666"/>
        <n v="20.98"/>
        <n v="20.78"/>
        <n v="54.88"/>
        <n v="35.98"/>
        <n v="156.98"/>
        <n v="233.8"/>
        <n v="54.76"/>
        <n v="120.34"/>
        <n v="27.98"/>
        <n v="8.33400000000007"/>
        <n v="8.4006666666666"/>
        <n v="8.84066666666701"/>
        <n v="29.3033333333333"/>
        <n v="7.9606666666667"/>
        <n v="27.0006666666667"/>
        <n v="33.7206666666667"/>
        <n v="7.0806666666668"/>
        <n v="65.9006666666668"/>
        <n v="143.167333333333"/>
        <n v="6.6406666666666"/>
        <n v="45.38"/>
        <n v="51.6673333333333"/>
        <n v="25.2673333333333"/>
        <n v="9.1340000000006"/>
        <n v="49.6140000000004"/>
        <n v="32.7206666666666"/>
        <n v="19.4673333333334"/>
        <n v="112.662000000001"/>
        <n v="112.667333333333"/>
        <n v="31.9340000000002"/>
        <n v="66.98"/>
        <n v="129.38"/>
        <n v="68.200666666667"/>
        <n v="48.18"/>
        <n v="6.78733333333331"/>
        <n v="154.58"/>
        <n v="40.8673333333333"/>
        <n v="567.56"/>
        <n v="174.72"/>
        <n v="28.5366666666667"/>
        <n v="53"/>
        <n v="21.98"/>
        <n v="66"/>
        <n v="94"/>
        <n v="23.34"/>
        <n v="14.58"/>
        <n v="72.98"/>
        <n v="60.9"/>
        <n v="40.98"/>
        <n v="78.98"/>
        <n v="338"/>
        <n v="154.98"/>
        <n v="95.98"/>
        <n v="3.46133333333332"/>
        <n v="101.94"/>
        <n v="217.94"/>
        <n v="598"/>
        <n v="374.98"/>
        <n v="50.98"/>
        <n v="78"/>
        <n v="7.58"/>
        <n v="136"/>
        <n v="253"/>
        <n v="33"/>
        <n v="24.98"/>
        <n v="14.98"/>
        <n v="12.98"/>
        <n v="86.18"/>
        <n v="46.98"/>
        <n v="452.98"/>
        <n v="107.98"/>
        <n v="296"/>
        <n v="11.5006666666667"/>
        <n v="294.9"/>
        <n v="51.5999999999996"/>
        <n v="191.98"/>
        <n v="357.38"/>
        <n v="357.98"/>
        <n v="905"/>
        <n v="22.98"/>
        <n v="1333"/>
        <n v="16.9"/>
        <n v="205"/>
        <n v="243"/>
        <n v="115"/>
        <n v="75.8"/>
        <n v="55.8"/>
        <n v="105.98"/>
        <n v="16.1"/>
        <n v="6.98"/>
        <n v="-10.4799999999994"/>
        <n v="8.98"/>
        <n v="4.58066666666667"/>
        <n v="122.98"/>
        <n v="214.98"/>
        <n v="12.52"/>
        <n v="5.19133333333334"/>
        <n v="7.56133333333338"/>
        <n v="5.42866666666662"/>
        <n v="5.35866666666662"/>
        <n v="4.87733333333328"/>
        <n v="495"/>
        <n v="48.28"/>
        <n v="57"/>
        <n v="51.98"/>
        <n v="291.98"/>
        <n v="54.98"/>
        <n v="94.9"/>
        <n v="10.76"/>
        <n v="47.334"/>
        <n v="14.96"/>
        <n v="28.98"/>
        <n v="46.58"/>
        <n v="635"/>
        <n v="90.98"/>
        <n v="316"/>
        <n v="116.670666666667"/>
        <n v="46.76"/>
        <n v="69.8126666666667"/>
        <n v="-0.692666666666621"/>
        <n v="252.98"/>
        <n v="274.98"/>
        <n v="134.98"/>
        <n v="75.9"/>
        <n v="57.9"/>
        <n v="295.9"/>
        <n v="4.3119999999998"/>
        <n v="448"/>
        <n v="110.36"/>
        <n v="7.72"/>
        <n v="45"/>
        <n v="6.95066666666668"/>
        <n v="38.2673333333333"/>
        <n v="24.8"/>
        <n v="385"/>
        <n v="149.98"/>
        <n v="291"/>
        <n v="351"/>
        <n v="75"/>
        <n v="52.98"/>
        <n v="517.98"/>
        <n v="239.98"/>
        <n v="647.7"/>
        <n v="31.08"/>
        <n v="7.66"/>
        <n v="9.38"/>
        <n v="52.7"/>
        <n v="30.32"/>
        <n v="97.98"/>
        <n v="1276"/>
        <n v="114.96"/>
        <n v="68.96"/>
        <n v="214.94"/>
        <n v="6"/>
        <n v="16.98"/>
        <n v="352.2"/>
        <n v="56.98"/>
        <n v="91"/>
        <n v="527.92"/>
        <n v="46.000666666667"/>
        <n v="86.98"/>
        <n v="92.98"/>
        <n v="334.98"/>
        <n v="134.328"/>
        <n v="-10.5566666666668"/>
        <n v="-6.5566666666666"/>
        <n v="45.98"/>
        <n v="63.98"/>
        <n v="55.98"/>
        <n v="30.98"/>
        <n v="20.46"/>
        <n v="26.86"/>
        <n v="0.467333333333812"/>
        <n v="-3.15933333333339"/>
        <n v="-6.45266666666663"/>
        <n v="225"/>
        <n v="212.12"/>
        <n v="1.2333333333333"/>
        <n v="29.98"/>
        <n v="675.46"/>
        <n v="79"/>
        <n v="11.6006666666668"/>
        <n v="1196"/>
        <n v="64.96"/>
        <n v="53.98"/>
        <n v="168"/>
        <n v="98"/>
        <n v="32.98"/>
        <n v="656"/>
        <n v="32.9"/>
        <n v="8.66666666666671"/>
        <n v="132.98"/>
        <n v="172"/>
        <n v="254.9"/>
        <n v="36.98"/>
        <n v="111"/>
        <n v="55.2620000000002"/>
        <n v="275.02"/>
        <n v="9.78400000000002"/>
        <n v="55"/>
        <n v="68.98"/>
        <n v="70"/>
        <n v="58.98"/>
        <n v="278"/>
        <n v="9.89666666666671"/>
        <n v="340.9"/>
        <n v="554.9"/>
        <n v="394.9"/>
        <n v="814.98"/>
        <n v="264.98"/>
        <n v="6.9673333333335"/>
        <n v="4.30733333333336"/>
        <n v="190"/>
        <n v="18.598"/>
        <n v="176"/>
        <n v="538"/>
        <n v="240.98"/>
        <n v="192.98"/>
        <n v="20.9"/>
        <n v="223"/>
        <n v="156"/>
        <n v="102.98"/>
        <n v="230.18"/>
        <n v="223.78"/>
        <n v="274.58"/>
        <n v="98.98"/>
        <n v="211.06"/>
        <n v="174.18"/>
        <n v="1347.98"/>
        <n v="462.98"/>
        <n v="246.1"/>
        <n v="194.78"/>
        <n v="359.48"/>
        <n v="5.13666666666671"/>
        <n v="305.78"/>
        <n v="44.98"/>
        <n v="39.3006666666664"/>
        <n v="113.38"/>
        <n v="246.58"/>
        <n v="302.98"/>
        <n v="134.18"/>
        <n v="47.76"/>
        <n v="132.58"/>
        <n v="202.18"/>
        <n v="213.98"/>
        <n v="58.2140000000002"/>
        <n v="266.94"/>
        <n v="546.18"/>
        <n v="267.98"/>
        <n v="242.98"/>
        <n v="405.78"/>
        <n v="234.98"/>
        <n v="111.98"/>
        <n v="253.98"/>
        <n v="314.18"/>
        <n v="642.98"/>
        <n v="290.98"/>
        <n v="213.38"/>
        <n v="52.4219999999998"/>
        <n v="594.38"/>
        <n v="204.98"/>
        <n v="434.92"/>
        <n v="254.86"/>
        <n v="371.98"/>
        <n v="379.78"/>
        <n v="113.78"/>
        <n v="634.58"/>
        <n v="770.12"/>
        <n v="3.57399999999996"/>
        <n v="128.58"/>
        <n v="2.09400000000004"/>
        <n v="1.13466666666666"/>
        <n v="14.9"/>
        <n v="28.9"/>
        <n v="1.47533333333332"/>
        <n v="12.88"/>
        <n v="50.2006666666669"/>
        <n v="1336.98"/>
        <n v="414.98"/>
        <n v="354.98"/>
        <n v="2293"/>
        <n v="79.6673333333334"/>
        <n v="645"/>
        <n v="50.8"/>
        <n v="39.48"/>
        <n v="155"/>
        <n v="74.76"/>
        <n v="200.98"/>
        <n v="647.98"/>
        <n v="332.9"/>
        <n v="32.96"/>
        <n v="374.78"/>
        <n v="615.98"/>
        <n v="315.98"/>
        <n v="26.78"/>
        <n v="1.56999999999998"/>
        <n v="285"/>
        <n v="273"/>
        <n v="314.98"/>
        <n v="470.98"/>
        <n v="282.98"/>
        <n v="22.4"/>
        <n v="454.98"/>
        <n v="137.74"/>
        <n v="26.9"/>
        <n v="58"/>
        <n v="87.98"/>
        <n v="175.98"/>
        <n v="32.78"/>
        <n v="41.7"/>
        <n v="145.54"/>
        <n v="248.98"/>
        <n v="49.38"/>
        <n v="442.98"/>
        <n v="31.0013333333332"/>
        <n v="-9.19933333333341"/>
        <n v="575.98"/>
        <n v="250.98"/>
        <n v="27.52"/>
        <n v="50.02"/>
        <n v="135.98"/>
        <n v="1.40066666666668"/>
        <n v="100.98"/>
        <n v="94.88"/>
        <n v="137.98"/>
        <n v="295"/>
        <n v="188"/>
        <n v="83"/>
        <n v="14.4673333333328"/>
        <n v="627.68"/>
        <n v="106.98"/>
        <n v="126.98"/>
        <n v="674.98"/>
        <n v="734.98"/>
        <n v="425.38"/>
        <n v="202.98"/>
        <n v="206.98"/>
        <n v="9.00066666666667"/>
        <n v="112.96"/>
        <n v="371"/>
        <n v="355.98"/>
        <n v="174.98"/>
        <n v="134.9"/>
        <n v="137.9"/>
        <n v="34.6"/>
        <n v="42.98"/>
        <n v="71.78"/>
        <n v="81.38"/>
        <n v="228.9"/>
        <n v="9.83333333333334"/>
        <n v="796"/>
        <n v="256"/>
        <n v="24.9"/>
        <n v="89.36"/>
        <n v="8.22733333333336"/>
        <n v="3.47800000000006"/>
        <n v="5.69466666666664"/>
        <n v="154.94"/>
        <n v="453.98"/>
        <n v="94.96"/>
        <n v="101.98"/>
        <n v="23.8139999999998"/>
        <n v="-0.362"/>
        <n v="-0.614000000000001"/>
        <n v="594.98"/>
        <n v="96.3100000000003"/>
        <n v="233"/>
        <n v="553"/>
        <n v="464.98"/>
        <n v="198"/>
        <n v="319"/>
        <n v="215.9"/>
        <n v="4.67333333333333"/>
        <n v="196"/>
        <n v="314.2"/>
        <n v="375"/>
        <n v="128.96"/>
        <n v="1.39266666666664"/>
        <n v="12.9873333333333"/>
        <n v="8.73400000000007"/>
        <n v="26.126"/>
        <n v="47.3766666666668"/>
        <n v="298"/>
        <n v="123"/>
        <n v="56"/>
        <n v="113"/>
        <n v="112.939333333333"/>
        <n v="47"/>
        <n v="31"/>
        <n v="13.02"/>
        <n v="76"/>
        <n v="38.3626666666666"/>
        <n v="8.23"/>
        <n v="5.11266666666672"/>
        <n v="69.4513333333338"/>
        <n v="170.083333333334"/>
        <n v="556.98"/>
        <n v="-18.2366666666664"/>
        <n v="1.53399999999999"/>
        <n v="31.1873333333333"/>
        <n v="84.5660000000001"/>
        <n v="26.2246666666667"/>
        <n v="60.7340000000003"/>
        <n v="133.000666666666"/>
        <n v="28.2726666666666"/>
        <n v="84.5260000000002"/>
        <n v="14.4953333333334"/>
        <n v="134.306666666667"/>
        <n v="176.867333333334"/>
        <n v="219.976666666667"/>
        <n v="43.5986666666662"/>
        <n v="24.1673333333333"/>
        <n v="6.11266666666664"/>
        <n v="24.7513333333333"/>
        <n v="101.44"/>
        <n v="59.6673333333333"/>
        <n v="26.931333333333"/>
        <n v="115.07"/>
        <n v="196.200666666667"/>
        <n v="131.606"/>
        <n v="100.224666666667"/>
        <n v="165.03"/>
        <n v="56.9946666666667"/>
        <n v="153.22"/>
        <n v="353.08"/>
        <n v="196.68"/>
        <n v="38.9"/>
        <n v="398.98"/>
        <n v="164.44"/>
        <n v="29"/>
        <n v="175.76"/>
        <n v="0.134000000000412"/>
        <n v="210"/>
        <n v="86"/>
        <n v="89.3306666666666"/>
        <n v="39.3340000000006"/>
        <n v="1563.98"/>
        <n v="60.98"/>
        <n v="275.98"/>
        <n v="231.86"/>
        <n v="5.5706666666666"/>
        <n v="322.98"/>
        <n v="398"/>
        <n v="505"/>
        <n v="1194.78"/>
        <n v="127.76"/>
        <n v="23.48"/>
        <n v="1"/>
        <n v="4.50933333333339"/>
        <n v="47.52"/>
        <n v="6.0053333333332"/>
        <n v="6.0286666666667"/>
        <n v="19.2953333333333"/>
        <n v="5.70200000000001"/>
        <n v="13.9619999999998"/>
        <n v="169.14"/>
        <n v="5.7953333333334"/>
        <n v="28.82"/>
        <n v="169.98"/>
        <n v="74.78"/>
        <n v="85"/>
        <n v="9.5"/>
        <n v="4.44599999999998"/>
        <n v="244.98"/>
        <n v="614.98"/>
        <n v="16.8"/>
        <n v="34.58"/>
        <n v="157.78"/>
        <n v="1.57533333333338"/>
        <n v="348"/>
        <n v="88"/>
        <n v="195.9"/>
        <n v="17.68"/>
        <n v="216"/>
        <n v="4.41600000000004"/>
        <n v="3.58733333333362"/>
        <n v="362.52"/>
        <n v="-6.33266666666641"/>
        <n v="4.50733333333339"/>
        <n v="168.8"/>
        <n v="1193"/>
        <n v="594.9"/>
        <n v="357.9"/>
        <n v="284.98"/>
        <n v="0.827333333333499"/>
        <n v="0.960666666666597"/>
        <n v="494.98"/>
        <n v="36.5260000000004"/>
        <n v="-0.552666666666795"/>
        <n v="0.0273333333333881"/>
        <n v="-1.1326666666667"/>
        <n v="18.3366666666667"/>
        <n v="-1.0606666666667"/>
        <n v="49.5"/>
        <n v="82.9"/>
        <n v="74.9"/>
        <n v="365"/>
        <n v="38.8"/>
        <n v="60.8"/>
        <n v="114.94"/>
        <n v="255.98"/>
        <n v="294"/>
        <n v="81.22"/>
        <n v="383.98"/>
        <n v="1596"/>
        <n v="607.98"/>
        <n v="996"/>
        <n v="16.18"/>
        <n v="75.38"/>
        <n v="22.92"/>
        <n v="19"/>
        <n v="13"/>
        <n v="249.98"/>
        <n v="458.38"/>
        <n v="107.48"/>
        <n v="38.48"/>
        <n v="11.1673333333333"/>
        <n v="164.58"/>
        <n v="304"/>
        <n v="47.18"/>
        <n v="-5.34999999999988"/>
        <n v="145"/>
        <n v="16.0673333333328"/>
        <n v="333"/>
        <n v="25.98"/>
        <n v="10"/>
        <n v="31.3213333333334"/>
        <n v="-5.4966666666668"/>
        <n v="213.2"/>
        <n v="175.8"/>
        <n v="115.2"/>
        <n v="276"/>
        <n v="114.9"/>
        <n v="554.98"/>
        <n v="58.6966666666668"/>
        <n v="178.8"/>
        <n v="1093"/>
        <n v="177.98"/>
        <n v="57.98"/>
        <n v="77.98"/>
        <n v="197.98"/>
        <n v="47.98"/>
        <n v="113.98"/>
        <n v="1195"/>
        <n v="418"/>
        <n v="115.9"/>
        <n v="747.9"/>
        <n v="66.78"/>
        <n v="-4.2499999999998"/>
      </sharedItems>
    </cacheField>
    <cacheField name="has_solar_power" numFmtId="0">
      <sharedItems containsSemiMixedTypes="0" containsString="0" containsNumber="1" containsInteger="1" minValue="0" maxValue="1" count="2">
        <n v="0"/>
        <n v="1"/>
      </sharedItems>
    </cacheField>
    <cacheField name="is_battery_powered" numFmtId="0">
      <sharedItems containsSemiMixedTypes="0" containsString="0" containsNumber="1" containsInteger="1" minValue="0" maxValue="1" count="2">
        <n v="0"/>
        <n v="1"/>
      </sharedItems>
    </cacheField>
    <cacheField name="is_wired" numFmtId="0">
      <sharedItems containsSemiMixedTypes="0" containsString="0" containsNumber="1" containsInteger="1" minValue="0" maxValue="1" count="2">
        <n v="1"/>
        <n v="0"/>
      </sharedItems>
    </cacheField>
    <cacheField name="has_wifi" numFmtId="0">
      <sharedItems containsSemiMixedTypes="0" containsString="0" containsNumber="1" containsInteger="1" minValue="0" maxValue="1" count="2">
        <n v="0"/>
        <n v="1"/>
      </sharedItems>
    </cacheField>
    <cacheField name="has_poe" numFmtId="0">
      <sharedItems containsSemiMixedTypes="0" containsString="0" containsNumber="1" containsInteger="1" minValue="0" maxValue="1" count="2">
        <n v="0"/>
        <n v="1"/>
      </sharedItems>
    </cacheField>
    <cacheField name="has_cellular_4g5g" numFmtId="0">
      <sharedItems containsSemiMixedTypes="0" containsString="0" containsNumber="1" containsInteger="1" minValue="0" maxValue="1" count="2">
        <n v="0"/>
        <n v="1"/>
      </sharedItems>
    </cacheField>
    <cacheField name="has_pan_tilt_zoom" numFmtId="0">
      <sharedItems containsSemiMixedTypes="0" containsString="0" containsNumber="1" containsInteger="1" minValue="0" maxValue="1" count="2">
        <n v="0"/>
        <n v="1"/>
      </sharedItems>
    </cacheField>
    <cacheField name="has_motion_detect" numFmtId="0">
      <sharedItems containsSemiMixedTypes="0" containsString="0" containsNumber="1" containsInteger="1" minValue="0" maxValue="1" count="2">
        <n v="0"/>
        <n v="1"/>
      </sharedItems>
    </cacheField>
    <cacheField name="has_ai_detection" numFmtId="0">
      <sharedItems containsSemiMixedTypes="0" containsString="0" containsNumber="1" containsInteger="1" minValue="0" maxValue="1" count="2">
        <n v="0"/>
        <n v="1"/>
      </sharedItems>
    </cacheField>
    <cacheField name="has_two_way_audio" numFmtId="0">
      <sharedItems containsSemiMixedTypes="0" containsString="0" containsNumber="1" containsInteger="1" minValue="0" maxValue="1" count="2">
        <n v="0"/>
        <n v="1"/>
      </sharedItems>
    </cacheField>
    <cacheField name="has_voice_control" numFmtId="0">
      <sharedItems containsSemiMixedTypes="0" containsString="0" containsNumber="1" containsInteger="1" minValue="0" maxValue="1" count="2">
        <n v="0"/>
        <n v="1"/>
      </sharedItems>
    </cacheField>
    <cacheField name="has_floodlight" numFmtId="0">
      <sharedItems containsSemiMixedTypes="0" containsString="0" containsNumber="1" containsInteger="1" minValue="0" maxValue="1" count="2">
        <n v="0"/>
        <n v="1"/>
      </sharedItems>
    </cacheField>
    <cacheField name="has_local_storage" numFmtId="0">
      <sharedItems containsSemiMixedTypes="0" containsString="0" containsNumber="1" containsInteger="1" minValue="0" maxValue="1" count="2">
        <n v="0"/>
        <n v="1"/>
      </sharedItems>
    </cacheField>
    <cacheField name="has_cloud_storage" numFmtId="0">
      <sharedItems containsSemiMixedTypes="0" containsString="0" containsNumber="1" containsInteger="1" minValue="0" maxValue="1" count="2">
        <n v="0"/>
        <n v="1"/>
      </sharedItems>
    </cacheField>
    <cacheField name="is_doorbell_camera" numFmtId="0">
      <sharedItems containsSemiMixedTypes="0" containsString="0" containsNumber="1" containsInteger="1" minValue="0" maxValue="1" count="2">
        <n v="0"/>
        <n v="1"/>
      </sharedItems>
    </cacheField>
    <cacheField name="is_outdoor" numFmtId="0">
      <sharedItems containsSemiMixedTypes="0" containsString="0" containsNumber="1" containsInteger="1" minValue="0" maxValue="1" count="2">
        <n v="0"/>
        <n v="1"/>
      </sharedItems>
    </cacheField>
    <cacheField name="is_indoor" numFmtId="0">
      <sharedItems containsSemiMixedTypes="0" containsString="0" containsNumber="1" containsInteger="1" minValue="0" maxValue="1" count="2">
        <n v="0"/>
        <n v="1"/>
      </sharedItems>
    </cacheField>
    <cacheField name="is_nvr_dvr_system" numFmtId="0">
      <sharedItems containsSemiMixedTypes="0" containsString="0" containsNumber="1" containsInteger="1" minValue="0" maxValue="1" count="2">
        <n v="0"/>
        <n v="1"/>
      </sharedItems>
    </cacheField>
    <cacheField name="is_complete_system" numFmtId="0">
      <sharedItems containsSemiMixedTypes="0" containsString="0" containsNumber="1" containsInteger="1" minValue="0" maxValue="1" count="2">
        <n v="0"/>
        <n v="1"/>
      </sharedItems>
    </cacheField>
    <cacheField name="is_refurb_product" numFmtId="0">
      <sharedItems containsSemiMixedTypes="0" containsString="0" containsNumber="1" containsInteger="1" minValue="0" maxValue="1" count="2">
        <n v="0"/>
        <n v="1"/>
      </sharedItems>
    </cacheField>
    <cacheField name="channel_count" numFmtId="0">
      <sharedItems containsString="0" containsBlank="1" containsNumber="1" containsInteger="1" minValue="2" maxValue="64" count="12">
        <m/>
        <n v="8"/>
        <n v="16"/>
        <n v="4"/>
        <n v="10"/>
        <n v="20"/>
        <n v="12"/>
        <n v="2"/>
        <n v="64"/>
        <n v="32"/>
        <n v="24"/>
        <n v="34"/>
      </sharedItems>
    </cacheField>
    <cacheField name="pack_quantity" numFmtId="0">
      <sharedItems containsSemiMixedTypes="0" containsString="0" containsNumber="1" containsInteger="1" minValue="1" maxValue="10" count="8">
        <n v="1"/>
        <n v="4"/>
        <n v="10"/>
        <n v="2"/>
        <n v="3"/>
        <n v="5"/>
        <n v="8"/>
        <n v="6"/>
      </sharedItems>
    </cacheField>
    <cacheField name="tech_richness_score" numFmtId="0">
      <sharedItems containsSemiMixedTypes="0" containsString="0" containsNumber="1" containsInteger="1" minValue="0" maxValue="5" count="6">
        <n v="0"/>
        <n v="1"/>
        <n v="2"/>
        <n v="3"/>
        <n v="4"/>
        <n v="5"/>
      </sharedItems>
    </cacheField>
    <cacheField name="commercial_value_score" numFmtId="0">
      <sharedItems containsSemiMixedTypes="0" containsString="0" containsNumber="1" minValue="0" maxValue="87.35" count="695">
        <n v="30.25"/>
        <n v="36.21"/>
        <n v="55.57"/>
        <n v="57.16"/>
        <n v="56.03"/>
        <n v="31.13"/>
        <n v="30.44"/>
        <n v="31.58"/>
        <n v="59.95"/>
        <n v="64.59"/>
        <n v="68.77"/>
        <n v="58.7"/>
        <n v="67.86"/>
        <n v="0"/>
        <n v="24"/>
        <n v="28.53"/>
        <n v="28.59"/>
        <n v="66.7"/>
        <n v="68.8"/>
        <n v="68.46"/>
        <n v="67.85"/>
        <n v="67.59"/>
        <n v="66.58"/>
        <n v="58.18"/>
        <n v="60.76"/>
        <n v="63.44"/>
        <n v="29.43"/>
        <n v="66.83"/>
        <n v="55.78"/>
        <n v="68.16"/>
        <n v="74.38"/>
        <n v="52.84"/>
        <n v="61.19"/>
        <n v="63.16"/>
        <n v="52.46"/>
        <n v="67.63"/>
        <n v="67.8"/>
        <n v="67.08"/>
        <n v="61.7"/>
        <n v="66.67"/>
        <n v="61.15"/>
        <n v="70.28"/>
        <n v="60.05"/>
        <n v="69.4"/>
        <n v="8"/>
        <n v="18.95"/>
        <n v="41.26"/>
        <n v="46.86"/>
        <n v="46.27"/>
        <n v="35.46"/>
        <n v="47.99"/>
        <n v="76.27"/>
        <n v="57.76"/>
        <n v="42.91"/>
        <n v="64.58"/>
        <n v="69.35"/>
        <n v="68.98"/>
        <n v="69.42"/>
        <n v="73.55"/>
        <n v="70.51"/>
        <n v="77.51"/>
        <n v="69.1"/>
        <n v="78.89"/>
        <n v="74.23"/>
        <n v="79.09"/>
        <n v="69.37"/>
        <n v="73.29"/>
        <n v="58.2"/>
        <n v="54.69"/>
        <n v="30.92"/>
        <n v="43.09"/>
        <n v="55.43"/>
        <n v="43.79"/>
        <n v="26.79"/>
        <n v="48.04"/>
        <n v="65.58"/>
        <n v="38.09"/>
        <n v="43"/>
        <n v="62.24"/>
        <n v="42.52"/>
        <n v="61.52"/>
        <n v="43.18"/>
        <n v="33.22"/>
        <n v="46.32"/>
        <n v="39.08"/>
        <n v="33.49"/>
        <n v="36.52"/>
        <n v="48.8"/>
        <n v="66.82"/>
        <n v="56.52"/>
        <n v="60.09"/>
        <n v="41.31"/>
        <n v="63.51"/>
        <n v="35.27"/>
        <n v="66.57"/>
        <n v="33.5"/>
        <n v="67.96"/>
        <n v="58.59"/>
        <n v="65.43"/>
        <n v="69.43"/>
        <n v="69.71"/>
        <n v="63.24"/>
        <n v="38.81"/>
        <n v="45.14"/>
        <n v="61.09"/>
        <n v="61.34"/>
        <n v="63.5"/>
        <n v="17.43"/>
        <n v="37.36"/>
        <n v="73.77"/>
        <n v="63.64"/>
        <n v="73.08"/>
        <n v="77.09"/>
        <n v="79.11"/>
        <n v="51.68"/>
        <n v="50.36"/>
        <n v="58.47"/>
        <n v="75.76"/>
        <n v="62.03"/>
        <n v="66.4"/>
        <n v="69.25"/>
        <n v="79.18"/>
        <n v="62.47"/>
        <n v="62.62"/>
        <n v="73.19"/>
        <n v="72.28"/>
        <n v="76.81"/>
        <n v="81.37"/>
        <n v="73.8"/>
        <n v="66.35"/>
        <n v="68.61"/>
        <n v="62.38"/>
        <n v="77.91"/>
        <n v="76.55"/>
        <n v="68.66"/>
        <n v="73.78"/>
        <n v="68.3"/>
        <n v="71.88"/>
        <n v="49.19"/>
        <n v="49.85"/>
        <n v="80.7"/>
        <n v="16.47"/>
        <n v="68.74"/>
        <n v="65.26"/>
        <n v="65.19"/>
        <n v="69.75"/>
        <n v="36.34"/>
        <n v="66.49"/>
        <n v="33.4"/>
        <n v="65.55"/>
        <n v="61.83"/>
        <n v="64.34"/>
        <n v="37.61"/>
        <n v="14.12"/>
        <n v="68.23"/>
        <n v="73.68"/>
        <n v="46.06"/>
        <n v="29.1"/>
        <n v="55.64"/>
        <n v="62.57"/>
        <n v="67.89"/>
        <n v="18.58"/>
        <n v="66.42"/>
        <n v="66.11"/>
        <n v="60.87"/>
        <n v="56.06"/>
        <n v="69.36"/>
        <n v="68.78"/>
        <n v="59.69"/>
        <n v="43.19"/>
        <n v="36"/>
        <n v="34.77"/>
        <n v="32.98"/>
        <n v="56.01"/>
        <n v="44.96"/>
        <n v="51.54"/>
        <n v="40.89"/>
        <n v="66.6"/>
        <n v="64.6"/>
        <n v="66.66"/>
        <n v="20"/>
        <n v="34.79"/>
        <n v="59.14"/>
        <n v="49.54"/>
        <n v="60.85"/>
        <n v="66.61"/>
        <n v="58.94"/>
        <n v="30.24"/>
        <n v="29.47"/>
        <n v="39.15"/>
        <n v="37.4"/>
        <n v="74.14"/>
        <n v="50.82"/>
        <n v="55.97"/>
        <n v="49.76"/>
        <n v="59.76"/>
        <n v="74.56"/>
        <n v="74.05"/>
        <n v="74.69"/>
        <n v="73.38"/>
        <n v="74.73"/>
        <n v="48.77"/>
        <n v="64.45"/>
        <n v="26.37"/>
        <n v="65.49"/>
        <n v="30"/>
        <n v="31.11"/>
        <n v="53.03"/>
        <n v="53.79"/>
        <n v="69.46"/>
        <n v="69.77"/>
        <n v="69.22"/>
        <n v="13.33"/>
        <n v="26.23"/>
        <n v="49.5"/>
        <n v="65.47"/>
        <n v="84.55"/>
        <n v="81.64"/>
        <n v="70.26"/>
        <n v="34.48"/>
        <n v="49.1"/>
        <n v="56.8"/>
        <n v="57.08"/>
        <n v="62.1"/>
        <n v="46.31"/>
        <n v="32.04"/>
        <n v="22.92"/>
        <n v="53.21"/>
        <n v="28.58"/>
        <n v="71.01"/>
        <n v="78.34"/>
        <n v="31.91"/>
        <n v="64.37"/>
        <n v="40.86"/>
        <n v="62.76"/>
        <n v="6.67"/>
        <n v="48.34"/>
        <n v="42.81"/>
        <n v="37.93"/>
        <n v="57.11"/>
        <n v="58.06"/>
        <n v="54.37"/>
        <n v="62.04"/>
        <n v="44.91"/>
        <n v="67.71"/>
        <n v="62.65"/>
        <n v="69.53"/>
        <n v="69.24"/>
        <n v="62.52"/>
        <n v="65.5"/>
        <n v="9.23"/>
        <n v="19.23"/>
        <n v="52.71"/>
        <n v="64.73"/>
        <n v="26.67"/>
        <n v="60.64"/>
        <n v="68.07"/>
        <n v="67.41"/>
        <n v="59.7"/>
        <n v="34.03"/>
        <n v="52.87"/>
        <n v="67.97"/>
        <n v="63.07"/>
        <n v="64.82"/>
        <n v="66.91"/>
        <n v="64.13"/>
        <n v="58.11"/>
        <n v="60.19"/>
        <n v="40.13"/>
        <n v="41.82"/>
        <n v="1.5"/>
        <n v="50.62"/>
        <n v="68.39"/>
        <n v="61.25"/>
        <n v="68.95"/>
        <n v="62.35"/>
        <n v="56.86"/>
        <n v="46.14"/>
        <n v="53.76"/>
        <n v="59.45"/>
        <n v="21.82"/>
        <n v="56.75"/>
        <n v="35.74"/>
        <n v="56.56"/>
        <n v="32.85"/>
        <n v="43.53"/>
        <n v="68.2"/>
        <n v="27.45"/>
        <n v="34.58"/>
        <n v="62.43"/>
        <n v="30.27"/>
        <n v="56.34"/>
        <n v="68.48"/>
        <n v="67.54"/>
        <n v="32.26"/>
        <n v="66.22"/>
        <n v="66.93"/>
        <n v="57.91"/>
        <n v="24.81"/>
        <n v="33.81"/>
        <n v="57.17"/>
        <n v="18.33"/>
        <n v="41.44"/>
        <n v="49.64"/>
        <n v="32.81"/>
        <n v="54.89"/>
        <n v="6.6"/>
        <n v="68.85"/>
        <n v="39.19"/>
        <n v="63.71"/>
        <n v="56.68"/>
        <n v="33.46"/>
        <n v="34.4"/>
        <n v="74.85"/>
        <n v="60.29"/>
        <n v="53.85"/>
        <n v="65.31"/>
        <n v="62.75"/>
        <n v="47.36"/>
        <n v="34.45"/>
        <n v="35.45"/>
        <n v="68.13"/>
        <n v="73.86"/>
        <n v="3.64"/>
        <n v="7.2"/>
        <n v="28.92"/>
        <n v="17.91"/>
        <n v="58.19"/>
        <n v="54.26"/>
        <n v="56.32"/>
        <n v="1.8"/>
        <n v="59.79"/>
        <n v="45.43"/>
        <n v="60.81"/>
        <n v="31.14"/>
        <n v="61.65"/>
        <n v="40.44"/>
        <n v="48"/>
        <n v="49.68"/>
        <n v="58.29"/>
        <n v="53.87"/>
        <n v="58.44"/>
        <n v="59.31"/>
        <n v="39.61"/>
        <n v="68.75"/>
        <n v="69.17"/>
        <n v="40.5"/>
        <n v="46.41"/>
        <n v="66.65"/>
        <n v="46.24"/>
        <n v="43.17"/>
        <n v="45.61"/>
        <n v="63.35"/>
        <n v="53.26"/>
        <n v="52.83"/>
        <n v="70.69"/>
        <n v="45.81"/>
        <n v="57.78"/>
        <n v="64.5"/>
        <n v="52.56"/>
        <n v="52.9"/>
        <n v="63.31"/>
        <n v="45.57"/>
        <n v="58.77"/>
        <n v="64.85"/>
        <n v="57.32"/>
        <n v="63.91"/>
        <n v="64.39"/>
        <n v="65.05"/>
        <n v="54.16"/>
        <n v="35.2"/>
        <n v="49.46"/>
        <n v="50.53"/>
        <n v="60.46"/>
        <n v="49.44"/>
        <n v="34.36"/>
        <n v="47.41"/>
        <n v="28.56"/>
        <n v="53.09"/>
        <n v="58.8"/>
        <n v="14.6"/>
        <n v="39.43"/>
        <n v="58.68"/>
        <n v="19.47"/>
        <n v="65.59"/>
        <n v="68.92"/>
        <n v="50.8"/>
        <n v="43.07"/>
        <n v="25.47"/>
        <n v="69.59"/>
        <n v="17.78"/>
        <n v="72.47"/>
        <n v="51.58"/>
        <n v="60.96"/>
        <n v="56.25"/>
        <n v="61.6"/>
        <n v="57.73"/>
        <n v="61.9"/>
        <n v="57.98"/>
        <n v="41.94"/>
        <n v="66"/>
        <n v="64.92"/>
        <n v="65.72"/>
        <n v="76.78"/>
        <n v="55.88"/>
        <n v="54.06"/>
        <n v="41.58"/>
        <n v="55.39"/>
        <n v="66.86"/>
        <n v="27.4"/>
        <n v="63.81"/>
        <n v="28.89"/>
        <n v="34.28"/>
        <n v="61.82"/>
        <n v="67.11"/>
        <n v="51.24"/>
        <n v="57.94"/>
        <n v="44.85"/>
        <n v="68.02"/>
        <n v="23.34"/>
        <n v="39.67"/>
        <n v="59.59"/>
        <n v="52.76"/>
        <n v="29.85"/>
        <n v="15.88"/>
        <n v="34"/>
        <n v="59.25"/>
        <n v="50.72"/>
        <n v="22.61"/>
        <n v="67.03"/>
        <n v="29.01"/>
        <n v="60.11"/>
        <n v="63.96"/>
        <n v="67.95"/>
        <n v="58.33"/>
        <n v="66.48"/>
        <n v="69.47"/>
        <n v="65.25"/>
        <n v="74.5"/>
        <n v="63.55"/>
        <n v="25.84"/>
        <n v="55.03"/>
        <n v="18.18"/>
        <n v="57.67"/>
        <n v="59.85"/>
        <n v="34.87"/>
        <n v="38.9"/>
        <n v="60.99"/>
        <n v="68.6"/>
        <n v="68.19"/>
        <n v="61.96"/>
        <n v="69.07"/>
        <n v="40.41"/>
        <n v="48.53"/>
        <n v="28.35"/>
        <n v="29.52"/>
        <n v="65.75"/>
        <n v="63.53"/>
        <n v="64.42"/>
        <n v="59.41"/>
        <n v="69.68"/>
        <n v="58.23"/>
        <n v="67.5"/>
        <n v="67.01"/>
        <n v="69.26"/>
        <n v="68.7"/>
        <n v="66.97"/>
        <n v="69.45"/>
        <n v="59.67"/>
        <n v="72.31"/>
        <n v="63.18"/>
        <n v="68.09"/>
        <n v="62.49"/>
        <n v="67.68"/>
        <n v="59.8"/>
        <n v="36.9"/>
        <n v="37.23"/>
        <n v="29.76"/>
        <n v="62.98"/>
        <n v="58.74"/>
        <n v="63.33"/>
        <n v="35.73"/>
        <n v="60.91"/>
        <n v="55.59"/>
        <n v="27.87"/>
        <n v="50.9"/>
        <n v="28.68"/>
        <n v="49.25"/>
        <n v="56.77"/>
        <n v="62.4"/>
        <n v="67.33"/>
        <n v="60.34"/>
        <n v="68.18"/>
        <n v="28.02"/>
        <n v="61.99"/>
        <n v="67.91"/>
        <n v="17.1"/>
        <n v="6"/>
        <n v="70.64"/>
        <n v="69.2"/>
        <n v="66.06"/>
        <n v="49.67"/>
        <n v="59.2"/>
        <n v="82.01"/>
        <n v="53.58"/>
        <n v="67.93"/>
        <n v="66.55"/>
        <n v="5.76"/>
        <n v="48.62"/>
        <n v="67.82"/>
        <n v="69.64"/>
        <n v="23.25"/>
        <n v="29.58"/>
        <n v="12"/>
        <n v="66.47"/>
        <n v="72.08"/>
        <n v="71.74"/>
        <n v="60.38"/>
        <n v="74.46"/>
        <n v="74.8"/>
        <n v="68.22"/>
        <n v="59.75"/>
        <n v="70.85"/>
        <n v="19.65"/>
        <n v="64.25"/>
        <n v="40.16"/>
        <n v="68.54"/>
        <n v="69.38"/>
        <n v="42.22"/>
        <n v="60.15"/>
        <n v="74.06"/>
        <n v="69.12"/>
        <n v="61.77"/>
        <n v="80.3"/>
        <n v="51.46"/>
        <n v="45.46"/>
        <n v="64.81"/>
        <n v="73.43"/>
        <n v="61.26"/>
        <n v="74.74"/>
        <n v="77.46"/>
        <n v="83.57"/>
        <n v="69.7"/>
        <n v="82.38"/>
        <n v="75.3"/>
        <n v="80.83"/>
        <n v="80.16"/>
        <n v="52.89"/>
        <n v="85.8"/>
        <n v="46.48"/>
        <n v="75.46"/>
        <n v="75.72"/>
        <n v="84.85"/>
        <n v="44.42"/>
        <n v="77.08"/>
        <n v="47.02"/>
        <n v="63.02"/>
        <n v="87.35"/>
        <n v="16.91"/>
        <n v="14.25"/>
        <n v="60.97"/>
        <n v="50.38"/>
        <n v="22.2"/>
        <n v="64.18"/>
        <n v="36.22"/>
        <n v="66.31"/>
        <n v="17.58"/>
        <n v="48.2"/>
        <n v="69.27"/>
        <n v="51.35"/>
        <n v="69.63"/>
        <n v="40.9"/>
        <n v="66.99"/>
        <n v="58.42"/>
        <n v="21.63"/>
        <n v="61.45"/>
        <n v="28.77"/>
        <n v="63.7"/>
        <n v="61.1"/>
        <n v="70.89"/>
        <n v="57.84"/>
        <n v="65.84"/>
        <n v="73.47"/>
        <n v="71.85"/>
        <n v="73.54"/>
        <n v="60.59"/>
        <n v="72.67"/>
        <n v="67.04"/>
        <n v="33.87"/>
        <n v="67.77"/>
        <n v="33.33"/>
        <n v="51.17"/>
        <n v="51.97"/>
        <n v="28.9"/>
        <n v="49.99"/>
        <n v="34.43"/>
        <n v="65.64"/>
        <n v="63.84"/>
        <n v="64.16"/>
        <n v="29.67"/>
        <n v="47.65"/>
        <n v="68.42"/>
        <n v="58.36"/>
        <n v="67.39"/>
        <n v="60.75"/>
        <n v="38.93"/>
        <n v="43.77"/>
        <n v="48.29"/>
        <n v="60.02"/>
        <n v="49.8"/>
        <n v="67.14"/>
        <n v="67.46"/>
        <n v="50.58"/>
        <n v="64.7"/>
        <n v="66.95"/>
        <n v="68.56"/>
        <n v="56.43"/>
        <n v="43.25"/>
        <n v="31.84"/>
        <n v="52.24"/>
        <n v="51.67"/>
        <n v="56.76"/>
        <n v="68.88"/>
        <n v="64.8"/>
        <n v="34.89"/>
        <n v="67.61"/>
        <n v="61.21"/>
        <n v="51.73"/>
        <n v="53.43"/>
        <n v="50.88"/>
        <n v="43.5"/>
        <n v="63.92"/>
        <n v="55.33"/>
        <n v="48.45"/>
        <n v="38.57"/>
        <n v="65.67"/>
        <n v="66.87"/>
        <n v="66.25"/>
        <n v="66.46"/>
        <n v="26.04"/>
        <n v="51.63"/>
        <n v="34.16"/>
        <n v="24.9"/>
        <n v="23.67"/>
        <n v="54"/>
        <n v="53.92"/>
        <n v="56.27"/>
        <n v="57.89"/>
        <n v="55.11"/>
        <n v="54.27"/>
        <n v="57.06"/>
        <n v="61.53"/>
        <n v="68.91"/>
        <n v="29.69"/>
        <n v="64.14"/>
        <n v="59.91"/>
        <n v="64.99"/>
        <n v="58.97"/>
        <n v="68.04"/>
        <n v="68.15"/>
        <n v="61.22"/>
        <n v="62.29"/>
        <n v="63.26"/>
        <n v="60.69"/>
        <n v="68.32"/>
        <n v="35.43"/>
        <n v="28.74"/>
        <n v="67.18"/>
        <n v="65.11"/>
        <n v="64.86"/>
        <n v="44.29"/>
        <n v="40.43"/>
        <n v="60.31"/>
        <n v="32.83"/>
        <n v="48.59"/>
        <n v="62.14"/>
        <n v="53.1"/>
        <n v="68.83"/>
        <n v="80.14"/>
        <n v="15.38"/>
        <n v="33.24"/>
        <n v="66.98"/>
        <n v="67.99"/>
        <n v="68.67"/>
        <n v="68.71"/>
        <n v="44.34"/>
        <n v="63.97"/>
        <n v="68.31"/>
        <n v="57.77"/>
        <n v="27.96"/>
        <n v="55.44"/>
        <n v="65.46"/>
        <n v="66.05"/>
        <n v="46.17"/>
        <n v="59.78"/>
      </sharedItems>
    </cacheField>
    <cacheField name="seller" numFmtId="0">
      <sharedItems count="452">
        <s v="Seller_1"/>
        <s v="Seller_10"/>
        <s v="Seller_100"/>
        <s v="Seller_101"/>
        <s v="Seller_102"/>
        <s v="Seller_103"/>
        <s v="Seller_104"/>
        <s v="Seller_105"/>
        <s v="Seller_106"/>
        <s v="Seller_107"/>
        <s v="Seller_108"/>
        <s v="Seller_109"/>
        <s v="Seller_11"/>
        <s v="Seller_110"/>
        <s v="Seller_111"/>
        <s v="Seller_112"/>
        <s v="Seller_113"/>
        <s v="Seller_114"/>
        <s v="Seller_115"/>
        <s v="Seller_116"/>
        <s v="Seller_117"/>
        <s v="Seller_118"/>
        <s v="Seller_119"/>
        <s v="Seller_12"/>
        <s v="Seller_120"/>
        <s v="Seller_121"/>
        <s v="Seller_122"/>
        <s v="Seller_123"/>
        <s v="Seller_124"/>
        <s v="Seller_125"/>
        <s v="Seller_126"/>
        <s v="Seller_127"/>
        <s v="Seller_128"/>
        <s v="Seller_129"/>
        <s v="Seller_13"/>
        <s v="Seller_130"/>
        <s v="Seller_131"/>
        <s v="Seller_132"/>
        <s v="Seller_133"/>
        <s v="Seller_134"/>
        <s v="Seller_135"/>
        <s v="Seller_136"/>
        <s v="Seller_137"/>
        <s v="Seller_138"/>
        <s v="Seller_139"/>
        <s v="Seller_14"/>
        <s v="Seller_140"/>
        <s v="Seller_141"/>
        <s v="Seller_142"/>
        <s v="Seller_143"/>
        <s v="Seller_144"/>
        <s v="Seller_145"/>
        <s v="Seller_146"/>
        <s v="Seller_147"/>
        <s v="Seller_148"/>
        <s v="Seller_149"/>
        <s v="Seller_15"/>
        <s v="Seller_150"/>
        <s v="Seller_151"/>
        <s v="Seller_152"/>
        <s v="Seller_153"/>
        <s v="Seller_154"/>
        <s v="Seller_155"/>
        <s v="Seller_156"/>
        <s v="Seller_157"/>
        <s v="Seller_158"/>
        <s v="Seller_159"/>
        <s v="Seller_16"/>
        <s v="Seller_160"/>
        <s v="Seller_161"/>
        <s v="Seller_162"/>
        <s v="Seller_163"/>
        <s v="Seller_164"/>
        <s v="Seller_165"/>
        <s v="Seller_166"/>
        <s v="Seller_167"/>
        <s v="Seller_168"/>
        <s v="Seller_169"/>
        <s v="Seller_17"/>
        <s v="Seller_170"/>
        <s v="Seller_171"/>
        <s v="Seller_172"/>
        <s v="Seller_173"/>
        <s v="Seller_174"/>
        <s v="Seller_175"/>
        <s v="Seller_176"/>
        <s v="Seller_177"/>
        <s v="Seller_178"/>
        <s v="Seller_179"/>
        <s v="Seller_18"/>
        <s v="Seller_180"/>
        <s v="Seller_181"/>
        <s v="Seller_182"/>
        <s v="Seller_183"/>
        <s v="Seller_184"/>
        <s v="Seller_185"/>
        <s v="Seller_186"/>
        <s v="Seller_187"/>
        <s v="Seller_188"/>
        <s v="Seller_189"/>
        <s v="Seller_19"/>
        <s v="Seller_190"/>
        <s v="Seller_191"/>
        <s v="Seller_192"/>
        <s v="Seller_193"/>
        <s v="Seller_194"/>
        <s v="Seller_195"/>
        <s v="Seller_196"/>
        <s v="Seller_197"/>
        <s v="Seller_198"/>
        <s v="Seller_199"/>
        <s v="Seller_2"/>
        <s v="Seller_20"/>
        <s v="Seller_200"/>
        <s v="Seller_201"/>
        <s v="Seller_202"/>
        <s v="Seller_203"/>
        <s v="Seller_204"/>
        <s v="Seller_205"/>
        <s v="Seller_206"/>
        <s v="Seller_207"/>
        <s v="Seller_208"/>
        <s v="Seller_209"/>
        <s v="Seller_21"/>
        <s v="Seller_210"/>
        <s v="Seller_211"/>
        <s v="Seller_212"/>
        <s v="Seller_213"/>
        <s v="Seller_214"/>
        <s v="Seller_215"/>
        <s v="Seller_216"/>
        <s v="Seller_217"/>
        <s v="Seller_218"/>
        <s v="Seller_219"/>
        <s v="Seller_22"/>
        <s v="Seller_220"/>
        <s v="Seller_221"/>
        <s v="Seller_222"/>
        <s v="Seller_223"/>
        <s v="Seller_224"/>
        <s v="Seller_225"/>
        <s v="Seller_226"/>
        <s v="Seller_227"/>
        <s v="Seller_228"/>
        <s v="Seller_229"/>
        <s v="Seller_23"/>
        <s v="Seller_230"/>
        <s v="Seller_231"/>
        <s v="Seller_232"/>
        <s v="Seller_233"/>
        <s v="Seller_234"/>
        <s v="Seller_235"/>
        <s v="Seller_236"/>
        <s v="Seller_237"/>
        <s v="Seller_238"/>
        <s v="Seller_239"/>
        <s v="Seller_24"/>
        <s v="Seller_240"/>
        <s v="Seller_241"/>
        <s v="Seller_242"/>
        <s v="Seller_243"/>
        <s v="Seller_244"/>
        <s v="Seller_245"/>
        <s v="Seller_246"/>
        <s v="Seller_247"/>
        <s v="Seller_248"/>
        <s v="Seller_249"/>
        <s v="Seller_25"/>
        <s v="Seller_250"/>
        <s v="Seller_251"/>
        <s v="Seller_252"/>
        <s v="Seller_253"/>
        <s v="Seller_254"/>
        <s v="Seller_255"/>
        <s v="Seller_256"/>
        <s v="Seller_257"/>
        <s v="Seller_258"/>
        <s v="Seller_259"/>
        <s v="Seller_26"/>
        <s v="Seller_260"/>
        <s v="Seller_261"/>
        <s v="Seller_262"/>
        <s v="Seller_263"/>
        <s v="Seller_264"/>
        <s v="Seller_265"/>
        <s v="Seller_266"/>
        <s v="Seller_267"/>
        <s v="Seller_268"/>
        <s v="Seller_269"/>
        <s v="Seller_27"/>
        <s v="Seller_270"/>
        <s v="Seller_271"/>
        <s v="Seller_272"/>
        <s v="Seller_273"/>
        <s v="Seller_274"/>
        <s v="Seller_275"/>
        <s v="Seller_276"/>
        <s v="Seller_277"/>
        <s v="Seller_278"/>
        <s v="Seller_279"/>
        <s v="Seller_28"/>
        <s v="Seller_280"/>
        <s v="Seller_281"/>
        <s v="Seller_282"/>
        <s v="Seller_283"/>
        <s v="Seller_284"/>
        <s v="Seller_285"/>
        <s v="Seller_286"/>
        <s v="Seller_287"/>
        <s v="Seller_288"/>
        <s v="Seller_289"/>
        <s v="Seller_29"/>
        <s v="Seller_290"/>
        <s v="Seller_291"/>
        <s v="Seller_292"/>
        <s v="Seller_293"/>
        <s v="Seller_294"/>
        <s v="Seller_295"/>
        <s v="Seller_296"/>
        <s v="Seller_297"/>
        <s v="Seller_298"/>
        <s v="Seller_299"/>
        <s v="Seller_3"/>
        <s v="Seller_30"/>
        <s v="Seller_300"/>
        <s v="Seller_301"/>
        <s v="Seller_302"/>
        <s v="Seller_303"/>
        <s v="Seller_304"/>
        <s v="Seller_305"/>
        <s v="Seller_306"/>
        <s v="Seller_307"/>
        <s v="Seller_308"/>
        <s v="Seller_309"/>
        <s v="Seller_31"/>
        <s v="Seller_310"/>
        <s v="Seller_311"/>
        <s v="Seller_312"/>
        <s v="Seller_313"/>
        <s v="Seller_314"/>
        <s v="Seller_315"/>
        <s v="Seller_316"/>
        <s v="Seller_317"/>
        <s v="Seller_318"/>
        <s v="Seller_319"/>
        <s v="Seller_32"/>
        <s v="Seller_320"/>
        <s v="Seller_321"/>
        <s v="Seller_322"/>
        <s v="Seller_323"/>
        <s v="Seller_324"/>
        <s v="Seller_325"/>
        <s v="Seller_326"/>
        <s v="Seller_327"/>
        <s v="Seller_328"/>
        <s v="Seller_329"/>
        <s v="Seller_33"/>
        <s v="Seller_330"/>
        <s v="Seller_331"/>
        <s v="Seller_332"/>
        <s v="Seller_333"/>
        <s v="Seller_334"/>
        <s v="Seller_335"/>
        <s v="Seller_336"/>
        <s v="Seller_337"/>
        <s v="Seller_338"/>
        <s v="Seller_339"/>
        <s v="Seller_34"/>
        <s v="Seller_340"/>
        <s v="Seller_341"/>
        <s v="Seller_342"/>
        <s v="Seller_343"/>
        <s v="Seller_344"/>
        <s v="Seller_345"/>
        <s v="Seller_346"/>
        <s v="Seller_347"/>
        <s v="Seller_348"/>
        <s v="Seller_349"/>
        <s v="Seller_35"/>
        <s v="Seller_350"/>
        <s v="Seller_351"/>
        <s v="Seller_352"/>
        <s v="Seller_353"/>
        <s v="Seller_354"/>
        <s v="Seller_355"/>
        <s v="Seller_356"/>
        <s v="Seller_357"/>
        <s v="Seller_358"/>
        <s v="Seller_359"/>
        <s v="Seller_36"/>
        <s v="Seller_360"/>
        <s v="Seller_361"/>
        <s v="Seller_362"/>
        <s v="Seller_363"/>
        <s v="Seller_364"/>
        <s v="Seller_365"/>
        <s v="Seller_366"/>
        <s v="Seller_367"/>
        <s v="Seller_368"/>
        <s v="Seller_369"/>
        <s v="Seller_37"/>
        <s v="Seller_370"/>
        <s v="Seller_371"/>
        <s v="Seller_372"/>
        <s v="Seller_373"/>
        <s v="Seller_374"/>
        <s v="Seller_375"/>
        <s v="Seller_376"/>
        <s v="Seller_377"/>
        <s v="Seller_378"/>
        <s v="Seller_379"/>
        <s v="Seller_38"/>
        <s v="Seller_380"/>
        <s v="Seller_381"/>
        <s v="Seller_382"/>
        <s v="Seller_383"/>
        <s v="Seller_384"/>
        <s v="Seller_385"/>
        <s v="Seller_386"/>
        <s v="Seller_387"/>
        <s v="Seller_388"/>
        <s v="Seller_389"/>
        <s v="Seller_39"/>
        <s v="Seller_390"/>
        <s v="Seller_391"/>
        <s v="Seller_392"/>
        <s v="Seller_393"/>
        <s v="Seller_394"/>
        <s v="Seller_395"/>
        <s v="Seller_396"/>
        <s v="Seller_397"/>
        <s v="Seller_398"/>
        <s v="Seller_399"/>
        <s v="Seller_4"/>
        <s v="Seller_40"/>
        <s v="Seller_400"/>
        <s v="Seller_401"/>
        <s v="Seller_402"/>
        <s v="Seller_403"/>
        <s v="Seller_404"/>
        <s v="Seller_405"/>
        <s v="Seller_406"/>
        <s v="Seller_407"/>
        <s v="Seller_408"/>
        <s v="Seller_409"/>
        <s v="Seller_41"/>
        <s v="Seller_410"/>
        <s v="Seller_411"/>
        <s v="Seller_412"/>
        <s v="Seller_413"/>
        <s v="Seller_414"/>
        <s v="Seller_415"/>
        <s v="Seller_416"/>
        <s v="Seller_417"/>
        <s v="Seller_418"/>
        <s v="Seller_419"/>
        <s v="Seller_42"/>
        <s v="Seller_420"/>
        <s v="Seller_421"/>
        <s v="Seller_422"/>
        <s v="Seller_423"/>
        <s v="Seller_424"/>
        <s v="Seller_425"/>
        <s v="Seller_426"/>
        <s v="Seller_427"/>
        <s v="Seller_428"/>
        <s v="Seller_429"/>
        <s v="Seller_43"/>
        <s v="Seller_430"/>
        <s v="Seller_431"/>
        <s v="Seller_432"/>
        <s v="Seller_433"/>
        <s v="Seller_434"/>
        <s v="Seller_435"/>
        <s v="Seller_436"/>
        <s v="Seller_437"/>
        <s v="Seller_438"/>
        <s v="Seller_439"/>
        <s v="Seller_44"/>
        <s v="Seller_440"/>
        <s v="Seller_441"/>
        <s v="Seller_442"/>
        <s v="Seller_443"/>
        <s v="Seller_444"/>
        <s v="Seller_445"/>
        <s v="Seller_446"/>
        <s v="Seller_447"/>
        <s v="Seller_448"/>
        <s v="Seller_449"/>
        <s v="Seller_45"/>
        <s v="Seller_450"/>
        <s v="Seller_451"/>
        <s v="Seller_452"/>
        <s v="Seller_46"/>
        <s v="Seller_47"/>
        <s v="Seller_48"/>
        <s v="Seller_49"/>
        <s v="Seller_5"/>
        <s v="Seller_50"/>
        <s v="Seller_51"/>
        <s v="Seller_52"/>
        <s v="Seller_53"/>
        <s v="Seller_54"/>
        <s v="Seller_55"/>
        <s v="Seller_56"/>
        <s v="Seller_57"/>
        <s v="Seller_58"/>
        <s v="Seller_59"/>
        <s v="Seller_6"/>
        <s v="Seller_60"/>
        <s v="Seller_61"/>
        <s v="Seller_62"/>
        <s v="Seller_63"/>
        <s v="Seller_64"/>
        <s v="Seller_65"/>
        <s v="Seller_66"/>
        <s v="Seller_67"/>
        <s v="Seller_68"/>
        <s v="Seller_69"/>
        <s v="Seller_7"/>
        <s v="Seller_70"/>
        <s v="Seller_71"/>
        <s v="Seller_72"/>
        <s v="Seller_73"/>
        <s v="Seller_74"/>
        <s v="Seller_75"/>
        <s v="Seller_76"/>
        <s v="Seller_77"/>
        <s v="Seller_78"/>
        <s v="Seller_79"/>
        <s v="Seller_8"/>
        <s v="Seller_80"/>
        <s v="Seller_81"/>
        <s v="Seller_82"/>
        <s v="Seller_83"/>
        <s v="Seller_84"/>
        <s v="Seller_85"/>
        <s v="Seller_86"/>
        <s v="Seller_87"/>
        <s v="Seller_88"/>
        <s v="Seller_89"/>
        <s v="Seller_9"/>
        <s v="Seller_90"/>
        <s v="Seller_91"/>
        <s v="Seller_92"/>
        <s v="Seller_93"/>
        <s v="Seller_94"/>
        <s v="Seller_95"/>
        <s v="Seller_96"/>
        <s v="Seller_97"/>
        <s v="Seller_98"/>
        <s v="Seller_99"/>
      </sharedItems>
    </cacheField>
    <cacheField name="seller_city" numFmtId="0">
      <sharedItems containsBlank="1" count="274">
        <s v="Carrollton"/>
        <s v="Plano"/>
        <s v="Voorhees"/>
        <s v="Simpsonville"/>
        <s v="Raleigh"/>
        <s v="Phoenix"/>
        <m/>
        <s v="China"/>
        <s v="Southampton"/>
        <s v="Branford"/>
        <s v="Hayward"/>
        <s v="Fort Worth"/>
        <s v="Beverly Hills"/>
        <s v="Ontario"/>
        <s v="Miami"/>
        <s v="Plainview"/>
        <s v="Deer Park"/>
        <s v="Lakeland"/>
        <s v="Fort Lauderdale"/>
        <s v="Hebron"/>
        <s v="Flanders"/>
        <s v="Covina"/>
        <s v="Rancho Cucamonga"/>
        <s v="Oviedo"/>
        <s v="Hampstead"/>
        <s v="Hillsboro"/>
        <s v="Camas"/>
        <s v="Hacienda Heights"/>
        <s v="Hoogezand"/>
        <s v="Annapolis Junction"/>
        <s v="Jersey City"/>
        <s v="Ogden"/>
        <s v="Columbia"/>
        <s v="Gilbert"/>
        <s v="South El Monte"/>
        <s v="Chino"/>
        <s v="Elmwood Park"/>
        <s v="Franklin Park"/>
        <s v="Bordentown"/>
        <s v="Los Angeles"/>
        <s v="Pompano Beach"/>
        <s v="Plainfield"/>
        <s v="Bridgeton"/>
        <s v="San Diego"/>
        <s v="Topeka"/>
        <s v="Rowland Heights"/>
        <s v="Dallas"/>
        <s v="Franklin"/>
        <s v="San Marcos"/>
        <s v="Clifton"/>
        <s v="Effort"/>
        <s v="Perth Amboy"/>
        <s v="Sarasota"/>
        <s v="Salt Lake City"/>
        <s v="Walnut"/>
        <s v="Cary"/>
        <s v="Denver"/>
        <s v="Las Vegas"/>
        <s v="Rio Rico"/>
        <s v="Truckee"/>
        <s v="Houston"/>
        <s v="US"/>
        <s v="Glendale"/>
        <s v="Grand Rapids"/>
        <s v="Maple Shade"/>
        <s v="Morristown"/>
        <s v="Monterey Park"/>
        <s v="Piscataway"/>
        <s v="Carmel"/>
        <s v="Toms River"/>
        <s v="Sweet Grass"/>
        <s v="Santa Ana"/>
        <s v="Springdale"/>
        <s v="Philadelphia"/>
        <s v="Rockville"/>
        <s v="Burley"/>
        <s v="Alameda"/>
        <s v="Henrico"/>
        <s v="Garland"/>
        <s v="Haverford"/>
        <s v="Canoga Park"/>
        <s v="Chatsworth"/>
        <s v="Winnetka"/>
        <s v="Hamilton"/>
        <s v="Palmdale"/>
        <s v="Corona"/>
        <s v="Walton"/>
        <s v="Hailey"/>
        <s v="Pomona"/>
        <s v="Rockaway"/>
        <s v="Holliston"/>
        <s v="Tucson"/>
        <s v="Gainesville"/>
        <s v="Lancaster"/>
        <s v="Sacramento"/>
        <s v="Towson"/>
        <s v="Rome"/>
        <s v="New Orleans"/>
        <s v="Ormond Beach"/>
        <s v="King"/>
        <s v="Ponce"/>
        <s v="Bell"/>
        <s v="Columbus"/>
        <s v="McAllen"/>
        <s v="New York"/>
        <s v="Shakopee"/>
        <s v="Indianapolis"/>
        <s v="Secaucus"/>
        <s v="Vancouver"/>
        <s v="Brooklyn"/>
        <s v="Portland"/>
        <s v="Duluth"/>
        <s v="Flushing"/>
        <s v="Harleysville"/>
        <s v="Baldwin Park"/>
        <s v="Bellflower"/>
        <s v="San Antonio"/>
        <s v="Oak Park"/>
        <s v="Clovis"/>
        <s v="Grand Prairie"/>
        <s v="Hilo"/>
        <s v="Jacksonville"/>
        <s v="Commerce City"/>
        <s v="Tampa"/>
        <s v="Skokie"/>
        <s v="Laurel"/>
        <s v="Chicago"/>
        <s v="Cumberland"/>
        <s v="Anaheim"/>
        <s v="Redmond"/>
        <s v="Maumelle"/>
        <s v="Multiple Locations"/>
        <s v="Haltom City"/>
        <s v="Talihina"/>
        <s v="Champaign"/>
        <s v="SHEN ZHEN"/>
        <s v="McHenry"/>
        <s v="Snellville"/>
        <s v="Chino Hills"/>
        <s v="Whippany"/>
        <s v="Madison"/>
        <s v="Dover"/>
        <s v="Hialeah"/>
        <s v="Riverview"/>
        <s v="Seattle"/>
        <s v="Greer"/>
        <s v="Albuquerque"/>
        <s v="Santa Rosa"/>
        <s v="Hazleton"/>
        <s v="Maspeth"/>
        <s v="Riverside"/>
        <s v="Thousand Oaks"/>
        <s v="Saint Joseph"/>
        <s v="Kansas City"/>
        <s v="Waterford"/>
        <s v="Stafford"/>
        <s v="Barnegat"/>
        <s v="Alliance"/>
        <s v="Arvada"/>
        <s v="Fremont"/>
        <s v="Santa Barbara"/>
        <s v="Tulsa"/>
        <s v="La Habra"/>
        <s v="Temple City"/>
        <s v="Meadow Lands"/>
        <s v="Hudson"/>
        <s v="Lawrence"/>
        <s v="Peoria"/>
        <s v="Sanborn"/>
        <s v="Woodbridge"/>
        <s v="Richardson"/>
        <s v="Acworth"/>
        <s v="Denton"/>
        <s v="Long Beach"/>
        <s v="Braintree"/>
        <s v="Lawrenceville"/>
        <s v="Bensenville"/>
        <s v="Saratoga Springs"/>
        <s v="San Bernardino"/>
        <s v="United States"/>
        <s v="Chicago Ridge"/>
        <s v="Hempstead"/>
        <s v="New Jersey"/>
        <s v="La Puente"/>
        <s v="American Fork"/>
        <s v="California"/>
        <s v="Marietta"/>
        <s v="Omaha"/>
        <s v="City Of Industry"/>
        <s v="West Springfield"/>
        <s v="Jamaica"/>
        <s v="Battle Ground"/>
        <s v="Mount Prospect"/>
        <s v="Tallmadge"/>
        <s v="Southbridge"/>
        <s v="Clay Springs"/>
        <s v="Commerce Township"/>
        <s v="Lutz"/>
        <s v="Lake Mills"/>
        <s v="Cortland"/>
        <s v="Sherman Oaks"/>
        <s v="Warrenton"/>
        <s v="Harvard"/>
        <s v="Arcadia"/>
        <s v="Elkhart"/>
        <s v="Hanover"/>
        <s v="Massillon"/>
        <s v="Greenwood"/>
        <s v="Warminster"/>
        <s v="North Brunswick"/>
        <s v="Pahrump"/>
        <s v="Maryville"/>
        <s v="Brandy Station"/>
        <s v="NJ"/>
        <s v="Torrance"/>
        <s v="Baton Rouge"/>
        <s v="Shanghai"/>
        <s v="Manhattan"/>
        <s v="Charlotte"/>
        <s v="Springville"/>
        <s v="San Jose"/>
        <s v="San Dimas"/>
        <s v="Naples"/>
        <s v="Homestead"/>
        <s v="Princeton Junction"/>
        <s v="Opa-Locka"/>
        <s v="Torrington"/>
        <s v="Palm Beach Gardens"/>
        <s v="Medina"/>
        <s v="Erie"/>
        <s v="Cleveland"/>
        <s v="Emeryville"/>
        <s v="Katy"/>
        <s v="Leesburg"/>
        <s v="Bonner Springs"/>
        <s v="US Warehouse - FREE &amp; FAST Shipping in USA"/>
        <s v="CA"/>
        <s v="Longmont"/>
        <s v="Bloomfield Hills"/>
        <s v="Covington"/>
        <s v="Sharpsburg"/>
        <s v="Hollis"/>
        <s v="Frisco"/>
        <s v="Warsaw"/>
        <s v="Sheridan"/>
        <s v="Oklahoma City"/>
        <s v="Sarver"/>
        <s v="Friendswood"/>
        <s v="Cramerton"/>
        <s v="South Plainfield"/>
        <s v="Belfast"/>
        <s v="Shepherdsville"/>
        <s v="Guangzhou"/>
        <s v="Barnesville"/>
        <s v="Arlington Heights"/>
        <s v="Arlington"/>
        <s v="Mount Pleasant"/>
        <s v="Glen Cove"/>
        <s v="Atlanta"/>
        <s v="Boca Raton"/>
        <s v="Alpharetta"/>
        <s v="Absecon"/>
        <s v="Newtown"/>
        <s v="Edison"/>
        <s v="Orange"/>
        <s v="Aurora"/>
        <s v="Orlando"/>
        <s v="Gelsenkirchen"/>
        <s v="Bayside"/>
        <s v="Cheyenne"/>
        <s v="Sun Valley"/>
        <s v="Coppell"/>
        <s v="Alexandria"/>
        <s v="Simi Valley"/>
      </sharedItems>
    </cacheField>
    <cacheField name="seller_state" numFmtId="0">
      <sharedItems containsBlank="1" count="79">
        <s v="Texas"/>
        <s v="TX"/>
        <s v="New Jersey"/>
        <s v="NJ"/>
        <s v="SC"/>
        <s v="NC"/>
        <s v="AZ"/>
        <m/>
        <s v="China"/>
        <s v="PA"/>
        <s v="Connecticut"/>
        <s v="California"/>
        <s v="FL"/>
        <s v="CA"/>
        <s v="Florida"/>
        <s v="New York"/>
        <s v="NY"/>
        <s v="Kentucky"/>
        <s v="KY"/>
        <s v="New Hampshire"/>
        <s v="OR"/>
        <s v="WA"/>
        <s v="Netherlands"/>
        <s v="Maryland"/>
        <s v="UT"/>
        <s v="Arizona"/>
        <s v="IL"/>
        <s v="Illinois"/>
        <s v="IN"/>
        <s v="Missouri"/>
        <s v="Kansas"/>
        <s v="Utah"/>
        <s v="CO"/>
        <s v="NV"/>
        <s v="United States"/>
        <s v="MI"/>
        <s v="Tennessee"/>
        <s v="Indiana"/>
        <s v="Montana"/>
        <s v="MT"/>
        <s v="AR"/>
        <s v="Arkansas"/>
        <s v="MD"/>
        <s v="Idaho"/>
        <s v="VA"/>
        <s v="OH"/>
        <s v="ID"/>
        <s v="Massachusetts"/>
        <s v="Georgia"/>
        <s v="LA"/>
        <s v="Louisiana"/>
        <s v="North Carolina"/>
        <s v="Puerto Rico"/>
        <s v="Minnesota"/>
        <s v="GA"/>
        <s v="Pennsylvania"/>
        <s v="Colorado"/>
        <s v="HI"/>
        <s v="OK"/>
        <s v="Wisconsin"/>
        <s v="Delaware"/>
        <s v="Washington"/>
        <s v="South Carolina"/>
        <s v="New Mexico"/>
        <s v="RI"/>
        <s v="Michigan"/>
        <s v="NE"/>
        <s v="MA"/>
        <s v="BestBuy Warehouses"/>
        <s v="MO"/>
        <s v="Virginia"/>
        <s v="Ohio"/>
        <s v="Nevada"/>
        <s v="KS"/>
        <s v="Vietnam"/>
        <s v="WY"/>
        <s v="Oklahoma"/>
        <s v="Antrim"/>
        <s v="NW"/>
      </sharedItems>
    </cacheField>
    <cacheField name="seller_country" numFmtId="0">
      <sharedItems containsBlank="1" count="4">
        <s v="United States"/>
        <m/>
        <s v="United Kingdom"/>
        <s v="Germany"/>
      </sharedItems>
    </cacheField>
    <cacheField name="ships_to_count" numFmtId="0">
      <sharedItems containsSemiMixedTypes="0" containsString="0" containsNumber="1" containsInteger="1" minValue="0" maxValue="208" count="37">
        <n v="168"/>
        <n v="167"/>
        <n v="2"/>
        <n v="162"/>
        <n v="0"/>
        <n v="1"/>
        <n v="45"/>
        <n v="48"/>
        <n v="3"/>
        <n v="147"/>
        <n v="161"/>
        <n v="143"/>
        <n v="146"/>
        <n v="33"/>
        <n v="208"/>
        <n v="166"/>
        <n v="169"/>
        <n v="170"/>
        <n v="163"/>
        <n v="191"/>
        <n v="202"/>
        <n v="182"/>
        <n v="179"/>
        <n v="126"/>
        <n v="43"/>
        <n v="14"/>
        <n v="64"/>
        <n v="61"/>
        <n v="4"/>
        <n v="6"/>
        <n v="46"/>
        <n v="192"/>
        <n v="164"/>
        <n v="38"/>
        <n v="206"/>
        <n v="7"/>
        <n v="39"/>
      </sharedItems>
    </cacheField>
    <cacheField name="excluded_country_count" numFmtId="0">
      <sharedItems containsSemiMixedTypes="0" containsString="0" containsNumber="1" containsInteger="1" minValue="0" maxValue="226" count="72">
        <n v="13"/>
        <n v="220"/>
        <n v="11"/>
        <n v="20"/>
        <n v="0"/>
        <n v="226"/>
        <n v="168"/>
        <n v="164"/>
        <n v="216"/>
        <n v="53"/>
        <n v="38"/>
        <n v="44"/>
        <n v="39"/>
        <n v="23"/>
        <n v="27"/>
        <n v="60"/>
        <n v="61"/>
        <n v="47"/>
        <n v="58"/>
        <n v="19"/>
        <n v="62"/>
        <n v="2"/>
        <n v="28"/>
        <n v="51"/>
        <n v="17"/>
        <n v="15"/>
        <n v="59"/>
        <n v="93"/>
        <n v="49"/>
        <n v="57"/>
        <n v="65"/>
        <n v="54"/>
        <n v="14"/>
        <n v="73"/>
        <n v="22"/>
        <n v="26"/>
        <n v="21"/>
        <n v="219"/>
        <n v="12"/>
        <n v="45"/>
        <n v="43"/>
        <n v="48"/>
        <n v="18"/>
        <n v="107"/>
        <n v="41"/>
        <n v="100"/>
        <n v="101"/>
        <n v="150"/>
        <n v="147"/>
        <n v="16"/>
        <n v="172"/>
        <n v="76"/>
        <n v="30"/>
        <n v="56"/>
        <n v="148"/>
        <n v="74"/>
        <n v="29"/>
        <n v="138"/>
        <n v="140"/>
        <n v="215"/>
        <n v="94"/>
        <n v="213"/>
        <n v="46"/>
        <n v="50"/>
        <n v="24"/>
        <n v="143"/>
        <n v="36"/>
        <n v="173"/>
        <n v="52"/>
        <n v="151"/>
        <n v="1"/>
        <n v="218"/>
      </sharedItems>
    </cacheField>
    <cacheField name="global_reach_score" numFmtId="0">
      <sharedItems containsString="0" containsBlank="1" containsNumber="1" minValue="0.0044" maxValue="0.9498" count="131">
        <n v="0.9282"/>
        <n v="0.9278"/>
        <n v="0.009"/>
        <n v="0.9385"/>
        <n v="0.8901"/>
        <m/>
        <n v="0.0044"/>
        <n v="0.2113"/>
        <n v="0.2264"/>
        <n v="0.0137"/>
        <n v="0.0185"/>
        <n v="0.9382"/>
        <n v="0.7946"/>
        <n v="0.8895"/>
        <n v="0.7647"/>
        <n v="0.7903"/>
        <n v="0.7892"/>
        <n v="0.5893"/>
        <n v="0.9412"/>
        <n v="0.0357"/>
        <n v="0.7297"/>
        <n v="0.7602"/>
        <n v="0.7252"/>
        <n v="0.7814"/>
        <n v="0.7364"/>
        <n v="0.0833"/>
        <n v="0.895"/>
        <n v="0.722"/>
        <n v="0.758"/>
        <n v="0.3333"/>
        <n v="0.0345"/>
        <n v="0.0417"/>
        <n v="0.7671"/>
        <n v="0.0556"/>
        <n v="0.0625"/>
        <n v="0.733"/>
        <n v="0.9498"/>
        <n v="0.0106"/>
        <n v="0.7678"/>
        <n v="0.9389"/>
        <n v="0.9392"/>
        <n v="0.9081"/>
        <n v="0.0172"/>
        <n v="0.1333"/>
        <n v="0.0152"/>
        <n v="0.75"/>
        <n v="0.7535"/>
        <n v="0.8571"/>
        <n v="0.0667"/>
        <n v="0.0135"/>
        <n v="0.0208"/>
        <n v="0.7342"/>
        <n v="0.7376"/>
        <n v="0.8944"/>
        <n v="0.8804"/>
        <n v="0.037"/>
        <n v="0.8852"/>
        <n v="0.9333"/>
        <n v="0.9317"/>
        <n v="0.7837"/>
        <n v="0.7913"/>
        <n v="0.7751"/>
        <n v="0.9484"/>
        <n v="0.0714"/>
        <n v="0.0204"/>
        <n v="0.0222"/>
        <n v="0.9"/>
        <n v="0.8667"/>
        <n v="0.905"/>
        <n v="0.0093"/>
        <n v="0.0476"/>
        <n v="0.9032"/>
        <n v="0.0238"/>
        <n v="0.7568"/>
        <n v="0.0099"/>
        <n v="0.0098"/>
        <n v="0.9421"/>
        <n v="0.0066"/>
        <n v="0.0068"/>
        <n v="0.8155"/>
        <n v="0.933"/>
        <n v="0.069"/>
        <n v="0.9126"/>
        <n v="0.6811"/>
        <n v="0.0769"/>
        <n v="0.2"/>
        <n v="0.013"/>
        <n v="0.0323"/>
        <n v="0.7431"/>
        <n v="0.56"/>
        <n v="0.3019"/>
        <n v="0.0455"/>
        <n v="0.0133"/>
        <n v="0.1111"/>
        <n v="0.8482"/>
        <n v="0.0072"/>
        <n v="0.936"/>
        <n v="0.3035"/>
        <n v="0.0183"/>
        <n v="0.7591"/>
        <n v="0.0105"/>
        <n v="0.0274"/>
        <n v="0.7788"/>
        <n v="0.785"/>
        <n v="0.763"/>
        <n v="0.871"/>
        <n v="0.04"/>
        <n v="0.807"/>
        <n v="0.9458"/>
        <n v="0.0227"/>
        <n v="0.7664"/>
        <n v="0.8519"/>
        <n v="0.0069"/>
        <n v="0.8757"/>
        <n v="0.5135"/>
        <n v="0.05"/>
        <n v="0.1991"/>
        <n v="0.9406"/>
        <n v="0.7731"/>
        <n v="0.0526"/>
        <n v="0.9337"/>
        <n v="0.7557"/>
        <n v="0.7636"/>
        <n v="0.0192"/>
        <n v="0.0588"/>
        <n v="0.0189"/>
        <n v="0.7358"/>
        <n v="0.8756"/>
        <n v="0.8995"/>
        <n v="0.5"/>
        <n v="0.0136"/>
      </sharedItems>
    </cacheField>
    <cacheField name="is_us_only_shipping" numFmtId="0">
      <sharedItems containsSemiMixedTypes="0" containsString="0" containsNumber="1" containsInteger="1" minValue="0" maxValue="1" count="2">
        <n v="0"/>
        <n v="1"/>
      </sharedItems>
    </cacheField>
    <cacheField name="days_since_update" numFmtId="0">
      <sharedItems containsString="0" containsBlank="1" containsNumber="1" containsInteger="1" minValue="2" maxValue="1738" count="130">
        <n v="7"/>
        <n v="2"/>
        <n v="3"/>
        <n v="9"/>
        <n v="60"/>
        <n v="5"/>
        <n v="40"/>
        <n v="22"/>
        <m/>
        <n v="619"/>
        <n v="18"/>
        <n v="17"/>
        <n v="6"/>
        <n v="28"/>
        <n v="36"/>
        <n v="70"/>
        <n v="30"/>
        <n v="52"/>
        <n v="26"/>
        <n v="119"/>
        <n v="176"/>
        <n v="186"/>
        <n v="178"/>
        <n v="188"/>
        <n v="16"/>
        <n v="23"/>
        <n v="11"/>
        <n v="37"/>
        <n v="10"/>
        <n v="4"/>
        <n v="128"/>
        <n v="24"/>
        <n v="12"/>
        <n v="39"/>
        <n v="34"/>
        <n v="14"/>
        <n v="63"/>
        <n v="66"/>
        <n v="50"/>
        <n v="32"/>
        <n v="59"/>
        <n v="13"/>
        <n v="47"/>
        <n v="27"/>
        <n v="8"/>
        <n v="67"/>
        <n v="82"/>
        <n v="19"/>
        <n v="55"/>
        <n v="192"/>
        <n v="74"/>
        <n v="562"/>
        <n v="220"/>
        <n v="15"/>
        <n v="45"/>
        <n v="43"/>
        <n v="102"/>
        <n v="73"/>
        <n v="810"/>
        <n v="374"/>
        <n v="1572"/>
        <n v="814"/>
        <n v="71"/>
        <n v="44"/>
        <n v="31"/>
        <n v="139"/>
        <n v="204"/>
        <n v="185"/>
        <n v="90"/>
        <n v="179"/>
        <n v="86"/>
        <n v="754"/>
        <n v="81"/>
        <n v="131"/>
        <n v="114"/>
        <n v="61"/>
        <n v="29"/>
        <n v="356"/>
        <n v="130"/>
        <n v="425"/>
        <n v="170"/>
        <n v="83"/>
        <n v="21"/>
        <n v="142"/>
        <n v="144"/>
        <n v="107"/>
        <n v="1738"/>
        <n v="147"/>
        <n v="157"/>
        <n v="154"/>
        <n v="343"/>
        <n v="146"/>
        <n v="247"/>
        <n v="68"/>
        <n v="62"/>
        <n v="196"/>
        <n v="20"/>
        <n v="85"/>
        <n v="143"/>
        <n v="46"/>
        <n v="33"/>
        <n v="216"/>
        <n v="113"/>
        <n v="25"/>
        <n v="58"/>
        <n v="199"/>
        <n v="109"/>
        <n v="49"/>
        <n v="295"/>
        <n v="126"/>
        <n v="341"/>
        <n v="95"/>
        <n v="65"/>
        <n v="151"/>
        <n v="472"/>
        <n v="88"/>
        <n v="92"/>
        <n v="201"/>
        <n v="135"/>
        <n v="134"/>
        <n v="51"/>
        <n v="57"/>
        <n v="35"/>
        <n v="48"/>
        <n v="77"/>
        <n v="141"/>
        <n v="140"/>
        <n v="180"/>
        <n v="152"/>
        <n v="116"/>
      </sharedItems>
    </cacheField>
    <cacheField name="listing_freshness_score" numFmtId="0">
      <sharedItems containsString="0" containsBlank="1" containsNumber="1" minValue="0" maxValue="99.5" count="121">
        <n v="98.1"/>
        <n v="99.5"/>
        <n v="99.2"/>
        <n v="97.5"/>
        <n v="83.6"/>
        <n v="98.6"/>
        <n v="89"/>
        <n v="94"/>
        <m/>
        <n v="0"/>
        <n v="95.1"/>
        <n v="95.3"/>
        <n v="98.4"/>
        <n v="92.3"/>
        <n v="90.1"/>
        <n v="80.8"/>
        <n v="91.8"/>
        <n v="85.8"/>
        <n v="92.9"/>
        <n v="67.4"/>
        <n v="51.8"/>
        <n v="49"/>
        <n v="51.2"/>
        <n v="48.5"/>
        <n v="95.6"/>
        <n v="93.7"/>
        <n v="97"/>
        <n v="89.9"/>
        <n v="97.3"/>
        <n v="98.9"/>
        <n v="64.9"/>
        <n v="93.4"/>
        <n v="96.7"/>
        <n v="89.3"/>
        <n v="90.7"/>
        <n v="96.2"/>
        <n v="82.7"/>
        <n v="81.9"/>
        <n v="86.3"/>
        <n v="91.2"/>
        <n v="83.8"/>
        <n v="96.4"/>
        <n v="87.1"/>
        <n v="92.6"/>
        <n v="97.8"/>
        <n v="81.6"/>
        <n v="77.5"/>
        <n v="94.8"/>
        <n v="84.9"/>
        <n v="47.4"/>
        <n v="79.7"/>
        <n v="39.7"/>
        <n v="95.9"/>
        <n v="87.7"/>
        <n v="88.2"/>
        <n v="72.1"/>
        <n v="80"/>
        <n v="80.5"/>
        <n v="87.9"/>
        <n v="91.5"/>
        <n v="61.9"/>
        <n v="44.1"/>
        <n v="49.3"/>
        <n v="75.3"/>
        <n v="51"/>
        <n v="76.4"/>
        <n v="77.8"/>
        <n v="64.1"/>
        <n v="68.8"/>
        <n v="83.3"/>
        <n v="92.1"/>
        <n v="2.5"/>
        <n v="64.4"/>
        <n v="53.4"/>
        <n v="77.3"/>
        <n v="94.2"/>
        <n v="61.1"/>
        <n v="60.5"/>
        <n v="70.7"/>
        <n v="59.7"/>
        <n v="57"/>
        <n v="57.8"/>
        <n v="6"/>
        <n v="60"/>
        <n v="32.3"/>
        <n v="81.4"/>
        <n v="83"/>
        <n v="46.3"/>
        <n v="94.5"/>
        <n v="76.7"/>
        <n v="60.8"/>
        <n v="87.4"/>
        <n v="91"/>
        <n v="40.8"/>
        <n v="69"/>
        <n v="93.2"/>
        <n v="84.1"/>
        <n v="45.5"/>
        <n v="70.1"/>
        <n v="86.6"/>
        <n v="19.2"/>
        <n v="65.5"/>
        <n v="6.6"/>
        <n v="74"/>
        <n v="82.2"/>
        <n v="58.6"/>
        <n v="75.9"/>
        <n v="74.8"/>
        <n v="44.9"/>
        <n v="63"/>
        <n v="63.3"/>
        <n v="86"/>
        <n v="84.4"/>
        <n v="90.4"/>
        <n v="86.8"/>
        <n v="78.9"/>
        <n v="61.4"/>
        <n v="61.6"/>
        <n v="50.7"/>
        <n v="58.4"/>
        <n v="68.2"/>
      </sharedItems>
    </cacheField>
    <cacheField name="estimated_revenue" numFmtId="0">
      <sharedItems containsSemiMixedTypes="0" containsString="0" containsNumber="1" minValue="0" maxValue="564743.52" count="742">
        <n v="269.97"/>
        <n v="4549.65"/>
        <n v="719.64"/>
        <n v="7749.5"/>
        <n v="14399.64"/>
        <n v="2859.89"/>
        <n v="1274.95"/>
        <n v="4349.85"/>
        <n v="725.67"/>
        <n v="64151.98"/>
        <n v="10788.7"/>
        <n v="2899.6"/>
        <n v="9182.25"/>
        <n v="0"/>
        <n v="599.97"/>
        <n v="3507.66"/>
        <n v="4316.85"/>
        <n v="2917.65"/>
        <n v="25959.23"/>
        <n v="24664.29"/>
        <n v="14156.46"/>
        <n v="2071.44"/>
        <n v="1699.66"/>
        <n v="1839.84"/>
        <n v="110794.46"/>
        <n v="21599.76"/>
        <n v="3599.28"/>
        <n v="12349.05"/>
        <n v="2729.79"/>
        <n v="14719.84"/>
        <n v="50748.55"/>
        <n v="3119.87"/>
        <n v="324783.76"/>
        <n v="27748.15"/>
        <n v="127791.48"/>
        <n v="2419.78"/>
        <n v="15710.51"/>
        <n v="53999.64"/>
        <n v="1979.34"/>
        <n v="20968.4"/>
        <n v="64819.3"/>
        <n v="140"/>
        <n v="539.91"/>
        <n v="121.5"/>
        <n v="276.75"/>
        <n v="229.5"/>
        <n v="526.5"/>
        <n v="2243.49"/>
        <n v="1099.56"/>
        <n v="478.8"/>
        <n v="215"/>
        <n v="1239.69"/>
        <n v="7895.55"/>
        <n v="13092.09"/>
        <n v="15003.51"/>
        <n v="56077.56"/>
        <n v="5067.09"/>
        <n v="20694.52"/>
        <n v="307668.24"/>
        <n v="73036.5"/>
        <n v="28660.1"/>
        <n v="11783.59"/>
        <n v="16798.6"/>
        <n v="12121.89"/>
        <n v="37020.85"/>
        <n v="15190.88"/>
        <n v="759.96"/>
        <n v="152"/>
        <n v="875"/>
        <n v="10080"/>
        <n v="2718"/>
        <n v="870"/>
        <n v="4624.8"/>
        <n v="158.46"/>
        <n v="99.99"/>
        <n v="6277.57"/>
        <n v="299.99"/>
        <n v="70"/>
        <n v="3799.62"/>
        <n v="2199.95"/>
        <n v="675"/>
        <n v="7559.82"/>
        <n v="776.93"/>
        <n v="659.97"/>
        <n v="934.99"/>
        <n v="199.98"/>
        <n v="899.91"/>
        <n v="16774.39"/>
        <n v="5813.83"/>
        <n v="1099.9"/>
        <n v="2479.69"/>
        <n v="717.66"/>
        <n v="6909.44"/>
        <n v="3748.08"/>
        <n v="1139.92"/>
        <n v="17079.1"/>
        <n v="3009.6"/>
        <n v="9722.3"/>
        <n v="300.52"/>
        <n v="3767.1"/>
        <n v="1121.43"/>
        <n v="89.82"/>
        <n v="19.99"/>
        <n v="3119.61"/>
        <n v="1105.56"/>
        <n v="3321.51"/>
        <n v="11971.74"/>
        <n v="239.96"/>
        <n v="146.99"/>
        <n v="114585.62"/>
        <n v="544.39"/>
        <n v="40182.61"/>
        <n v="22436.26"/>
        <n v="11649.34"/>
        <n v="873.52"/>
        <n v="537.52"/>
        <n v="2393.85"/>
        <n v="6533.56"/>
        <n v="3217.41"/>
        <n v="3767.01"/>
        <n v="36525.5"/>
        <n v="9679.12"/>
        <n v="593.89"/>
        <n v="4031.76"/>
        <n v="18160.11"/>
        <n v="2633.07"/>
        <n v="18246.63"/>
        <n v="64072.67"/>
        <n v="9624.65"/>
        <n v="3387.78"/>
        <n v="14431.99"/>
        <n v="4972.06"/>
        <n v="2069.54"/>
        <n v="7259.34"/>
        <n v="100167.35"/>
        <n v="19915.91"/>
        <n v="65916.66"/>
        <n v="29921.25"/>
        <n v="8315.23"/>
        <n v="286.28"/>
        <n v="89.86"/>
        <n v="1070.49"/>
        <n v="203"/>
        <n v="18141.9"/>
        <n v="2428.2"/>
        <n v="4060"/>
        <n v="445.5"/>
        <n v="49230.94"/>
        <n v="14.17"/>
        <n v="567.82"/>
        <n v="740.81"/>
        <n v="2866.65"/>
        <n v="942.59"/>
        <n v="2729.35"/>
        <n v="239.94"/>
        <n v="959.88"/>
        <n v="7581.63"/>
        <n v="102217.92"/>
        <n v="2085.33"/>
        <n v="3609.81"/>
        <n v="8089.11"/>
        <n v="1484.44"/>
        <n v="258"/>
        <n v="589"/>
        <n v="239.84"/>
        <n v="409.59"/>
        <n v="593.34"/>
        <n v="866.21"/>
        <n v="9382.39"/>
        <n v="1373.94"/>
        <n v="2419.56"/>
        <n v="596"/>
        <n v="157.47"/>
        <n v="1349.55"/>
        <n v="96.99"/>
        <n v="3593.8"/>
        <n v="2519.86"/>
        <n v="1365"/>
        <n v="899.94"/>
        <n v="5805.85"/>
        <n v="683.24"/>
        <n v="1303.05"/>
        <n v="105"/>
        <n v="120"/>
        <n v="1316.7"/>
        <n v="328.9"/>
        <n v="2144.61"/>
        <n v="2572.83"/>
        <n v="727.95"/>
        <n v="185.69"/>
        <n v="167.72"/>
        <n v="44832"/>
        <n v="1006.56"/>
        <n v="439.57"/>
        <n v="139.96"/>
        <n v="299.9"/>
        <n v="1215.81"/>
        <n v="26.28"/>
        <n v="19793.92"/>
        <n v="26141.34"/>
        <n v="35545.77"/>
        <n v="5456.28"/>
        <n v="25005.6"/>
        <n v="10500"/>
        <n v="692.64"/>
        <n v="5430.06"/>
        <n v="179.91"/>
        <n v="39069.36"/>
        <n v="119.96"/>
        <n v="1748.25"/>
        <n v="15523.6"/>
        <n v="449.94"/>
        <n v="10239.48"/>
        <n v="90114.96"/>
        <n v="18775.12"/>
        <n v="320"/>
        <n v="47.99"/>
        <n v="12979.41"/>
        <n v="1465.37"/>
        <n v="21681.12"/>
        <n v="5414.4"/>
        <n v="1427.01"/>
        <n v="26.59"/>
        <n v="8513.34"/>
        <n v="329.97"/>
        <n v="1259.91"/>
        <n v="699.9"/>
        <n v="1839.77"/>
        <n v="799"/>
        <n v="509.15"/>
        <n v="149.95"/>
        <n v="922.88"/>
        <n v="260.76"/>
        <n v="25"/>
        <n v="3851.64"/>
        <n v="14749.51"/>
        <n v="79.98"/>
        <n v="503.64"/>
        <n v="938.7"/>
        <n v="585"/>
        <n v="592"/>
        <n v="7400"/>
        <n v="356"/>
        <n v="478.08"/>
        <n v="537.84"/>
        <n v="328.68"/>
        <n v="1195.2"/>
        <n v="494.67"/>
        <n v="492.83"/>
        <n v="846.93"/>
        <n v="2492"/>
        <n v="324.85"/>
        <n v="126.28"/>
        <n v="4993.15"/>
        <n v="3338.43"/>
        <n v="11237.5"/>
        <n v="4114.5"/>
        <n v="3451.2"/>
        <n v="14759.69"/>
        <n v="2423.4"/>
        <n v="52.98"/>
        <n v="719.76"/>
        <n v="2773.5"/>
        <n v="879.76"/>
        <n v="3982"/>
        <n v="2565.86"/>
        <n v="1692.46"/>
        <n v="6216"/>
        <n v="59.98"/>
        <n v="1104"/>
        <n v="56542.98"/>
        <n v="8359.62"/>
        <n v="108306.45"/>
        <n v="979.51"/>
        <n v="1276.58"/>
        <n v="4947.99"/>
        <n v="1019.94"/>
        <n v="447.68"/>
        <n v="563.53"/>
        <n v="6383.61"/>
        <n v="1599.36"/>
        <n v="21447.69"/>
        <n v="899.85"/>
        <n v="40216.59"/>
        <n v="5719.56"/>
        <n v="699.93"/>
        <n v="254.85"/>
        <n v="1939.03"/>
        <n v="215.88"/>
        <n v="623.77"/>
        <n v="307.78"/>
        <n v="47.79"/>
        <n v="161.99"/>
        <n v="3597.03"/>
        <n v="3675.23"/>
        <n v="345"/>
        <n v="2388.32"/>
        <n v="939.72"/>
        <n v="340.23"/>
        <n v="1050"/>
        <n v="1200"/>
        <n v="12382.92"/>
        <n v="23916.75"/>
        <n v="16.99"/>
        <n v="2107.89"/>
        <n v="5713.73"/>
        <n v="473.75"/>
        <n v="1517.78"/>
        <n v="259.9"/>
        <n v="554.63"/>
        <n v="167.92"/>
        <n v="348"/>
        <n v="389.97"/>
        <n v="139.51"/>
        <n v="4333.18"/>
        <n v="90"/>
        <n v="110.97"/>
        <n v="2250"/>
        <n v="223.93"/>
        <n v="644.57"/>
        <n v="839.16"/>
        <n v="8749.23"/>
        <n v="172.95"/>
        <n v="129.95"/>
        <n v="4199.25"/>
        <n v="3509.22"/>
        <n v="9997.5"/>
        <n v="3279.92"/>
        <n v="230"/>
        <n v="269.98"/>
        <n v="8524.91"/>
        <n v="118213.56"/>
        <n v="97"/>
        <n v="245.98"/>
        <n v="791.92"/>
        <n v="2201.5"/>
        <n v="3826.17"/>
        <n v="1749.65"/>
        <n v="17222.81"/>
        <n v="1528.67"/>
        <n v="42209.91"/>
        <n v="139.79"/>
        <n v="21523.86"/>
        <n v="5725.59"/>
        <n v="18455.54"/>
        <n v="5411.92"/>
        <n v="21059.1"/>
        <n v="13308.3"/>
        <n v="24572.94"/>
        <n v="29340.64"/>
        <n v="4564.89"/>
        <n v="21500.64"/>
        <n v="46150.83"/>
        <n v="25332.76"/>
        <n v="88014.78"/>
        <n v="28588.56"/>
        <n v="598.47"/>
        <n v="4261.68"/>
        <n v="19245.87"/>
        <n v="3695.76"/>
        <n v="4175.4"/>
        <n v="1714.7"/>
        <n v="6603.84"/>
        <n v="15124.14"/>
        <n v="14781.15"/>
        <n v="71928.42"/>
        <n v="9109.99"/>
        <n v="35275.52"/>
        <n v="31938.66"/>
        <n v="86421.03"/>
        <n v="30714.88"/>
        <n v="16243.38"/>
        <n v="111732.16"/>
        <n v="8039.33"/>
        <n v="15265.89"/>
        <n v="94527.7"/>
        <n v="36386.52"/>
        <n v="34801.55"/>
        <n v="49552.92"/>
        <n v="47706.33"/>
        <n v="50218.45"/>
        <n v="2663.82"/>
        <n v="10591.43"/>
        <n v="838.74"/>
        <n v="20678.61"/>
        <n v="10079.04"/>
        <n v="2859.48"/>
        <n v="10264.47"/>
        <n v="2073.39"/>
        <n v="47712.72"/>
        <n v="9383.62"/>
        <n v="16948.87"/>
        <n v="677.49"/>
        <n v="66.79"/>
        <n v="3449.31"/>
        <n v="541.73"/>
        <n v="68381"/>
        <n v="4179"/>
        <n v="305.1"/>
        <n v="323.4"/>
        <n v="27380.78"/>
        <n v="71.52"/>
        <n v="8555.38"/>
        <n v="335.88"/>
        <n v="1049.65"/>
        <n v="13399.8"/>
        <n v="11699.22"/>
        <n v="9659.54"/>
        <n v="11049.15"/>
        <n v="8819.51"/>
        <n v="5719.87"/>
        <n v="54003"/>
        <n v="8959.36"/>
        <n v="10317.42"/>
        <n v="31438.69"/>
        <n v="5129.62"/>
        <n v="13399.33"/>
        <n v="20148.45"/>
        <n v="9149.39"/>
        <n v="1287.54"/>
        <n v="83.7"/>
        <n v="200.16"/>
        <n v="13520"/>
        <n v="39.88"/>
        <n v="1235.88"/>
        <n v="11319.65"/>
        <n v="493.48"/>
        <n v="1139.34"/>
        <n v="309.99"/>
        <n v="959.94"/>
        <n v="33496.12"/>
        <n v="404.7"/>
        <n v="4930"/>
        <n v="209.97"/>
        <n v="1439.91"/>
        <n v="457.98"/>
        <n v="1727.88"/>
        <n v="1150.8"/>
        <n v="3219.86"/>
        <n v="15.95"/>
        <n v="781.83"/>
        <n v="1259.88"/>
        <n v="899.9"/>
        <n v="245.57"/>
        <n v="957.35"/>
        <n v="2204"/>
        <n v="13999"/>
        <n v="2920.77"/>
        <n v="6089.13"/>
        <n v="2800.57"/>
        <n v="2911.87"/>
        <n v="14399.28"/>
        <n v="1519.24"/>
        <n v="246.99"/>
        <n v="2175.83"/>
        <n v="49.95"/>
        <n v="1319.56"/>
        <n v="152.91"/>
        <n v="32.52"/>
        <n v="148.5"/>
        <n v="539.55"/>
        <n v="11004"/>
        <n v="1819.74"/>
        <n v="305.83"/>
        <n v="10077.2"/>
        <n v="2066.61"/>
        <n v="49.94"/>
        <n v="132"/>
        <n v="5623.63"/>
        <n v="11519.04"/>
        <n v="776.63"/>
        <n v="21511.12"/>
        <n v="1623.71"/>
        <n v="158244.02"/>
        <n v="8839.74"/>
        <n v="18499.5"/>
        <n v="53708.69"/>
        <n v="10197.15"/>
        <n v="43468.38"/>
        <n v="13414.71"/>
        <n v="321679.65"/>
        <n v="2939.79"/>
        <n v="276976.81"/>
        <n v="110693.85"/>
        <n v="7208.97"/>
        <n v="3499.5"/>
        <n v="6507.83"/>
        <n v="1592.46"/>
        <n v="49.98"/>
        <n v="16379.09"/>
        <n v="740.61"/>
        <n v="359.96"/>
        <n v="839.4"/>
        <n v="209.85"/>
        <n v="464.69"/>
        <n v="1371.51"/>
        <n v="623.74"/>
        <n v="3570.27"/>
        <n v="1036.56"/>
        <n v="10247.95"/>
        <n v="2399.8"/>
        <n v="1086.34"/>
        <n v="129"/>
        <n v="2159.64"/>
        <n v="1255.8"/>
        <n v="2123.1"/>
        <n v="4437.64"/>
        <n v="569.81"/>
        <n v="835.8"/>
        <n v="399.85"/>
        <n v="857.48"/>
        <n v="10295.88"/>
        <n v="11229.57"/>
        <n v="16342.95"/>
        <n v="2661.15"/>
        <n v="95"/>
        <n v="15599.48"/>
        <n v="30411.55"/>
        <n v="1785"/>
        <n v="32364"/>
        <n v="4002"/>
        <n v="2114.91"/>
        <n v="24738.75"/>
        <n v="57.36"/>
        <n v="570"/>
        <n v="7702.7"/>
        <n v="24746.31"/>
        <n v="1812.51"/>
        <n v="1055.84"/>
        <n v="22396.8"/>
        <n v="769.89"/>
        <n v="9557.61"/>
        <n v="6715.54"/>
        <n v="4544"/>
        <n v="2307.9"/>
        <n v="3540"/>
        <n v="5974"/>
        <n v="4799.94"/>
        <n v="26"/>
        <n v="36"/>
        <n v="1599.68"/>
        <n v="3360.73"/>
        <n v="267180"/>
        <n v="46071.93"/>
        <n v="69022.38"/>
        <n v="26110.08"/>
        <n v="179567.7"/>
        <n v="45358.38"/>
        <n v="10599.8"/>
        <n v="3779.65"/>
        <n v="11244.27"/>
        <n v="26997"/>
        <n v="33780.72"/>
        <n v="83434.04"/>
        <n v="10879.32"/>
        <n v="311820.51"/>
        <n v="20328.93"/>
        <n v="10484.32"/>
        <n v="187859"/>
        <n v="192707.58"/>
        <n v="304912.74"/>
        <n v="49391.44"/>
        <n v="3094.71"/>
        <n v="4434.1"/>
        <n v="739.63"/>
        <n v="40142.41"/>
        <n v="51680"/>
        <n v="564743.52"/>
        <n v="5399.73"/>
        <n v="109813.54"/>
        <n v="32639.68"/>
        <n v="38278.68"/>
        <n v="64494.84"/>
        <n v="2689.74"/>
        <n v="716.16"/>
        <n v="648.78"/>
        <n v="21.95"/>
        <n v="199.6"/>
        <n v="14161"/>
        <n v="1777.6"/>
        <n v="206.99"/>
        <n v="12900"/>
        <n v="1709.91"/>
        <n v="15343.92"/>
        <n v="328.56"/>
        <n v="36581.49"/>
        <n v="4288.7"/>
        <n v="999.8"/>
        <n v="139.99"/>
        <n v="77.94"/>
        <n v="118.43"/>
        <n v="5712"/>
        <n v="419.97"/>
        <n v="11730"/>
        <n v="2399.56"/>
        <n v="17411.29"/>
        <n v="555.36"/>
        <n v="690"/>
        <n v="7170.8"/>
        <n v="12657.32"/>
        <n v="1643.4"/>
        <n v="4085.17"/>
        <n v="3958.7"/>
        <n v="20391.57"/>
        <n v="192515.62"/>
        <n v="3221.59"/>
        <n v="29146.26"/>
        <n v="2316.67"/>
        <n v="223.96"/>
        <n v="1595.6"/>
        <n v="225"/>
        <n v="2762.25"/>
        <n v="1146.36"/>
        <n v="199.92"/>
        <n v="519.96"/>
        <n v="3874.69"/>
        <n v="1859.94"/>
        <n v="119.9"/>
        <n v="672.86"/>
        <n v="1837.47"/>
        <n v="272.97"/>
        <n v="491.73"/>
        <n v="2585.52"/>
        <n v="660"/>
        <n v="2403.16"/>
        <n v="3889.43"/>
        <n v="8743.35"/>
        <n v="7717.92"/>
        <n v="569.97"/>
        <n v="626.36"/>
        <n v="521.4"/>
        <n v="5391"/>
        <n v="1799.7"/>
        <n v="1079.7"/>
        <n v="7918.8"/>
        <n v="51494.7"/>
        <n v="5074.65"/>
        <n v="11039.31"/>
        <n v="7823.91"/>
        <n v="8680.49"/>
        <n v="874.65"/>
        <n v="599.96"/>
        <n v="999.96"/>
        <n v="310.05"/>
        <n v="1559.94"/>
        <n v="443.88"/>
        <n v="4495.35"/>
        <n v="17900.19"/>
        <n v="5774.48"/>
        <n v="599.85"/>
        <n v="35.99"/>
        <n v="4796"/>
        <n v="1019.32"/>
        <n v="9510.48"/>
        <n v="11517.44"/>
        <n v="23586.63"/>
        <n v="3442.77"/>
        <n v="7899.21"/>
        <n v="1429.45"/>
        <n v="896.61"/>
        <n v="4263.75"/>
        <n v="4849.03"/>
        <n v="1758"/>
        <n v="359.55"/>
        <n v="119.85"/>
        <n v="6660"/>
        <n v="2912.7"/>
        <n v="4492.93"/>
        <n v="13140"/>
        <n v="5428.5"/>
        <n v="6332.48"/>
        <n v="119.94"/>
        <n v="646.65"/>
        <n v="100"/>
        <n v="800"/>
        <n v="4340"/>
        <n v="3914.4"/>
        <n v="3501.99"/>
        <n v="17580.64"/>
        <n v="37513.3"/>
        <n v="42423.54"/>
        <n v="6451.77"/>
        <n v="34563.4"/>
        <n v="3599.6"/>
        <n v="271691.28"/>
        <n v="46263.44"/>
        <n v="21027.86"/>
        <n v="603"/>
        <n v="468"/>
        <n v="187"/>
        <n v="3394.19"/>
        <n v="10709.16"/>
        <n v="5031.6"/>
        <n v="54447.15"/>
        <n v="5848.96"/>
        <n v="7108.98"/>
        <n v="7949.47"/>
        <n v="791.84"/>
        <n v="3900.34"/>
        <n v="2504.64"/>
        <n v="4417.5"/>
        <n v="33675"/>
        <n v="169"/>
        <n v="3508.83"/>
        <n v="3358.32"/>
        <n v="1543.97"/>
        <n v="1496.93"/>
        <n v="172.5"/>
        <n v="3455.06"/>
        <n v="1661.55"/>
        <n v="450.66"/>
        <n v="2304"/>
        <n v="314.97"/>
        <n v="109.1"/>
        <n v="1348.5"/>
        <n v="298"/>
        <n v="3117.4"/>
        <n v="4199.85"/>
        <n v="146154.78"/>
        <n v="291256.13"/>
        <n v="125"/>
        <n v="1102.8"/>
        <n v="3294"/>
        <n v="2878.56"/>
        <n v="179.98"/>
        <n v="539.94"/>
        <n v="1649.45"/>
        <n v="819.59"/>
        <n v="1484.67"/>
        <n v="6799.32"/>
        <n v="179.94"/>
        <n v="1449.42"/>
        <n v="51906.42"/>
        <n v="32680.46"/>
        <n v="2630.55"/>
        <n v="2400"/>
        <n v="117.9"/>
        <n v="828.34"/>
        <n v="4342.69"/>
        <n v="712.5"/>
        <n v="149.97"/>
        <n v="999.9"/>
      </sharedItems>
    </cacheField>
  </cacheFields>
</pivotCacheDefinition>
</file>

<file path=xl/pivotCache/pivotCacheRecords1.xml><?xml version="1.0" encoding="utf-8"?>
<pivotCacheRecords xmlns="http://schemas.openxmlformats.org/spreadsheetml/2006/main" xmlns:r="http://schemas.openxmlformats.org/officeDocument/2006/relationships" count="862">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
    <x v="0"/>
    <x v="1"/>
    <x v="1"/>
    <x v="0"/>
    <x v="0"/>
    <x v="0"/>
    <x v="0"/>
    <x v="1"/>
    <x v="1"/>
    <x v="1"/>
    <x v="0"/>
    <x v="0"/>
    <x v="0"/>
    <x v="0"/>
    <x v="0"/>
    <x v="1"/>
    <x v="0"/>
    <x v="1"/>
    <x v="1"/>
    <x v="1"/>
    <x v="0"/>
    <x v="1"/>
    <x v="1"/>
    <x v="0"/>
    <x v="0"/>
    <x v="0"/>
    <x v="0"/>
    <x v="1"/>
    <x v="1"/>
    <x v="0"/>
    <x v="0"/>
    <x v="1"/>
    <x v="0"/>
    <x v="0"/>
    <x v="0"/>
    <x v="0"/>
    <x v="0"/>
    <x v="0"/>
    <x v="0"/>
    <x v="0"/>
    <x v="0"/>
    <x v="0"/>
    <x v="0"/>
    <x v="0"/>
    <x v="1"/>
    <x v="0"/>
    <x v="0"/>
    <x v="0"/>
    <x v="0"/>
    <x v="0"/>
    <x v="0"/>
    <x v="0"/>
    <x v="1"/>
    <x v="0"/>
    <x v="0"/>
    <x v="0"/>
    <x v="0"/>
    <x v="0"/>
    <x v="0"/>
    <x v="0"/>
    <x v="0"/>
    <x v="1"/>
    <x v="1"/>
    <x v="1"/>
  </r>
  <r>
    <x v="2"/>
    <x v="1"/>
    <x v="2"/>
    <x v="2"/>
    <x v="1"/>
    <x v="1"/>
    <x v="1"/>
    <x v="1"/>
    <x v="1"/>
    <x v="1"/>
    <x v="2"/>
    <x v="0"/>
    <x v="0"/>
    <x v="0"/>
    <x v="0"/>
    <x v="1"/>
    <x v="2"/>
    <x v="0"/>
    <x v="2"/>
    <x v="2"/>
    <x v="2"/>
    <x v="1"/>
    <x v="2"/>
    <x v="2"/>
    <x v="1"/>
    <x v="1"/>
    <x v="1"/>
    <x v="1"/>
    <x v="1"/>
    <x v="2"/>
    <x v="0"/>
    <x v="0"/>
    <x v="1"/>
    <x v="0"/>
    <x v="0"/>
    <x v="0"/>
    <x v="0"/>
    <x v="0"/>
    <x v="0"/>
    <x v="0"/>
    <x v="0"/>
    <x v="0"/>
    <x v="1"/>
    <x v="0"/>
    <x v="0"/>
    <x v="0"/>
    <x v="0"/>
    <x v="1"/>
    <x v="1"/>
    <x v="0"/>
    <x v="0"/>
    <x v="1"/>
    <x v="1"/>
    <x v="2"/>
    <x v="0"/>
    <x v="0"/>
    <x v="1"/>
    <x v="0"/>
    <x v="0"/>
    <x v="0"/>
    <x v="0"/>
    <x v="0"/>
    <x v="1"/>
    <x v="1"/>
    <x v="2"/>
  </r>
  <r>
    <x v="3"/>
    <x v="0"/>
    <x v="3"/>
    <x v="3"/>
    <x v="2"/>
    <x v="0"/>
    <x v="0"/>
    <x v="0"/>
    <x v="1"/>
    <x v="1"/>
    <x v="3"/>
    <x v="0"/>
    <x v="0"/>
    <x v="0"/>
    <x v="0"/>
    <x v="0"/>
    <x v="3"/>
    <x v="0"/>
    <x v="3"/>
    <x v="3"/>
    <x v="3"/>
    <x v="0"/>
    <x v="3"/>
    <x v="3"/>
    <x v="2"/>
    <x v="0"/>
    <x v="0"/>
    <x v="0"/>
    <x v="1"/>
    <x v="3"/>
    <x v="0"/>
    <x v="0"/>
    <x v="1"/>
    <x v="0"/>
    <x v="0"/>
    <x v="0"/>
    <x v="0"/>
    <x v="0"/>
    <x v="0"/>
    <x v="0"/>
    <x v="0"/>
    <x v="0"/>
    <x v="0"/>
    <x v="0"/>
    <x v="0"/>
    <x v="0"/>
    <x v="0"/>
    <x v="0"/>
    <x v="1"/>
    <x v="0"/>
    <x v="0"/>
    <x v="0"/>
    <x v="0"/>
    <x v="3"/>
    <x v="0"/>
    <x v="0"/>
    <x v="1"/>
    <x v="0"/>
    <x v="0"/>
    <x v="0"/>
    <x v="0"/>
    <x v="0"/>
    <x v="2"/>
    <x v="2"/>
    <x v="3"/>
  </r>
  <r>
    <x v="4"/>
    <x v="0"/>
    <x v="4"/>
    <x v="4"/>
    <x v="3"/>
    <x v="2"/>
    <x v="0"/>
    <x v="0"/>
    <x v="1"/>
    <x v="1"/>
    <x v="4"/>
    <x v="0"/>
    <x v="0"/>
    <x v="0"/>
    <x v="0"/>
    <x v="2"/>
    <x v="4"/>
    <x v="1"/>
    <x v="2"/>
    <x v="4"/>
    <x v="4"/>
    <x v="0"/>
    <x v="4"/>
    <x v="4"/>
    <x v="3"/>
    <x v="2"/>
    <x v="0"/>
    <x v="0"/>
    <x v="1"/>
    <x v="4"/>
    <x v="0"/>
    <x v="0"/>
    <x v="1"/>
    <x v="0"/>
    <x v="0"/>
    <x v="0"/>
    <x v="0"/>
    <x v="0"/>
    <x v="0"/>
    <x v="0"/>
    <x v="0"/>
    <x v="0"/>
    <x v="1"/>
    <x v="0"/>
    <x v="0"/>
    <x v="0"/>
    <x v="0"/>
    <x v="1"/>
    <x v="0"/>
    <x v="0"/>
    <x v="1"/>
    <x v="0"/>
    <x v="1"/>
    <x v="4"/>
    <x v="0"/>
    <x v="0"/>
    <x v="1"/>
    <x v="0"/>
    <x v="0"/>
    <x v="0"/>
    <x v="0"/>
    <x v="0"/>
    <x v="1"/>
    <x v="1"/>
    <x v="4"/>
  </r>
  <r>
    <x v="5"/>
    <x v="0"/>
    <x v="5"/>
    <x v="5"/>
    <x v="4"/>
    <x v="2"/>
    <x v="0"/>
    <x v="0"/>
    <x v="0"/>
    <x v="0"/>
    <x v="5"/>
    <x v="0"/>
    <x v="0"/>
    <x v="0"/>
    <x v="0"/>
    <x v="2"/>
    <x v="5"/>
    <x v="2"/>
    <x v="4"/>
    <x v="5"/>
    <x v="5"/>
    <x v="0"/>
    <x v="5"/>
    <x v="5"/>
    <x v="4"/>
    <x v="2"/>
    <x v="0"/>
    <x v="0"/>
    <x v="0"/>
    <x v="5"/>
    <x v="0"/>
    <x v="0"/>
    <x v="1"/>
    <x v="0"/>
    <x v="0"/>
    <x v="0"/>
    <x v="0"/>
    <x v="1"/>
    <x v="0"/>
    <x v="0"/>
    <x v="1"/>
    <x v="0"/>
    <x v="1"/>
    <x v="0"/>
    <x v="0"/>
    <x v="0"/>
    <x v="0"/>
    <x v="1"/>
    <x v="1"/>
    <x v="1"/>
    <x v="1"/>
    <x v="0"/>
    <x v="2"/>
    <x v="5"/>
    <x v="0"/>
    <x v="0"/>
    <x v="1"/>
    <x v="0"/>
    <x v="0"/>
    <x v="0"/>
    <x v="0"/>
    <x v="0"/>
    <x v="1"/>
    <x v="1"/>
    <x v="5"/>
  </r>
  <r>
    <x v="6"/>
    <x v="0"/>
    <x v="6"/>
    <x v="6"/>
    <x v="5"/>
    <x v="2"/>
    <x v="0"/>
    <x v="0"/>
    <x v="0"/>
    <x v="0"/>
    <x v="6"/>
    <x v="0"/>
    <x v="0"/>
    <x v="0"/>
    <x v="0"/>
    <x v="2"/>
    <x v="6"/>
    <x v="3"/>
    <x v="5"/>
    <x v="5"/>
    <x v="6"/>
    <x v="0"/>
    <x v="6"/>
    <x v="6"/>
    <x v="5"/>
    <x v="2"/>
    <x v="0"/>
    <x v="0"/>
    <x v="0"/>
    <x v="6"/>
    <x v="0"/>
    <x v="0"/>
    <x v="1"/>
    <x v="0"/>
    <x v="0"/>
    <x v="0"/>
    <x v="0"/>
    <x v="1"/>
    <x v="0"/>
    <x v="0"/>
    <x v="0"/>
    <x v="0"/>
    <x v="0"/>
    <x v="0"/>
    <x v="0"/>
    <x v="0"/>
    <x v="0"/>
    <x v="1"/>
    <x v="1"/>
    <x v="1"/>
    <x v="1"/>
    <x v="0"/>
    <x v="0"/>
    <x v="6"/>
    <x v="0"/>
    <x v="0"/>
    <x v="1"/>
    <x v="0"/>
    <x v="0"/>
    <x v="0"/>
    <x v="0"/>
    <x v="0"/>
    <x v="1"/>
    <x v="1"/>
    <x v="6"/>
  </r>
  <r>
    <x v="7"/>
    <x v="0"/>
    <x v="7"/>
    <x v="7"/>
    <x v="6"/>
    <x v="2"/>
    <x v="0"/>
    <x v="0"/>
    <x v="0"/>
    <x v="0"/>
    <x v="7"/>
    <x v="0"/>
    <x v="0"/>
    <x v="0"/>
    <x v="0"/>
    <x v="2"/>
    <x v="7"/>
    <x v="4"/>
    <x v="6"/>
    <x v="5"/>
    <x v="7"/>
    <x v="0"/>
    <x v="7"/>
    <x v="7"/>
    <x v="6"/>
    <x v="2"/>
    <x v="0"/>
    <x v="0"/>
    <x v="0"/>
    <x v="7"/>
    <x v="0"/>
    <x v="0"/>
    <x v="0"/>
    <x v="1"/>
    <x v="0"/>
    <x v="0"/>
    <x v="0"/>
    <x v="0"/>
    <x v="0"/>
    <x v="0"/>
    <x v="0"/>
    <x v="0"/>
    <x v="1"/>
    <x v="0"/>
    <x v="0"/>
    <x v="0"/>
    <x v="0"/>
    <x v="1"/>
    <x v="1"/>
    <x v="1"/>
    <x v="2"/>
    <x v="0"/>
    <x v="2"/>
    <x v="7"/>
    <x v="0"/>
    <x v="0"/>
    <x v="1"/>
    <x v="0"/>
    <x v="1"/>
    <x v="0"/>
    <x v="1"/>
    <x v="0"/>
    <x v="1"/>
    <x v="1"/>
    <x v="7"/>
  </r>
  <r>
    <x v="8"/>
    <x v="2"/>
    <x v="8"/>
    <x v="8"/>
    <x v="7"/>
    <x v="0"/>
    <x v="1"/>
    <x v="2"/>
    <x v="1"/>
    <x v="1"/>
    <x v="8"/>
    <x v="0"/>
    <x v="0"/>
    <x v="0"/>
    <x v="0"/>
    <x v="1"/>
    <x v="8"/>
    <x v="0"/>
    <x v="7"/>
    <x v="6"/>
    <x v="8"/>
    <x v="2"/>
    <x v="8"/>
    <x v="8"/>
    <x v="7"/>
    <x v="0"/>
    <x v="1"/>
    <x v="2"/>
    <x v="1"/>
    <x v="8"/>
    <x v="1"/>
    <x v="0"/>
    <x v="1"/>
    <x v="1"/>
    <x v="0"/>
    <x v="1"/>
    <x v="0"/>
    <x v="0"/>
    <x v="0"/>
    <x v="0"/>
    <x v="0"/>
    <x v="0"/>
    <x v="0"/>
    <x v="0"/>
    <x v="0"/>
    <x v="1"/>
    <x v="0"/>
    <x v="0"/>
    <x v="0"/>
    <x v="0"/>
    <x v="0"/>
    <x v="0"/>
    <x v="2"/>
    <x v="8"/>
    <x v="1"/>
    <x v="0"/>
    <x v="0"/>
    <x v="0"/>
    <x v="2"/>
    <x v="1"/>
    <x v="2"/>
    <x v="0"/>
    <x v="3"/>
    <x v="3"/>
    <x v="8"/>
  </r>
  <r>
    <x v="9"/>
    <x v="3"/>
    <x v="8"/>
    <x v="8"/>
    <x v="7"/>
    <x v="0"/>
    <x v="1"/>
    <x v="1"/>
    <x v="2"/>
    <x v="2"/>
    <x v="9"/>
    <x v="0"/>
    <x v="0"/>
    <x v="0"/>
    <x v="0"/>
    <x v="0"/>
    <x v="9"/>
    <x v="0"/>
    <x v="8"/>
    <x v="6"/>
    <x v="9"/>
    <x v="3"/>
    <x v="8"/>
    <x v="8"/>
    <x v="7"/>
    <x v="0"/>
    <x v="1"/>
    <x v="1"/>
    <x v="2"/>
    <x v="9"/>
    <x v="0"/>
    <x v="0"/>
    <x v="1"/>
    <x v="1"/>
    <x v="0"/>
    <x v="0"/>
    <x v="0"/>
    <x v="0"/>
    <x v="0"/>
    <x v="0"/>
    <x v="0"/>
    <x v="0"/>
    <x v="0"/>
    <x v="0"/>
    <x v="0"/>
    <x v="0"/>
    <x v="0"/>
    <x v="0"/>
    <x v="1"/>
    <x v="0"/>
    <x v="0"/>
    <x v="0"/>
    <x v="2"/>
    <x v="9"/>
    <x v="1"/>
    <x v="1"/>
    <x v="0"/>
    <x v="0"/>
    <x v="2"/>
    <x v="1"/>
    <x v="2"/>
    <x v="0"/>
    <x v="4"/>
    <x v="4"/>
    <x v="9"/>
  </r>
  <r>
    <x v="10"/>
    <x v="4"/>
    <x v="8"/>
    <x v="9"/>
    <x v="8"/>
    <x v="3"/>
    <x v="1"/>
    <x v="1"/>
    <x v="1"/>
    <x v="1"/>
    <x v="10"/>
    <x v="0"/>
    <x v="0"/>
    <x v="0"/>
    <x v="0"/>
    <x v="3"/>
    <x v="10"/>
    <x v="0"/>
    <x v="9"/>
    <x v="7"/>
    <x v="10"/>
    <x v="4"/>
    <x v="8"/>
    <x v="9"/>
    <x v="8"/>
    <x v="3"/>
    <x v="1"/>
    <x v="1"/>
    <x v="1"/>
    <x v="10"/>
    <x v="0"/>
    <x v="0"/>
    <x v="1"/>
    <x v="0"/>
    <x v="0"/>
    <x v="0"/>
    <x v="0"/>
    <x v="0"/>
    <x v="0"/>
    <x v="0"/>
    <x v="0"/>
    <x v="0"/>
    <x v="0"/>
    <x v="0"/>
    <x v="0"/>
    <x v="0"/>
    <x v="0"/>
    <x v="0"/>
    <x v="0"/>
    <x v="0"/>
    <x v="0"/>
    <x v="0"/>
    <x v="0"/>
    <x v="10"/>
    <x v="2"/>
    <x v="2"/>
    <x v="2"/>
    <x v="0"/>
    <x v="0"/>
    <x v="2"/>
    <x v="3"/>
    <x v="0"/>
    <x v="5"/>
    <x v="5"/>
    <x v="10"/>
  </r>
  <r>
    <x v="11"/>
    <x v="4"/>
    <x v="8"/>
    <x v="8"/>
    <x v="7"/>
    <x v="3"/>
    <x v="1"/>
    <x v="1"/>
    <x v="1"/>
    <x v="1"/>
    <x v="11"/>
    <x v="0"/>
    <x v="0"/>
    <x v="0"/>
    <x v="0"/>
    <x v="3"/>
    <x v="11"/>
    <x v="0"/>
    <x v="10"/>
    <x v="6"/>
    <x v="11"/>
    <x v="4"/>
    <x v="8"/>
    <x v="8"/>
    <x v="7"/>
    <x v="3"/>
    <x v="1"/>
    <x v="1"/>
    <x v="1"/>
    <x v="11"/>
    <x v="0"/>
    <x v="0"/>
    <x v="1"/>
    <x v="1"/>
    <x v="0"/>
    <x v="0"/>
    <x v="0"/>
    <x v="0"/>
    <x v="0"/>
    <x v="0"/>
    <x v="0"/>
    <x v="0"/>
    <x v="0"/>
    <x v="0"/>
    <x v="0"/>
    <x v="0"/>
    <x v="1"/>
    <x v="0"/>
    <x v="0"/>
    <x v="0"/>
    <x v="0"/>
    <x v="0"/>
    <x v="2"/>
    <x v="11"/>
    <x v="2"/>
    <x v="2"/>
    <x v="3"/>
    <x v="0"/>
    <x v="0"/>
    <x v="2"/>
    <x v="3"/>
    <x v="0"/>
    <x v="6"/>
    <x v="6"/>
    <x v="11"/>
  </r>
  <r>
    <x v="12"/>
    <x v="4"/>
    <x v="8"/>
    <x v="8"/>
    <x v="9"/>
    <x v="4"/>
    <x v="1"/>
    <x v="1"/>
    <x v="1"/>
    <x v="1"/>
    <x v="12"/>
    <x v="0"/>
    <x v="0"/>
    <x v="0"/>
    <x v="0"/>
    <x v="1"/>
    <x v="12"/>
    <x v="0"/>
    <x v="11"/>
    <x v="6"/>
    <x v="12"/>
    <x v="4"/>
    <x v="8"/>
    <x v="8"/>
    <x v="9"/>
    <x v="4"/>
    <x v="1"/>
    <x v="1"/>
    <x v="1"/>
    <x v="12"/>
    <x v="0"/>
    <x v="0"/>
    <x v="1"/>
    <x v="0"/>
    <x v="0"/>
    <x v="0"/>
    <x v="0"/>
    <x v="0"/>
    <x v="0"/>
    <x v="0"/>
    <x v="0"/>
    <x v="0"/>
    <x v="0"/>
    <x v="0"/>
    <x v="0"/>
    <x v="0"/>
    <x v="0"/>
    <x v="0"/>
    <x v="0"/>
    <x v="0"/>
    <x v="0"/>
    <x v="0"/>
    <x v="0"/>
    <x v="12"/>
    <x v="2"/>
    <x v="2"/>
    <x v="3"/>
    <x v="0"/>
    <x v="0"/>
    <x v="2"/>
    <x v="3"/>
    <x v="0"/>
    <x v="7"/>
    <x v="7"/>
    <x v="12"/>
  </r>
  <r>
    <x v="13"/>
    <x v="5"/>
    <x v="8"/>
    <x v="8"/>
    <x v="6"/>
    <x v="5"/>
    <x v="2"/>
    <x v="0"/>
    <x v="1"/>
    <x v="1"/>
    <x v="13"/>
    <x v="0"/>
    <x v="0"/>
    <x v="0"/>
    <x v="0"/>
    <x v="0"/>
    <x v="13"/>
    <x v="5"/>
    <x v="12"/>
    <x v="8"/>
    <x v="13"/>
    <x v="5"/>
    <x v="8"/>
    <x v="8"/>
    <x v="6"/>
    <x v="5"/>
    <x v="2"/>
    <x v="0"/>
    <x v="1"/>
    <x v="13"/>
    <x v="0"/>
    <x v="0"/>
    <x v="1"/>
    <x v="0"/>
    <x v="0"/>
    <x v="0"/>
    <x v="0"/>
    <x v="0"/>
    <x v="0"/>
    <x v="0"/>
    <x v="0"/>
    <x v="0"/>
    <x v="1"/>
    <x v="0"/>
    <x v="0"/>
    <x v="0"/>
    <x v="0"/>
    <x v="1"/>
    <x v="0"/>
    <x v="0"/>
    <x v="2"/>
    <x v="0"/>
    <x v="1"/>
    <x v="13"/>
    <x v="3"/>
    <x v="3"/>
    <x v="4"/>
    <x v="0"/>
    <x v="0"/>
    <x v="2"/>
    <x v="3"/>
    <x v="0"/>
    <x v="8"/>
    <x v="8"/>
    <x v="13"/>
  </r>
  <r>
    <x v="14"/>
    <x v="6"/>
    <x v="8"/>
    <x v="8"/>
    <x v="10"/>
    <x v="5"/>
    <x v="1"/>
    <x v="1"/>
    <x v="2"/>
    <x v="2"/>
    <x v="14"/>
    <x v="0"/>
    <x v="0"/>
    <x v="0"/>
    <x v="0"/>
    <x v="0"/>
    <x v="14"/>
    <x v="1"/>
    <x v="0"/>
    <x v="9"/>
    <x v="14"/>
    <x v="6"/>
    <x v="8"/>
    <x v="8"/>
    <x v="10"/>
    <x v="5"/>
    <x v="1"/>
    <x v="1"/>
    <x v="2"/>
    <x v="14"/>
    <x v="0"/>
    <x v="0"/>
    <x v="0"/>
    <x v="0"/>
    <x v="1"/>
    <x v="0"/>
    <x v="0"/>
    <x v="0"/>
    <x v="0"/>
    <x v="0"/>
    <x v="0"/>
    <x v="0"/>
    <x v="0"/>
    <x v="0"/>
    <x v="0"/>
    <x v="0"/>
    <x v="0"/>
    <x v="0"/>
    <x v="1"/>
    <x v="0"/>
    <x v="3"/>
    <x v="0"/>
    <x v="0"/>
    <x v="14"/>
    <x v="4"/>
    <x v="4"/>
    <x v="5"/>
    <x v="0"/>
    <x v="3"/>
    <x v="3"/>
    <x v="4"/>
    <x v="0"/>
    <x v="9"/>
    <x v="9"/>
    <x v="14"/>
  </r>
  <r>
    <x v="15"/>
    <x v="7"/>
    <x v="8"/>
    <x v="8"/>
    <x v="6"/>
    <x v="5"/>
    <x v="1"/>
    <x v="1"/>
    <x v="3"/>
    <x v="3"/>
    <x v="15"/>
    <x v="0"/>
    <x v="0"/>
    <x v="0"/>
    <x v="0"/>
    <x v="2"/>
    <x v="15"/>
    <x v="0"/>
    <x v="12"/>
    <x v="8"/>
    <x v="15"/>
    <x v="7"/>
    <x v="8"/>
    <x v="8"/>
    <x v="6"/>
    <x v="5"/>
    <x v="1"/>
    <x v="1"/>
    <x v="3"/>
    <x v="15"/>
    <x v="0"/>
    <x v="0"/>
    <x v="1"/>
    <x v="0"/>
    <x v="0"/>
    <x v="0"/>
    <x v="0"/>
    <x v="0"/>
    <x v="0"/>
    <x v="0"/>
    <x v="0"/>
    <x v="0"/>
    <x v="1"/>
    <x v="0"/>
    <x v="0"/>
    <x v="0"/>
    <x v="0"/>
    <x v="1"/>
    <x v="0"/>
    <x v="0"/>
    <x v="0"/>
    <x v="0"/>
    <x v="1"/>
    <x v="15"/>
    <x v="5"/>
    <x v="5"/>
    <x v="6"/>
    <x v="0"/>
    <x v="0"/>
    <x v="2"/>
    <x v="3"/>
    <x v="0"/>
    <x v="10"/>
    <x v="10"/>
    <x v="13"/>
  </r>
  <r>
    <x v="16"/>
    <x v="7"/>
    <x v="8"/>
    <x v="8"/>
    <x v="3"/>
    <x v="5"/>
    <x v="1"/>
    <x v="1"/>
    <x v="3"/>
    <x v="3"/>
    <x v="16"/>
    <x v="0"/>
    <x v="0"/>
    <x v="0"/>
    <x v="0"/>
    <x v="2"/>
    <x v="16"/>
    <x v="0"/>
    <x v="12"/>
    <x v="8"/>
    <x v="16"/>
    <x v="7"/>
    <x v="8"/>
    <x v="8"/>
    <x v="3"/>
    <x v="5"/>
    <x v="1"/>
    <x v="1"/>
    <x v="3"/>
    <x v="16"/>
    <x v="0"/>
    <x v="0"/>
    <x v="0"/>
    <x v="0"/>
    <x v="0"/>
    <x v="0"/>
    <x v="0"/>
    <x v="0"/>
    <x v="0"/>
    <x v="0"/>
    <x v="0"/>
    <x v="0"/>
    <x v="1"/>
    <x v="0"/>
    <x v="0"/>
    <x v="0"/>
    <x v="0"/>
    <x v="1"/>
    <x v="0"/>
    <x v="0"/>
    <x v="0"/>
    <x v="0"/>
    <x v="1"/>
    <x v="16"/>
    <x v="5"/>
    <x v="6"/>
    <x v="7"/>
    <x v="1"/>
    <x v="4"/>
    <x v="4"/>
    <x v="5"/>
    <x v="0"/>
    <x v="11"/>
    <x v="11"/>
    <x v="13"/>
  </r>
  <r>
    <x v="17"/>
    <x v="2"/>
    <x v="8"/>
    <x v="8"/>
    <x v="11"/>
    <x v="5"/>
    <x v="1"/>
    <x v="2"/>
    <x v="1"/>
    <x v="1"/>
    <x v="17"/>
    <x v="0"/>
    <x v="0"/>
    <x v="0"/>
    <x v="0"/>
    <x v="3"/>
    <x v="17"/>
    <x v="0"/>
    <x v="13"/>
    <x v="6"/>
    <x v="17"/>
    <x v="2"/>
    <x v="8"/>
    <x v="8"/>
    <x v="11"/>
    <x v="5"/>
    <x v="1"/>
    <x v="2"/>
    <x v="1"/>
    <x v="17"/>
    <x v="0"/>
    <x v="0"/>
    <x v="1"/>
    <x v="0"/>
    <x v="0"/>
    <x v="0"/>
    <x v="0"/>
    <x v="0"/>
    <x v="0"/>
    <x v="0"/>
    <x v="0"/>
    <x v="0"/>
    <x v="1"/>
    <x v="0"/>
    <x v="0"/>
    <x v="0"/>
    <x v="0"/>
    <x v="1"/>
    <x v="0"/>
    <x v="0"/>
    <x v="0"/>
    <x v="0"/>
    <x v="1"/>
    <x v="17"/>
    <x v="6"/>
    <x v="7"/>
    <x v="8"/>
    <x v="0"/>
    <x v="5"/>
    <x v="5"/>
    <x v="6"/>
    <x v="1"/>
    <x v="1"/>
    <x v="1"/>
    <x v="15"/>
  </r>
  <r>
    <x v="18"/>
    <x v="8"/>
    <x v="8"/>
    <x v="8"/>
    <x v="12"/>
    <x v="0"/>
    <x v="3"/>
    <x v="3"/>
    <x v="1"/>
    <x v="1"/>
    <x v="12"/>
    <x v="0"/>
    <x v="0"/>
    <x v="0"/>
    <x v="0"/>
    <x v="1"/>
    <x v="12"/>
    <x v="0"/>
    <x v="14"/>
    <x v="6"/>
    <x v="18"/>
    <x v="8"/>
    <x v="8"/>
    <x v="8"/>
    <x v="12"/>
    <x v="0"/>
    <x v="3"/>
    <x v="3"/>
    <x v="1"/>
    <x v="12"/>
    <x v="0"/>
    <x v="0"/>
    <x v="1"/>
    <x v="0"/>
    <x v="0"/>
    <x v="0"/>
    <x v="0"/>
    <x v="0"/>
    <x v="0"/>
    <x v="0"/>
    <x v="0"/>
    <x v="0"/>
    <x v="0"/>
    <x v="0"/>
    <x v="0"/>
    <x v="0"/>
    <x v="0"/>
    <x v="0"/>
    <x v="1"/>
    <x v="0"/>
    <x v="0"/>
    <x v="0"/>
    <x v="0"/>
    <x v="18"/>
    <x v="7"/>
    <x v="8"/>
    <x v="9"/>
    <x v="0"/>
    <x v="0"/>
    <x v="2"/>
    <x v="3"/>
    <x v="0"/>
    <x v="12"/>
    <x v="12"/>
    <x v="16"/>
  </r>
  <r>
    <x v="19"/>
    <x v="8"/>
    <x v="8"/>
    <x v="8"/>
    <x v="12"/>
    <x v="0"/>
    <x v="3"/>
    <x v="3"/>
    <x v="1"/>
    <x v="1"/>
    <x v="12"/>
    <x v="0"/>
    <x v="0"/>
    <x v="0"/>
    <x v="0"/>
    <x v="1"/>
    <x v="12"/>
    <x v="0"/>
    <x v="15"/>
    <x v="6"/>
    <x v="19"/>
    <x v="8"/>
    <x v="8"/>
    <x v="8"/>
    <x v="12"/>
    <x v="0"/>
    <x v="3"/>
    <x v="3"/>
    <x v="1"/>
    <x v="12"/>
    <x v="0"/>
    <x v="0"/>
    <x v="1"/>
    <x v="0"/>
    <x v="0"/>
    <x v="0"/>
    <x v="0"/>
    <x v="0"/>
    <x v="0"/>
    <x v="0"/>
    <x v="0"/>
    <x v="0"/>
    <x v="0"/>
    <x v="0"/>
    <x v="0"/>
    <x v="0"/>
    <x v="0"/>
    <x v="0"/>
    <x v="1"/>
    <x v="0"/>
    <x v="0"/>
    <x v="0"/>
    <x v="0"/>
    <x v="19"/>
    <x v="7"/>
    <x v="8"/>
    <x v="9"/>
    <x v="0"/>
    <x v="0"/>
    <x v="2"/>
    <x v="3"/>
    <x v="0"/>
    <x v="12"/>
    <x v="12"/>
    <x v="17"/>
  </r>
  <r>
    <x v="20"/>
    <x v="9"/>
    <x v="9"/>
    <x v="10"/>
    <x v="7"/>
    <x v="2"/>
    <x v="4"/>
    <x v="3"/>
    <x v="3"/>
    <x v="3"/>
    <x v="18"/>
    <x v="0"/>
    <x v="0"/>
    <x v="0"/>
    <x v="0"/>
    <x v="3"/>
    <x v="18"/>
    <x v="0"/>
    <x v="16"/>
    <x v="6"/>
    <x v="20"/>
    <x v="9"/>
    <x v="9"/>
    <x v="10"/>
    <x v="7"/>
    <x v="2"/>
    <x v="4"/>
    <x v="3"/>
    <x v="3"/>
    <x v="18"/>
    <x v="0"/>
    <x v="0"/>
    <x v="1"/>
    <x v="0"/>
    <x v="0"/>
    <x v="0"/>
    <x v="0"/>
    <x v="0"/>
    <x v="0"/>
    <x v="0"/>
    <x v="0"/>
    <x v="0"/>
    <x v="0"/>
    <x v="0"/>
    <x v="0"/>
    <x v="1"/>
    <x v="0"/>
    <x v="0"/>
    <x v="0"/>
    <x v="0"/>
    <x v="0"/>
    <x v="0"/>
    <x v="0"/>
    <x v="20"/>
    <x v="8"/>
    <x v="9"/>
    <x v="10"/>
    <x v="0"/>
    <x v="6"/>
    <x v="6"/>
    <x v="7"/>
    <x v="0"/>
    <x v="10"/>
    <x v="10"/>
    <x v="18"/>
  </r>
  <r>
    <x v="21"/>
    <x v="9"/>
    <x v="8"/>
    <x v="8"/>
    <x v="7"/>
    <x v="0"/>
    <x v="4"/>
    <x v="3"/>
    <x v="3"/>
    <x v="3"/>
    <x v="19"/>
    <x v="0"/>
    <x v="0"/>
    <x v="0"/>
    <x v="0"/>
    <x v="3"/>
    <x v="19"/>
    <x v="0"/>
    <x v="17"/>
    <x v="9"/>
    <x v="21"/>
    <x v="9"/>
    <x v="8"/>
    <x v="8"/>
    <x v="7"/>
    <x v="0"/>
    <x v="4"/>
    <x v="3"/>
    <x v="3"/>
    <x v="19"/>
    <x v="0"/>
    <x v="0"/>
    <x v="1"/>
    <x v="0"/>
    <x v="0"/>
    <x v="0"/>
    <x v="0"/>
    <x v="0"/>
    <x v="0"/>
    <x v="0"/>
    <x v="0"/>
    <x v="0"/>
    <x v="0"/>
    <x v="0"/>
    <x v="0"/>
    <x v="1"/>
    <x v="0"/>
    <x v="0"/>
    <x v="1"/>
    <x v="0"/>
    <x v="0"/>
    <x v="0"/>
    <x v="0"/>
    <x v="21"/>
    <x v="8"/>
    <x v="9"/>
    <x v="10"/>
    <x v="0"/>
    <x v="7"/>
    <x v="7"/>
    <x v="8"/>
    <x v="0"/>
    <x v="13"/>
    <x v="13"/>
    <x v="19"/>
  </r>
  <r>
    <x v="22"/>
    <x v="10"/>
    <x v="10"/>
    <x v="8"/>
    <x v="7"/>
    <x v="0"/>
    <x v="4"/>
    <x v="1"/>
    <x v="3"/>
    <x v="3"/>
    <x v="20"/>
    <x v="0"/>
    <x v="0"/>
    <x v="0"/>
    <x v="0"/>
    <x v="3"/>
    <x v="20"/>
    <x v="0"/>
    <x v="18"/>
    <x v="10"/>
    <x v="22"/>
    <x v="10"/>
    <x v="10"/>
    <x v="8"/>
    <x v="7"/>
    <x v="0"/>
    <x v="4"/>
    <x v="1"/>
    <x v="3"/>
    <x v="20"/>
    <x v="0"/>
    <x v="0"/>
    <x v="1"/>
    <x v="1"/>
    <x v="0"/>
    <x v="0"/>
    <x v="0"/>
    <x v="0"/>
    <x v="0"/>
    <x v="0"/>
    <x v="0"/>
    <x v="0"/>
    <x v="0"/>
    <x v="0"/>
    <x v="0"/>
    <x v="1"/>
    <x v="0"/>
    <x v="0"/>
    <x v="0"/>
    <x v="0"/>
    <x v="0"/>
    <x v="0"/>
    <x v="1"/>
    <x v="22"/>
    <x v="8"/>
    <x v="9"/>
    <x v="10"/>
    <x v="0"/>
    <x v="8"/>
    <x v="8"/>
    <x v="9"/>
    <x v="0"/>
    <x v="14"/>
    <x v="14"/>
    <x v="20"/>
  </r>
  <r>
    <x v="23"/>
    <x v="10"/>
    <x v="10"/>
    <x v="8"/>
    <x v="7"/>
    <x v="0"/>
    <x v="4"/>
    <x v="1"/>
    <x v="3"/>
    <x v="3"/>
    <x v="21"/>
    <x v="0"/>
    <x v="0"/>
    <x v="0"/>
    <x v="0"/>
    <x v="3"/>
    <x v="21"/>
    <x v="0"/>
    <x v="19"/>
    <x v="6"/>
    <x v="23"/>
    <x v="10"/>
    <x v="10"/>
    <x v="8"/>
    <x v="7"/>
    <x v="0"/>
    <x v="4"/>
    <x v="1"/>
    <x v="3"/>
    <x v="21"/>
    <x v="0"/>
    <x v="0"/>
    <x v="1"/>
    <x v="0"/>
    <x v="0"/>
    <x v="0"/>
    <x v="0"/>
    <x v="0"/>
    <x v="0"/>
    <x v="0"/>
    <x v="0"/>
    <x v="0"/>
    <x v="0"/>
    <x v="0"/>
    <x v="0"/>
    <x v="1"/>
    <x v="0"/>
    <x v="0"/>
    <x v="0"/>
    <x v="0"/>
    <x v="0"/>
    <x v="0"/>
    <x v="0"/>
    <x v="23"/>
    <x v="8"/>
    <x v="9"/>
    <x v="10"/>
    <x v="0"/>
    <x v="8"/>
    <x v="8"/>
    <x v="9"/>
    <x v="0"/>
    <x v="15"/>
    <x v="15"/>
    <x v="21"/>
  </r>
  <r>
    <x v="24"/>
    <x v="2"/>
    <x v="8"/>
    <x v="8"/>
    <x v="7"/>
    <x v="0"/>
    <x v="1"/>
    <x v="2"/>
    <x v="1"/>
    <x v="1"/>
    <x v="22"/>
    <x v="0"/>
    <x v="0"/>
    <x v="0"/>
    <x v="0"/>
    <x v="3"/>
    <x v="22"/>
    <x v="0"/>
    <x v="20"/>
    <x v="6"/>
    <x v="24"/>
    <x v="2"/>
    <x v="8"/>
    <x v="8"/>
    <x v="7"/>
    <x v="0"/>
    <x v="1"/>
    <x v="2"/>
    <x v="1"/>
    <x v="22"/>
    <x v="1"/>
    <x v="1"/>
    <x v="1"/>
    <x v="1"/>
    <x v="0"/>
    <x v="0"/>
    <x v="1"/>
    <x v="0"/>
    <x v="0"/>
    <x v="0"/>
    <x v="0"/>
    <x v="0"/>
    <x v="0"/>
    <x v="0"/>
    <x v="0"/>
    <x v="1"/>
    <x v="0"/>
    <x v="0"/>
    <x v="1"/>
    <x v="0"/>
    <x v="0"/>
    <x v="0"/>
    <x v="3"/>
    <x v="24"/>
    <x v="9"/>
    <x v="10"/>
    <x v="11"/>
    <x v="0"/>
    <x v="5"/>
    <x v="9"/>
    <x v="10"/>
    <x v="1"/>
    <x v="1"/>
    <x v="1"/>
    <x v="22"/>
  </r>
  <r>
    <x v="25"/>
    <x v="8"/>
    <x v="8"/>
    <x v="8"/>
    <x v="7"/>
    <x v="0"/>
    <x v="3"/>
    <x v="3"/>
    <x v="1"/>
    <x v="1"/>
    <x v="23"/>
    <x v="0"/>
    <x v="0"/>
    <x v="0"/>
    <x v="0"/>
    <x v="0"/>
    <x v="23"/>
    <x v="0"/>
    <x v="21"/>
    <x v="11"/>
    <x v="25"/>
    <x v="8"/>
    <x v="8"/>
    <x v="8"/>
    <x v="7"/>
    <x v="0"/>
    <x v="3"/>
    <x v="3"/>
    <x v="1"/>
    <x v="23"/>
    <x v="0"/>
    <x v="0"/>
    <x v="0"/>
    <x v="0"/>
    <x v="0"/>
    <x v="0"/>
    <x v="0"/>
    <x v="0"/>
    <x v="0"/>
    <x v="0"/>
    <x v="0"/>
    <x v="1"/>
    <x v="0"/>
    <x v="0"/>
    <x v="0"/>
    <x v="0"/>
    <x v="0"/>
    <x v="0"/>
    <x v="0"/>
    <x v="0"/>
    <x v="0"/>
    <x v="0"/>
    <x v="0"/>
    <x v="25"/>
    <x v="10"/>
    <x v="11"/>
    <x v="1"/>
    <x v="0"/>
    <x v="3"/>
    <x v="3"/>
    <x v="4"/>
    <x v="0"/>
    <x v="2"/>
    <x v="2"/>
    <x v="23"/>
  </r>
  <r>
    <x v="26"/>
    <x v="11"/>
    <x v="8"/>
    <x v="8"/>
    <x v="13"/>
    <x v="5"/>
    <x v="1"/>
    <x v="1"/>
    <x v="3"/>
    <x v="3"/>
    <x v="24"/>
    <x v="0"/>
    <x v="0"/>
    <x v="0"/>
    <x v="0"/>
    <x v="0"/>
    <x v="24"/>
    <x v="6"/>
    <x v="12"/>
    <x v="8"/>
    <x v="26"/>
    <x v="11"/>
    <x v="8"/>
    <x v="8"/>
    <x v="13"/>
    <x v="5"/>
    <x v="1"/>
    <x v="1"/>
    <x v="3"/>
    <x v="24"/>
    <x v="0"/>
    <x v="0"/>
    <x v="1"/>
    <x v="0"/>
    <x v="0"/>
    <x v="0"/>
    <x v="0"/>
    <x v="0"/>
    <x v="0"/>
    <x v="0"/>
    <x v="0"/>
    <x v="0"/>
    <x v="1"/>
    <x v="0"/>
    <x v="0"/>
    <x v="0"/>
    <x v="0"/>
    <x v="1"/>
    <x v="1"/>
    <x v="0"/>
    <x v="1"/>
    <x v="0"/>
    <x v="1"/>
    <x v="26"/>
    <x v="11"/>
    <x v="12"/>
    <x v="12"/>
    <x v="0"/>
    <x v="1"/>
    <x v="2"/>
    <x v="11"/>
    <x v="0"/>
    <x v="0"/>
    <x v="0"/>
    <x v="13"/>
  </r>
  <r>
    <x v="27"/>
    <x v="12"/>
    <x v="11"/>
    <x v="11"/>
    <x v="7"/>
    <x v="0"/>
    <x v="5"/>
    <x v="3"/>
    <x v="1"/>
    <x v="1"/>
    <x v="14"/>
    <x v="0"/>
    <x v="0"/>
    <x v="0"/>
    <x v="0"/>
    <x v="0"/>
    <x v="14"/>
    <x v="0"/>
    <x v="22"/>
    <x v="6"/>
    <x v="27"/>
    <x v="12"/>
    <x v="11"/>
    <x v="11"/>
    <x v="7"/>
    <x v="0"/>
    <x v="5"/>
    <x v="3"/>
    <x v="1"/>
    <x v="25"/>
    <x v="1"/>
    <x v="0"/>
    <x v="1"/>
    <x v="1"/>
    <x v="0"/>
    <x v="1"/>
    <x v="0"/>
    <x v="0"/>
    <x v="0"/>
    <x v="0"/>
    <x v="0"/>
    <x v="0"/>
    <x v="0"/>
    <x v="0"/>
    <x v="0"/>
    <x v="0"/>
    <x v="0"/>
    <x v="0"/>
    <x v="0"/>
    <x v="0"/>
    <x v="0"/>
    <x v="0"/>
    <x v="2"/>
    <x v="27"/>
    <x v="12"/>
    <x v="13"/>
    <x v="13"/>
    <x v="0"/>
    <x v="9"/>
    <x v="10"/>
    <x v="12"/>
    <x v="0"/>
    <x v="16"/>
    <x v="16"/>
    <x v="24"/>
  </r>
  <r>
    <x v="28"/>
    <x v="12"/>
    <x v="12"/>
    <x v="12"/>
    <x v="7"/>
    <x v="0"/>
    <x v="5"/>
    <x v="3"/>
    <x v="1"/>
    <x v="1"/>
    <x v="25"/>
    <x v="0"/>
    <x v="0"/>
    <x v="0"/>
    <x v="0"/>
    <x v="4"/>
    <x v="25"/>
    <x v="0"/>
    <x v="23"/>
    <x v="6"/>
    <x v="28"/>
    <x v="12"/>
    <x v="12"/>
    <x v="12"/>
    <x v="7"/>
    <x v="0"/>
    <x v="5"/>
    <x v="3"/>
    <x v="1"/>
    <x v="26"/>
    <x v="1"/>
    <x v="0"/>
    <x v="1"/>
    <x v="1"/>
    <x v="0"/>
    <x v="0"/>
    <x v="1"/>
    <x v="0"/>
    <x v="0"/>
    <x v="0"/>
    <x v="0"/>
    <x v="0"/>
    <x v="0"/>
    <x v="0"/>
    <x v="0"/>
    <x v="1"/>
    <x v="0"/>
    <x v="0"/>
    <x v="1"/>
    <x v="0"/>
    <x v="0"/>
    <x v="0"/>
    <x v="3"/>
    <x v="28"/>
    <x v="12"/>
    <x v="13"/>
    <x v="13"/>
    <x v="0"/>
    <x v="10"/>
    <x v="3"/>
    <x v="13"/>
    <x v="0"/>
    <x v="16"/>
    <x v="16"/>
    <x v="25"/>
  </r>
  <r>
    <x v="29"/>
    <x v="12"/>
    <x v="13"/>
    <x v="13"/>
    <x v="7"/>
    <x v="0"/>
    <x v="5"/>
    <x v="3"/>
    <x v="1"/>
    <x v="1"/>
    <x v="26"/>
    <x v="1"/>
    <x v="1"/>
    <x v="1"/>
    <x v="1"/>
    <x v="0"/>
    <x v="26"/>
    <x v="0"/>
    <x v="24"/>
    <x v="6"/>
    <x v="29"/>
    <x v="12"/>
    <x v="13"/>
    <x v="13"/>
    <x v="7"/>
    <x v="0"/>
    <x v="5"/>
    <x v="3"/>
    <x v="1"/>
    <x v="27"/>
    <x v="0"/>
    <x v="0"/>
    <x v="1"/>
    <x v="1"/>
    <x v="0"/>
    <x v="0"/>
    <x v="0"/>
    <x v="0"/>
    <x v="0"/>
    <x v="0"/>
    <x v="0"/>
    <x v="0"/>
    <x v="0"/>
    <x v="0"/>
    <x v="0"/>
    <x v="1"/>
    <x v="1"/>
    <x v="0"/>
    <x v="1"/>
    <x v="0"/>
    <x v="0"/>
    <x v="0"/>
    <x v="1"/>
    <x v="29"/>
    <x v="12"/>
    <x v="13"/>
    <x v="13"/>
    <x v="0"/>
    <x v="11"/>
    <x v="11"/>
    <x v="14"/>
    <x v="0"/>
    <x v="5"/>
    <x v="5"/>
    <x v="26"/>
  </r>
  <r>
    <x v="30"/>
    <x v="12"/>
    <x v="14"/>
    <x v="14"/>
    <x v="7"/>
    <x v="0"/>
    <x v="5"/>
    <x v="3"/>
    <x v="1"/>
    <x v="1"/>
    <x v="1"/>
    <x v="2"/>
    <x v="2"/>
    <x v="2"/>
    <x v="1"/>
    <x v="0"/>
    <x v="1"/>
    <x v="0"/>
    <x v="25"/>
    <x v="6"/>
    <x v="30"/>
    <x v="12"/>
    <x v="14"/>
    <x v="14"/>
    <x v="7"/>
    <x v="0"/>
    <x v="5"/>
    <x v="3"/>
    <x v="1"/>
    <x v="28"/>
    <x v="1"/>
    <x v="0"/>
    <x v="1"/>
    <x v="1"/>
    <x v="0"/>
    <x v="0"/>
    <x v="0"/>
    <x v="0"/>
    <x v="0"/>
    <x v="0"/>
    <x v="0"/>
    <x v="0"/>
    <x v="0"/>
    <x v="0"/>
    <x v="0"/>
    <x v="1"/>
    <x v="0"/>
    <x v="0"/>
    <x v="0"/>
    <x v="0"/>
    <x v="0"/>
    <x v="0"/>
    <x v="2"/>
    <x v="30"/>
    <x v="12"/>
    <x v="13"/>
    <x v="13"/>
    <x v="0"/>
    <x v="9"/>
    <x v="12"/>
    <x v="15"/>
    <x v="0"/>
    <x v="1"/>
    <x v="1"/>
    <x v="27"/>
  </r>
  <r>
    <x v="31"/>
    <x v="12"/>
    <x v="15"/>
    <x v="15"/>
    <x v="7"/>
    <x v="0"/>
    <x v="5"/>
    <x v="3"/>
    <x v="1"/>
    <x v="1"/>
    <x v="1"/>
    <x v="0"/>
    <x v="0"/>
    <x v="0"/>
    <x v="0"/>
    <x v="0"/>
    <x v="1"/>
    <x v="0"/>
    <x v="26"/>
    <x v="6"/>
    <x v="31"/>
    <x v="12"/>
    <x v="15"/>
    <x v="15"/>
    <x v="7"/>
    <x v="0"/>
    <x v="5"/>
    <x v="3"/>
    <x v="1"/>
    <x v="1"/>
    <x v="0"/>
    <x v="0"/>
    <x v="0"/>
    <x v="0"/>
    <x v="1"/>
    <x v="0"/>
    <x v="0"/>
    <x v="0"/>
    <x v="0"/>
    <x v="0"/>
    <x v="0"/>
    <x v="0"/>
    <x v="1"/>
    <x v="0"/>
    <x v="0"/>
    <x v="0"/>
    <x v="0"/>
    <x v="1"/>
    <x v="0"/>
    <x v="0"/>
    <x v="0"/>
    <x v="0"/>
    <x v="3"/>
    <x v="31"/>
    <x v="12"/>
    <x v="13"/>
    <x v="13"/>
    <x v="0"/>
    <x v="9"/>
    <x v="12"/>
    <x v="15"/>
    <x v="0"/>
    <x v="17"/>
    <x v="17"/>
    <x v="28"/>
  </r>
  <r>
    <x v="32"/>
    <x v="12"/>
    <x v="8"/>
    <x v="16"/>
    <x v="7"/>
    <x v="0"/>
    <x v="5"/>
    <x v="3"/>
    <x v="1"/>
    <x v="1"/>
    <x v="27"/>
    <x v="3"/>
    <x v="3"/>
    <x v="3"/>
    <x v="1"/>
    <x v="4"/>
    <x v="27"/>
    <x v="0"/>
    <x v="21"/>
    <x v="6"/>
    <x v="32"/>
    <x v="12"/>
    <x v="8"/>
    <x v="16"/>
    <x v="7"/>
    <x v="0"/>
    <x v="5"/>
    <x v="3"/>
    <x v="1"/>
    <x v="29"/>
    <x v="1"/>
    <x v="0"/>
    <x v="1"/>
    <x v="1"/>
    <x v="0"/>
    <x v="0"/>
    <x v="0"/>
    <x v="0"/>
    <x v="0"/>
    <x v="0"/>
    <x v="0"/>
    <x v="0"/>
    <x v="0"/>
    <x v="0"/>
    <x v="0"/>
    <x v="1"/>
    <x v="0"/>
    <x v="0"/>
    <x v="1"/>
    <x v="0"/>
    <x v="0"/>
    <x v="0"/>
    <x v="2"/>
    <x v="32"/>
    <x v="12"/>
    <x v="13"/>
    <x v="13"/>
    <x v="0"/>
    <x v="12"/>
    <x v="12"/>
    <x v="16"/>
    <x v="0"/>
    <x v="5"/>
    <x v="5"/>
    <x v="29"/>
  </r>
  <r>
    <x v="33"/>
    <x v="12"/>
    <x v="16"/>
    <x v="17"/>
    <x v="7"/>
    <x v="0"/>
    <x v="5"/>
    <x v="3"/>
    <x v="1"/>
    <x v="1"/>
    <x v="28"/>
    <x v="0"/>
    <x v="0"/>
    <x v="0"/>
    <x v="0"/>
    <x v="2"/>
    <x v="28"/>
    <x v="0"/>
    <x v="27"/>
    <x v="6"/>
    <x v="33"/>
    <x v="12"/>
    <x v="16"/>
    <x v="17"/>
    <x v="7"/>
    <x v="0"/>
    <x v="5"/>
    <x v="3"/>
    <x v="1"/>
    <x v="30"/>
    <x v="1"/>
    <x v="0"/>
    <x v="1"/>
    <x v="1"/>
    <x v="0"/>
    <x v="0"/>
    <x v="0"/>
    <x v="0"/>
    <x v="0"/>
    <x v="0"/>
    <x v="0"/>
    <x v="0"/>
    <x v="0"/>
    <x v="0"/>
    <x v="0"/>
    <x v="1"/>
    <x v="0"/>
    <x v="0"/>
    <x v="0"/>
    <x v="0"/>
    <x v="0"/>
    <x v="0"/>
    <x v="4"/>
    <x v="33"/>
    <x v="12"/>
    <x v="13"/>
    <x v="13"/>
    <x v="0"/>
    <x v="9"/>
    <x v="12"/>
    <x v="15"/>
    <x v="0"/>
    <x v="17"/>
    <x v="17"/>
    <x v="30"/>
  </r>
  <r>
    <x v="34"/>
    <x v="12"/>
    <x v="17"/>
    <x v="18"/>
    <x v="7"/>
    <x v="2"/>
    <x v="5"/>
    <x v="3"/>
    <x v="1"/>
    <x v="1"/>
    <x v="29"/>
    <x v="0"/>
    <x v="0"/>
    <x v="0"/>
    <x v="0"/>
    <x v="2"/>
    <x v="29"/>
    <x v="0"/>
    <x v="28"/>
    <x v="6"/>
    <x v="34"/>
    <x v="12"/>
    <x v="17"/>
    <x v="18"/>
    <x v="7"/>
    <x v="2"/>
    <x v="5"/>
    <x v="3"/>
    <x v="1"/>
    <x v="31"/>
    <x v="0"/>
    <x v="0"/>
    <x v="1"/>
    <x v="0"/>
    <x v="0"/>
    <x v="0"/>
    <x v="1"/>
    <x v="0"/>
    <x v="0"/>
    <x v="0"/>
    <x v="0"/>
    <x v="1"/>
    <x v="0"/>
    <x v="0"/>
    <x v="0"/>
    <x v="1"/>
    <x v="0"/>
    <x v="0"/>
    <x v="0"/>
    <x v="0"/>
    <x v="0"/>
    <x v="0"/>
    <x v="1"/>
    <x v="34"/>
    <x v="12"/>
    <x v="13"/>
    <x v="13"/>
    <x v="0"/>
    <x v="9"/>
    <x v="12"/>
    <x v="15"/>
    <x v="0"/>
    <x v="1"/>
    <x v="1"/>
    <x v="31"/>
  </r>
  <r>
    <x v="35"/>
    <x v="12"/>
    <x v="12"/>
    <x v="19"/>
    <x v="7"/>
    <x v="0"/>
    <x v="5"/>
    <x v="3"/>
    <x v="1"/>
    <x v="1"/>
    <x v="14"/>
    <x v="0"/>
    <x v="0"/>
    <x v="0"/>
    <x v="0"/>
    <x v="0"/>
    <x v="14"/>
    <x v="0"/>
    <x v="29"/>
    <x v="6"/>
    <x v="35"/>
    <x v="12"/>
    <x v="12"/>
    <x v="19"/>
    <x v="7"/>
    <x v="0"/>
    <x v="5"/>
    <x v="3"/>
    <x v="1"/>
    <x v="25"/>
    <x v="1"/>
    <x v="0"/>
    <x v="1"/>
    <x v="1"/>
    <x v="0"/>
    <x v="0"/>
    <x v="1"/>
    <x v="0"/>
    <x v="0"/>
    <x v="0"/>
    <x v="0"/>
    <x v="0"/>
    <x v="0"/>
    <x v="0"/>
    <x v="0"/>
    <x v="1"/>
    <x v="0"/>
    <x v="0"/>
    <x v="0"/>
    <x v="0"/>
    <x v="0"/>
    <x v="0"/>
    <x v="3"/>
    <x v="35"/>
    <x v="12"/>
    <x v="13"/>
    <x v="13"/>
    <x v="0"/>
    <x v="9"/>
    <x v="10"/>
    <x v="12"/>
    <x v="0"/>
    <x v="18"/>
    <x v="18"/>
    <x v="32"/>
  </r>
  <r>
    <x v="36"/>
    <x v="12"/>
    <x v="18"/>
    <x v="8"/>
    <x v="14"/>
    <x v="3"/>
    <x v="5"/>
    <x v="3"/>
    <x v="1"/>
    <x v="1"/>
    <x v="30"/>
    <x v="0"/>
    <x v="0"/>
    <x v="0"/>
    <x v="0"/>
    <x v="0"/>
    <x v="30"/>
    <x v="0"/>
    <x v="30"/>
    <x v="6"/>
    <x v="36"/>
    <x v="12"/>
    <x v="18"/>
    <x v="8"/>
    <x v="14"/>
    <x v="3"/>
    <x v="5"/>
    <x v="3"/>
    <x v="1"/>
    <x v="32"/>
    <x v="0"/>
    <x v="1"/>
    <x v="1"/>
    <x v="1"/>
    <x v="0"/>
    <x v="0"/>
    <x v="0"/>
    <x v="0"/>
    <x v="0"/>
    <x v="0"/>
    <x v="1"/>
    <x v="0"/>
    <x v="0"/>
    <x v="0"/>
    <x v="0"/>
    <x v="0"/>
    <x v="0"/>
    <x v="0"/>
    <x v="1"/>
    <x v="0"/>
    <x v="0"/>
    <x v="0"/>
    <x v="2"/>
    <x v="36"/>
    <x v="12"/>
    <x v="13"/>
    <x v="13"/>
    <x v="0"/>
    <x v="9"/>
    <x v="12"/>
    <x v="15"/>
    <x v="0"/>
    <x v="1"/>
    <x v="1"/>
    <x v="33"/>
  </r>
  <r>
    <x v="37"/>
    <x v="12"/>
    <x v="19"/>
    <x v="20"/>
    <x v="15"/>
    <x v="3"/>
    <x v="5"/>
    <x v="3"/>
    <x v="1"/>
    <x v="1"/>
    <x v="30"/>
    <x v="0"/>
    <x v="0"/>
    <x v="0"/>
    <x v="0"/>
    <x v="0"/>
    <x v="30"/>
    <x v="0"/>
    <x v="31"/>
    <x v="6"/>
    <x v="37"/>
    <x v="12"/>
    <x v="19"/>
    <x v="20"/>
    <x v="15"/>
    <x v="3"/>
    <x v="5"/>
    <x v="3"/>
    <x v="1"/>
    <x v="32"/>
    <x v="0"/>
    <x v="0"/>
    <x v="1"/>
    <x v="0"/>
    <x v="0"/>
    <x v="0"/>
    <x v="0"/>
    <x v="0"/>
    <x v="0"/>
    <x v="0"/>
    <x v="0"/>
    <x v="0"/>
    <x v="0"/>
    <x v="0"/>
    <x v="0"/>
    <x v="0"/>
    <x v="0"/>
    <x v="0"/>
    <x v="0"/>
    <x v="0"/>
    <x v="0"/>
    <x v="0"/>
    <x v="0"/>
    <x v="37"/>
    <x v="12"/>
    <x v="13"/>
    <x v="13"/>
    <x v="0"/>
    <x v="9"/>
    <x v="12"/>
    <x v="15"/>
    <x v="0"/>
    <x v="16"/>
    <x v="16"/>
    <x v="34"/>
  </r>
  <r>
    <x v="38"/>
    <x v="12"/>
    <x v="20"/>
    <x v="21"/>
    <x v="16"/>
    <x v="0"/>
    <x v="5"/>
    <x v="3"/>
    <x v="1"/>
    <x v="1"/>
    <x v="31"/>
    <x v="4"/>
    <x v="4"/>
    <x v="4"/>
    <x v="1"/>
    <x v="0"/>
    <x v="31"/>
    <x v="0"/>
    <x v="32"/>
    <x v="6"/>
    <x v="38"/>
    <x v="12"/>
    <x v="20"/>
    <x v="21"/>
    <x v="16"/>
    <x v="0"/>
    <x v="5"/>
    <x v="3"/>
    <x v="1"/>
    <x v="33"/>
    <x v="0"/>
    <x v="0"/>
    <x v="1"/>
    <x v="0"/>
    <x v="0"/>
    <x v="0"/>
    <x v="1"/>
    <x v="0"/>
    <x v="0"/>
    <x v="0"/>
    <x v="0"/>
    <x v="0"/>
    <x v="0"/>
    <x v="0"/>
    <x v="0"/>
    <x v="0"/>
    <x v="1"/>
    <x v="0"/>
    <x v="0"/>
    <x v="0"/>
    <x v="0"/>
    <x v="0"/>
    <x v="1"/>
    <x v="38"/>
    <x v="12"/>
    <x v="13"/>
    <x v="13"/>
    <x v="0"/>
    <x v="3"/>
    <x v="3"/>
    <x v="4"/>
    <x v="0"/>
    <x v="5"/>
    <x v="5"/>
    <x v="35"/>
  </r>
  <r>
    <x v="39"/>
    <x v="12"/>
    <x v="21"/>
    <x v="22"/>
    <x v="17"/>
    <x v="4"/>
    <x v="5"/>
    <x v="3"/>
    <x v="1"/>
    <x v="1"/>
    <x v="32"/>
    <x v="0"/>
    <x v="0"/>
    <x v="0"/>
    <x v="0"/>
    <x v="3"/>
    <x v="32"/>
    <x v="0"/>
    <x v="33"/>
    <x v="6"/>
    <x v="39"/>
    <x v="12"/>
    <x v="21"/>
    <x v="22"/>
    <x v="17"/>
    <x v="4"/>
    <x v="5"/>
    <x v="3"/>
    <x v="1"/>
    <x v="34"/>
    <x v="0"/>
    <x v="0"/>
    <x v="1"/>
    <x v="0"/>
    <x v="0"/>
    <x v="0"/>
    <x v="0"/>
    <x v="0"/>
    <x v="0"/>
    <x v="0"/>
    <x v="0"/>
    <x v="0"/>
    <x v="0"/>
    <x v="0"/>
    <x v="0"/>
    <x v="1"/>
    <x v="0"/>
    <x v="0"/>
    <x v="0"/>
    <x v="0"/>
    <x v="0"/>
    <x v="0"/>
    <x v="0"/>
    <x v="39"/>
    <x v="12"/>
    <x v="13"/>
    <x v="13"/>
    <x v="0"/>
    <x v="9"/>
    <x v="10"/>
    <x v="12"/>
    <x v="0"/>
    <x v="16"/>
    <x v="16"/>
    <x v="36"/>
  </r>
  <r>
    <x v="40"/>
    <x v="12"/>
    <x v="22"/>
    <x v="23"/>
    <x v="14"/>
    <x v="3"/>
    <x v="5"/>
    <x v="3"/>
    <x v="1"/>
    <x v="1"/>
    <x v="33"/>
    <x v="0"/>
    <x v="0"/>
    <x v="0"/>
    <x v="0"/>
    <x v="4"/>
    <x v="33"/>
    <x v="7"/>
    <x v="2"/>
    <x v="6"/>
    <x v="40"/>
    <x v="12"/>
    <x v="22"/>
    <x v="23"/>
    <x v="14"/>
    <x v="3"/>
    <x v="5"/>
    <x v="3"/>
    <x v="1"/>
    <x v="35"/>
    <x v="0"/>
    <x v="0"/>
    <x v="0"/>
    <x v="0"/>
    <x v="1"/>
    <x v="0"/>
    <x v="1"/>
    <x v="0"/>
    <x v="0"/>
    <x v="0"/>
    <x v="0"/>
    <x v="0"/>
    <x v="1"/>
    <x v="0"/>
    <x v="0"/>
    <x v="0"/>
    <x v="0"/>
    <x v="1"/>
    <x v="1"/>
    <x v="0"/>
    <x v="1"/>
    <x v="0"/>
    <x v="2"/>
    <x v="40"/>
    <x v="12"/>
    <x v="13"/>
    <x v="11"/>
    <x v="0"/>
    <x v="13"/>
    <x v="13"/>
    <x v="17"/>
    <x v="0"/>
    <x v="1"/>
    <x v="1"/>
    <x v="37"/>
  </r>
  <r>
    <x v="41"/>
    <x v="12"/>
    <x v="13"/>
    <x v="24"/>
    <x v="7"/>
    <x v="0"/>
    <x v="5"/>
    <x v="3"/>
    <x v="1"/>
    <x v="1"/>
    <x v="34"/>
    <x v="5"/>
    <x v="5"/>
    <x v="5"/>
    <x v="1"/>
    <x v="3"/>
    <x v="34"/>
    <x v="0"/>
    <x v="7"/>
    <x v="6"/>
    <x v="41"/>
    <x v="12"/>
    <x v="13"/>
    <x v="24"/>
    <x v="7"/>
    <x v="0"/>
    <x v="5"/>
    <x v="3"/>
    <x v="1"/>
    <x v="36"/>
    <x v="0"/>
    <x v="0"/>
    <x v="1"/>
    <x v="1"/>
    <x v="0"/>
    <x v="0"/>
    <x v="0"/>
    <x v="0"/>
    <x v="0"/>
    <x v="0"/>
    <x v="0"/>
    <x v="0"/>
    <x v="0"/>
    <x v="0"/>
    <x v="0"/>
    <x v="1"/>
    <x v="1"/>
    <x v="0"/>
    <x v="0"/>
    <x v="0"/>
    <x v="0"/>
    <x v="0"/>
    <x v="2"/>
    <x v="41"/>
    <x v="12"/>
    <x v="6"/>
    <x v="7"/>
    <x v="1"/>
    <x v="4"/>
    <x v="4"/>
    <x v="5"/>
    <x v="0"/>
    <x v="5"/>
    <x v="5"/>
    <x v="38"/>
  </r>
  <r>
    <x v="42"/>
    <x v="13"/>
    <x v="8"/>
    <x v="8"/>
    <x v="18"/>
    <x v="1"/>
    <x v="1"/>
    <x v="1"/>
    <x v="1"/>
    <x v="1"/>
    <x v="35"/>
    <x v="0"/>
    <x v="0"/>
    <x v="0"/>
    <x v="0"/>
    <x v="1"/>
    <x v="35"/>
    <x v="0"/>
    <x v="34"/>
    <x v="6"/>
    <x v="42"/>
    <x v="13"/>
    <x v="8"/>
    <x v="8"/>
    <x v="18"/>
    <x v="1"/>
    <x v="1"/>
    <x v="1"/>
    <x v="1"/>
    <x v="37"/>
    <x v="0"/>
    <x v="0"/>
    <x v="1"/>
    <x v="0"/>
    <x v="0"/>
    <x v="0"/>
    <x v="0"/>
    <x v="0"/>
    <x v="0"/>
    <x v="0"/>
    <x v="0"/>
    <x v="0"/>
    <x v="0"/>
    <x v="0"/>
    <x v="0"/>
    <x v="0"/>
    <x v="0"/>
    <x v="0"/>
    <x v="0"/>
    <x v="0"/>
    <x v="0"/>
    <x v="2"/>
    <x v="0"/>
    <x v="42"/>
    <x v="13"/>
    <x v="14"/>
    <x v="12"/>
    <x v="0"/>
    <x v="0"/>
    <x v="2"/>
    <x v="3"/>
    <x v="0"/>
    <x v="19"/>
    <x v="19"/>
    <x v="39"/>
  </r>
  <r>
    <x v="43"/>
    <x v="14"/>
    <x v="23"/>
    <x v="8"/>
    <x v="19"/>
    <x v="3"/>
    <x v="1"/>
    <x v="1"/>
    <x v="1"/>
    <x v="1"/>
    <x v="36"/>
    <x v="0"/>
    <x v="0"/>
    <x v="0"/>
    <x v="0"/>
    <x v="2"/>
    <x v="36"/>
    <x v="8"/>
    <x v="35"/>
    <x v="12"/>
    <x v="43"/>
    <x v="14"/>
    <x v="23"/>
    <x v="8"/>
    <x v="19"/>
    <x v="3"/>
    <x v="1"/>
    <x v="1"/>
    <x v="1"/>
    <x v="38"/>
    <x v="0"/>
    <x v="0"/>
    <x v="1"/>
    <x v="0"/>
    <x v="0"/>
    <x v="0"/>
    <x v="0"/>
    <x v="0"/>
    <x v="0"/>
    <x v="0"/>
    <x v="0"/>
    <x v="0"/>
    <x v="1"/>
    <x v="0"/>
    <x v="0"/>
    <x v="0"/>
    <x v="0"/>
    <x v="1"/>
    <x v="1"/>
    <x v="0"/>
    <x v="2"/>
    <x v="0"/>
    <x v="1"/>
    <x v="43"/>
    <x v="13"/>
    <x v="14"/>
    <x v="12"/>
    <x v="0"/>
    <x v="0"/>
    <x v="2"/>
    <x v="3"/>
    <x v="0"/>
    <x v="5"/>
    <x v="5"/>
    <x v="40"/>
  </r>
  <r>
    <x v="44"/>
    <x v="2"/>
    <x v="8"/>
    <x v="8"/>
    <x v="20"/>
    <x v="5"/>
    <x v="1"/>
    <x v="2"/>
    <x v="1"/>
    <x v="1"/>
    <x v="37"/>
    <x v="0"/>
    <x v="0"/>
    <x v="0"/>
    <x v="0"/>
    <x v="0"/>
    <x v="37"/>
    <x v="9"/>
    <x v="36"/>
    <x v="10"/>
    <x v="44"/>
    <x v="2"/>
    <x v="8"/>
    <x v="8"/>
    <x v="20"/>
    <x v="5"/>
    <x v="1"/>
    <x v="2"/>
    <x v="1"/>
    <x v="39"/>
    <x v="0"/>
    <x v="0"/>
    <x v="1"/>
    <x v="0"/>
    <x v="0"/>
    <x v="0"/>
    <x v="0"/>
    <x v="0"/>
    <x v="0"/>
    <x v="0"/>
    <x v="0"/>
    <x v="0"/>
    <x v="1"/>
    <x v="0"/>
    <x v="0"/>
    <x v="0"/>
    <x v="0"/>
    <x v="1"/>
    <x v="0"/>
    <x v="0"/>
    <x v="1"/>
    <x v="0"/>
    <x v="1"/>
    <x v="44"/>
    <x v="13"/>
    <x v="14"/>
    <x v="14"/>
    <x v="0"/>
    <x v="0"/>
    <x v="2"/>
    <x v="3"/>
    <x v="0"/>
    <x v="8"/>
    <x v="8"/>
    <x v="41"/>
  </r>
  <r>
    <x v="45"/>
    <x v="15"/>
    <x v="8"/>
    <x v="8"/>
    <x v="21"/>
    <x v="0"/>
    <x v="1"/>
    <x v="1"/>
    <x v="1"/>
    <x v="1"/>
    <x v="38"/>
    <x v="0"/>
    <x v="0"/>
    <x v="0"/>
    <x v="0"/>
    <x v="3"/>
    <x v="38"/>
    <x v="0"/>
    <x v="37"/>
    <x v="6"/>
    <x v="45"/>
    <x v="15"/>
    <x v="8"/>
    <x v="8"/>
    <x v="21"/>
    <x v="0"/>
    <x v="1"/>
    <x v="1"/>
    <x v="1"/>
    <x v="40"/>
    <x v="1"/>
    <x v="0"/>
    <x v="1"/>
    <x v="1"/>
    <x v="0"/>
    <x v="0"/>
    <x v="0"/>
    <x v="0"/>
    <x v="0"/>
    <x v="0"/>
    <x v="0"/>
    <x v="0"/>
    <x v="0"/>
    <x v="0"/>
    <x v="0"/>
    <x v="1"/>
    <x v="0"/>
    <x v="0"/>
    <x v="0"/>
    <x v="0"/>
    <x v="0"/>
    <x v="0"/>
    <x v="3"/>
    <x v="45"/>
    <x v="14"/>
    <x v="15"/>
    <x v="15"/>
    <x v="0"/>
    <x v="14"/>
    <x v="0"/>
    <x v="18"/>
    <x v="0"/>
    <x v="8"/>
    <x v="8"/>
    <x v="42"/>
  </r>
  <r>
    <x v="46"/>
    <x v="16"/>
    <x v="8"/>
    <x v="8"/>
    <x v="18"/>
    <x v="1"/>
    <x v="1"/>
    <x v="1"/>
    <x v="1"/>
    <x v="1"/>
    <x v="39"/>
    <x v="0"/>
    <x v="0"/>
    <x v="0"/>
    <x v="0"/>
    <x v="1"/>
    <x v="39"/>
    <x v="0"/>
    <x v="24"/>
    <x v="6"/>
    <x v="46"/>
    <x v="16"/>
    <x v="8"/>
    <x v="8"/>
    <x v="18"/>
    <x v="1"/>
    <x v="1"/>
    <x v="1"/>
    <x v="1"/>
    <x v="41"/>
    <x v="0"/>
    <x v="0"/>
    <x v="1"/>
    <x v="0"/>
    <x v="0"/>
    <x v="0"/>
    <x v="0"/>
    <x v="0"/>
    <x v="0"/>
    <x v="0"/>
    <x v="0"/>
    <x v="0"/>
    <x v="0"/>
    <x v="0"/>
    <x v="0"/>
    <x v="0"/>
    <x v="0"/>
    <x v="0"/>
    <x v="0"/>
    <x v="0"/>
    <x v="0"/>
    <x v="0"/>
    <x v="0"/>
    <x v="46"/>
    <x v="15"/>
    <x v="16"/>
    <x v="15"/>
    <x v="0"/>
    <x v="0"/>
    <x v="2"/>
    <x v="3"/>
    <x v="0"/>
    <x v="20"/>
    <x v="20"/>
    <x v="43"/>
  </r>
  <r>
    <x v="47"/>
    <x v="16"/>
    <x v="8"/>
    <x v="8"/>
    <x v="22"/>
    <x v="1"/>
    <x v="1"/>
    <x v="1"/>
    <x v="1"/>
    <x v="1"/>
    <x v="39"/>
    <x v="0"/>
    <x v="0"/>
    <x v="0"/>
    <x v="0"/>
    <x v="1"/>
    <x v="39"/>
    <x v="0"/>
    <x v="38"/>
    <x v="6"/>
    <x v="47"/>
    <x v="16"/>
    <x v="8"/>
    <x v="8"/>
    <x v="22"/>
    <x v="1"/>
    <x v="1"/>
    <x v="1"/>
    <x v="1"/>
    <x v="41"/>
    <x v="0"/>
    <x v="0"/>
    <x v="1"/>
    <x v="0"/>
    <x v="0"/>
    <x v="0"/>
    <x v="0"/>
    <x v="0"/>
    <x v="0"/>
    <x v="0"/>
    <x v="0"/>
    <x v="0"/>
    <x v="0"/>
    <x v="0"/>
    <x v="0"/>
    <x v="0"/>
    <x v="0"/>
    <x v="0"/>
    <x v="0"/>
    <x v="0"/>
    <x v="0"/>
    <x v="0"/>
    <x v="0"/>
    <x v="47"/>
    <x v="15"/>
    <x v="16"/>
    <x v="16"/>
    <x v="0"/>
    <x v="0"/>
    <x v="2"/>
    <x v="3"/>
    <x v="0"/>
    <x v="21"/>
    <x v="21"/>
    <x v="44"/>
  </r>
  <r>
    <x v="48"/>
    <x v="16"/>
    <x v="8"/>
    <x v="8"/>
    <x v="18"/>
    <x v="1"/>
    <x v="1"/>
    <x v="1"/>
    <x v="1"/>
    <x v="1"/>
    <x v="39"/>
    <x v="0"/>
    <x v="0"/>
    <x v="0"/>
    <x v="0"/>
    <x v="1"/>
    <x v="39"/>
    <x v="0"/>
    <x v="20"/>
    <x v="6"/>
    <x v="48"/>
    <x v="16"/>
    <x v="8"/>
    <x v="8"/>
    <x v="18"/>
    <x v="1"/>
    <x v="1"/>
    <x v="1"/>
    <x v="1"/>
    <x v="41"/>
    <x v="0"/>
    <x v="0"/>
    <x v="1"/>
    <x v="0"/>
    <x v="0"/>
    <x v="0"/>
    <x v="0"/>
    <x v="0"/>
    <x v="0"/>
    <x v="0"/>
    <x v="0"/>
    <x v="0"/>
    <x v="0"/>
    <x v="0"/>
    <x v="0"/>
    <x v="0"/>
    <x v="0"/>
    <x v="0"/>
    <x v="0"/>
    <x v="0"/>
    <x v="0"/>
    <x v="0"/>
    <x v="0"/>
    <x v="48"/>
    <x v="15"/>
    <x v="16"/>
    <x v="16"/>
    <x v="0"/>
    <x v="0"/>
    <x v="2"/>
    <x v="3"/>
    <x v="0"/>
    <x v="22"/>
    <x v="22"/>
    <x v="45"/>
  </r>
  <r>
    <x v="49"/>
    <x v="16"/>
    <x v="8"/>
    <x v="8"/>
    <x v="18"/>
    <x v="1"/>
    <x v="1"/>
    <x v="1"/>
    <x v="1"/>
    <x v="1"/>
    <x v="39"/>
    <x v="0"/>
    <x v="0"/>
    <x v="0"/>
    <x v="0"/>
    <x v="1"/>
    <x v="39"/>
    <x v="0"/>
    <x v="39"/>
    <x v="6"/>
    <x v="49"/>
    <x v="16"/>
    <x v="8"/>
    <x v="8"/>
    <x v="18"/>
    <x v="1"/>
    <x v="1"/>
    <x v="1"/>
    <x v="1"/>
    <x v="41"/>
    <x v="0"/>
    <x v="0"/>
    <x v="1"/>
    <x v="0"/>
    <x v="0"/>
    <x v="0"/>
    <x v="0"/>
    <x v="0"/>
    <x v="0"/>
    <x v="0"/>
    <x v="0"/>
    <x v="0"/>
    <x v="0"/>
    <x v="0"/>
    <x v="0"/>
    <x v="0"/>
    <x v="0"/>
    <x v="0"/>
    <x v="0"/>
    <x v="0"/>
    <x v="0"/>
    <x v="0"/>
    <x v="0"/>
    <x v="49"/>
    <x v="15"/>
    <x v="16"/>
    <x v="16"/>
    <x v="0"/>
    <x v="0"/>
    <x v="2"/>
    <x v="3"/>
    <x v="0"/>
    <x v="8"/>
    <x v="8"/>
    <x v="46"/>
  </r>
  <r>
    <x v="50"/>
    <x v="16"/>
    <x v="8"/>
    <x v="8"/>
    <x v="23"/>
    <x v="1"/>
    <x v="1"/>
    <x v="1"/>
    <x v="1"/>
    <x v="1"/>
    <x v="40"/>
    <x v="0"/>
    <x v="0"/>
    <x v="0"/>
    <x v="0"/>
    <x v="3"/>
    <x v="40"/>
    <x v="0"/>
    <x v="40"/>
    <x v="6"/>
    <x v="50"/>
    <x v="16"/>
    <x v="8"/>
    <x v="8"/>
    <x v="23"/>
    <x v="1"/>
    <x v="1"/>
    <x v="1"/>
    <x v="1"/>
    <x v="42"/>
    <x v="0"/>
    <x v="0"/>
    <x v="1"/>
    <x v="0"/>
    <x v="0"/>
    <x v="0"/>
    <x v="0"/>
    <x v="0"/>
    <x v="0"/>
    <x v="0"/>
    <x v="0"/>
    <x v="0"/>
    <x v="0"/>
    <x v="0"/>
    <x v="0"/>
    <x v="0"/>
    <x v="0"/>
    <x v="0"/>
    <x v="0"/>
    <x v="0"/>
    <x v="0"/>
    <x v="0"/>
    <x v="0"/>
    <x v="50"/>
    <x v="15"/>
    <x v="16"/>
    <x v="16"/>
    <x v="0"/>
    <x v="10"/>
    <x v="3"/>
    <x v="13"/>
    <x v="0"/>
    <x v="23"/>
    <x v="23"/>
    <x v="47"/>
  </r>
  <r>
    <x v="51"/>
    <x v="17"/>
    <x v="8"/>
    <x v="25"/>
    <x v="24"/>
    <x v="0"/>
    <x v="1"/>
    <x v="1"/>
    <x v="1"/>
    <x v="1"/>
    <x v="41"/>
    <x v="6"/>
    <x v="6"/>
    <x v="6"/>
    <x v="1"/>
    <x v="1"/>
    <x v="41"/>
    <x v="0"/>
    <x v="41"/>
    <x v="6"/>
    <x v="51"/>
    <x v="17"/>
    <x v="8"/>
    <x v="25"/>
    <x v="24"/>
    <x v="0"/>
    <x v="1"/>
    <x v="1"/>
    <x v="1"/>
    <x v="43"/>
    <x v="1"/>
    <x v="0"/>
    <x v="1"/>
    <x v="1"/>
    <x v="0"/>
    <x v="1"/>
    <x v="0"/>
    <x v="0"/>
    <x v="0"/>
    <x v="0"/>
    <x v="0"/>
    <x v="0"/>
    <x v="0"/>
    <x v="0"/>
    <x v="0"/>
    <x v="1"/>
    <x v="0"/>
    <x v="0"/>
    <x v="0"/>
    <x v="0"/>
    <x v="0"/>
    <x v="0"/>
    <x v="2"/>
    <x v="51"/>
    <x v="16"/>
    <x v="10"/>
    <x v="11"/>
    <x v="0"/>
    <x v="5"/>
    <x v="14"/>
    <x v="19"/>
    <x v="1"/>
    <x v="24"/>
    <x v="24"/>
    <x v="48"/>
  </r>
  <r>
    <x v="52"/>
    <x v="18"/>
    <x v="24"/>
    <x v="8"/>
    <x v="25"/>
    <x v="0"/>
    <x v="3"/>
    <x v="1"/>
    <x v="1"/>
    <x v="1"/>
    <x v="42"/>
    <x v="0"/>
    <x v="0"/>
    <x v="0"/>
    <x v="0"/>
    <x v="1"/>
    <x v="42"/>
    <x v="0"/>
    <x v="23"/>
    <x v="6"/>
    <x v="52"/>
    <x v="18"/>
    <x v="24"/>
    <x v="8"/>
    <x v="25"/>
    <x v="0"/>
    <x v="3"/>
    <x v="1"/>
    <x v="1"/>
    <x v="44"/>
    <x v="0"/>
    <x v="0"/>
    <x v="1"/>
    <x v="1"/>
    <x v="0"/>
    <x v="0"/>
    <x v="0"/>
    <x v="0"/>
    <x v="0"/>
    <x v="0"/>
    <x v="0"/>
    <x v="0"/>
    <x v="0"/>
    <x v="0"/>
    <x v="0"/>
    <x v="0"/>
    <x v="0"/>
    <x v="0"/>
    <x v="0"/>
    <x v="0"/>
    <x v="0"/>
    <x v="0"/>
    <x v="1"/>
    <x v="52"/>
    <x v="17"/>
    <x v="17"/>
    <x v="12"/>
    <x v="0"/>
    <x v="3"/>
    <x v="3"/>
    <x v="4"/>
    <x v="0"/>
    <x v="12"/>
    <x v="12"/>
    <x v="49"/>
  </r>
  <r>
    <x v="53"/>
    <x v="19"/>
    <x v="25"/>
    <x v="26"/>
    <x v="26"/>
    <x v="2"/>
    <x v="6"/>
    <x v="3"/>
    <x v="3"/>
    <x v="3"/>
    <x v="43"/>
    <x v="0"/>
    <x v="0"/>
    <x v="0"/>
    <x v="0"/>
    <x v="2"/>
    <x v="43"/>
    <x v="0"/>
    <x v="36"/>
    <x v="9"/>
    <x v="53"/>
    <x v="19"/>
    <x v="25"/>
    <x v="26"/>
    <x v="26"/>
    <x v="2"/>
    <x v="6"/>
    <x v="3"/>
    <x v="3"/>
    <x v="45"/>
    <x v="0"/>
    <x v="1"/>
    <x v="1"/>
    <x v="0"/>
    <x v="0"/>
    <x v="0"/>
    <x v="0"/>
    <x v="0"/>
    <x v="0"/>
    <x v="0"/>
    <x v="0"/>
    <x v="0"/>
    <x v="0"/>
    <x v="0"/>
    <x v="0"/>
    <x v="0"/>
    <x v="0"/>
    <x v="0"/>
    <x v="0"/>
    <x v="0"/>
    <x v="0"/>
    <x v="0"/>
    <x v="0"/>
    <x v="53"/>
    <x v="18"/>
    <x v="18"/>
    <x v="12"/>
    <x v="0"/>
    <x v="3"/>
    <x v="15"/>
    <x v="20"/>
    <x v="0"/>
    <x v="5"/>
    <x v="5"/>
    <x v="50"/>
  </r>
  <r>
    <x v="54"/>
    <x v="20"/>
    <x v="8"/>
    <x v="8"/>
    <x v="27"/>
    <x v="4"/>
    <x v="1"/>
    <x v="1"/>
    <x v="1"/>
    <x v="1"/>
    <x v="20"/>
    <x v="0"/>
    <x v="0"/>
    <x v="0"/>
    <x v="0"/>
    <x v="3"/>
    <x v="20"/>
    <x v="0"/>
    <x v="42"/>
    <x v="11"/>
    <x v="54"/>
    <x v="20"/>
    <x v="8"/>
    <x v="8"/>
    <x v="27"/>
    <x v="4"/>
    <x v="1"/>
    <x v="1"/>
    <x v="1"/>
    <x v="46"/>
    <x v="0"/>
    <x v="0"/>
    <x v="1"/>
    <x v="1"/>
    <x v="0"/>
    <x v="0"/>
    <x v="0"/>
    <x v="0"/>
    <x v="0"/>
    <x v="0"/>
    <x v="0"/>
    <x v="0"/>
    <x v="0"/>
    <x v="0"/>
    <x v="0"/>
    <x v="1"/>
    <x v="0"/>
    <x v="0"/>
    <x v="1"/>
    <x v="0"/>
    <x v="0"/>
    <x v="0"/>
    <x v="1"/>
    <x v="54"/>
    <x v="19"/>
    <x v="19"/>
    <x v="17"/>
    <x v="0"/>
    <x v="0"/>
    <x v="9"/>
    <x v="21"/>
    <x v="0"/>
    <x v="25"/>
    <x v="25"/>
    <x v="51"/>
  </r>
  <r>
    <x v="55"/>
    <x v="20"/>
    <x v="8"/>
    <x v="8"/>
    <x v="28"/>
    <x v="6"/>
    <x v="1"/>
    <x v="1"/>
    <x v="1"/>
    <x v="1"/>
    <x v="44"/>
    <x v="0"/>
    <x v="0"/>
    <x v="0"/>
    <x v="0"/>
    <x v="3"/>
    <x v="44"/>
    <x v="0"/>
    <x v="43"/>
    <x v="9"/>
    <x v="55"/>
    <x v="20"/>
    <x v="8"/>
    <x v="8"/>
    <x v="28"/>
    <x v="6"/>
    <x v="1"/>
    <x v="1"/>
    <x v="1"/>
    <x v="20"/>
    <x v="1"/>
    <x v="0"/>
    <x v="1"/>
    <x v="1"/>
    <x v="0"/>
    <x v="0"/>
    <x v="0"/>
    <x v="0"/>
    <x v="0"/>
    <x v="0"/>
    <x v="0"/>
    <x v="0"/>
    <x v="0"/>
    <x v="0"/>
    <x v="0"/>
    <x v="0"/>
    <x v="0"/>
    <x v="0"/>
    <x v="0"/>
    <x v="0"/>
    <x v="0"/>
    <x v="0"/>
    <x v="2"/>
    <x v="55"/>
    <x v="19"/>
    <x v="19"/>
    <x v="17"/>
    <x v="0"/>
    <x v="0"/>
    <x v="9"/>
    <x v="21"/>
    <x v="0"/>
    <x v="2"/>
    <x v="2"/>
    <x v="52"/>
  </r>
  <r>
    <x v="56"/>
    <x v="20"/>
    <x v="8"/>
    <x v="8"/>
    <x v="28"/>
    <x v="6"/>
    <x v="1"/>
    <x v="1"/>
    <x v="1"/>
    <x v="1"/>
    <x v="18"/>
    <x v="0"/>
    <x v="0"/>
    <x v="0"/>
    <x v="0"/>
    <x v="3"/>
    <x v="18"/>
    <x v="0"/>
    <x v="44"/>
    <x v="10"/>
    <x v="56"/>
    <x v="20"/>
    <x v="8"/>
    <x v="8"/>
    <x v="28"/>
    <x v="6"/>
    <x v="1"/>
    <x v="1"/>
    <x v="1"/>
    <x v="47"/>
    <x v="1"/>
    <x v="0"/>
    <x v="1"/>
    <x v="1"/>
    <x v="0"/>
    <x v="0"/>
    <x v="0"/>
    <x v="0"/>
    <x v="0"/>
    <x v="0"/>
    <x v="0"/>
    <x v="0"/>
    <x v="0"/>
    <x v="0"/>
    <x v="0"/>
    <x v="0"/>
    <x v="0"/>
    <x v="0"/>
    <x v="0"/>
    <x v="0"/>
    <x v="0"/>
    <x v="0"/>
    <x v="2"/>
    <x v="56"/>
    <x v="19"/>
    <x v="19"/>
    <x v="17"/>
    <x v="0"/>
    <x v="0"/>
    <x v="9"/>
    <x v="21"/>
    <x v="0"/>
    <x v="12"/>
    <x v="12"/>
    <x v="53"/>
  </r>
  <r>
    <x v="57"/>
    <x v="20"/>
    <x v="8"/>
    <x v="8"/>
    <x v="29"/>
    <x v="4"/>
    <x v="1"/>
    <x v="1"/>
    <x v="1"/>
    <x v="1"/>
    <x v="45"/>
    <x v="0"/>
    <x v="0"/>
    <x v="0"/>
    <x v="0"/>
    <x v="3"/>
    <x v="45"/>
    <x v="0"/>
    <x v="45"/>
    <x v="11"/>
    <x v="57"/>
    <x v="20"/>
    <x v="8"/>
    <x v="8"/>
    <x v="29"/>
    <x v="4"/>
    <x v="1"/>
    <x v="1"/>
    <x v="1"/>
    <x v="48"/>
    <x v="0"/>
    <x v="0"/>
    <x v="1"/>
    <x v="1"/>
    <x v="0"/>
    <x v="0"/>
    <x v="0"/>
    <x v="1"/>
    <x v="0"/>
    <x v="0"/>
    <x v="0"/>
    <x v="0"/>
    <x v="0"/>
    <x v="0"/>
    <x v="0"/>
    <x v="1"/>
    <x v="0"/>
    <x v="0"/>
    <x v="0"/>
    <x v="0"/>
    <x v="0"/>
    <x v="0"/>
    <x v="1"/>
    <x v="57"/>
    <x v="19"/>
    <x v="19"/>
    <x v="17"/>
    <x v="0"/>
    <x v="0"/>
    <x v="9"/>
    <x v="21"/>
    <x v="0"/>
    <x v="2"/>
    <x v="2"/>
    <x v="54"/>
  </r>
  <r>
    <x v="58"/>
    <x v="21"/>
    <x v="26"/>
    <x v="8"/>
    <x v="3"/>
    <x v="3"/>
    <x v="1"/>
    <x v="1"/>
    <x v="1"/>
    <x v="1"/>
    <x v="46"/>
    <x v="7"/>
    <x v="7"/>
    <x v="7"/>
    <x v="1"/>
    <x v="3"/>
    <x v="46"/>
    <x v="10"/>
    <x v="46"/>
    <x v="6"/>
    <x v="58"/>
    <x v="21"/>
    <x v="26"/>
    <x v="8"/>
    <x v="3"/>
    <x v="3"/>
    <x v="1"/>
    <x v="1"/>
    <x v="1"/>
    <x v="49"/>
    <x v="0"/>
    <x v="0"/>
    <x v="1"/>
    <x v="0"/>
    <x v="0"/>
    <x v="0"/>
    <x v="0"/>
    <x v="0"/>
    <x v="0"/>
    <x v="0"/>
    <x v="0"/>
    <x v="0"/>
    <x v="1"/>
    <x v="0"/>
    <x v="0"/>
    <x v="0"/>
    <x v="0"/>
    <x v="1"/>
    <x v="1"/>
    <x v="0"/>
    <x v="1"/>
    <x v="0"/>
    <x v="1"/>
    <x v="58"/>
    <x v="20"/>
    <x v="20"/>
    <x v="2"/>
    <x v="0"/>
    <x v="3"/>
    <x v="15"/>
    <x v="20"/>
    <x v="0"/>
    <x v="26"/>
    <x v="26"/>
    <x v="55"/>
  </r>
  <r>
    <x v="59"/>
    <x v="21"/>
    <x v="27"/>
    <x v="8"/>
    <x v="6"/>
    <x v="3"/>
    <x v="1"/>
    <x v="1"/>
    <x v="1"/>
    <x v="1"/>
    <x v="47"/>
    <x v="4"/>
    <x v="8"/>
    <x v="8"/>
    <x v="1"/>
    <x v="0"/>
    <x v="47"/>
    <x v="11"/>
    <x v="47"/>
    <x v="6"/>
    <x v="59"/>
    <x v="21"/>
    <x v="27"/>
    <x v="8"/>
    <x v="6"/>
    <x v="3"/>
    <x v="1"/>
    <x v="1"/>
    <x v="1"/>
    <x v="50"/>
    <x v="0"/>
    <x v="0"/>
    <x v="0"/>
    <x v="0"/>
    <x v="1"/>
    <x v="0"/>
    <x v="0"/>
    <x v="0"/>
    <x v="0"/>
    <x v="0"/>
    <x v="0"/>
    <x v="0"/>
    <x v="1"/>
    <x v="0"/>
    <x v="0"/>
    <x v="0"/>
    <x v="0"/>
    <x v="1"/>
    <x v="0"/>
    <x v="0"/>
    <x v="1"/>
    <x v="0"/>
    <x v="1"/>
    <x v="19"/>
    <x v="20"/>
    <x v="20"/>
    <x v="2"/>
    <x v="0"/>
    <x v="10"/>
    <x v="16"/>
    <x v="22"/>
    <x v="0"/>
    <x v="26"/>
    <x v="26"/>
    <x v="56"/>
  </r>
  <r>
    <x v="60"/>
    <x v="21"/>
    <x v="28"/>
    <x v="8"/>
    <x v="0"/>
    <x v="3"/>
    <x v="1"/>
    <x v="1"/>
    <x v="1"/>
    <x v="1"/>
    <x v="48"/>
    <x v="8"/>
    <x v="7"/>
    <x v="9"/>
    <x v="1"/>
    <x v="3"/>
    <x v="48"/>
    <x v="12"/>
    <x v="48"/>
    <x v="6"/>
    <x v="60"/>
    <x v="21"/>
    <x v="28"/>
    <x v="8"/>
    <x v="0"/>
    <x v="3"/>
    <x v="1"/>
    <x v="1"/>
    <x v="1"/>
    <x v="51"/>
    <x v="0"/>
    <x v="0"/>
    <x v="1"/>
    <x v="0"/>
    <x v="0"/>
    <x v="0"/>
    <x v="0"/>
    <x v="0"/>
    <x v="0"/>
    <x v="0"/>
    <x v="0"/>
    <x v="0"/>
    <x v="1"/>
    <x v="0"/>
    <x v="0"/>
    <x v="0"/>
    <x v="0"/>
    <x v="1"/>
    <x v="1"/>
    <x v="0"/>
    <x v="1"/>
    <x v="0"/>
    <x v="3"/>
    <x v="59"/>
    <x v="20"/>
    <x v="20"/>
    <x v="3"/>
    <x v="0"/>
    <x v="10"/>
    <x v="16"/>
    <x v="22"/>
    <x v="0"/>
    <x v="27"/>
    <x v="27"/>
    <x v="57"/>
  </r>
  <r>
    <x v="61"/>
    <x v="22"/>
    <x v="29"/>
    <x v="8"/>
    <x v="0"/>
    <x v="3"/>
    <x v="1"/>
    <x v="1"/>
    <x v="1"/>
    <x v="1"/>
    <x v="49"/>
    <x v="9"/>
    <x v="9"/>
    <x v="10"/>
    <x v="1"/>
    <x v="0"/>
    <x v="49"/>
    <x v="13"/>
    <x v="49"/>
    <x v="6"/>
    <x v="61"/>
    <x v="22"/>
    <x v="29"/>
    <x v="8"/>
    <x v="0"/>
    <x v="3"/>
    <x v="1"/>
    <x v="1"/>
    <x v="1"/>
    <x v="52"/>
    <x v="0"/>
    <x v="0"/>
    <x v="1"/>
    <x v="1"/>
    <x v="0"/>
    <x v="0"/>
    <x v="0"/>
    <x v="0"/>
    <x v="0"/>
    <x v="1"/>
    <x v="0"/>
    <x v="0"/>
    <x v="1"/>
    <x v="0"/>
    <x v="0"/>
    <x v="0"/>
    <x v="0"/>
    <x v="1"/>
    <x v="1"/>
    <x v="0"/>
    <x v="4"/>
    <x v="0"/>
    <x v="3"/>
    <x v="60"/>
    <x v="20"/>
    <x v="20"/>
    <x v="3"/>
    <x v="0"/>
    <x v="3"/>
    <x v="15"/>
    <x v="20"/>
    <x v="0"/>
    <x v="24"/>
    <x v="24"/>
    <x v="58"/>
  </r>
  <r>
    <x v="62"/>
    <x v="22"/>
    <x v="30"/>
    <x v="8"/>
    <x v="0"/>
    <x v="0"/>
    <x v="1"/>
    <x v="1"/>
    <x v="1"/>
    <x v="1"/>
    <x v="50"/>
    <x v="0"/>
    <x v="0"/>
    <x v="0"/>
    <x v="0"/>
    <x v="1"/>
    <x v="50"/>
    <x v="0"/>
    <x v="50"/>
    <x v="6"/>
    <x v="62"/>
    <x v="22"/>
    <x v="30"/>
    <x v="8"/>
    <x v="0"/>
    <x v="0"/>
    <x v="1"/>
    <x v="1"/>
    <x v="1"/>
    <x v="53"/>
    <x v="0"/>
    <x v="0"/>
    <x v="1"/>
    <x v="0"/>
    <x v="0"/>
    <x v="0"/>
    <x v="0"/>
    <x v="0"/>
    <x v="0"/>
    <x v="0"/>
    <x v="0"/>
    <x v="0"/>
    <x v="0"/>
    <x v="0"/>
    <x v="0"/>
    <x v="1"/>
    <x v="0"/>
    <x v="0"/>
    <x v="0"/>
    <x v="0"/>
    <x v="0"/>
    <x v="0"/>
    <x v="1"/>
    <x v="61"/>
    <x v="20"/>
    <x v="20"/>
    <x v="3"/>
    <x v="0"/>
    <x v="3"/>
    <x v="15"/>
    <x v="20"/>
    <x v="0"/>
    <x v="28"/>
    <x v="28"/>
    <x v="59"/>
  </r>
  <r>
    <x v="63"/>
    <x v="22"/>
    <x v="31"/>
    <x v="8"/>
    <x v="0"/>
    <x v="3"/>
    <x v="1"/>
    <x v="1"/>
    <x v="1"/>
    <x v="1"/>
    <x v="51"/>
    <x v="5"/>
    <x v="10"/>
    <x v="11"/>
    <x v="1"/>
    <x v="3"/>
    <x v="51"/>
    <x v="14"/>
    <x v="51"/>
    <x v="6"/>
    <x v="63"/>
    <x v="22"/>
    <x v="31"/>
    <x v="8"/>
    <x v="0"/>
    <x v="3"/>
    <x v="1"/>
    <x v="1"/>
    <x v="1"/>
    <x v="54"/>
    <x v="0"/>
    <x v="0"/>
    <x v="1"/>
    <x v="0"/>
    <x v="0"/>
    <x v="0"/>
    <x v="0"/>
    <x v="0"/>
    <x v="1"/>
    <x v="0"/>
    <x v="0"/>
    <x v="0"/>
    <x v="1"/>
    <x v="0"/>
    <x v="0"/>
    <x v="1"/>
    <x v="0"/>
    <x v="1"/>
    <x v="1"/>
    <x v="0"/>
    <x v="1"/>
    <x v="0"/>
    <x v="2"/>
    <x v="62"/>
    <x v="20"/>
    <x v="20"/>
    <x v="3"/>
    <x v="0"/>
    <x v="10"/>
    <x v="16"/>
    <x v="22"/>
    <x v="0"/>
    <x v="28"/>
    <x v="28"/>
    <x v="60"/>
  </r>
  <r>
    <x v="64"/>
    <x v="22"/>
    <x v="32"/>
    <x v="8"/>
    <x v="0"/>
    <x v="3"/>
    <x v="1"/>
    <x v="1"/>
    <x v="1"/>
    <x v="1"/>
    <x v="49"/>
    <x v="9"/>
    <x v="9"/>
    <x v="10"/>
    <x v="1"/>
    <x v="0"/>
    <x v="49"/>
    <x v="15"/>
    <x v="52"/>
    <x v="6"/>
    <x v="64"/>
    <x v="22"/>
    <x v="32"/>
    <x v="8"/>
    <x v="0"/>
    <x v="3"/>
    <x v="1"/>
    <x v="1"/>
    <x v="1"/>
    <x v="52"/>
    <x v="0"/>
    <x v="0"/>
    <x v="1"/>
    <x v="1"/>
    <x v="0"/>
    <x v="0"/>
    <x v="0"/>
    <x v="0"/>
    <x v="0"/>
    <x v="1"/>
    <x v="0"/>
    <x v="0"/>
    <x v="1"/>
    <x v="0"/>
    <x v="0"/>
    <x v="1"/>
    <x v="0"/>
    <x v="1"/>
    <x v="1"/>
    <x v="0"/>
    <x v="1"/>
    <x v="0"/>
    <x v="3"/>
    <x v="63"/>
    <x v="20"/>
    <x v="20"/>
    <x v="3"/>
    <x v="0"/>
    <x v="10"/>
    <x v="16"/>
    <x v="22"/>
    <x v="0"/>
    <x v="28"/>
    <x v="28"/>
    <x v="61"/>
  </r>
  <r>
    <x v="65"/>
    <x v="22"/>
    <x v="33"/>
    <x v="8"/>
    <x v="30"/>
    <x v="3"/>
    <x v="1"/>
    <x v="1"/>
    <x v="1"/>
    <x v="1"/>
    <x v="52"/>
    <x v="10"/>
    <x v="11"/>
    <x v="12"/>
    <x v="1"/>
    <x v="0"/>
    <x v="52"/>
    <x v="16"/>
    <x v="53"/>
    <x v="6"/>
    <x v="65"/>
    <x v="22"/>
    <x v="33"/>
    <x v="8"/>
    <x v="30"/>
    <x v="3"/>
    <x v="1"/>
    <x v="1"/>
    <x v="1"/>
    <x v="55"/>
    <x v="0"/>
    <x v="0"/>
    <x v="0"/>
    <x v="0"/>
    <x v="1"/>
    <x v="0"/>
    <x v="0"/>
    <x v="0"/>
    <x v="0"/>
    <x v="1"/>
    <x v="0"/>
    <x v="0"/>
    <x v="1"/>
    <x v="0"/>
    <x v="0"/>
    <x v="0"/>
    <x v="0"/>
    <x v="1"/>
    <x v="1"/>
    <x v="0"/>
    <x v="1"/>
    <x v="0"/>
    <x v="2"/>
    <x v="64"/>
    <x v="20"/>
    <x v="20"/>
    <x v="3"/>
    <x v="0"/>
    <x v="10"/>
    <x v="16"/>
    <x v="22"/>
    <x v="0"/>
    <x v="2"/>
    <x v="2"/>
    <x v="62"/>
  </r>
  <r>
    <x v="66"/>
    <x v="21"/>
    <x v="34"/>
    <x v="8"/>
    <x v="31"/>
    <x v="1"/>
    <x v="1"/>
    <x v="1"/>
    <x v="1"/>
    <x v="1"/>
    <x v="53"/>
    <x v="0"/>
    <x v="0"/>
    <x v="0"/>
    <x v="0"/>
    <x v="1"/>
    <x v="53"/>
    <x v="0"/>
    <x v="54"/>
    <x v="6"/>
    <x v="66"/>
    <x v="21"/>
    <x v="34"/>
    <x v="8"/>
    <x v="31"/>
    <x v="1"/>
    <x v="1"/>
    <x v="1"/>
    <x v="1"/>
    <x v="56"/>
    <x v="0"/>
    <x v="0"/>
    <x v="1"/>
    <x v="0"/>
    <x v="0"/>
    <x v="0"/>
    <x v="0"/>
    <x v="0"/>
    <x v="0"/>
    <x v="0"/>
    <x v="0"/>
    <x v="0"/>
    <x v="0"/>
    <x v="0"/>
    <x v="0"/>
    <x v="0"/>
    <x v="0"/>
    <x v="0"/>
    <x v="0"/>
    <x v="0"/>
    <x v="0"/>
    <x v="0"/>
    <x v="0"/>
    <x v="65"/>
    <x v="20"/>
    <x v="19"/>
    <x v="18"/>
    <x v="0"/>
    <x v="3"/>
    <x v="15"/>
    <x v="20"/>
    <x v="0"/>
    <x v="2"/>
    <x v="2"/>
    <x v="63"/>
  </r>
  <r>
    <x v="67"/>
    <x v="21"/>
    <x v="35"/>
    <x v="8"/>
    <x v="6"/>
    <x v="3"/>
    <x v="1"/>
    <x v="1"/>
    <x v="1"/>
    <x v="1"/>
    <x v="54"/>
    <x v="11"/>
    <x v="12"/>
    <x v="13"/>
    <x v="1"/>
    <x v="0"/>
    <x v="54"/>
    <x v="17"/>
    <x v="55"/>
    <x v="6"/>
    <x v="67"/>
    <x v="21"/>
    <x v="35"/>
    <x v="8"/>
    <x v="6"/>
    <x v="3"/>
    <x v="1"/>
    <x v="1"/>
    <x v="1"/>
    <x v="57"/>
    <x v="0"/>
    <x v="0"/>
    <x v="0"/>
    <x v="0"/>
    <x v="1"/>
    <x v="0"/>
    <x v="0"/>
    <x v="0"/>
    <x v="0"/>
    <x v="0"/>
    <x v="0"/>
    <x v="0"/>
    <x v="1"/>
    <x v="0"/>
    <x v="0"/>
    <x v="0"/>
    <x v="0"/>
    <x v="1"/>
    <x v="1"/>
    <x v="0"/>
    <x v="2"/>
    <x v="0"/>
    <x v="1"/>
    <x v="66"/>
    <x v="20"/>
    <x v="6"/>
    <x v="7"/>
    <x v="1"/>
    <x v="4"/>
    <x v="4"/>
    <x v="5"/>
    <x v="0"/>
    <x v="29"/>
    <x v="29"/>
    <x v="64"/>
  </r>
  <r>
    <x v="68"/>
    <x v="23"/>
    <x v="8"/>
    <x v="8"/>
    <x v="32"/>
    <x v="7"/>
    <x v="1"/>
    <x v="1"/>
    <x v="1"/>
    <x v="1"/>
    <x v="55"/>
    <x v="0"/>
    <x v="0"/>
    <x v="0"/>
    <x v="0"/>
    <x v="3"/>
    <x v="55"/>
    <x v="0"/>
    <x v="56"/>
    <x v="6"/>
    <x v="68"/>
    <x v="23"/>
    <x v="8"/>
    <x v="8"/>
    <x v="32"/>
    <x v="7"/>
    <x v="1"/>
    <x v="1"/>
    <x v="1"/>
    <x v="58"/>
    <x v="0"/>
    <x v="0"/>
    <x v="1"/>
    <x v="0"/>
    <x v="0"/>
    <x v="0"/>
    <x v="0"/>
    <x v="0"/>
    <x v="0"/>
    <x v="0"/>
    <x v="0"/>
    <x v="0"/>
    <x v="0"/>
    <x v="0"/>
    <x v="0"/>
    <x v="0"/>
    <x v="0"/>
    <x v="0"/>
    <x v="0"/>
    <x v="0"/>
    <x v="0"/>
    <x v="0"/>
    <x v="0"/>
    <x v="67"/>
    <x v="21"/>
    <x v="21"/>
    <x v="13"/>
    <x v="0"/>
    <x v="0"/>
    <x v="17"/>
    <x v="23"/>
    <x v="0"/>
    <x v="30"/>
    <x v="30"/>
    <x v="65"/>
  </r>
  <r>
    <x v="69"/>
    <x v="24"/>
    <x v="8"/>
    <x v="8"/>
    <x v="7"/>
    <x v="0"/>
    <x v="1"/>
    <x v="1"/>
    <x v="3"/>
    <x v="3"/>
    <x v="56"/>
    <x v="0"/>
    <x v="0"/>
    <x v="0"/>
    <x v="0"/>
    <x v="0"/>
    <x v="56"/>
    <x v="0"/>
    <x v="57"/>
    <x v="9"/>
    <x v="69"/>
    <x v="24"/>
    <x v="8"/>
    <x v="8"/>
    <x v="7"/>
    <x v="0"/>
    <x v="1"/>
    <x v="1"/>
    <x v="3"/>
    <x v="59"/>
    <x v="1"/>
    <x v="0"/>
    <x v="1"/>
    <x v="1"/>
    <x v="0"/>
    <x v="0"/>
    <x v="0"/>
    <x v="0"/>
    <x v="0"/>
    <x v="0"/>
    <x v="0"/>
    <x v="0"/>
    <x v="0"/>
    <x v="0"/>
    <x v="0"/>
    <x v="1"/>
    <x v="0"/>
    <x v="0"/>
    <x v="1"/>
    <x v="1"/>
    <x v="0"/>
    <x v="0"/>
    <x v="2"/>
    <x v="68"/>
    <x v="22"/>
    <x v="22"/>
    <x v="13"/>
    <x v="0"/>
    <x v="3"/>
    <x v="18"/>
    <x v="24"/>
    <x v="0"/>
    <x v="31"/>
    <x v="31"/>
    <x v="66"/>
  </r>
  <r>
    <x v="70"/>
    <x v="8"/>
    <x v="36"/>
    <x v="8"/>
    <x v="7"/>
    <x v="0"/>
    <x v="3"/>
    <x v="3"/>
    <x v="1"/>
    <x v="1"/>
    <x v="57"/>
    <x v="0"/>
    <x v="0"/>
    <x v="0"/>
    <x v="0"/>
    <x v="0"/>
    <x v="57"/>
    <x v="0"/>
    <x v="36"/>
    <x v="13"/>
    <x v="70"/>
    <x v="8"/>
    <x v="36"/>
    <x v="8"/>
    <x v="7"/>
    <x v="0"/>
    <x v="3"/>
    <x v="3"/>
    <x v="1"/>
    <x v="60"/>
    <x v="0"/>
    <x v="0"/>
    <x v="0"/>
    <x v="0"/>
    <x v="0"/>
    <x v="0"/>
    <x v="0"/>
    <x v="0"/>
    <x v="0"/>
    <x v="0"/>
    <x v="0"/>
    <x v="1"/>
    <x v="0"/>
    <x v="0"/>
    <x v="0"/>
    <x v="0"/>
    <x v="0"/>
    <x v="0"/>
    <x v="0"/>
    <x v="0"/>
    <x v="0"/>
    <x v="0"/>
    <x v="0"/>
    <x v="69"/>
    <x v="23"/>
    <x v="23"/>
    <x v="12"/>
    <x v="0"/>
    <x v="0"/>
    <x v="2"/>
    <x v="3"/>
    <x v="0"/>
    <x v="29"/>
    <x v="29"/>
    <x v="67"/>
  </r>
  <r>
    <x v="71"/>
    <x v="8"/>
    <x v="37"/>
    <x v="8"/>
    <x v="7"/>
    <x v="0"/>
    <x v="3"/>
    <x v="3"/>
    <x v="1"/>
    <x v="1"/>
    <x v="58"/>
    <x v="0"/>
    <x v="0"/>
    <x v="0"/>
    <x v="0"/>
    <x v="0"/>
    <x v="58"/>
    <x v="0"/>
    <x v="5"/>
    <x v="6"/>
    <x v="71"/>
    <x v="8"/>
    <x v="37"/>
    <x v="8"/>
    <x v="7"/>
    <x v="0"/>
    <x v="3"/>
    <x v="3"/>
    <x v="1"/>
    <x v="61"/>
    <x v="0"/>
    <x v="0"/>
    <x v="1"/>
    <x v="0"/>
    <x v="0"/>
    <x v="0"/>
    <x v="0"/>
    <x v="0"/>
    <x v="0"/>
    <x v="0"/>
    <x v="0"/>
    <x v="1"/>
    <x v="0"/>
    <x v="0"/>
    <x v="0"/>
    <x v="0"/>
    <x v="0"/>
    <x v="0"/>
    <x v="0"/>
    <x v="0"/>
    <x v="0"/>
    <x v="0"/>
    <x v="0"/>
    <x v="70"/>
    <x v="23"/>
    <x v="23"/>
    <x v="12"/>
    <x v="0"/>
    <x v="0"/>
    <x v="2"/>
    <x v="3"/>
    <x v="0"/>
    <x v="2"/>
    <x v="2"/>
    <x v="68"/>
  </r>
  <r>
    <x v="72"/>
    <x v="8"/>
    <x v="38"/>
    <x v="27"/>
    <x v="1"/>
    <x v="0"/>
    <x v="3"/>
    <x v="3"/>
    <x v="1"/>
    <x v="1"/>
    <x v="37"/>
    <x v="0"/>
    <x v="0"/>
    <x v="0"/>
    <x v="0"/>
    <x v="0"/>
    <x v="37"/>
    <x v="0"/>
    <x v="58"/>
    <x v="14"/>
    <x v="72"/>
    <x v="8"/>
    <x v="38"/>
    <x v="27"/>
    <x v="1"/>
    <x v="0"/>
    <x v="3"/>
    <x v="3"/>
    <x v="1"/>
    <x v="39"/>
    <x v="0"/>
    <x v="0"/>
    <x v="0"/>
    <x v="0"/>
    <x v="0"/>
    <x v="0"/>
    <x v="0"/>
    <x v="0"/>
    <x v="0"/>
    <x v="0"/>
    <x v="0"/>
    <x v="0"/>
    <x v="0"/>
    <x v="0"/>
    <x v="1"/>
    <x v="0"/>
    <x v="0"/>
    <x v="0"/>
    <x v="0"/>
    <x v="0"/>
    <x v="0"/>
    <x v="0"/>
    <x v="0"/>
    <x v="71"/>
    <x v="23"/>
    <x v="23"/>
    <x v="12"/>
    <x v="0"/>
    <x v="0"/>
    <x v="2"/>
    <x v="3"/>
    <x v="0"/>
    <x v="32"/>
    <x v="32"/>
    <x v="69"/>
  </r>
  <r>
    <x v="73"/>
    <x v="8"/>
    <x v="8"/>
    <x v="8"/>
    <x v="33"/>
    <x v="0"/>
    <x v="3"/>
    <x v="3"/>
    <x v="1"/>
    <x v="1"/>
    <x v="59"/>
    <x v="0"/>
    <x v="0"/>
    <x v="0"/>
    <x v="0"/>
    <x v="0"/>
    <x v="59"/>
    <x v="0"/>
    <x v="24"/>
    <x v="15"/>
    <x v="73"/>
    <x v="8"/>
    <x v="8"/>
    <x v="8"/>
    <x v="33"/>
    <x v="0"/>
    <x v="3"/>
    <x v="3"/>
    <x v="1"/>
    <x v="62"/>
    <x v="0"/>
    <x v="0"/>
    <x v="0"/>
    <x v="0"/>
    <x v="0"/>
    <x v="0"/>
    <x v="0"/>
    <x v="0"/>
    <x v="0"/>
    <x v="0"/>
    <x v="0"/>
    <x v="1"/>
    <x v="0"/>
    <x v="0"/>
    <x v="0"/>
    <x v="0"/>
    <x v="0"/>
    <x v="0"/>
    <x v="0"/>
    <x v="0"/>
    <x v="0"/>
    <x v="0"/>
    <x v="0"/>
    <x v="72"/>
    <x v="23"/>
    <x v="23"/>
    <x v="14"/>
    <x v="0"/>
    <x v="0"/>
    <x v="2"/>
    <x v="3"/>
    <x v="0"/>
    <x v="29"/>
    <x v="29"/>
    <x v="70"/>
  </r>
  <r>
    <x v="74"/>
    <x v="21"/>
    <x v="39"/>
    <x v="8"/>
    <x v="3"/>
    <x v="5"/>
    <x v="1"/>
    <x v="1"/>
    <x v="1"/>
    <x v="1"/>
    <x v="60"/>
    <x v="0"/>
    <x v="0"/>
    <x v="0"/>
    <x v="0"/>
    <x v="0"/>
    <x v="60"/>
    <x v="0"/>
    <x v="12"/>
    <x v="8"/>
    <x v="74"/>
    <x v="21"/>
    <x v="39"/>
    <x v="8"/>
    <x v="3"/>
    <x v="5"/>
    <x v="1"/>
    <x v="1"/>
    <x v="1"/>
    <x v="63"/>
    <x v="0"/>
    <x v="0"/>
    <x v="1"/>
    <x v="0"/>
    <x v="0"/>
    <x v="0"/>
    <x v="0"/>
    <x v="0"/>
    <x v="0"/>
    <x v="0"/>
    <x v="0"/>
    <x v="0"/>
    <x v="1"/>
    <x v="0"/>
    <x v="0"/>
    <x v="0"/>
    <x v="0"/>
    <x v="1"/>
    <x v="0"/>
    <x v="0"/>
    <x v="0"/>
    <x v="0"/>
    <x v="1"/>
    <x v="73"/>
    <x v="24"/>
    <x v="24"/>
    <x v="19"/>
    <x v="0"/>
    <x v="5"/>
    <x v="2"/>
    <x v="25"/>
    <x v="1"/>
    <x v="33"/>
    <x v="33"/>
    <x v="13"/>
  </r>
  <r>
    <x v="75"/>
    <x v="25"/>
    <x v="8"/>
    <x v="8"/>
    <x v="7"/>
    <x v="5"/>
    <x v="1"/>
    <x v="1"/>
    <x v="2"/>
    <x v="2"/>
    <x v="61"/>
    <x v="0"/>
    <x v="0"/>
    <x v="0"/>
    <x v="0"/>
    <x v="3"/>
    <x v="61"/>
    <x v="0"/>
    <x v="12"/>
    <x v="8"/>
    <x v="75"/>
    <x v="25"/>
    <x v="8"/>
    <x v="8"/>
    <x v="7"/>
    <x v="5"/>
    <x v="1"/>
    <x v="1"/>
    <x v="2"/>
    <x v="64"/>
    <x v="0"/>
    <x v="0"/>
    <x v="1"/>
    <x v="0"/>
    <x v="0"/>
    <x v="0"/>
    <x v="0"/>
    <x v="0"/>
    <x v="0"/>
    <x v="0"/>
    <x v="0"/>
    <x v="0"/>
    <x v="0"/>
    <x v="0"/>
    <x v="0"/>
    <x v="0"/>
    <x v="0"/>
    <x v="0"/>
    <x v="0"/>
    <x v="0"/>
    <x v="0"/>
    <x v="0"/>
    <x v="0"/>
    <x v="13"/>
    <x v="25"/>
    <x v="25"/>
    <x v="20"/>
    <x v="0"/>
    <x v="3"/>
    <x v="19"/>
    <x v="26"/>
    <x v="0"/>
    <x v="8"/>
    <x v="8"/>
    <x v="13"/>
  </r>
  <r>
    <x v="76"/>
    <x v="26"/>
    <x v="8"/>
    <x v="8"/>
    <x v="7"/>
    <x v="3"/>
    <x v="1"/>
    <x v="1"/>
    <x v="3"/>
    <x v="3"/>
    <x v="62"/>
    <x v="0"/>
    <x v="0"/>
    <x v="0"/>
    <x v="0"/>
    <x v="0"/>
    <x v="62"/>
    <x v="0"/>
    <x v="59"/>
    <x v="16"/>
    <x v="76"/>
    <x v="26"/>
    <x v="8"/>
    <x v="8"/>
    <x v="7"/>
    <x v="3"/>
    <x v="1"/>
    <x v="1"/>
    <x v="3"/>
    <x v="65"/>
    <x v="0"/>
    <x v="0"/>
    <x v="1"/>
    <x v="0"/>
    <x v="0"/>
    <x v="0"/>
    <x v="0"/>
    <x v="0"/>
    <x v="0"/>
    <x v="0"/>
    <x v="0"/>
    <x v="0"/>
    <x v="1"/>
    <x v="0"/>
    <x v="0"/>
    <x v="0"/>
    <x v="0"/>
    <x v="1"/>
    <x v="0"/>
    <x v="0"/>
    <x v="0"/>
    <x v="0"/>
    <x v="1"/>
    <x v="74"/>
    <x v="26"/>
    <x v="26"/>
    <x v="21"/>
    <x v="0"/>
    <x v="10"/>
    <x v="20"/>
    <x v="27"/>
    <x v="0"/>
    <x v="5"/>
    <x v="5"/>
    <x v="71"/>
  </r>
  <r>
    <x v="77"/>
    <x v="2"/>
    <x v="8"/>
    <x v="8"/>
    <x v="34"/>
    <x v="1"/>
    <x v="6"/>
    <x v="2"/>
    <x v="1"/>
    <x v="1"/>
    <x v="63"/>
    <x v="0"/>
    <x v="0"/>
    <x v="0"/>
    <x v="0"/>
    <x v="1"/>
    <x v="63"/>
    <x v="0"/>
    <x v="60"/>
    <x v="6"/>
    <x v="77"/>
    <x v="2"/>
    <x v="8"/>
    <x v="8"/>
    <x v="34"/>
    <x v="1"/>
    <x v="6"/>
    <x v="2"/>
    <x v="1"/>
    <x v="66"/>
    <x v="1"/>
    <x v="0"/>
    <x v="1"/>
    <x v="0"/>
    <x v="0"/>
    <x v="0"/>
    <x v="0"/>
    <x v="0"/>
    <x v="0"/>
    <x v="0"/>
    <x v="0"/>
    <x v="1"/>
    <x v="0"/>
    <x v="0"/>
    <x v="0"/>
    <x v="0"/>
    <x v="0"/>
    <x v="0"/>
    <x v="0"/>
    <x v="0"/>
    <x v="0"/>
    <x v="0"/>
    <x v="1"/>
    <x v="75"/>
    <x v="27"/>
    <x v="27"/>
    <x v="13"/>
    <x v="0"/>
    <x v="15"/>
    <x v="9"/>
    <x v="28"/>
    <x v="0"/>
    <x v="34"/>
    <x v="34"/>
    <x v="72"/>
  </r>
  <r>
    <x v="78"/>
    <x v="2"/>
    <x v="8"/>
    <x v="8"/>
    <x v="7"/>
    <x v="0"/>
    <x v="1"/>
    <x v="2"/>
    <x v="1"/>
    <x v="1"/>
    <x v="64"/>
    <x v="0"/>
    <x v="0"/>
    <x v="0"/>
    <x v="0"/>
    <x v="3"/>
    <x v="64"/>
    <x v="0"/>
    <x v="0"/>
    <x v="6"/>
    <x v="78"/>
    <x v="2"/>
    <x v="8"/>
    <x v="8"/>
    <x v="7"/>
    <x v="0"/>
    <x v="1"/>
    <x v="2"/>
    <x v="1"/>
    <x v="67"/>
    <x v="0"/>
    <x v="0"/>
    <x v="1"/>
    <x v="1"/>
    <x v="0"/>
    <x v="0"/>
    <x v="0"/>
    <x v="0"/>
    <x v="1"/>
    <x v="1"/>
    <x v="0"/>
    <x v="0"/>
    <x v="0"/>
    <x v="0"/>
    <x v="0"/>
    <x v="0"/>
    <x v="0"/>
    <x v="0"/>
    <x v="0"/>
    <x v="0"/>
    <x v="0"/>
    <x v="0"/>
    <x v="3"/>
    <x v="76"/>
    <x v="28"/>
    <x v="28"/>
    <x v="22"/>
    <x v="0"/>
    <x v="5"/>
    <x v="21"/>
    <x v="29"/>
    <x v="1"/>
    <x v="35"/>
    <x v="35"/>
    <x v="73"/>
  </r>
  <r>
    <x v="79"/>
    <x v="27"/>
    <x v="40"/>
    <x v="8"/>
    <x v="7"/>
    <x v="8"/>
    <x v="1"/>
    <x v="1"/>
    <x v="1"/>
    <x v="1"/>
    <x v="65"/>
    <x v="12"/>
    <x v="13"/>
    <x v="14"/>
    <x v="1"/>
    <x v="0"/>
    <x v="65"/>
    <x v="10"/>
    <x v="36"/>
    <x v="2"/>
    <x v="79"/>
    <x v="27"/>
    <x v="40"/>
    <x v="8"/>
    <x v="7"/>
    <x v="8"/>
    <x v="1"/>
    <x v="1"/>
    <x v="1"/>
    <x v="68"/>
    <x v="0"/>
    <x v="0"/>
    <x v="1"/>
    <x v="1"/>
    <x v="0"/>
    <x v="1"/>
    <x v="0"/>
    <x v="0"/>
    <x v="0"/>
    <x v="0"/>
    <x v="0"/>
    <x v="0"/>
    <x v="1"/>
    <x v="0"/>
    <x v="0"/>
    <x v="1"/>
    <x v="0"/>
    <x v="1"/>
    <x v="1"/>
    <x v="0"/>
    <x v="2"/>
    <x v="0"/>
    <x v="2"/>
    <x v="77"/>
    <x v="29"/>
    <x v="29"/>
    <x v="23"/>
    <x v="0"/>
    <x v="5"/>
    <x v="22"/>
    <x v="30"/>
    <x v="1"/>
    <x v="12"/>
    <x v="12"/>
    <x v="74"/>
  </r>
  <r>
    <x v="80"/>
    <x v="27"/>
    <x v="41"/>
    <x v="8"/>
    <x v="14"/>
    <x v="8"/>
    <x v="1"/>
    <x v="1"/>
    <x v="1"/>
    <x v="1"/>
    <x v="66"/>
    <x v="13"/>
    <x v="14"/>
    <x v="15"/>
    <x v="1"/>
    <x v="0"/>
    <x v="66"/>
    <x v="18"/>
    <x v="61"/>
    <x v="17"/>
    <x v="80"/>
    <x v="27"/>
    <x v="41"/>
    <x v="8"/>
    <x v="14"/>
    <x v="8"/>
    <x v="1"/>
    <x v="1"/>
    <x v="1"/>
    <x v="69"/>
    <x v="0"/>
    <x v="0"/>
    <x v="1"/>
    <x v="1"/>
    <x v="0"/>
    <x v="1"/>
    <x v="1"/>
    <x v="0"/>
    <x v="0"/>
    <x v="0"/>
    <x v="0"/>
    <x v="0"/>
    <x v="1"/>
    <x v="0"/>
    <x v="0"/>
    <x v="0"/>
    <x v="0"/>
    <x v="1"/>
    <x v="1"/>
    <x v="0"/>
    <x v="2"/>
    <x v="0"/>
    <x v="4"/>
    <x v="78"/>
    <x v="29"/>
    <x v="29"/>
    <x v="23"/>
    <x v="0"/>
    <x v="5"/>
    <x v="22"/>
    <x v="30"/>
    <x v="1"/>
    <x v="5"/>
    <x v="5"/>
    <x v="75"/>
  </r>
  <r>
    <x v="81"/>
    <x v="27"/>
    <x v="8"/>
    <x v="8"/>
    <x v="7"/>
    <x v="3"/>
    <x v="1"/>
    <x v="1"/>
    <x v="1"/>
    <x v="1"/>
    <x v="67"/>
    <x v="14"/>
    <x v="9"/>
    <x v="16"/>
    <x v="1"/>
    <x v="2"/>
    <x v="67"/>
    <x v="19"/>
    <x v="36"/>
    <x v="18"/>
    <x v="81"/>
    <x v="27"/>
    <x v="8"/>
    <x v="8"/>
    <x v="7"/>
    <x v="3"/>
    <x v="1"/>
    <x v="1"/>
    <x v="1"/>
    <x v="70"/>
    <x v="0"/>
    <x v="0"/>
    <x v="1"/>
    <x v="1"/>
    <x v="0"/>
    <x v="0"/>
    <x v="0"/>
    <x v="0"/>
    <x v="0"/>
    <x v="0"/>
    <x v="0"/>
    <x v="0"/>
    <x v="1"/>
    <x v="0"/>
    <x v="0"/>
    <x v="1"/>
    <x v="0"/>
    <x v="1"/>
    <x v="1"/>
    <x v="0"/>
    <x v="2"/>
    <x v="0"/>
    <x v="2"/>
    <x v="79"/>
    <x v="29"/>
    <x v="30"/>
    <x v="2"/>
    <x v="0"/>
    <x v="5"/>
    <x v="22"/>
    <x v="30"/>
    <x v="1"/>
    <x v="12"/>
    <x v="12"/>
    <x v="76"/>
  </r>
  <r>
    <x v="82"/>
    <x v="28"/>
    <x v="8"/>
    <x v="8"/>
    <x v="2"/>
    <x v="0"/>
    <x v="1"/>
    <x v="1"/>
    <x v="2"/>
    <x v="2"/>
    <x v="68"/>
    <x v="0"/>
    <x v="0"/>
    <x v="0"/>
    <x v="0"/>
    <x v="3"/>
    <x v="68"/>
    <x v="0"/>
    <x v="36"/>
    <x v="10"/>
    <x v="82"/>
    <x v="28"/>
    <x v="8"/>
    <x v="8"/>
    <x v="2"/>
    <x v="0"/>
    <x v="1"/>
    <x v="1"/>
    <x v="2"/>
    <x v="71"/>
    <x v="0"/>
    <x v="0"/>
    <x v="1"/>
    <x v="0"/>
    <x v="0"/>
    <x v="0"/>
    <x v="0"/>
    <x v="0"/>
    <x v="0"/>
    <x v="0"/>
    <x v="0"/>
    <x v="0"/>
    <x v="0"/>
    <x v="0"/>
    <x v="0"/>
    <x v="0"/>
    <x v="0"/>
    <x v="0"/>
    <x v="0"/>
    <x v="0"/>
    <x v="0"/>
    <x v="0"/>
    <x v="1"/>
    <x v="44"/>
    <x v="30"/>
    <x v="31"/>
    <x v="24"/>
    <x v="0"/>
    <x v="0"/>
    <x v="2"/>
    <x v="3"/>
    <x v="0"/>
    <x v="8"/>
    <x v="8"/>
    <x v="77"/>
  </r>
  <r>
    <x v="83"/>
    <x v="0"/>
    <x v="42"/>
    <x v="28"/>
    <x v="7"/>
    <x v="0"/>
    <x v="0"/>
    <x v="0"/>
    <x v="3"/>
    <x v="3"/>
    <x v="65"/>
    <x v="0"/>
    <x v="0"/>
    <x v="0"/>
    <x v="0"/>
    <x v="0"/>
    <x v="65"/>
    <x v="0"/>
    <x v="62"/>
    <x v="6"/>
    <x v="83"/>
    <x v="0"/>
    <x v="42"/>
    <x v="28"/>
    <x v="7"/>
    <x v="0"/>
    <x v="0"/>
    <x v="0"/>
    <x v="3"/>
    <x v="72"/>
    <x v="0"/>
    <x v="0"/>
    <x v="1"/>
    <x v="1"/>
    <x v="0"/>
    <x v="0"/>
    <x v="0"/>
    <x v="0"/>
    <x v="0"/>
    <x v="0"/>
    <x v="0"/>
    <x v="1"/>
    <x v="0"/>
    <x v="0"/>
    <x v="0"/>
    <x v="0"/>
    <x v="0"/>
    <x v="0"/>
    <x v="0"/>
    <x v="1"/>
    <x v="0"/>
    <x v="0"/>
    <x v="1"/>
    <x v="80"/>
    <x v="31"/>
    <x v="32"/>
    <x v="23"/>
    <x v="0"/>
    <x v="5"/>
    <x v="13"/>
    <x v="31"/>
    <x v="1"/>
    <x v="1"/>
    <x v="1"/>
    <x v="78"/>
  </r>
  <r>
    <x v="84"/>
    <x v="0"/>
    <x v="43"/>
    <x v="8"/>
    <x v="3"/>
    <x v="5"/>
    <x v="0"/>
    <x v="0"/>
    <x v="1"/>
    <x v="1"/>
    <x v="69"/>
    <x v="0"/>
    <x v="0"/>
    <x v="0"/>
    <x v="0"/>
    <x v="2"/>
    <x v="69"/>
    <x v="20"/>
    <x v="5"/>
    <x v="6"/>
    <x v="84"/>
    <x v="0"/>
    <x v="43"/>
    <x v="8"/>
    <x v="3"/>
    <x v="5"/>
    <x v="0"/>
    <x v="0"/>
    <x v="1"/>
    <x v="73"/>
    <x v="0"/>
    <x v="0"/>
    <x v="0"/>
    <x v="1"/>
    <x v="0"/>
    <x v="0"/>
    <x v="0"/>
    <x v="0"/>
    <x v="0"/>
    <x v="0"/>
    <x v="0"/>
    <x v="0"/>
    <x v="0"/>
    <x v="0"/>
    <x v="0"/>
    <x v="0"/>
    <x v="0"/>
    <x v="1"/>
    <x v="1"/>
    <x v="0"/>
    <x v="5"/>
    <x v="0"/>
    <x v="1"/>
    <x v="81"/>
    <x v="31"/>
    <x v="32"/>
    <x v="23"/>
    <x v="0"/>
    <x v="5"/>
    <x v="14"/>
    <x v="19"/>
    <x v="1"/>
    <x v="1"/>
    <x v="1"/>
    <x v="79"/>
  </r>
  <r>
    <x v="85"/>
    <x v="0"/>
    <x v="44"/>
    <x v="8"/>
    <x v="1"/>
    <x v="5"/>
    <x v="0"/>
    <x v="0"/>
    <x v="1"/>
    <x v="1"/>
    <x v="70"/>
    <x v="0"/>
    <x v="0"/>
    <x v="0"/>
    <x v="0"/>
    <x v="4"/>
    <x v="70"/>
    <x v="21"/>
    <x v="36"/>
    <x v="6"/>
    <x v="85"/>
    <x v="0"/>
    <x v="44"/>
    <x v="8"/>
    <x v="1"/>
    <x v="5"/>
    <x v="0"/>
    <x v="0"/>
    <x v="1"/>
    <x v="74"/>
    <x v="0"/>
    <x v="0"/>
    <x v="0"/>
    <x v="1"/>
    <x v="0"/>
    <x v="0"/>
    <x v="0"/>
    <x v="0"/>
    <x v="0"/>
    <x v="0"/>
    <x v="0"/>
    <x v="0"/>
    <x v="1"/>
    <x v="0"/>
    <x v="0"/>
    <x v="0"/>
    <x v="0"/>
    <x v="1"/>
    <x v="1"/>
    <x v="0"/>
    <x v="6"/>
    <x v="0"/>
    <x v="2"/>
    <x v="82"/>
    <x v="31"/>
    <x v="32"/>
    <x v="23"/>
    <x v="0"/>
    <x v="5"/>
    <x v="14"/>
    <x v="19"/>
    <x v="1"/>
    <x v="5"/>
    <x v="5"/>
    <x v="80"/>
  </r>
  <r>
    <x v="86"/>
    <x v="0"/>
    <x v="45"/>
    <x v="29"/>
    <x v="1"/>
    <x v="2"/>
    <x v="0"/>
    <x v="0"/>
    <x v="1"/>
    <x v="1"/>
    <x v="71"/>
    <x v="0"/>
    <x v="0"/>
    <x v="0"/>
    <x v="0"/>
    <x v="2"/>
    <x v="71"/>
    <x v="0"/>
    <x v="24"/>
    <x v="6"/>
    <x v="86"/>
    <x v="0"/>
    <x v="45"/>
    <x v="29"/>
    <x v="1"/>
    <x v="2"/>
    <x v="0"/>
    <x v="0"/>
    <x v="1"/>
    <x v="75"/>
    <x v="0"/>
    <x v="0"/>
    <x v="0"/>
    <x v="1"/>
    <x v="0"/>
    <x v="0"/>
    <x v="0"/>
    <x v="0"/>
    <x v="0"/>
    <x v="0"/>
    <x v="0"/>
    <x v="0"/>
    <x v="1"/>
    <x v="0"/>
    <x v="0"/>
    <x v="0"/>
    <x v="0"/>
    <x v="1"/>
    <x v="0"/>
    <x v="0"/>
    <x v="0"/>
    <x v="0"/>
    <x v="2"/>
    <x v="2"/>
    <x v="31"/>
    <x v="32"/>
    <x v="23"/>
    <x v="0"/>
    <x v="5"/>
    <x v="14"/>
    <x v="19"/>
    <x v="1"/>
    <x v="1"/>
    <x v="1"/>
    <x v="81"/>
  </r>
  <r>
    <x v="87"/>
    <x v="0"/>
    <x v="46"/>
    <x v="8"/>
    <x v="1"/>
    <x v="0"/>
    <x v="0"/>
    <x v="0"/>
    <x v="1"/>
    <x v="1"/>
    <x v="72"/>
    <x v="0"/>
    <x v="0"/>
    <x v="0"/>
    <x v="0"/>
    <x v="0"/>
    <x v="72"/>
    <x v="0"/>
    <x v="63"/>
    <x v="6"/>
    <x v="87"/>
    <x v="0"/>
    <x v="46"/>
    <x v="8"/>
    <x v="1"/>
    <x v="0"/>
    <x v="0"/>
    <x v="0"/>
    <x v="1"/>
    <x v="76"/>
    <x v="0"/>
    <x v="0"/>
    <x v="0"/>
    <x v="0"/>
    <x v="0"/>
    <x v="0"/>
    <x v="0"/>
    <x v="0"/>
    <x v="0"/>
    <x v="0"/>
    <x v="0"/>
    <x v="0"/>
    <x v="0"/>
    <x v="0"/>
    <x v="0"/>
    <x v="0"/>
    <x v="0"/>
    <x v="0"/>
    <x v="0"/>
    <x v="0"/>
    <x v="0"/>
    <x v="0"/>
    <x v="0"/>
    <x v="83"/>
    <x v="31"/>
    <x v="32"/>
    <x v="23"/>
    <x v="0"/>
    <x v="5"/>
    <x v="14"/>
    <x v="19"/>
    <x v="1"/>
    <x v="1"/>
    <x v="1"/>
    <x v="82"/>
  </r>
  <r>
    <x v="88"/>
    <x v="0"/>
    <x v="47"/>
    <x v="8"/>
    <x v="1"/>
    <x v="0"/>
    <x v="0"/>
    <x v="0"/>
    <x v="1"/>
    <x v="1"/>
    <x v="73"/>
    <x v="0"/>
    <x v="0"/>
    <x v="0"/>
    <x v="0"/>
    <x v="2"/>
    <x v="73"/>
    <x v="0"/>
    <x v="0"/>
    <x v="6"/>
    <x v="88"/>
    <x v="0"/>
    <x v="47"/>
    <x v="8"/>
    <x v="1"/>
    <x v="0"/>
    <x v="0"/>
    <x v="0"/>
    <x v="1"/>
    <x v="77"/>
    <x v="0"/>
    <x v="0"/>
    <x v="1"/>
    <x v="1"/>
    <x v="0"/>
    <x v="0"/>
    <x v="0"/>
    <x v="0"/>
    <x v="0"/>
    <x v="0"/>
    <x v="0"/>
    <x v="1"/>
    <x v="0"/>
    <x v="0"/>
    <x v="0"/>
    <x v="1"/>
    <x v="1"/>
    <x v="0"/>
    <x v="0"/>
    <x v="0"/>
    <x v="0"/>
    <x v="0"/>
    <x v="1"/>
    <x v="84"/>
    <x v="31"/>
    <x v="32"/>
    <x v="23"/>
    <x v="0"/>
    <x v="5"/>
    <x v="13"/>
    <x v="31"/>
    <x v="1"/>
    <x v="1"/>
    <x v="1"/>
    <x v="83"/>
  </r>
  <r>
    <x v="89"/>
    <x v="0"/>
    <x v="48"/>
    <x v="30"/>
    <x v="1"/>
    <x v="3"/>
    <x v="0"/>
    <x v="0"/>
    <x v="1"/>
    <x v="1"/>
    <x v="74"/>
    <x v="0"/>
    <x v="0"/>
    <x v="0"/>
    <x v="0"/>
    <x v="4"/>
    <x v="74"/>
    <x v="22"/>
    <x v="36"/>
    <x v="6"/>
    <x v="89"/>
    <x v="0"/>
    <x v="48"/>
    <x v="30"/>
    <x v="1"/>
    <x v="3"/>
    <x v="0"/>
    <x v="0"/>
    <x v="1"/>
    <x v="78"/>
    <x v="0"/>
    <x v="0"/>
    <x v="0"/>
    <x v="1"/>
    <x v="0"/>
    <x v="0"/>
    <x v="0"/>
    <x v="0"/>
    <x v="0"/>
    <x v="0"/>
    <x v="0"/>
    <x v="0"/>
    <x v="1"/>
    <x v="0"/>
    <x v="0"/>
    <x v="0"/>
    <x v="0"/>
    <x v="1"/>
    <x v="1"/>
    <x v="0"/>
    <x v="2"/>
    <x v="0"/>
    <x v="2"/>
    <x v="85"/>
    <x v="31"/>
    <x v="32"/>
    <x v="23"/>
    <x v="0"/>
    <x v="5"/>
    <x v="14"/>
    <x v="19"/>
    <x v="1"/>
    <x v="1"/>
    <x v="1"/>
    <x v="84"/>
  </r>
  <r>
    <x v="90"/>
    <x v="0"/>
    <x v="49"/>
    <x v="8"/>
    <x v="1"/>
    <x v="0"/>
    <x v="0"/>
    <x v="0"/>
    <x v="1"/>
    <x v="1"/>
    <x v="65"/>
    <x v="0"/>
    <x v="0"/>
    <x v="0"/>
    <x v="0"/>
    <x v="0"/>
    <x v="65"/>
    <x v="0"/>
    <x v="64"/>
    <x v="6"/>
    <x v="90"/>
    <x v="0"/>
    <x v="49"/>
    <x v="8"/>
    <x v="1"/>
    <x v="0"/>
    <x v="0"/>
    <x v="0"/>
    <x v="1"/>
    <x v="79"/>
    <x v="0"/>
    <x v="0"/>
    <x v="1"/>
    <x v="1"/>
    <x v="0"/>
    <x v="0"/>
    <x v="1"/>
    <x v="0"/>
    <x v="0"/>
    <x v="0"/>
    <x v="0"/>
    <x v="0"/>
    <x v="0"/>
    <x v="0"/>
    <x v="0"/>
    <x v="0"/>
    <x v="1"/>
    <x v="0"/>
    <x v="0"/>
    <x v="0"/>
    <x v="0"/>
    <x v="0"/>
    <x v="2"/>
    <x v="86"/>
    <x v="31"/>
    <x v="32"/>
    <x v="23"/>
    <x v="0"/>
    <x v="5"/>
    <x v="14"/>
    <x v="19"/>
    <x v="1"/>
    <x v="1"/>
    <x v="1"/>
    <x v="85"/>
  </r>
  <r>
    <x v="91"/>
    <x v="0"/>
    <x v="50"/>
    <x v="8"/>
    <x v="1"/>
    <x v="0"/>
    <x v="0"/>
    <x v="0"/>
    <x v="3"/>
    <x v="3"/>
    <x v="65"/>
    <x v="0"/>
    <x v="0"/>
    <x v="0"/>
    <x v="0"/>
    <x v="0"/>
    <x v="65"/>
    <x v="0"/>
    <x v="37"/>
    <x v="6"/>
    <x v="91"/>
    <x v="0"/>
    <x v="50"/>
    <x v="8"/>
    <x v="1"/>
    <x v="0"/>
    <x v="0"/>
    <x v="0"/>
    <x v="3"/>
    <x v="72"/>
    <x v="0"/>
    <x v="1"/>
    <x v="1"/>
    <x v="1"/>
    <x v="0"/>
    <x v="0"/>
    <x v="0"/>
    <x v="0"/>
    <x v="0"/>
    <x v="0"/>
    <x v="0"/>
    <x v="0"/>
    <x v="0"/>
    <x v="0"/>
    <x v="1"/>
    <x v="0"/>
    <x v="0"/>
    <x v="0"/>
    <x v="0"/>
    <x v="1"/>
    <x v="0"/>
    <x v="0"/>
    <x v="1"/>
    <x v="87"/>
    <x v="31"/>
    <x v="32"/>
    <x v="23"/>
    <x v="0"/>
    <x v="5"/>
    <x v="14"/>
    <x v="19"/>
    <x v="1"/>
    <x v="1"/>
    <x v="1"/>
    <x v="86"/>
  </r>
  <r>
    <x v="92"/>
    <x v="0"/>
    <x v="51"/>
    <x v="31"/>
    <x v="1"/>
    <x v="3"/>
    <x v="0"/>
    <x v="0"/>
    <x v="3"/>
    <x v="3"/>
    <x v="75"/>
    <x v="0"/>
    <x v="0"/>
    <x v="0"/>
    <x v="0"/>
    <x v="2"/>
    <x v="75"/>
    <x v="0"/>
    <x v="65"/>
    <x v="19"/>
    <x v="92"/>
    <x v="0"/>
    <x v="51"/>
    <x v="31"/>
    <x v="1"/>
    <x v="3"/>
    <x v="0"/>
    <x v="0"/>
    <x v="3"/>
    <x v="80"/>
    <x v="0"/>
    <x v="0"/>
    <x v="0"/>
    <x v="1"/>
    <x v="0"/>
    <x v="0"/>
    <x v="0"/>
    <x v="0"/>
    <x v="0"/>
    <x v="0"/>
    <x v="0"/>
    <x v="0"/>
    <x v="1"/>
    <x v="0"/>
    <x v="0"/>
    <x v="0"/>
    <x v="0"/>
    <x v="1"/>
    <x v="0"/>
    <x v="1"/>
    <x v="0"/>
    <x v="0"/>
    <x v="2"/>
    <x v="88"/>
    <x v="31"/>
    <x v="32"/>
    <x v="23"/>
    <x v="0"/>
    <x v="5"/>
    <x v="14"/>
    <x v="19"/>
    <x v="1"/>
    <x v="1"/>
    <x v="1"/>
    <x v="87"/>
  </r>
  <r>
    <x v="93"/>
    <x v="0"/>
    <x v="52"/>
    <x v="32"/>
    <x v="1"/>
    <x v="3"/>
    <x v="0"/>
    <x v="0"/>
    <x v="3"/>
    <x v="3"/>
    <x v="76"/>
    <x v="0"/>
    <x v="0"/>
    <x v="0"/>
    <x v="0"/>
    <x v="2"/>
    <x v="76"/>
    <x v="0"/>
    <x v="66"/>
    <x v="19"/>
    <x v="93"/>
    <x v="0"/>
    <x v="52"/>
    <x v="32"/>
    <x v="1"/>
    <x v="3"/>
    <x v="0"/>
    <x v="0"/>
    <x v="3"/>
    <x v="81"/>
    <x v="0"/>
    <x v="0"/>
    <x v="0"/>
    <x v="1"/>
    <x v="0"/>
    <x v="0"/>
    <x v="0"/>
    <x v="0"/>
    <x v="0"/>
    <x v="0"/>
    <x v="0"/>
    <x v="0"/>
    <x v="1"/>
    <x v="0"/>
    <x v="0"/>
    <x v="0"/>
    <x v="0"/>
    <x v="1"/>
    <x v="0"/>
    <x v="1"/>
    <x v="0"/>
    <x v="0"/>
    <x v="2"/>
    <x v="24"/>
    <x v="31"/>
    <x v="32"/>
    <x v="23"/>
    <x v="0"/>
    <x v="5"/>
    <x v="14"/>
    <x v="19"/>
    <x v="1"/>
    <x v="1"/>
    <x v="1"/>
    <x v="88"/>
  </r>
  <r>
    <x v="94"/>
    <x v="0"/>
    <x v="53"/>
    <x v="33"/>
    <x v="1"/>
    <x v="0"/>
    <x v="0"/>
    <x v="0"/>
    <x v="3"/>
    <x v="3"/>
    <x v="31"/>
    <x v="0"/>
    <x v="0"/>
    <x v="0"/>
    <x v="0"/>
    <x v="0"/>
    <x v="31"/>
    <x v="0"/>
    <x v="67"/>
    <x v="19"/>
    <x v="94"/>
    <x v="0"/>
    <x v="53"/>
    <x v="33"/>
    <x v="1"/>
    <x v="0"/>
    <x v="0"/>
    <x v="0"/>
    <x v="3"/>
    <x v="82"/>
    <x v="0"/>
    <x v="0"/>
    <x v="1"/>
    <x v="1"/>
    <x v="0"/>
    <x v="0"/>
    <x v="0"/>
    <x v="0"/>
    <x v="0"/>
    <x v="0"/>
    <x v="0"/>
    <x v="1"/>
    <x v="0"/>
    <x v="0"/>
    <x v="0"/>
    <x v="0"/>
    <x v="0"/>
    <x v="0"/>
    <x v="0"/>
    <x v="1"/>
    <x v="0"/>
    <x v="0"/>
    <x v="1"/>
    <x v="89"/>
    <x v="31"/>
    <x v="32"/>
    <x v="23"/>
    <x v="0"/>
    <x v="5"/>
    <x v="14"/>
    <x v="19"/>
    <x v="1"/>
    <x v="1"/>
    <x v="1"/>
    <x v="89"/>
  </r>
  <r>
    <x v="95"/>
    <x v="0"/>
    <x v="54"/>
    <x v="8"/>
    <x v="1"/>
    <x v="0"/>
    <x v="0"/>
    <x v="0"/>
    <x v="2"/>
    <x v="2"/>
    <x v="9"/>
    <x v="0"/>
    <x v="0"/>
    <x v="0"/>
    <x v="0"/>
    <x v="0"/>
    <x v="9"/>
    <x v="0"/>
    <x v="42"/>
    <x v="6"/>
    <x v="95"/>
    <x v="0"/>
    <x v="54"/>
    <x v="8"/>
    <x v="1"/>
    <x v="0"/>
    <x v="0"/>
    <x v="0"/>
    <x v="2"/>
    <x v="9"/>
    <x v="0"/>
    <x v="0"/>
    <x v="0"/>
    <x v="1"/>
    <x v="0"/>
    <x v="0"/>
    <x v="0"/>
    <x v="0"/>
    <x v="0"/>
    <x v="0"/>
    <x v="0"/>
    <x v="0"/>
    <x v="0"/>
    <x v="0"/>
    <x v="1"/>
    <x v="0"/>
    <x v="0"/>
    <x v="0"/>
    <x v="0"/>
    <x v="1"/>
    <x v="0"/>
    <x v="0"/>
    <x v="1"/>
    <x v="90"/>
    <x v="31"/>
    <x v="32"/>
    <x v="23"/>
    <x v="0"/>
    <x v="5"/>
    <x v="14"/>
    <x v="19"/>
    <x v="1"/>
    <x v="1"/>
    <x v="1"/>
    <x v="90"/>
  </r>
  <r>
    <x v="96"/>
    <x v="29"/>
    <x v="8"/>
    <x v="8"/>
    <x v="35"/>
    <x v="5"/>
    <x v="1"/>
    <x v="1"/>
    <x v="2"/>
    <x v="2"/>
    <x v="77"/>
    <x v="15"/>
    <x v="15"/>
    <x v="17"/>
    <x v="1"/>
    <x v="2"/>
    <x v="77"/>
    <x v="23"/>
    <x v="12"/>
    <x v="9"/>
    <x v="96"/>
    <x v="29"/>
    <x v="8"/>
    <x v="8"/>
    <x v="35"/>
    <x v="5"/>
    <x v="1"/>
    <x v="1"/>
    <x v="2"/>
    <x v="83"/>
    <x v="0"/>
    <x v="0"/>
    <x v="1"/>
    <x v="0"/>
    <x v="0"/>
    <x v="0"/>
    <x v="0"/>
    <x v="0"/>
    <x v="0"/>
    <x v="0"/>
    <x v="0"/>
    <x v="0"/>
    <x v="1"/>
    <x v="0"/>
    <x v="0"/>
    <x v="0"/>
    <x v="0"/>
    <x v="1"/>
    <x v="1"/>
    <x v="0"/>
    <x v="2"/>
    <x v="0"/>
    <x v="1"/>
    <x v="91"/>
    <x v="32"/>
    <x v="33"/>
    <x v="25"/>
    <x v="0"/>
    <x v="14"/>
    <x v="0"/>
    <x v="18"/>
    <x v="0"/>
    <x v="36"/>
    <x v="36"/>
    <x v="13"/>
  </r>
  <r>
    <x v="97"/>
    <x v="30"/>
    <x v="8"/>
    <x v="8"/>
    <x v="9"/>
    <x v="3"/>
    <x v="1"/>
    <x v="1"/>
    <x v="1"/>
    <x v="1"/>
    <x v="78"/>
    <x v="0"/>
    <x v="0"/>
    <x v="0"/>
    <x v="0"/>
    <x v="1"/>
    <x v="78"/>
    <x v="0"/>
    <x v="68"/>
    <x v="6"/>
    <x v="97"/>
    <x v="30"/>
    <x v="8"/>
    <x v="8"/>
    <x v="9"/>
    <x v="3"/>
    <x v="1"/>
    <x v="1"/>
    <x v="1"/>
    <x v="84"/>
    <x v="0"/>
    <x v="0"/>
    <x v="1"/>
    <x v="0"/>
    <x v="0"/>
    <x v="0"/>
    <x v="0"/>
    <x v="0"/>
    <x v="0"/>
    <x v="0"/>
    <x v="0"/>
    <x v="0"/>
    <x v="0"/>
    <x v="0"/>
    <x v="0"/>
    <x v="0"/>
    <x v="1"/>
    <x v="0"/>
    <x v="0"/>
    <x v="0"/>
    <x v="0"/>
    <x v="0"/>
    <x v="0"/>
    <x v="92"/>
    <x v="33"/>
    <x v="34"/>
    <x v="13"/>
    <x v="0"/>
    <x v="0"/>
    <x v="23"/>
    <x v="32"/>
    <x v="0"/>
    <x v="2"/>
    <x v="2"/>
    <x v="91"/>
  </r>
  <r>
    <x v="98"/>
    <x v="2"/>
    <x v="8"/>
    <x v="8"/>
    <x v="36"/>
    <x v="0"/>
    <x v="3"/>
    <x v="2"/>
    <x v="1"/>
    <x v="1"/>
    <x v="79"/>
    <x v="0"/>
    <x v="0"/>
    <x v="0"/>
    <x v="0"/>
    <x v="3"/>
    <x v="79"/>
    <x v="0"/>
    <x v="69"/>
    <x v="20"/>
    <x v="98"/>
    <x v="2"/>
    <x v="8"/>
    <x v="8"/>
    <x v="36"/>
    <x v="0"/>
    <x v="3"/>
    <x v="2"/>
    <x v="1"/>
    <x v="85"/>
    <x v="0"/>
    <x v="1"/>
    <x v="1"/>
    <x v="0"/>
    <x v="0"/>
    <x v="0"/>
    <x v="0"/>
    <x v="0"/>
    <x v="0"/>
    <x v="0"/>
    <x v="0"/>
    <x v="0"/>
    <x v="0"/>
    <x v="0"/>
    <x v="1"/>
    <x v="0"/>
    <x v="0"/>
    <x v="0"/>
    <x v="1"/>
    <x v="0"/>
    <x v="0"/>
    <x v="3"/>
    <x v="0"/>
    <x v="93"/>
    <x v="34"/>
    <x v="35"/>
    <x v="11"/>
    <x v="0"/>
    <x v="5"/>
    <x v="24"/>
    <x v="33"/>
    <x v="1"/>
    <x v="37"/>
    <x v="37"/>
    <x v="92"/>
  </r>
  <r>
    <x v="99"/>
    <x v="9"/>
    <x v="8"/>
    <x v="8"/>
    <x v="14"/>
    <x v="0"/>
    <x v="4"/>
    <x v="3"/>
    <x v="3"/>
    <x v="3"/>
    <x v="80"/>
    <x v="16"/>
    <x v="16"/>
    <x v="18"/>
    <x v="1"/>
    <x v="0"/>
    <x v="80"/>
    <x v="24"/>
    <x v="70"/>
    <x v="6"/>
    <x v="99"/>
    <x v="9"/>
    <x v="8"/>
    <x v="8"/>
    <x v="14"/>
    <x v="0"/>
    <x v="4"/>
    <x v="3"/>
    <x v="3"/>
    <x v="86"/>
    <x v="0"/>
    <x v="0"/>
    <x v="1"/>
    <x v="1"/>
    <x v="0"/>
    <x v="0"/>
    <x v="0"/>
    <x v="0"/>
    <x v="0"/>
    <x v="0"/>
    <x v="0"/>
    <x v="0"/>
    <x v="0"/>
    <x v="0"/>
    <x v="0"/>
    <x v="1"/>
    <x v="0"/>
    <x v="0"/>
    <x v="1"/>
    <x v="0"/>
    <x v="7"/>
    <x v="0"/>
    <x v="1"/>
    <x v="94"/>
    <x v="35"/>
    <x v="36"/>
    <x v="26"/>
    <x v="0"/>
    <x v="0"/>
    <x v="2"/>
    <x v="3"/>
    <x v="0"/>
    <x v="2"/>
    <x v="2"/>
    <x v="93"/>
  </r>
  <r>
    <x v="100"/>
    <x v="31"/>
    <x v="55"/>
    <x v="8"/>
    <x v="0"/>
    <x v="0"/>
    <x v="1"/>
    <x v="1"/>
    <x v="1"/>
    <x v="1"/>
    <x v="81"/>
    <x v="17"/>
    <x v="17"/>
    <x v="19"/>
    <x v="1"/>
    <x v="0"/>
    <x v="81"/>
    <x v="0"/>
    <x v="71"/>
    <x v="9"/>
    <x v="100"/>
    <x v="31"/>
    <x v="55"/>
    <x v="8"/>
    <x v="0"/>
    <x v="0"/>
    <x v="1"/>
    <x v="1"/>
    <x v="1"/>
    <x v="87"/>
    <x v="0"/>
    <x v="0"/>
    <x v="1"/>
    <x v="0"/>
    <x v="0"/>
    <x v="0"/>
    <x v="0"/>
    <x v="0"/>
    <x v="0"/>
    <x v="0"/>
    <x v="0"/>
    <x v="0"/>
    <x v="0"/>
    <x v="0"/>
    <x v="0"/>
    <x v="1"/>
    <x v="0"/>
    <x v="0"/>
    <x v="0"/>
    <x v="0"/>
    <x v="0"/>
    <x v="0"/>
    <x v="1"/>
    <x v="95"/>
    <x v="35"/>
    <x v="36"/>
    <x v="27"/>
    <x v="0"/>
    <x v="0"/>
    <x v="2"/>
    <x v="3"/>
    <x v="0"/>
    <x v="8"/>
    <x v="8"/>
    <x v="94"/>
  </r>
  <r>
    <x v="101"/>
    <x v="0"/>
    <x v="8"/>
    <x v="8"/>
    <x v="0"/>
    <x v="0"/>
    <x v="0"/>
    <x v="0"/>
    <x v="1"/>
    <x v="1"/>
    <x v="82"/>
    <x v="0"/>
    <x v="0"/>
    <x v="0"/>
    <x v="0"/>
    <x v="0"/>
    <x v="82"/>
    <x v="0"/>
    <x v="72"/>
    <x v="6"/>
    <x v="101"/>
    <x v="0"/>
    <x v="8"/>
    <x v="8"/>
    <x v="0"/>
    <x v="0"/>
    <x v="0"/>
    <x v="0"/>
    <x v="1"/>
    <x v="88"/>
    <x v="0"/>
    <x v="0"/>
    <x v="1"/>
    <x v="0"/>
    <x v="0"/>
    <x v="0"/>
    <x v="0"/>
    <x v="0"/>
    <x v="0"/>
    <x v="0"/>
    <x v="0"/>
    <x v="0"/>
    <x v="0"/>
    <x v="0"/>
    <x v="0"/>
    <x v="1"/>
    <x v="0"/>
    <x v="0"/>
    <x v="0"/>
    <x v="0"/>
    <x v="0"/>
    <x v="0"/>
    <x v="0"/>
    <x v="96"/>
    <x v="35"/>
    <x v="37"/>
    <x v="26"/>
    <x v="0"/>
    <x v="0"/>
    <x v="2"/>
    <x v="3"/>
    <x v="0"/>
    <x v="1"/>
    <x v="1"/>
    <x v="95"/>
  </r>
  <r>
    <x v="102"/>
    <x v="0"/>
    <x v="8"/>
    <x v="8"/>
    <x v="0"/>
    <x v="0"/>
    <x v="0"/>
    <x v="0"/>
    <x v="3"/>
    <x v="3"/>
    <x v="83"/>
    <x v="0"/>
    <x v="0"/>
    <x v="0"/>
    <x v="0"/>
    <x v="0"/>
    <x v="83"/>
    <x v="0"/>
    <x v="73"/>
    <x v="6"/>
    <x v="102"/>
    <x v="0"/>
    <x v="8"/>
    <x v="8"/>
    <x v="0"/>
    <x v="0"/>
    <x v="0"/>
    <x v="0"/>
    <x v="3"/>
    <x v="89"/>
    <x v="0"/>
    <x v="0"/>
    <x v="1"/>
    <x v="0"/>
    <x v="0"/>
    <x v="0"/>
    <x v="0"/>
    <x v="0"/>
    <x v="0"/>
    <x v="0"/>
    <x v="0"/>
    <x v="0"/>
    <x v="0"/>
    <x v="0"/>
    <x v="0"/>
    <x v="0"/>
    <x v="0"/>
    <x v="0"/>
    <x v="0"/>
    <x v="1"/>
    <x v="0"/>
    <x v="0"/>
    <x v="0"/>
    <x v="97"/>
    <x v="35"/>
    <x v="37"/>
    <x v="26"/>
    <x v="0"/>
    <x v="0"/>
    <x v="2"/>
    <x v="3"/>
    <x v="0"/>
    <x v="25"/>
    <x v="25"/>
    <x v="96"/>
  </r>
  <r>
    <x v="103"/>
    <x v="0"/>
    <x v="8"/>
    <x v="8"/>
    <x v="2"/>
    <x v="3"/>
    <x v="0"/>
    <x v="0"/>
    <x v="0"/>
    <x v="0"/>
    <x v="84"/>
    <x v="0"/>
    <x v="0"/>
    <x v="0"/>
    <x v="0"/>
    <x v="0"/>
    <x v="84"/>
    <x v="0"/>
    <x v="74"/>
    <x v="12"/>
    <x v="103"/>
    <x v="0"/>
    <x v="8"/>
    <x v="8"/>
    <x v="2"/>
    <x v="3"/>
    <x v="0"/>
    <x v="0"/>
    <x v="0"/>
    <x v="90"/>
    <x v="0"/>
    <x v="0"/>
    <x v="0"/>
    <x v="0"/>
    <x v="0"/>
    <x v="0"/>
    <x v="0"/>
    <x v="0"/>
    <x v="0"/>
    <x v="0"/>
    <x v="0"/>
    <x v="0"/>
    <x v="0"/>
    <x v="0"/>
    <x v="0"/>
    <x v="0"/>
    <x v="0"/>
    <x v="0"/>
    <x v="0"/>
    <x v="0"/>
    <x v="0"/>
    <x v="0"/>
    <x v="0"/>
    <x v="98"/>
    <x v="35"/>
    <x v="37"/>
    <x v="26"/>
    <x v="0"/>
    <x v="0"/>
    <x v="2"/>
    <x v="3"/>
    <x v="0"/>
    <x v="38"/>
    <x v="38"/>
    <x v="97"/>
  </r>
  <r>
    <x v="104"/>
    <x v="32"/>
    <x v="8"/>
    <x v="8"/>
    <x v="1"/>
    <x v="0"/>
    <x v="4"/>
    <x v="1"/>
    <x v="1"/>
    <x v="1"/>
    <x v="85"/>
    <x v="18"/>
    <x v="18"/>
    <x v="20"/>
    <x v="1"/>
    <x v="1"/>
    <x v="85"/>
    <x v="0"/>
    <x v="32"/>
    <x v="12"/>
    <x v="104"/>
    <x v="32"/>
    <x v="8"/>
    <x v="8"/>
    <x v="1"/>
    <x v="0"/>
    <x v="4"/>
    <x v="1"/>
    <x v="1"/>
    <x v="91"/>
    <x v="0"/>
    <x v="0"/>
    <x v="1"/>
    <x v="0"/>
    <x v="0"/>
    <x v="0"/>
    <x v="0"/>
    <x v="0"/>
    <x v="0"/>
    <x v="0"/>
    <x v="0"/>
    <x v="0"/>
    <x v="0"/>
    <x v="0"/>
    <x v="0"/>
    <x v="1"/>
    <x v="0"/>
    <x v="0"/>
    <x v="1"/>
    <x v="0"/>
    <x v="0"/>
    <x v="4"/>
    <x v="0"/>
    <x v="99"/>
    <x v="36"/>
    <x v="5"/>
    <x v="6"/>
    <x v="0"/>
    <x v="5"/>
    <x v="25"/>
    <x v="34"/>
    <x v="1"/>
    <x v="29"/>
    <x v="29"/>
    <x v="98"/>
  </r>
  <r>
    <x v="105"/>
    <x v="2"/>
    <x v="8"/>
    <x v="8"/>
    <x v="37"/>
    <x v="4"/>
    <x v="1"/>
    <x v="2"/>
    <x v="1"/>
    <x v="1"/>
    <x v="86"/>
    <x v="0"/>
    <x v="0"/>
    <x v="0"/>
    <x v="0"/>
    <x v="1"/>
    <x v="86"/>
    <x v="0"/>
    <x v="75"/>
    <x v="12"/>
    <x v="105"/>
    <x v="2"/>
    <x v="8"/>
    <x v="8"/>
    <x v="37"/>
    <x v="4"/>
    <x v="1"/>
    <x v="2"/>
    <x v="1"/>
    <x v="92"/>
    <x v="0"/>
    <x v="0"/>
    <x v="1"/>
    <x v="0"/>
    <x v="0"/>
    <x v="0"/>
    <x v="0"/>
    <x v="0"/>
    <x v="0"/>
    <x v="0"/>
    <x v="0"/>
    <x v="0"/>
    <x v="0"/>
    <x v="0"/>
    <x v="0"/>
    <x v="0"/>
    <x v="0"/>
    <x v="0"/>
    <x v="0"/>
    <x v="0"/>
    <x v="0"/>
    <x v="0"/>
    <x v="1"/>
    <x v="100"/>
    <x v="37"/>
    <x v="38"/>
    <x v="3"/>
    <x v="0"/>
    <x v="3"/>
    <x v="26"/>
    <x v="35"/>
    <x v="0"/>
    <x v="1"/>
    <x v="1"/>
    <x v="99"/>
  </r>
  <r>
    <x v="106"/>
    <x v="33"/>
    <x v="8"/>
    <x v="8"/>
    <x v="38"/>
    <x v="4"/>
    <x v="1"/>
    <x v="1"/>
    <x v="1"/>
    <x v="1"/>
    <x v="87"/>
    <x v="0"/>
    <x v="0"/>
    <x v="0"/>
    <x v="0"/>
    <x v="1"/>
    <x v="87"/>
    <x v="0"/>
    <x v="76"/>
    <x v="6"/>
    <x v="106"/>
    <x v="33"/>
    <x v="8"/>
    <x v="8"/>
    <x v="38"/>
    <x v="4"/>
    <x v="1"/>
    <x v="1"/>
    <x v="1"/>
    <x v="93"/>
    <x v="0"/>
    <x v="0"/>
    <x v="1"/>
    <x v="0"/>
    <x v="0"/>
    <x v="0"/>
    <x v="0"/>
    <x v="0"/>
    <x v="0"/>
    <x v="0"/>
    <x v="0"/>
    <x v="0"/>
    <x v="0"/>
    <x v="0"/>
    <x v="0"/>
    <x v="0"/>
    <x v="0"/>
    <x v="0"/>
    <x v="0"/>
    <x v="0"/>
    <x v="0"/>
    <x v="0"/>
    <x v="1"/>
    <x v="101"/>
    <x v="38"/>
    <x v="39"/>
    <x v="13"/>
    <x v="0"/>
    <x v="0"/>
    <x v="2"/>
    <x v="3"/>
    <x v="0"/>
    <x v="39"/>
    <x v="39"/>
    <x v="100"/>
  </r>
  <r>
    <x v="107"/>
    <x v="34"/>
    <x v="8"/>
    <x v="8"/>
    <x v="0"/>
    <x v="0"/>
    <x v="1"/>
    <x v="1"/>
    <x v="1"/>
    <x v="1"/>
    <x v="88"/>
    <x v="0"/>
    <x v="0"/>
    <x v="0"/>
    <x v="0"/>
    <x v="3"/>
    <x v="88"/>
    <x v="0"/>
    <x v="0"/>
    <x v="6"/>
    <x v="107"/>
    <x v="34"/>
    <x v="8"/>
    <x v="8"/>
    <x v="0"/>
    <x v="0"/>
    <x v="1"/>
    <x v="1"/>
    <x v="1"/>
    <x v="94"/>
    <x v="0"/>
    <x v="0"/>
    <x v="0"/>
    <x v="0"/>
    <x v="1"/>
    <x v="0"/>
    <x v="0"/>
    <x v="0"/>
    <x v="0"/>
    <x v="0"/>
    <x v="0"/>
    <x v="0"/>
    <x v="0"/>
    <x v="0"/>
    <x v="0"/>
    <x v="1"/>
    <x v="0"/>
    <x v="0"/>
    <x v="0"/>
    <x v="0"/>
    <x v="0"/>
    <x v="0"/>
    <x v="0"/>
    <x v="102"/>
    <x v="39"/>
    <x v="40"/>
    <x v="12"/>
    <x v="0"/>
    <x v="14"/>
    <x v="2"/>
    <x v="36"/>
    <x v="0"/>
    <x v="5"/>
    <x v="5"/>
    <x v="101"/>
  </r>
  <r>
    <x v="108"/>
    <x v="9"/>
    <x v="8"/>
    <x v="8"/>
    <x v="39"/>
    <x v="0"/>
    <x v="4"/>
    <x v="3"/>
    <x v="3"/>
    <x v="3"/>
    <x v="2"/>
    <x v="0"/>
    <x v="0"/>
    <x v="0"/>
    <x v="0"/>
    <x v="1"/>
    <x v="2"/>
    <x v="0"/>
    <x v="36"/>
    <x v="12"/>
    <x v="108"/>
    <x v="9"/>
    <x v="8"/>
    <x v="8"/>
    <x v="39"/>
    <x v="0"/>
    <x v="4"/>
    <x v="3"/>
    <x v="3"/>
    <x v="95"/>
    <x v="0"/>
    <x v="0"/>
    <x v="1"/>
    <x v="0"/>
    <x v="0"/>
    <x v="0"/>
    <x v="0"/>
    <x v="0"/>
    <x v="0"/>
    <x v="0"/>
    <x v="0"/>
    <x v="0"/>
    <x v="0"/>
    <x v="0"/>
    <x v="0"/>
    <x v="0"/>
    <x v="0"/>
    <x v="0"/>
    <x v="1"/>
    <x v="0"/>
    <x v="0"/>
    <x v="0"/>
    <x v="0"/>
    <x v="103"/>
    <x v="40"/>
    <x v="41"/>
    <x v="28"/>
    <x v="0"/>
    <x v="0"/>
    <x v="23"/>
    <x v="32"/>
    <x v="0"/>
    <x v="40"/>
    <x v="40"/>
    <x v="102"/>
  </r>
  <r>
    <x v="109"/>
    <x v="35"/>
    <x v="8"/>
    <x v="34"/>
    <x v="7"/>
    <x v="0"/>
    <x v="7"/>
    <x v="4"/>
    <x v="4"/>
    <x v="0"/>
    <x v="9"/>
    <x v="0"/>
    <x v="0"/>
    <x v="0"/>
    <x v="0"/>
    <x v="0"/>
    <x v="9"/>
    <x v="0"/>
    <x v="77"/>
    <x v="6"/>
    <x v="109"/>
    <x v="35"/>
    <x v="8"/>
    <x v="34"/>
    <x v="7"/>
    <x v="0"/>
    <x v="7"/>
    <x v="4"/>
    <x v="4"/>
    <x v="96"/>
    <x v="0"/>
    <x v="0"/>
    <x v="1"/>
    <x v="0"/>
    <x v="0"/>
    <x v="0"/>
    <x v="0"/>
    <x v="0"/>
    <x v="0"/>
    <x v="0"/>
    <x v="0"/>
    <x v="1"/>
    <x v="0"/>
    <x v="0"/>
    <x v="0"/>
    <x v="1"/>
    <x v="0"/>
    <x v="0"/>
    <x v="0"/>
    <x v="0"/>
    <x v="0"/>
    <x v="0"/>
    <x v="0"/>
    <x v="104"/>
    <x v="41"/>
    <x v="42"/>
    <x v="29"/>
    <x v="0"/>
    <x v="5"/>
    <x v="9"/>
    <x v="10"/>
    <x v="1"/>
    <x v="3"/>
    <x v="3"/>
    <x v="103"/>
  </r>
  <r>
    <x v="110"/>
    <x v="9"/>
    <x v="8"/>
    <x v="8"/>
    <x v="7"/>
    <x v="3"/>
    <x v="4"/>
    <x v="3"/>
    <x v="1"/>
    <x v="1"/>
    <x v="89"/>
    <x v="0"/>
    <x v="0"/>
    <x v="0"/>
    <x v="0"/>
    <x v="0"/>
    <x v="89"/>
    <x v="0"/>
    <x v="12"/>
    <x v="8"/>
    <x v="110"/>
    <x v="9"/>
    <x v="8"/>
    <x v="8"/>
    <x v="7"/>
    <x v="3"/>
    <x v="4"/>
    <x v="3"/>
    <x v="1"/>
    <x v="97"/>
    <x v="0"/>
    <x v="0"/>
    <x v="1"/>
    <x v="1"/>
    <x v="0"/>
    <x v="0"/>
    <x v="0"/>
    <x v="0"/>
    <x v="0"/>
    <x v="0"/>
    <x v="0"/>
    <x v="0"/>
    <x v="0"/>
    <x v="0"/>
    <x v="1"/>
    <x v="1"/>
    <x v="0"/>
    <x v="0"/>
    <x v="0"/>
    <x v="0"/>
    <x v="0"/>
    <x v="0"/>
    <x v="1"/>
    <x v="13"/>
    <x v="42"/>
    <x v="43"/>
    <x v="11"/>
    <x v="0"/>
    <x v="5"/>
    <x v="2"/>
    <x v="25"/>
    <x v="1"/>
    <x v="8"/>
    <x v="8"/>
    <x v="13"/>
  </r>
  <r>
    <x v="111"/>
    <x v="36"/>
    <x v="8"/>
    <x v="8"/>
    <x v="40"/>
    <x v="4"/>
    <x v="1"/>
    <x v="1"/>
    <x v="1"/>
    <x v="1"/>
    <x v="90"/>
    <x v="0"/>
    <x v="0"/>
    <x v="0"/>
    <x v="0"/>
    <x v="3"/>
    <x v="90"/>
    <x v="0"/>
    <x v="78"/>
    <x v="6"/>
    <x v="111"/>
    <x v="36"/>
    <x v="8"/>
    <x v="8"/>
    <x v="40"/>
    <x v="4"/>
    <x v="1"/>
    <x v="1"/>
    <x v="1"/>
    <x v="98"/>
    <x v="1"/>
    <x v="0"/>
    <x v="1"/>
    <x v="0"/>
    <x v="0"/>
    <x v="0"/>
    <x v="0"/>
    <x v="0"/>
    <x v="0"/>
    <x v="0"/>
    <x v="0"/>
    <x v="0"/>
    <x v="0"/>
    <x v="0"/>
    <x v="0"/>
    <x v="1"/>
    <x v="0"/>
    <x v="0"/>
    <x v="0"/>
    <x v="0"/>
    <x v="0"/>
    <x v="0"/>
    <x v="1"/>
    <x v="105"/>
    <x v="43"/>
    <x v="44"/>
    <x v="30"/>
    <x v="0"/>
    <x v="5"/>
    <x v="27"/>
    <x v="37"/>
    <x v="1"/>
    <x v="1"/>
    <x v="1"/>
    <x v="104"/>
  </r>
  <r>
    <x v="112"/>
    <x v="37"/>
    <x v="56"/>
    <x v="8"/>
    <x v="41"/>
    <x v="0"/>
    <x v="6"/>
    <x v="1"/>
    <x v="1"/>
    <x v="1"/>
    <x v="91"/>
    <x v="0"/>
    <x v="0"/>
    <x v="0"/>
    <x v="0"/>
    <x v="3"/>
    <x v="91"/>
    <x v="0"/>
    <x v="79"/>
    <x v="6"/>
    <x v="112"/>
    <x v="37"/>
    <x v="56"/>
    <x v="8"/>
    <x v="41"/>
    <x v="0"/>
    <x v="6"/>
    <x v="1"/>
    <x v="1"/>
    <x v="99"/>
    <x v="0"/>
    <x v="1"/>
    <x v="1"/>
    <x v="0"/>
    <x v="0"/>
    <x v="0"/>
    <x v="0"/>
    <x v="0"/>
    <x v="0"/>
    <x v="0"/>
    <x v="0"/>
    <x v="0"/>
    <x v="0"/>
    <x v="0"/>
    <x v="0"/>
    <x v="0"/>
    <x v="0"/>
    <x v="0"/>
    <x v="0"/>
    <x v="0"/>
    <x v="0"/>
    <x v="0"/>
    <x v="0"/>
    <x v="106"/>
    <x v="44"/>
    <x v="39"/>
    <x v="11"/>
    <x v="0"/>
    <x v="5"/>
    <x v="9"/>
    <x v="10"/>
    <x v="1"/>
    <x v="1"/>
    <x v="1"/>
    <x v="105"/>
  </r>
  <r>
    <x v="113"/>
    <x v="21"/>
    <x v="57"/>
    <x v="8"/>
    <x v="0"/>
    <x v="3"/>
    <x v="1"/>
    <x v="1"/>
    <x v="1"/>
    <x v="1"/>
    <x v="92"/>
    <x v="0"/>
    <x v="0"/>
    <x v="0"/>
    <x v="0"/>
    <x v="1"/>
    <x v="92"/>
    <x v="0"/>
    <x v="80"/>
    <x v="6"/>
    <x v="113"/>
    <x v="21"/>
    <x v="57"/>
    <x v="8"/>
    <x v="0"/>
    <x v="3"/>
    <x v="1"/>
    <x v="1"/>
    <x v="1"/>
    <x v="100"/>
    <x v="0"/>
    <x v="0"/>
    <x v="1"/>
    <x v="0"/>
    <x v="0"/>
    <x v="0"/>
    <x v="0"/>
    <x v="0"/>
    <x v="0"/>
    <x v="0"/>
    <x v="0"/>
    <x v="0"/>
    <x v="0"/>
    <x v="0"/>
    <x v="0"/>
    <x v="1"/>
    <x v="0"/>
    <x v="0"/>
    <x v="0"/>
    <x v="0"/>
    <x v="0"/>
    <x v="0"/>
    <x v="1"/>
    <x v="56"/>
    <x v="45"/>
    <x v="20"/>
    <x v="2"/>
    <x v="0"/>
    <x v="5"/>
    <x v="22"/>
    <x v="30"/>
    <x v="1"/>
    <x v="12"/>
    <x v="12"/>
    <x v="106"/>
  </r>
  <r>
    <x v="114"/>
    <x v="21"/>
    <x v="58"/>
    <x v="8"/>
    <x v="0"/>
    <x v="0"/>
    <x v="1"/>
    <x v="1"/>
    <x v="1"/>
    <x v="1"/>
    <x v="38"/>
    <x v="19"/>
    <x v="19"/>
    <x v="21"/>
    <x v="1"/>
    <x v="3"/>
    <x v="38"/>
    <x v="0"/>
    <x v="57"/>
    <x v="6"/>
    <x v="114"/>
    <x v="21"/>
    <x v="58"/>
    <x v="8"/>
    <x v="0"/>
    <x v="0"/>
    <x v="1"/>
    <x v="1"/>
    <x v="1"/>
    <x v="101"/>
    <x v="0"/>
    <x v="0"/>
    <x v="1"/>
    <x v="1"/>
    <x v="0"/>
    <x v="0"/>
    <x v="0"/>
    <x v="0"/>
    <x v="0"/>
    <x v="1"/>
    <x v="0"/>
    <x v="0"/>
    <x v="0"/>
    <x v="0"/>
    <x v="0"/>
    <x v="0"/>
    <x v="0"/>
    <x v="0"/>
    <x v="0"/>
    <x v="0"/>
    <x v="0"/>
    <x v="0"/>
    <x v="4"/>
    <x v="107"/>
    <x v="45"/>
    <x v="20"/>
    <x v="2"/>
    <x v="0"/>
    <x v="3"/>
    <x v="15"/>
    <x v="20"/>
    <x v="0"/>
    <x v="8"/>
    <x v="8"/>
    <x v="107"/>
  </r>
  <r>
    <x v="115"/>
    <x v="21"/>
    <x v="59"/>
    <x v="8"/>
    <x v="0"/>
    <x v="3"/>
    <x v="1"/>
    <x v="1"/>
    <x v="1"/>
    <x v="1"/>
    <x v="93"/>
    <x v="20"/>
    <x v="7"/>
    <x v="22"/>
    <x v="1"/>
    <x v="0"/>
    <x v="93"/>
    <x v="25"/>
    <x v="36"/>
    <x v="6"/>
    <x v="115"/>
    <x v="21"/>
    <x v="59"/>
    <x v="8"/>
    <x v="0"/>
    <x v="3"/>
    <x v="1"/>
    <x v="1"/>
    <x v="1"/>
    <x v="102"/>
    <x v="0"/>
    <x v="0"/>
    <x v="1"/>
    <x v="1"/>
    <x v="0"/>
    <x v="0"/>
    <x v="0"/>
    <x v="0"/>
    <x v="0"/>
    <x v="0"/>
    <x v="0"/>
    <x v="0"/>
    <x v="1"/>
    <x v="0"/>
    <x v="0"/>
    <x v="0"/>
    <x v="0"/>
    <x v="1"/>
    <x v="1"/>
    <x v="0"/>
    <x v="3"/>
    <x v="0"/>
    <x v="2"/>
    <x v="108"/>
    <x v="45"/>
    <x v="20"/>
    <x v="2"/>
    <x v="0"/>
    <x v="3"/>
    <x v="15"/>
    <x v="20"/>
    <x v="0"/>
    <x v="41"/>
    <x v="41"/>
    <x v="108"/>
  </r>
  <r>
    <x v="116"/>
    <x v="21"/>
    <x v="60"/>
    <x v="8"/>
    <x v="0"/>
    <x v="3"/>
    <x v="1"/>
    <x v="1"/>
    <x v="1"/>
    <x v="1"/>
    <x v="94"/>
    <x v="21"/>
    <x v="7"/>
    <x v="23"/>
    <x v="1"/>
    <x v="0"/>
    <x v="94"/>
    <x v="26"/>
    <x v="81"/>
    <x v="6"/>
    <x v="116"/>
    <x v="21"/>
    <x v="60"/>
    <x v="8"/>
    <x v="0"/>
    <x v="3"/>
    <x v="1"/>
    <x v="1"/>
    <x v="1"/>
    <x v="103"/>
    <x v="0"/>
    <x v="0"/>
    <x v="1"/>
    <x v="0"/>
    <x v="0"/>
    <x v="0"/>
    <x v="0"/>
    <x v="0"/>
    <x v="0"/>
    <x v="0"/>
    <x v="0"/>
    <x v="0"/>
    <x v="1"/>
    <x v="0"/>
    <x v="0"/>
    <x v="1"/>
    <x v="0"/>
    <x v="1"/>
    <x v="1"/>
    <x v="0"/>
    <x v="1"/>
    <x v="0"/>
    <x v="3"/>
    <x v="109"/>
    <x v="45"/>
    <x v="20"/>
    <x v="2"/>
    <x v="0"/>
    <x v="10"/>
    <x v="16"/>
    <x v="22"/>
    <x v="0"/>
    <x v="12"/>
    <x v="12"/>
    <x v="109"/>
  </r>
  <r>
    <x v="117"/>
    <x v="21"/>
    <x v="61"/>
    <x v="8"/>
    <x v="0"/>
    <x v="3"/>
    <x v="1"/>
    <x v="1"/>
    <x v="1"/>
    <x v="1"/>
    <x v="95"/>
    <x v="5"/>
    <x v="20"/>
    <x v="24"/>
    <x v="1"/>
    <x v="3"/>
    <x v="95"/>
    <x v="0"/>
    <x v="4"/>
    <x v="6"/>
    <x v="117"/>
    <x v="21"/>
    <x v="61"/>
    <x v="8"/>
    <x v="0"/>
    <x v="3"/>
    <x v="1"/>
    <x v="1"/>
    <x v="1"/>
    <x v="104"/>
    <x v="0"/>
    <x v="0"/>
    <x v="0"/>
    <x v="0"/>
    <x v="1"/>
    <x v="0"/>
    <x v="0"/>
    <x v="1"/>
    <x v="1"/>
    <x v="0"/>
    <x v="0"/>
    <x v="0"/>
    <x v="0"/>
    <x v="0"/>
    <x v="0"/>
    <x v="1"/>
    <x v="0"/>
    <x v="0"/>
    <x v="0"/>
    <x v="0"/>
    <x v="0"/>
    <x v="0"/>
    <x v="3"/>
    <x v="110"/>
    <x v="45"/>
    <x v="20"/>
    <x v="2"/>
    <x v="0"/>
    <x v="3"/>
    <x v="15"/>
    <x v="20"/>
    <x v="0"/>
    <x v="28"/>
    <x v="28"/>
    <x v="110"/>
  </r>
  <r>
    <x v="118"/>
    <x v="21"/>
    <x v="62"/>
    <x v="8"/>
    <x v="0"/>
    <x v="3"/>
    <x v="1"/>
    <x v="1"/>
    <x v="1"/>
    <x v="1"/>
    <x v="96"/>
    <x v="22"/>
    <x v="7"/>
    <x v="25"/>
    <x v="1"/>
    <x v="0"/>
    <x v="96"/>
    <x v="12"/>
    <x v="82"/>
    <x v="6"/>
    <x v="118"/>
    <x v="21"/>
    <x v="62"/>
    <x v="8"/>
    <x v="0"/>
    <x v="3"/>
    <x v="1"/>
    <x v="1"/>
    <x v="1"/>
    <x v="105"/>
    <x v="0"/>
    <x v="0"/>
    <x v="1"/>
    <x v="0"/>
    <x v="0"/>
    <x v="0"/>
    <x v="0"/>
    <x v="0"/>
    <x v="1"/>
    <x v="0"/>
    <x v="0"/>
    <x v="0"/>
    <x v="1"/>
    <x v="0"/>
    <x v="0"/>
    <x v="1"/>
    <x v="0"/>
    <x v="1"/>
    <x v="1"/>
    <x v="0"/>
    <x v="2"/>
    <x v="0"/>
    <x v="2"/>
    <x v="111"/>
    <x v="45"/>
    <x v="20"/>
    <x v="2"/>
    <x v="0"/>
    <x v="10"/>
    <x v="16"/>
    <x v="22"/>
    <x v="0"/>
    <x v="5"/>
    <x v="5"/>
    <x v="111"/>
  </r>
  <r>
    <x v="119"/>
    <x v="21"/>
    <x v="63"/>
    <x v="8"/>
    <x v="42"/>
    <x v="3"/>
    <x v="1"/>
    <x v="1"/>
    <x v="1"/>
    <x v="1"/>
    <x v="38"/>
    <x v="23"/>
    <x v="11"/>
    <x v="26"/>
    <x v="1"/>
    <x v="3"/>
    <x v="38"/>
    <x v="27"/>
    <x v="83"/>
    <x v="6"/>
    <x v="119"/>
    <x v="21"/>
    <x v="63"/>
    <x v="8"/>
    <x v="42"/>
    <x v="3"/>
    <x v="1"/>
    <x v="1"/>
    <x v="1"/>
    <x v="106"/>
    <x v="0"/>
    <x v="0"/>
    <x v="1"/>
    <x v="0"/>
    <x v="0"/>
    <x v="0"/>
    <x v="0"/>
    <x v="0"/>
    <x v="0"/>
    <x v="0"/>
    <x v="0"/>
    <x v="0"/>
    <x v="1"/>
    <x v="0"/>
    <x v="0"/>
    <x v="0"/>
    <x v="0"/>
    <x v="1"/>
    <x v="1"/>
    <x v="0"/>
    <x v="1"/>
    <x v="0"/>
    <x v="1"/>
    <x v="112"/>
    <x v="45"/>
    <x v="20"/>
    <x v="2"/>
    <x v="0"/>
    <x v="10"/>
    <x v="16"/>
    <x v="22"/>
    <x v="0"/>
    <x v="42"/>
    <x v="42"/>
    <x v="112"/>
  </r>
  <r>
    <x v="120"/>
    <x v="21"/>
    <x v="64"/>
    <x v="8"/>
    <x v="3"/>
    <x v="3"/>
    <x v="1"/>
    <x v="1"/>
    <x v="2"/>
    <x v="2"/>
    <x v="97"/>
    <x v="24"/>
    <x v="11"/>
    <x v="27"/>
    <x v="1"/>
    <x v="0"/>
    <x v="97"/>
    <x v="28"/>
    <x v="84"/>
    <x v="6"/>
    <x v="120"/>
    <x v="21"/>
    <x v="64"/>
    <x v="8"/>
    <x v="3"/>
    <x v="3"/>
    <x v="1"/>
    <x v="1"/>
    <x v="2"/>
    <x v="107"/>
    <x v="0"/>
    <x v="0"/>
    <x v="1"/>
    <x v="0"/>
    <x v="0"/>
    <x v="0"/>
    <x v="0"/>
    <x v="0"/>
    <x v="0"/>
    <x v="0"/>
    <x v="0"/>
    <x v="0"/>
    <x v="1"/>
    <x v="0"/>
    <x v="0"/>
    <x v="0"/>
    <x v="0"/>
    <x v="1"/>
    <x v="1"/>
    <x v="0"/>
    <x v="2"/>
    <x v="0"/>
    <x v="1"/>
    <x v="113"/>
    <x v="45"/>
    <x v="20"/>
    <x v="2"/>
    <x v="0"/>
    <x v="3"/>
    <x v="15"/>
    <x v="20"/>
    <x v="0"/>
    <x v="29"/>
    <x v="29"/>
    <x v="113"/>
  </r>
  <r>
    <x v="121"/>
    <x v="21"/>
    <x v="65"/>
    <x v="8"/>
    <x v="43"/>
    <x v="3"/>
    <x v="1"/>
    <x v="1"/>
    <x v="1"/>
    <x v="1"/>
    <x v="98"/>
    <x v="4"/>
    <x v="7"/>
    <x v="28"/>
    <x v="1"/>
    <x v="0"/>
    <x v="98"/>
    <x v="29"/>
    <x v="71"/>
    <x v="6"/>
    <x v="121"/>
    <x v="21"/>
    <x v="65"/>
    <x v="8"/>
    <x v="43"/>
    <x v="3"/>
    <x v="1"/>
    <x v="1"/>
    <x v="1"/>
    <x v="108"/>
    <x v="0"/>
    <x v="0"/>
    <x v="1"/>
    <x v="0"/>
    <x v="0"/>
    <x v="0"/>
    <x v="0"/>
    <x v="0"/>
    <x v="0"/>
    <x v="0"/>
    <x v="0"/>
    <x v="0"/>
    <x v="1"/>
    <x v="0"/>
    <x v="0"/>
    <x v="1"/>
    <x v="0"/>
    <x v="1"/>
    <x v="1"/>
    <x v="0"/>
    <x v="1"/>
    <x v="0"/>
    <x v="3"/>
    <x v="114"/>
    <x v="45"/>
    <x v="20"/>
    <x v="3"/>
    <x v="0"/>
    <x v="10"/>
    <x v="16"/>
    <x v="22"/>
    <x v="0"/>
    <x v="26"/>
    <x v="26"/>
    <x v="114"/>
  </r>
  <r>
    <x v="122"/>
    <x v="21"/>
    <x v="66"/>
    <x v="8"/>
    <x v="0"/>
    <x v="3"/>
    <x v="1"/>
    <x v="1"/>
    <x v="1"/>
    <x v="1"/>
    <x v="48"/>
    <x v="8"/>
    <x v="7"/>
    <x v="9"/>
    <x v="1"/>
    <x v="3"/>
    <x v="48"/>
    <x v="12"/>
    <x v="71"/>
    <x v="6"/>
    <x v="122"/>
    <x v="21"/>
    <x v="66"/>
    <x v="8"/>
    <x v="0"/>
    <x v="3"/>
    <x v="1"/>
    <x v="1"/>
    <x v="1"/>
    <x v="51"/>
    <x v="0"/>
    <x v="0"/>
    <x v="1"/>
    <x v="0"/>
    <x v="0"/>
    <x v="0"/>
    <x v="0"/>
    <x v="0"/>
    <x v="1"/>
    <x v="0"/>
    <x v="0"/>
    <x v="0"/>
    <x v="1"/>
    <x v="0"/>
    <x v="0"/>
    <x v="0"/>
    <x v="0"/>
    <x v="1"/>
    <x v="1"/>
    <x v="0"/>
    <x v="1"/>
    <x v="0"/>
    <x v="4"/>
    <x v="115"/>
    <x v="45"/>
    <x v="20"/>
    <x v="3"/>
    <x v="0"/>
    <x v="10"/>
    <x v="16"/>
    <x v="22"/>
    <x v="0"/>
    <x v="43"/>
    <x v="43"/>
    <x v="115"/>
  </r>
  <r>
    <x v="123"/>
    <x v="21"/>
    <x v="67"/>
    <x v="8"/>
    <x v="0"/>
    <x v="3"/>
    <x v="1"/>
    <x v="1"/>
    <x v="1"/>
    <x v="1"/>
    <x v="94"/>
    <x v="21"/>
    <x v="7"/>
    <x v="23"/>
    <x v="1"/>
    <x v="0"/>
    <x v="94"/>
    <x v="26"/>
    <x v="6"/>
    <x v="6"/>
    <x v="123"/>
    <x v="21"/>
    <x v="67"/>
    <x v="8"/>
    <x v="0"/>
    <x v="3"/>
    <x v="1"/>
    <x v="1"/>
    <x v="1"/>
    <x v="103"/>
    <x v="0"/>
    <x v="0"/>
    <x v="1"/>
    <x v="0"/>
    <x v="0"/>
    <x v="0"/>
    <x v="0"/>
    <x v="0"/>
    <x v="1"/>
    <x v="0"/>
    <x v="0"/>
    <x v="0"/>
    <x v="1"/>
    <x v="0"/>
    <x v="0"/>
    <x v="1"/>
    <x v="0"/>
    <x v="1"/>
    <x v="1"/>
    <x v="0"/>
    <x v="1"/>
    <x v="0"/>
    <x v="2"/>
    <x v="116"/>
    <x v="45"/>
    <x v="20"/>
    <x v="3"/>
    <x v="0"/>
    <x v="10"/>
    <x v="16"/>
    <x v="22"/>
    <x v="0"/>
    <x v="29"/>
    <x v="29"/>
    <x v="116"/>
  </r>
  <r>
    <x v="124"/>
    <x v="21"/>
    <x v="68"/>
    <x v="8"/>
    <x v="0"/>
    <x v="3"/>
    <x v="1"/>
    <x v="1"/>
    <x v="1"/>
    <x v="1"/>
    <x v="99"/>
    <x v="25"/>
    <x v="21"/>
    <x v="29"/>
    <x v="1"/>
    <x v="0"/>
    <x v="99"/>
    <x v="30"/>
    <x v="41"/>
    <x v="6"/>
    <x v="124"/>
    <x v="21"/>
    <x v="68"/>
    <x v="8"/>
    <x v="0"/>
    <x v="3"/>
    <x v="1"/>
    <x v="1"/>
    <x v="1"/>
    <x v="109"/>
    <x v="0"/>
    <x v="0"/>
    <x v="0"/>
    <x v="0"/>
    <x v="1"/>
    <x v="0"/>
    <x v="0"/>
    <x v="0"/>
    <x v="0"/>
    <x v="0"/>
    <x v="0"/>
    <x v="0"/>
    <x v="1"/>
    <x v="0"/>
    <x v="0"/>
    <x v="0"/>
    <x v="0"/>
    <x v="1"/>
    <x v="1"/>
    <x v="0"/>
    <x v="1"/>
    <x v="0"/>
    <x v="3"/>
    <x v="117"/>
    <x v="45"/>
    <x v="20"/>
    <x v="3"/>
    <x v="0"/>
    <x v="10"/>
    <x v="16"/>
    <x v="22"/>
    <x v="0"/>
    <x v="29"/>
    <x v="29"/>
    <x v="117"/>
  </r>
  <r>
    <x v="125"/>
    <x v="21"/>
    <x v="69"/>
    <x v="8"/>
    <x v="0"/>
    <x v="3"/>
    <x v="1"/>
    <x v="1"/>
    <x v="1"/>
    <x v="1"/>
    <x v="100"/>
    <x v="26"/>
    <x v="21"/>
    <x v="30"/>
    <x v="1"/>
    <x v="2"/>
    <x v="100"/>
    <x v="31"/>
    <x v="37"/>
    <x v="6"/>
    <x v="125"/>
    <x v="21"/>
    <x v="69"/>
    <x v="8"/>
    <x v="0"/>
    <x v="3"/>
    <x v="1"/>
    <x v="1"/>
    <x v="1"/>
    <x v="110"/>
    <x v="0"/>
    <x v="0"/>
    <x v="0"/>
    <x v="0"/>
    <x v="1"/>
    <x v="0"/>
    <x v="0"/>
    <x v="0"/>
    <x v="0"/>
    <x v="0"/>
    <x v="0"/>
    <x v="0"/>
    <x v="1"/>
    <x v="0"/>
    <x v="0"/>
    <x v="0"/>
    <x v="0"/>
    <x v="1"/>
    <x v="1"/>
    <x v="0"/>
    <x v="2"/>
    <x v="0"/>
    <x v="3"/>
    <x v="118"/>
    <x v="45"/>
    <x v="20"/>
    <x v="3"/>
    <x v="0"/>
    <x v="10"/>
    <x v="16"/>
    <x v="22"/>
    <x v="0"/>
    <x v="5"/>
    <x v="5"/>
    <x v="118"/>
  </r>
  <r>
    <x v="126"/>
    <x v="21"/>
    <x v="70"/>
    <x v="8"/>
    <x v="0"/>
    <x v="3"/>
    <x v="1"/>
    <x v="1"/>
    <x v="1"/>
    <x v="1"/>
    <x v="101"/>
    <x v="27"/>
    <x v="7"/>
    <x v="31"/>
    <x v="1"/>
    <x v="0"/>
    <x v="101"/>
    <x v="32"/>
    <x v="77"/>
    <x v="6"/>
    <x v="126"/>
    <x v="21"/>
    <x v="70"/>
    <x v="8"/>
    <x v="0"/>
    <x v="3"/>
    <x v="1"/>
    <x v="1"/>
    <x v="1"/>
    <x v="111"/>
    <x v="0"/>
    <x v="0"/>
    <x v="1"/>
    <x v="0"/>
    <x v="0"/>
    <x v="0"/>
    <x v="0"/>
    <x v="1"/>
    <x v="1"/>
    <x v="0"/>
    <x v="0"/>
    <x v="0"/>
    <x v="1"/>
    <x v="0"/>
    <x v="0"/>
    <x v="1"/>
    <x v="0"/>
    <x v="1"/>
    <x v="1"/>
    <x v="0"/>
    <x v="1"/>
    <x v="0"/>
    <x v="2"/>
    <x v="119"/>
    <x v="45"/>
    <x v="20"/>
    <x v="3"/>
    <x v="0"/>
    <x v="10"/>
    <x v="16"/>
    <x v="22"/>
    <x v="0"/>
    <x v="2"/>
    <x v="2"/>
    <x v="119"/>
  </r>
  <r>
    <x v="127"/>
    <x v="21"/>
    <x v="71"/>
    <x v="35"/>
    <x v="18"/>
    <x v="1"/>
    <x v="1"/>
    <x v="1"/>
    <x v="1"/>
    <x v="1"/>
    <x v="102"/>
    <x v="0"/>
    <x v="0"/>
    <x v="0"/>
    <x v="0"/>
    <x v="3"/>
    <x v="102"/>
    <x v="0"/>
    <x v="85"/>
    <x v="6"/>
    <x v="127"/>
    <x v="21"/>
    <x v="71"/>
    <x v="35"/>
    <x v="18"/>
    <x v="1"/>
    <x v="1"/>
    <x v="1"/>
    <x v="1"/>
    <x v="112"/>
    <x v="0"/>
    <x v="0"/>
    <x v="1"/>
    <x v="0"/>
    <x v="0"/>
    <x v="0"/>
    <x v="0"/>
    <x v="0"/>
    <x v="0"/>
    <x v="0"/>
    <x v="0"/>
    <x v="0"/>
    <x v="0"/>
    <x v="0"/>
    <x v="0"/>
    <x v="0"/>
    <x v="0"/>
    <x v="0"/>
    <x v="1"/>
    <x v="0"/>
    <x v="0"/>
    <x v="1"/>
    <x v="0"/>
    <x v="120"/>
    <x v="45"/>
    <x v="20"/>
    <x v="3"/>
    <x v="0"/>
    <x v="3"/>
    <x v="15"/>
    <x v="20"/>
    <x v="0"/>
    <x v="12"/>
    <x v="12"/>
    <x v="120"/>
  </r>
  <r>
    <x v="128"/>
    <x v="21"/>
    <x v="72"/>
    <x v="8"/>
    <x v="7"/>
    <x v="3"/>
    <x v="1"/>
    <x v="1"/>
    <x v="1"/>
    <x v="1"/>
    <x v="31"/>
    <x v="10"/>
    <x v="21"/>
    <x v="32"/>
    <x v="1"/>
    <x v="0"/>
    <x v="31"/>
    <x v="33"/>
    <x v="86"/>
    <x v="6"/>
    <x v="128"/>
    <x v="21"/>
    <x v="72"/>
    <x v="8"/>
    <x v="7"/>
    <x v="3"/>
    <x v="1"/>
    <x v="1"/>
    <x v="1"/>
    <x v="113"/>
    <x v="0"/>
    <x v="0"/>
    <x v="1"/>
    <x v="0"/>
    <x v="0"/>
    <x v="0"/>
    <x v="0"/>
    <x v="0"/>
    <x v="0"/>
    <x v="0"/>
    <x v="0"/>
    <x v="0"/>
    <x v="1"/>
    <x v="0"/>
    <x v="0"/>
    <x v="0"/>
    <x v="0"/>
    <x v="1"/>
    <x v="0"/>
    <x v="0"/>
    <x v="1"/>
    <x v="0"/>
    <x v="1"/>
    <x v="121"/>
    <x v="45"/>
    <x v="20"/>
    <x v="3"/>
    <x v="0"/>
    <x v="10"/>
    <x v="16"/>
    <x v="22"/>
    <x v="0"/>
    <x v="2"/>
    <x v="2"/>
    <x v="121"/>
  </r>
  <r>
    <x v="129"/>
    <x v="21"/>
    <x v="73"/>
    <x v="8"/>
    <x v="42"/>
    <x v="3"/>
    <x v="1"/>
    <x v="1"/>
    <x v="1"/>
    <x v="1"/>
    <x v="103"/>
    <x v="5"/>
    <x v="11"/>
    <x v="33"/>
    <x v="1"/>
    <x v="3"/>
    <x v="103"/>
    <x v="34"/>
    <x v="4"/>
    <x v="6"/>
    <x v="129"/>
    <x v="21"/>
    <x v="73"/>
    <x v="8"/>
    <x v="42"/>
    <x v="3"/>
    <x v="1"/>
    <x v="1"/>
    <x v="1"/>
    <x v="114"/>
    <x v="0"/>
    <x v="0"/>
    <x v="1"/>
    <x v="0"/>
    <x v="0"/>
    <x v="0"/>
    <x v="0"/>
    <x v="0"/>
    <x v="0"/>
    <x v="0"/>
    <x v="0"/>
    <x v="0"/>
    <x v="1"/>
    <x v="0"/>
    <x v="0"/>
    <x v="0"/>
    <x v="0"/>
    <x v="1"/>
    <x v="1"/>
    <x v="0"/>
    <x v="1"/>
    <x v="0"/>
    <x v="1"/>
    <x v="122"/>
    <x v="45"/>
    <x v="20"/>
    <x v="3"/>
    <x v="0"/>
    <x v="10"/>
    <x v="16"/>
    <x v="22"/>
    <x v="0"/>
    <x v="12"/>
    <x v="12"/>
    <x v="122"/>
  </r>
  <r>
    <x v="130"/>
    <x v="21"/>
    <x v="74"/>
    <x v="8"/>
    <x v="2"/>
    <x v="3"/>
    <x v="1"/>
    <x v="1"/>
    <x v="1"/>
    <x v="1"/>
    <x v="104"/>
    <x v="10"/>
    <x v="7"/>
    <x v="34"/>
    <x v="1"/>
    <x v="0"/>
    <x v="104"/>
    <x v="0"/>
    <x v="23"/>
    <x v="6"/>
    <x v="130"/>
    <x v="21"/>
    <x v="74"/>
    <x v="8"/>
    <x v="2"/>
    <x v="3"/>
    <x v="1"/>
    <x v="1"/>
    <x v="1"/>
    <x v="115"/>
    <x v="1"/>
    <x v="0"/>
    <x v="1"/>
    <x v="1"/>
    <x v="0"/>
    <x v="0"/>
    <x v="0"/>
    <x v="0"/>
    <x v="0"/>
    <x v="1"/>
    <x v="0"/>
    <x v="0"/>
    <x v="0"/>
    <x v="0"/>
    <x v="0"/>
    <x v="0"/>
    <x v="0"/>
    <x v="0"/>
    <x v="1"/>
    <x v="0"/>
    <x v="0"/>
    <x v="0"/>
    <x v="3"/>
    <x v="123"/>
    <x v="45"/>
    <x v="20"/>
    <x v="3"/>
    <x v="0"/>
    <x v="3"/>
    <x v="15"/>
    <x v="20"/>
    <x v="0"/>
    <x v="5"/>
    <x v="5"/>
    <x v="123"/>
  </r>
  <r>
    <x v="131"/>
    <x v="21"/>
    <x v="75"/>
    <x v="8"/>
    <x v="3"/>
    <x v="3"/>
    <x v="1"/>
    <x v="1"/>
    <x v="1"/>
    <x v="1"/>
    <x v="105"/>
    <x v="28"/>
    <x v="9"/>
    <x v="35"/>
    <x v="1"/>
    <x v="2"/>
    <x v="105"/>
    <x v="35"/>
    <x v="87"/>
    <x v="6"/>
    <x v="131"/>
    <x v="21"/>
    <x v="75"/>
    <x v="8"/>
    <x v="3"/>
    <x v="3"/>
    <x v="1"/>
    <x v="1"/>
    <x v="1"/>
    <x v="116"/>
    <x v="0"/>
    <x v="0"/>
    <x v="1"/>
    <x v="0"/>
    <x v="0"/>
    <x v="0"/>
    <x v="0"/>
    <x v="0"/>
    <x v="0"/>
    <x v="0"/>
    <x v="0"/>
    <x v="0"/>
    <x v="1"/>
    <x v="0"/>
    <x v="0"/>
    <x v="0"/>
    <x v="0"/>
    <x v="1"/>
    <x v="1"/>
    <x v="0"/>
    <x v="1"/>
    <x v="0"/>
    <x v="1"/>
    <x v="124"/>
    <x v="45"/>
    <x v="20"/>
    <x v="3"/>
    <x v="0"/>
    <x v="10"/>
    <x v="16"/>
    <x v="22"/>
    <x v="0"/>
    <x v="3"/>
    <x v="3"/>
    <x v="124"/>
  </r>
  <r>
    <x v="132"/>
    <x v="21"/>
    <x v="64"/>
    <x v="8"/>
    <x v="3"/>
    <x v="3"/>
    <x v="1"/>
    <x v="1"/>
    <x v="1"/>
    <x v="1"/>
    <x v="97"/>
    <x v="24"/>
    <x v="11"/>
    <x v="27"/>
    <x v="1"/>
    <x v="0"/>
    <x v="97"/>
    <x v="28"/>
    <x v="7"/>
    <x v="6"/>
    <x v="132"/>
    <x v="21"/>
    <x v="64"/>
    <x v="8"/>
    <x v="3"/>
    <x v="3"/>
    <x v="1"/>
    <x v="1"/>
    <x v="1"/>
    <x v="117"/>
    <x v="0"/>
    <x v="0"/>
    <x v="1"/>
    <x v="0"/>
    <x v="0"/>
    <x v="0"/>
    <x v="0"/>
    <x v="0"/>
    <x v="0"/>
    <x v="0"/>
    <x v="0"/>
    <x v="0"/>
    <x v="1"/>
    <x v="0"/>
    <x v="0"/>
    <x v="0"/>
    <x v="0"/>
    <x v="1"/>
    <x v="1"/>
    <x v="0"/>
    <x v="2"/>
    <x v="0"/>
    <x v="1"/>
    <x v="125"/>
    <x v="45"/>
    <x v="20"/>
    <x v="3"/>
    <x v="0"/>
    <x v="3"/>
    <x v="15"/>
    <x v="20"/>
    <x v="0"/>
    <x v="5"/>
    <x v="5"/>
    <x v="125"/>
  </r>
  <r>
    <x v="133"/>
    <x v="21"/>
    <x v="76"/>
    <x v="8"/>
    <x v="6"/>
    <x v="3"/>
    <x v="1"/>
    <x v="1"/>
    <x v="1"/>
    <x v="1"/>
    <x v="106"/>
    <x v="29"/>
    <x v="9"/>
    <x v="36"/>
    <x v="1"/>
    <x v="0"/>
    <x v="106"/>
    <x v="0"/>
    <x v="88"/>
    <x v="6"/>
    <x v="133"/>
    <x v="21"/>
    <x v="76"/>
    <x v="8"/>
    <x v="6"/>
    <x v="3"/>
    <x v="1"/>
    <x v="1"/>
    <x v="1"/>
    <x v="118"/>
    <x v="0"/>
    <x v="0"/>
    <x v="0"/>
    <x v="0"/>
    <x v="1"/>
    <x v="0"/>
    <x v="0"/>
    <x v="0"/>
    <x v="0"/>
    <x v="0"/>
    <x v="0"/>
    <x v="0"/>
    <x v="1"/>
    <x v="0"/>
    <x v="0"/>
    <x v="0"/>
    <x v="0"/>
    <x v="1"/>
    <x v="1"/>
    <x v="0"/>
    <x v="0"/>
    <x v="0"/>
    <x v="1"/>
    <x v="126"/>
    <x v="45"/>
    <x v="20"/>
    <x v="3"/>
    <x v="0"/>
    <x v="3"/>
    <x v="15"/>
    <x v="20"/>
    <x v="0"/>
    <x v="0"/>
    <x v="0"/>
    <x v="126"/>
  </r>
  <r>
    <x v="134"/>
    <x v="21"/>
    <x v="77"/>
    <x v="8"/>
    <x v="44"/>
    <x v="3"/>
    <x v="1"/>
    <x v="1"/>
    <x v="1"/>
    <x v="1"/>
    <x v="75"/>
    <x v="30"/>
    <x v="21"/>
    <x v="37"/>
    <x v="1"/>
    <x v="2"/>
    <x v="75"/>
    <x v="36"/>
    <x v="89"/>
    <x v="6"/>
    <x v="134"/>
    <x v="21"/>
    <x v="77"/>
    <x v="8"/>
    <x v="44"/>
    <x v="3"/>
    <x v="1"/>
    <x v="1"/>
    <x v="1"/>
    <x v="119"/>
    <x v="0"/>
    <x v="0"/>
    <x v="0"/>
    <x v="0"/>
    <x v="1"/>
    <x v="0"/>
    <x v="0"/>
    <x v="0"/>
    <x v="0"/>
    <x v="0"/>
    <x v="0"/>
    <x v="0"/>
    <x v="1"/>
    <x v="0"/>
    <x v="0"/>
    <x v="0"/>
    <x v="0"/>
    <x v="1"/>
    <x v="1"/>
    <x v="0"/>
    <x v="2"/>
    <x v="0"/>
    <x v="3"/>
    <x v="127"/>
    <x v="45"/>
    <x v="20"/>
    <x v="3"/>
    <x v="0"/>
    <x v="10"/>
    <x v="16"/>
    <x v="22"/>
    <x v="0"/>
    <x v="12"/>
    <x v="12"/>
    <x v="127"/>
  </r>
  <r>
    <x v="135"/>
    <x v="21"/>
    <x v="78"/>
    <x v="8"/>
    <x v="44"/>
    <x v="3"/>
    <x v="1"/>
    <x v="1"/>
    <x v="1"/>
    <x v="1"/>
    <x v="75"/>
    <x v="31"/>
    <x v="21"/>
    <x v="38"/>
    <x v="1"/>
    <x v="2"/>
    <x v="75"/>
    <x v="37"/>
    <x v="1"/>
    <x v="6"/>
    <x v="135"/>
    <x v="21"/>
    <x v="78"/>
    <x v="8"/>
    <x v="44"/>
    <x v="3"/>
    <x v="1"/>
    <x v="1"/>
    <x v="1"/>
    <x v="120"/>
    <x v="0"/>
    <x v="0"/>
    <x v="0"/>
    <x v="0"/>
    <x v="1"/>
    <x v="0"/>
    <x v="0"/>
    <x v="0"/>
    <x v="0"/>
    <x v="0"/>
    <x v="0"/>
    <x v="0"/>
    <x v="1"/>
    <x v="0"/>
    <x v="0"/>
    <x v="1"/>
    <x v="0"/>
    <x v="1"/>
    <x v="1"/>
    <x v="0"/>
    <x v="1"/>
    <x v="0"/>
    <x v="3"/>
    <x v="128"/>
    <x v="45"/>
    <x v="20"/>
    <x v="3"/>
    <x v="0"/>
    <x v="10"/>
    <x v="16"/>
    <x v="22"/>
    <x v="0"/>
    <x v="28"/>
    <x v="28"/>
    <x v="128"/>
  </r>
  <r>
    <x v="136"/>
    <x v="21"/>
    <x v="79"/>
    <x v="8"/>
    <x v="44"/>
    <x v="3"/>
    <x v="1"/>
    <x v="1"/>
    <x v="1"/>
    <x v="1"/>
    <x v="107"/>
    <x v="32"/>
    <x v="9"/>
    <x v="39"/>
    <x v="1"/>
    <x v="0"/>
    <x v="107"/>
    <x v="38"/>
    <x v="32"/>
    <x v="6"/>
    <x v="136"/>
    <x v="21"/>
    <x v="79"/>
    <x v="8"/>
    <x v="44"/>
    <x v="3"/>
    <x v="1"/>
    <x v="1"/>
    <x v="1"/>
    <x v="121"/>
    <x v="0"/>
    <x v="0"/>
    <x v="1"/>
    <x v="0"/>
    <x v="0"/>
    <x v="0"/>
    <x v="0"/>
    <x v="1"/>
    <x v="1"/>
    <x v="0"/>
    <x v="0"/>
    <x v="0"/>
    <x v="1"/>
    <x v="0"/>
    <x v="0"/>
    <x v="0"/>
    <x v="0"/>
    <x v="1"/>
    <x v="1"/>
    <x v="0"/>
    <x v="1"/>
    <x v="0"/>
    <x v="4"/>
    <x v="129"/>
    <x v="45"/>
    <x v="20"/>
    <x v="3"/>
    <x v="0"/>
    <x v="10"/>
    <x v="16"/>
    <x v="22"/>
    <x v="0"/>
    <x v="1"/>
    <x v="1"/>
    <x v="129"/>
  </r>
  <r>
    <x v="137"/>
    <x v="21"/>
    <x v="80"/>
    <x v="8"/>
    <x v="44"/>
    <x v="3"/>
    <x v="1"/>
    <x v="1"/>
    <x v="1"/>
    <x v="1"/>
    <x v="108"/>
    <x v="0"/>
    <x v="0"/>
    <x v="0"/>
    <x v="0"/>
    <x v="3"/>
    <x v="108"/>
    <x v="0"/>
    <x v="90"/>
    <x v="6"/>
    <x v="137"/>
    <x v="21"/>
    <x v="80"/>
    <x v="8"/>
    <x v="44"/>
    <x v="3"/>
    <x v="1"/>
    <x v="1"/>
    <x v="1"/>
    <x v="122"/>
    <x v="0"/>
    <x v="0"/>
    <x v="0"/>
    <x v="0"/>
    <x v="1"/>
    <x v="0"/>
    <x v="0"/>
    <x v="0"/>
    <x v="0"/>
    <x v="0"/>
    <x v="0"/>
    <x v="0"/>
    <x v="0"/>
    <x v="0"/>
    <x v="0"/>
    <x v="1"/>
    <x v="0"/>
    <x v="0"/>
    <x v="0"/>
    <x v="0"/>
    <x v="0"/>
    <x v="0"/>
    <x v="2"/>
    <x v="130"/>
    <x v="45"/>
    <x v="20"/>
    <x v="3"/>
    <x v="0"/>
    <x v="3"/>
    <x v="15"/>
    <x v="20"/>
    <x v="0"/>
    <x v="5"/>
    <x v="5"/>
    <x v="130"/>
  </r>
  <r>
    <x v="138"/>
    <x v="21"/>
    <x v="81"/>
    <x v="8"/>
    <x v="0"/>
    <x v="3"/>
    <x v="1"/>
    <x v="1"/>
    <x v="1"/>
    <x v="1"/>
    <x v="48"/>
    <x v="0"/>
    <x v="0"/>
    <x v="0"/>
    <x v="0"/>
    <x v="3"/>
    <x v="48"/>
    <x v="0"/>
    <x v="91"/>
    <x v="6"/>
    <x v="138"/>
    <x v="21"/>
    <x v="81"/>
    <x v="8"/>
    <x v="0"/>
    <x v="3"/>
    <x v="1"/>
    <x v="1"/>
    <x v="1"/>
    <x v="123"/>
    <x v="0"/>
    <x v="0"/>
    <x v="1"/>
    <x v="0"/>
    <x v="0"/>
    <x v="0"/>
    <x v="0"/>
    <x v="0"/>
    <x v="0"/>
    <x v="0"/>
    <x v="0"/>
    <x v="0"/>
    <x v="0"/>
    <x v="0"/>
    <x v="0"/>
    <x v="1"/>
    <x v="0"/>
    <x v="0"/>
    <x v="0"/>
    <x v="0"/>
    <x v="0"/>
    <x v="1"/>
    <x v="2"/>
    <x v="54"/>
    <x v="45"/>
    <x v="19"/>
    <x v="17"/>
    <x v="0"/>
    <x v="3"/>
    <x v="15"/>
    <x v="20"/>
    <x v="0"/>
    <x v="44"/>
    <x v="44"/>
    <x v="131"/>
  </r>
  <r>
    <x v="139"/>
    <x v="21"/>
    <x v="8"/>
    <x v="8"/>
    <x v="45"/>
    <x v="3"/>
    <x v="1"/>
    <x v="1"/>
    <x v="1"/>
    <x v="1"/>
    <x v="18"/>
    <x v="0"/>
    <x v="0"/>
    <x v="0"/>
    <x v="0"/>
    <x v="3"/>
    <x v="18"/>
    <x v="0"/>
    <x v="92"/>
    <x v="6"/>
    <x v="139"/>
    <x v="21"/>
    <x v="8"/>
    <x v="8"/>
    <x v="45"/>
    <x v="3"/>
    <x v="1"/>
    <x v="1"/>
    <x v="1"/>
    <x v="47"/>
    <x v="0"/>
    <x v="0"/>
    <x v="0"/>
    <x v="0"/>
    <x v="1"/>
    <x v="0"/>
    <x v="0"/>
    <x v="0"/>
    <x v="0"/>
    <x v="0"/>
    <x v="0"/>
    <x v="0"/>
    <x v="1"/>
    <x v="0"/>
    <x v="0"/>
    <x v="0"/>
    <x v="0"/>
    <x v="1"/>
    <x v="0"/>
    <x v="0"/>
    <x v="0"/>
    <x v="0"/>
    <x v="1"/>
    <x v="131"/>
    <x v="45"/>
    <x v="19"/>
    <x v="18"/>
    <x v="0"/>
    <x v="3"/>
    <x v="15"/>
    <x v="20"/>
    <x v="0"/>
    <x v="12"/>
    <x v="12"/>
    <x v="132"/>
  </r>
  <r>
    <x v="140"/>
    <x v="21"/>
    <x v="82"/>
    <x v="8"/>
    <x v="6"/>
    <x v="3"/>
    <x v="1"/>
    <x v="1"/>
    <x v="1"/>
    <x v="1"/>
    <x v="31"/>
    <x v="10"/>
    <x v="21"/>
    <x v="32"/>
    <x v="1"/>
    <x v="0"/>
    <x v="31"/>
    <x v="33"/>
    <x v="93"/>
    <x v="6"/>
    <x v="140"/>
    <x v="21"/>
    <x v="82"/>
    <x v="8"/>
    <x v="6"/>
    <x v="3"/>
    <x v="1"/>
    <x v="1"/>
    <x v="1"/>
    <x v="113"/>
    <x v="0"/>
    <x v="0"/>
    <x v="0"/>
    <x v="0"/>
    <x v="1"/>
    <x v="0"/>
    <x v="0"/>
    <x v="0"/>
    <x v="0"/>
    <x v="0"/>
    <x v="0"/>
    <x v="0"/>
    <x v="1"/>
    <x v="0"/>
    <x v="0"/>
    <x v="0"/>
    <x v="0"/>
    <x v="1"/>
    <x v="0"/>
    <x v="0"/>
    <x v="1"/>
    <x v="0"/>
    <x v="1"/>
    <x v="132"/>
    <x v="45"/>
    <x v="19"/>
    <x v="18"/>
    <x v="0"/>
    <x v="3"/>
    <x v="15"/>
    <x v="20"/>
    <x v="0"/>
    <x v="29"/>
    <x v="29"/>
    <x v="133"/>
  </r>
  <r>
    <x v="141"/>
    <x v="21"/>
    <x v="83"/>
    <x v="8"/>
    <x v="44"/>
    <x v="3"/>
    <x v="1"/>
    <x v="1"/>
    <x v="1"/>
    <x v="1"/>
    <x v="109"/>
    <x v="33"/>
    <x v="9"/>
    <x v="40"/>
    <x v="1"/>
    <x v="2"/>
    <x v="109"/>
    <x v="39"/>
    <x v="94"/>
    <x v="6"/>
    <x v="141"/>
    <x v="21"/>
    <x v="83"/>
    <x v="8"/>
    <x v="44"/>
    <x v="3"/>
    <x v="1"/>
    <x v="1"/>
    <x v="1"/>
    <x v="124"/>
    <x v="0"/>
    <x v="0"/>
    <x v="0"/>
    <x v="0"/>
    <x v="1"/>
    <x v="0"/>
    <x v="0"/>
    <x v="0"/>
    <x v="0"/>
    <x v="0"/>
    <x v="0"/>
    <x v="0"/>
    <x v="1"/>
    <x v="0"/>
    <x v="0"/>
    <x v="1"/>
    <x v="0"/>
    <x v="1"/>
    <x v="1"/>
    <x v="0"/>
    <x v="1"/>
    <x v="0"/>
    <x v="3"/>
    <x v="133"/>
    <x v="45"/>
    <x v="19"/>
    <x v="18"/>
    <x v="0"/>
    <x v="10"/>
    <x v="16"/>
    <x v="22"/>
    <x v="0"/>
    <x v="32"/>
    <x v="32"/>
    <x v="134"/>
  </r>
  <r>
    <x v="142"/>
    <x v="21"/>
    <x v="84"/>
    <x v="8"/>
    <x v="2"/>
    <x v="3"/>
    <x v="1"/>
    <x v="1"/>
    <x v="1"/>
    <x v="1"/>
    <x v="110"/>
    <x v="0"/>
    <x v="0"/>
    <x v="0"/>
    <x v="0"/>
    <x v="3"/>
    <x v="110"/>
    <x v="0"/>
    <x v="95"/>
    <x v="6"/>
    <x v="142"/>
    <x v="21"/>
    <x v="84"/>
    <x v="8"/>
    <x v="2"/>
    <x v="3"/>
    <x v="1"/>
    <x v="1"/>
    <x v="1"/>
    <x v="125"/>
    <x v="0"/>
    <x v="0"/>
    <x v="1"/>
    <x v="0"/>
    <x v="0"/>
    <x v="0"/>
    <x v="0"/>
    <x v="0"/>
    <x v="0"/>
    <x v="0"/>
    <x v="0"/>
    <x v="0"/>
    <x v="0"/>
    <x v="0"/>
    <x v="0"/>
    <x v="1"/>
    <x v="0"/>
    <x v="0"/>
    <x v="0"/>
    <x v="0"/>
    <x v="0"/>
    <x v="0"/>
    <x v="2"/>
    <x v="134"/>
    <x v="45"/>
    <x v="45"/>
    <x v="11"/>
    <x v="0"/>
    <x v="3"/>
    <x v="15"/>
    <x v="20"/>
    <x v="0"/>
    <x v="28"/>
    <x v="28"/>
    <x v="135"/>
  </r>
  <r>
    <x v="143"/>
    <x v="21"/>
    <x v="85"/>
    <x v="8"/>
    <x v="2"/>
    <x v="3"/>
    <x v="1"/>
    <x v="1"/>
    <x v="1"/>
    <x v="1"/>
    <x v="111"/>
    <x v="34"/>
    <x v="7"/>
    <x v="41"/>
    <x v="1"/>
    <x v="0"/>
    <x v="111"/>
    <x v="40"/>
    <x v="96"/>
    <x v="6"/>
    <x v="143"/>
    <x v="21"/>
    <x v="85"/>
    <x v="8"/>
    <x v="2"/>
    <x v="3"/>
    <x v="1"/>
    <x v="1"/>
    <x v="1"/>
    <x v="126"/>
    <x v="0"/>
    <x v="0"/>
    <x v="1"/>
    <x v="0"/>
    <x v="0"/>
    <x v="0"/>
    <x v="0"/>
    <x v="0"/>
    <x v="0"/>
    <x v="0"/>
    <x v="0"/>
    <x v="0"/>
    <x v="1"/>
    <x v="0"/>
    <x v="0"/>
    <x v="1"/>
    <x v="0"/>
    <x v="1"/>
    <x v="1"/>
    <x v="0"/>
    <x v="1"/>
    <x v="0"/>
    <x v="3"/>
    <x v="135"/>
    <x v="45"/>
    <x v="6"/>
    <x v="7"/>
    <x v="1"/>
    <x v="4"/>
    <x v="4"/>
    <x v="5"/>
    <x v="0"/>
    <x v="5"/>
    <x v="5"/>
    <x v="136"/>
  </r>
  <r>
    <x v="144"/>
    <x v="21"/>
    <x v="86"/>
    <x v="8"/>
    <x v="44"/>
    <x v="3"/>
    <x v="1"/>
    <x v="1"/>
    <x v="1"/>
    <x v="1"/>
    <x v="97"/>
    <x v="0"/>
    <x v="0"/>
    <x v="0"/>
    <x v="0"/>
    <x v="0"/>
    <x v="97"/>
    <x v="0"/>
    <x v="97"/>
    <x v="6"/>
    <x v="144"/>
    <x v="21"/>
    <x v="86"/>
    <x v="8"/>
    <x v="44"/>
    <x v="3"/>
    <x v="1"/>
    <x v="1"/>
    <x v="1"/>
    <x v="127"/>
    <x v="0"/>
    <x v="0"/>
    <x v="0"/>
    <x v="0"/>
    <x v="1"/>
    <x v="0"/>
    <x v="0"/>
    <x v="0"/>
    <x v="0"/>
    <x v="1"/>
    <x v="0"/>
    <x v="0"/>
    <x v="0"/>
    <x v="0"/>
    <x v="0"/>
    <x v="1"/>
    <x v="0"/>
    <x v="0"/>
    <x v="0"/>
    <x v="0"/>
    <x v="0"/>
    <x v="0"/>
    <x v="3"/>
    <x v="136"/>
    <x v="45"/>
    <x v="6"/>
    <x v="7"/>
    <x v="1"/>
    <x v="4"/>
    <x v="4"/>
    <x v="5"/>
    <x v="0"/>
    <x v="44"/>
    <x v="44"/>
    <x v="137"/>
  </r>
  <r>
    <x v="145"/>
    <x v="21"/>
    <x v="87"/>
    <x v="8"/>
    <x v="46"/>
    <x v="3"/>
    <x v="1"/>
    <x v="1"/>
    <x v="1"/>
    <x v="1"/>
    <x v="112"/>
    <x v="2"/>
    <x v="11"/>
    <x v="42"/>
    <x v="1"/>
    <x v="0"/>
    <x v="112"/>
    <x v="34"/>
    <x v="98"/>
    <x v="6"/>
    <x v="145"/>
    <x v="21"/>
    <x v="87"/>
    <x v="8"/>
    <x v="46"/>
    <x v="3"/>
    <x v="1"/>
    <x v="1"/>
    <x v="1"/>
    <x v="128"/>
    <x v="0"/>
    <x v="0"/>
    <x v="1"/>
    <x v="0"/>
    <x v="0"/>
    <x v="0"/>
    <x v="0"/>
    <x v="0"/>
    <x v="0"/>
    <x v="0"/>
    <x v="0"/>
    <x v="0"/>
    <x v="1"/>
    <x v="0"/>
    <x v="0"/>
    <x v="0"/>
    <x v="0"/>
    <x v="1"/>
    <x v="1"/>
    <x v="0"/>
    <x v="2"/>
    <x v="0"/>
    <x v="1"/>
    <x v="137"/>
    <x v="45"/>
    <x v="6"/>
    <x v="7"/>
    <x v="1"/>
    <x v="4"/>
    <x v="4"/>
    <x v="5"/>
    <x v="0"/>
    <x v="45"/>
    <x v="45"/>
    <x v="138"/>
  </r>
  <r>
    <x v="146"/>
    <x v="2"/>
    <x v="8"/>
    <x v="36"/>
    <x v="1"/>
    <x v="4"/>
    <x v="1"/>
    <x v="2"/>
    <x v="1"/>
    <x v="1"/>
    <x v="113"/>
    <x v="0"/>
    <x v="0"/>
    <x v="0"/>
    <x v="0"/>
    <x v="2"/>
    <x v="113"/>
    <x v="0"/>
    <x v="36"/>
    <x v="12"/>
    <x v="146"/>
    <x v="2"/>
    <x v="8"/>
    <x v="36"/>
    <x v="1"/>
    <x v="4"/>
    <x v="1"/>
    <x v="2"/>
    <x v="1"/>
    <x v="129"/>
    <x v="0"/>
    <x v="0"/>
    <x v="1"/>
    <x v="1"/>
    <x v="0"/>
    <x v="0"/>
    <x v="0"/>
    <x v="0"/>
    <x v="0"/>
    <x v="0"/>
    <x v="0"/>
    <x v="0"/>
    <x v="0"/>
    <x v="0"/>
    <x v="0"/>
    <x v="0"/>
    <x v="0"/>
    <x v="0"/>
    <x v="0"/>
    <x v="0"/>
    <x v="0"/>
    <x v="0"/>
    <x v="1"/>
    <x v="138"/>
    <x v="46"/>
    <x v="46"/>
    <x v="1"/>
    <x v="0"/>
    <x v="3"/>
    <x v="3"/>
    <x v="4"/>
    <x v="0"/>
    <x v="28"/>
    <x v="28"/>
    <x v="139"/>
  </r>
  <r>
    <x v="147"/>
    <x v="2"/>
    <x v="8"/>
    <x v="37"/>
    <x v="1"/>
    <x v="4"/>
    <x v="1"/>
    <x v="2"/>
    <x v="1"/>
    <x v="1"/>
    <x v="114"/>
    <x v="0"/>
    <x v="0"/>
    <x v="0"/>
    <x v="0"/>
    <x v="0"/>
    <x v="114"/>
    <x v="0"/>
    <x v="36"/>
    <x v="12"/>
    <x v="147"/>
    <x v="2"/>
    <x v="8"/>
    <x v="37"/>
    <x v="1"/>
    <x v="4"/>
    <x v="1"/>
    <x v="2"/>
    <x v="1"/>
    <x v="130"/>
    <x v="0"/>
    <x v="0"/>
    <x v="1"/>
    <x v="1"/>
    <x v="0"/>
    <x v="0"/>
    <x v="0"/>
    <x v="0"/>
    <x v="0"/>
    <x v="0"/>
    <x v="0"/>
    <x v="0"/>
    <x v="0"/>
    <x v="0"/>
    <x v="0"/>
    <x v="0"/>
    <x v="0"/>
    <x v="0"/>
    <x v="1"/>
    <x v="0"/>
    <x v="0"/>
    <x v="4"/>
    <x v="1"/>
    <x v="139"/>
    <x v="46"/>
    <x v="6"/>
    <x v="7"/>
    <x v="1"/>
    <x v="4"/>
    <x v="4"/>
    <x v="5"/>
    <x v="0"/>
    <x v="1"/>
    <x v="1"/>
    <x v="140"/>
  </r>
  <r>
    <x v="148"/>
    <x v="38"/>
    <x v="88"/>
    <x v="38"/>
    <x v="47"/>
    <x v="0"/>
    <x v="1"/>
    <x v="1"/>
    <x v="1"/>
    <x v="1"/>
    <x v="115"/>
    <x v="35"/>
    <x v="22"/>
    <x v="43"/>
    <x v="1"/>
    <x v="1"/>
    <x v="115"/>
    <x v="0"/>
    <x v="40"/>
    <x v="6"/>
    <x v="148"/>
    <x v="38"/>
    <x v="88"/>
    <x v="38"/>
    <x v="47"/>
    <x v="0"/>
    <x v="1"/>
    <x v="1"/>
    <x v="1"/>
    <x v="131"/>
    <x v="0"/>
    <x v="0"/>
    <x v="1"/>
    <x v="0"/>
    <x v="0"/>
    <x v="0"/>
    <x v="0"/>
    <x v="0"/>
    <x v="0"/>
    <x v="0"/>
    <x v="0"/>
    <x v="0"/>
    <x v="0"/>
    <x v="0"/>
    <x v="0"/>
    <x v="0"/>
    <x v="0"/>
    <x v="0"/>
    <x v="0"/>
    <x v="0"/>
    <x v="0"/>
    <x v="0"/>
    <x v="0"/>
    <x v="140"/>
    <x v="47"/>
    <x v="47"/>
    <x v="28"/>
    <x v="0"/>
    <x v="3"/>
    <x v="28"/>
    <x v="38"/>
    <x v="0"/>
    <x v="1"/>
    <x v="1"/>
    <x v="141"/>
  </r>
  <r>
    <x v="149"/>
    <x v="8"/>
    <x v="8"/>
    <x v="39"/>
    <x v="48"/>
    <x v="1"/>
    <x v="3"/>
    <x v="3"/>
    <x v="1"/>
    <x v="1"/>
    <x v="116"/>
    <x v="0"/>
    <x v="0"/>
    <x v="0"/>
    <x v="0"/>
    <x v="3"/>
    <x v="116"/>
    <x v="0"/>
    <x v="63"/>
    <x v="6"/>
    <x v="149"/>
    <x v="8"/>
    <x v="8"/>
    <x v="39"/>
    <x v="48"/>
    <x v="1"/>
    <x v="3"/>
    <x v="3"/>
    <x v="1"/>
    <x v="132"/>
    <x v="0"/>
    <x v="0"/>
    <x v="1"/>
    <x v="0"/>
    <x v="0"/>
    <x v="0"/>
    <x v="0"/>
    <x v="0"/>
    <x v="0"/>
    <x v="0"/>
    <x v="0"/>
    <x v="0"/>
    <x v="0"/>
    <x v="0"/>
    <x v="0"/>
    <x v="0"/>
    <x v="0"/>
    <x v="0"/>
    <x v="0"/>
    <x v="0"/>
    <x v="0"/>
    <x v="0"/>
    <x v="0"/>
    <x v="141"/>
    <x v="48"/>
    <x v="14"/>
    <x v="12"/>
    <x v="0"/>
    <x v="16"/>
    <x v="2"/>
    <x v="39"/>
    <x v="0"/>
    <x v="8"/>
    <x v="8"/>
    <x v="142"/>
  </r>
  <r>
    <x v="150"/>
    <x v="2"/>
    <x v="8"/>
    <x v="8"/>
    <x v="23"/>
    <x v="1"/>
    <x v="1"/>
    <x v="2"/>
    <x v="1"/>
    <x v="1"/>
    <x v="12"/>
    <x v="0"/>
    <x v="0"/>
    <x v="0"/>
    <x v="0"/>
    <x v="1"/>
    <x v="12"/>
    <x v="0"/>
    <x v="99"/>
    <x v="6"/>
    <x v="150"/>
    <x v="2"/>
    <x v="8"/>
    <x v="8"/>
    <x v="23"/>
    <x v="1"/>
    <x v="1"/>
    <x v="2"/>
    <x v="1"/>
    <x v="12"/>
    <x v="0"/>
    <x v="0"/>
    <x v="1"/>
    <x v="0"/>
    <x v="0"/>
    <x v="0"/>
    <x v="0"/>
    <x v="0"/>
    <x v="0"/>
    <x v="0"/>
    <x v="0"/>
    <x v="0"/>
    <x v="0"/>
    <x v="0"/>
    <x v="0"/>
    <x v="0"/>
    <x v="0"/>
    <x v="0"/>
    <x v="0"/>
    <x v="0"/>
    <x v="0"/>
    <x v="0"/>
    <x v="0"/>
    <x v="142"/>
    <x v="49"/>
    <x v="48"/>
    <x v="13"/>
    <x v="0"/>
    <x v="14"/>
    <x v="2"/>
    <x v="36"/>
    <x v="0"/>
    <x v="41"/>
    <x v="41"/>
    <x v="143"/>
  </r>
  <r>
    <x v="151"/>
    <x v="2"/>
    <x v="8"/>
    <x v="8"/>
    <x v="49"/>
    <x v="1"/>
    <x v="6"/>
    <x v="2"/>
    <x v="1"/>
    <x v="1"/>
    <x v="117"/>
    <x v="0"/>
    <x v="0"/>
    <x v="0"/>
    <x v="0"/>
    <x v="1"/>
    <x v="117"/>
    <x v="0"/>
    <x v="100"/>
    <x v="6"/>
    <x v="151"/>
    <x v="2"/>
    <x v="8"/>
    <x v="8"/>
    <x v="49"/>
    <x v="1"/>
    <x v="6"/>
    <x v="2"/>
    <x v="1"/>
    <x v="133"/>
    <x v="0"/>
    <x v="0"/>
    <x v="1"/>
    <x v="0"/>
    <x v="0"/>
    <x v="0"/>
    <x v="0"/>
    <x v="0"/>
    <x v="0"/>
    <x v="0"/>
    <x v="0"/>
    <x v="0"/>
    <x v="0"/>
    <x v="0"/>
    <x v="0"/>
    <x v="0"/>
    <x v="0"/>
    <x v="0"/>
    <x v="0"/>
    <x v="0"/>
    <x v="0"/>
    <x v="0"/>
    <x v="0"/>
    <x v="40"/>
    <x v="50"/>
    <x v="46"/>
    <x v="1"/>
    <x v="0"/>
    <x v="17"/>
    <x v="2"/>
    <x v="40"/>
    <x v="0"/>
    <x v="46"/>
    <x v="46"/>
    <x v="144"/>
  </r>
  <r>
    <x v="152"/>
    <x v="39"/>
    <x v="89"/>
    <x v="8"/>
    <x v="50"/>
    <x v="4"/>
    <x v="3"/>
    <x v="1"/>
    <x v="3"/>
    <x v="3"/>
    <x v="118"/>
    <x v="0"/>
    <x v="0"/>
    <x v="0"/>
    <x v="0"/>
    <x v="3"/>
    <x v="118"/>
    <x v="0"/>
    <x v="101"/>
    <x v="6"/>
    <x v="152"/>
    <x v="39"/>
    <x v="89"/>
    <x v="8"/>
    <x v="50"/>
    <x v="4"/>
    <x v="3"/>
    <x v="1"/>
    <x v="3"/>
    <x v="134"/>
    <x v="0"/>
    <x v="0"/>
    <x v="1"/>
    <x v="0"/>
    <x v="0"/>
    <x v="0"/>
    <x v="0"/>
    <x v="0"/>
    <x v="0"/>
    <x v="0"/>
    <x v="0"/>
    <x v="0"/>
    <x v="0"/>
    <x v="0"/>
    <x v="0"/>
    <x v="0"/>
    <x v="0"/>
    <x v="0"/>
    <x v="1"/>
    <x v="0"/>
    <x v="0"/>
    <x v="3"/>
    <x v="0"/>
    <x v="143"/>
    <x v="51"/>
    <x v="49"/>
    <x v="3"/>
    <x v="0"/>
    <x v="0"/>
    <x v="24"/>
    <x v="41"/>
    <x v="0"/>
    <x v="47"/>
    <x v="47"/>
    <x v="145"/>
  </r>
  <r>
    <x v="153"/>
    <x v="40"/>
    <x v="90"/>
    <x v="40"/>
    <x v="7"/>
    <x v="0"/>
    <x v="1"/>
    <x v="1"/>
    <x v="1"/>
    <x v="1"/>
    <x v="119"/>
    <x v="0"/>
    <x v="0"/>
    <x v="0"/>
    <x v="0"/>
    <x v="3"/>
    <x v="119"/>
    <x v="0"/>
    <x v="37"/>
    <x v="12"/>
    <x v="153"/>
    <x v="40"/>
    <x v="90"/>
    <x v="40"/>
    <x v="7"/>
    <x v="0"/>
    <x v="1"/>
    <x v="1"/>
    <x v="1"/>
    <x v="135"/>
    <x v="0"/>
    <x v="1"/>
    <x v="1"/>
    <x v="0"/>
    <x v="0"/>
    <x v="0"/>
    <x v="0"/>
    <x v="0"/>
    <x v="0"/>
    <x v="0"/>
    <x v="0"/>
    <x v="1"/>
    <x v="0"/>
    <x v="0"/>
    <x v="0"/>
    <x v="1"/>
    <x v="0"/>
    <x v="0"/>
    <x v="0"/>
    <x v="0"/>
    <x v="0"/>
    <x v="0"/>
    <x v="2"/>
    <x v="144"/>
    <x v="52"/>
    <x v="50"/>
    <x v="9"/>
    <x v="0"/>
    <x v="0"/>
    <x v="2"/>
    <x v="3"/>
    <x v="0"/>
    <x v="28"/>
    <x v="28"/>
    <x v="146"/>
  </r>
  <r>
    <x v="154"/>
    <x v="41"/>
    <x v="8"/>
    <x v="8"/>
    <x v="51"/>
    <x v="1"/>
    <x v="0"/>
    <x v="1"/>
    <x v="1"/>
    <x v="1"/>
    <x v="53"/>
    <x v="0"/>
    <x v="0"/>
    <x v="0"/>
    <x v="0"/>
    <x v="1"/>
    <x v="53"/>
    <x v="0"/>
    <x v="102"/>
    <x v="6"/>
    <x v="154"/>
    <x v="41"/>
    <x v="8"/>
    <x v="8"/>
    <x v="51"/>
    <x v="1"/>
    <x v="0"/>
    <x v="1"/>
    <x v="1"/>
    <x v="56"/>
    <x v="0"/>
    <x v="0"/>
    <x v="1"/>
    <x v="0"/>
    <x v="0"/>
    <x v="0"/>
    <x v="0"/>
    <x v="0"/>
    <x v="0"/>
    <x v="0"/>
    <x v="0"/>
    <x v="0"/>
    <x v="1"/>
    <x v="0"/>
    <x v="0"/>
    <x v="0"/>
    <x v="0"/>
    <x v="1"/>
    <x v="0"/>
    <x v="0"/>
    <x v="0"/>
    <x v="0"/>
    <x v="1"/>
    <x v="145"/>
    <x v="53"/>
    <x v="13"/>
    <x v="11"/>
    <x v="0"/>
    <x v="5"/>
    <x v="29"/>
    <x v="42"/>
    <x v="1"/>
    <x v="1"/>
    <x v="1"/>
    <x v="147"/>
  </r>
  <r>
    <x v="155"/>
    <x v="2"/>
    <x v="91"/>
    <x v="41"/>
    <x v="1"/>
    <x v="9"/>
    <x v="8"/>
    <x v="2"/>
    <x v="1"/>
    <x v="1"/>
    <x v="120"/>
    <x v="0"/>
    <x v="0"/>
    <x v="0"/>
    <x v="0"/>
    <x v="1"/>
    <x v="120"/>
    <x v="0"/>
    <x v="36"/>
    <x v="19"/>
    <x v="155"/>
    <x v="2"/>
    <x v="91"/>
    <x v="41"/>
    <x v="1"/>
    <x v="9"/>
    <x v="8"/>
    <x v="2"/>
    <x v="1"/>
    <x v="136"/>
    <x v="0"/>
    <x v="0"/>
    <x v="1"/>
    <x v="0"/>
    <x v="0"/>
    <x v="0"/>
    <x v="0"/>
    <x v="0"/>
    <x v="0"/>
    <x v="0"/>
    <x v="0"/>
    <x v="0"/>
    <x v="0"/>
    <x v="0"/>
    <x v="0"/>
    <x v="1"/>
    <x v="0"/>
    <x v="0"/>
    <x v="1"/>
    <x v="0"/>
    <x v="0"/>
    <x v="3"/>
    <x v="0"/>
    <x v="146"/>
    <x v="54"/>
    <x v="14"/>
    <x v="14"/>
    <x v="0"/>
    <x v="5"/>
    <x v="25"/>
    <x v="34"/>
    <x v="1"/>
    <x v="29"/>
    <x v="29"/>
    <x v="148"/>
  </r>
  <r>
    <x v="156"/>
    <x v="2"/>
    <x v="8"/>
    <x v="42"/>
    <x v="1"/>
    <x v="4"/>
    <x v="1"/>
    <x v="2"/>
    <x v="1"/>
    <x v="1"/>
    <x v="121"/>
    <x v="0"/>
    <x v="0"/>
    <x v="0"/>
    <x v="0"/>
    <x v="1"/>
    <x v="121"/>
    <x v="0"/>
    <x v="103"/>
    <x v="19"/>
    <x v="156"/>
    <x v="2"/>
    <x v="8"/>
    <x v="42"/>
    <x v="1"/>
    <x v="4"/>
    <x v="1"/>
    <x v="2"/>
    <x v="1"/>
    <x v="137"/>
    <x v="0"/>
    <x v="0"/>
    <x v="0"/>
    <x v="0"/>
    <x v="0"/>
    <x v="0"/>
    <x v="0"/>
    <x v="0"/>
    <x v="0"/>
    <x v="0"/>
    <x v="0"/>
    <x v="0"/>
    <x v="0"/>
    <x v="0"/>
    <x v="0"/>
    <x v="0"/>
    <x v="0"/>
    <x v="0"/>
    <x v="1"/>
    <x v="0"/>
    <x v="0"/>
    <x v="5"/>
    <x v="0"/>
    <x v="147"/>
    <x v="54"/>
    <x v="14"/>
    <x v="14"/>
    <x v="0"/>
    <x v="5"/>
    <x v="25"/>
    <x v="34"/>
    <x v="1"/>
    <x v="29"/>
    <x v="29"/>
    <x v="149"/>
  </r>
  <r>
    <x v="157"/>
    <x v="2"/>
    <x v="92"/>
    <x v="8"/>
    <x v="52"/>
    <x v="0"/>
    <x v="3"/>
    <x v="2"/>
    <x v="1"/>
    <x v="1"/>
    <x v="65"/>
    <x v="0"/>
    <x v="0"/>
    <x v="0"/>
    <x v="0"/>
    <x v="0"/>
    <x v="65"/>
    <x v="0"/>
    <x v="36"/>
    <x v="6"/>
    <x v="157"/>
    <x v="2"/>
    <x v="92"/>
    <x v="8"/>
    <x v="52"/>
    <x v="0"/>
    <x v="3"/>
    <x v="2"/>
    <x v="1"/>
    <x v="79"/>
    <x v="1"/>
    <x v="1"/>
    <x v="1"/>
    <x v="0"/>
    <x v="0"/>
    <x v="0"/>
    <x v="0"/>
    <x v="0"/>
    <x v="0"/>
    <x v="0"/>
    <x v="0"/>
    <x v="0"/>
    <x v="0"/>
    <x v="0"/>
    <x v="1"/>
    <x v="0"/>
    <x v="0"/>
    <x v="0"/>
    <x v="1"/>
    <x v="0"/>
    <x v="0"/>
    <x v="1"/>
    <x v="1"/>
    <x v="148"/>
    <x v="55"/>
    <x v="13"/>
    <x v="11"/>
    <x v="0"/>
    <x v="2"/>
    <x v="0"/>
    <x v="43"/>
    <x v="0"/>
    <x v="2"/>
    <x v="2"/>
    <x v="74"/>
  </r>
  <r>
    <x v="158"/>
    <x v="2"/>
    <x v="93"/>
    <x v="8"/>
    <x v="41"/>
    <x v="1"/>
    <x v="6"/>
    <x v="2"/>
    <x v="1"/>
    <x v="1"/>
    <x v="122"/>
    <x v="0"/>
    <x v="0"/>
    <x v="0"/>
    <x v="0"/>
    <x v="3"/>
    <x v="122"/>
    <x v="0"/>
    <x v="104"/>
    <x v="6"/>
    <x v="158"/>
    <x v="2"/>
    <x v="93"/>
    <x v="8"/>
    <x v="41"/>
    <x v="1"/>
    <x v="6"/>
    <x v="2"/>
    <x v="1"/>
    <x v="138"/>
    <x v="0"/>
    <x v="1"/>
    <x v="1"/>
    <x v="0"/>
    <x v="0"/>
    <x v="0"/>
    <x v="0"/>
    <x v="0"/>
    <x v="0"/>
    <x v="0"/>
    <x v="0"/>
    <x v="0"/>
    <x v="0"/>
    <x v="0"/>
    <x v="0"/>
    <x v="0"/>
    <x v="0"/>
    <x v="0"/>
    <x v="0"/>
    <x v="0"/>
    <x v="0"/>
    <x v="0"/>
    <x v="0"/>
    <x v="114"/>
    <x v="56"/>
    <x v="39"/>
    <x v="11"/>
    <x v="0"/>
    <x v="5"/>
    <x v="30"/>
    <x v="44"/>
    <x v="1"/>
    <x v="48"/>
    <x v="48"/>
    <x v="150"/>
  </r>
  <r>
    <x v="159"/>
    <x v="2"/>
    <x v="92"/>
    <x v="8"/>
    <x v="53"/>
    <x v="0"/>
    <x v="3"/>
    <x v="2"/>
    <x v="1"/>
    <x v="1"/>
    <x v="123"/>
    <x v="0"/>
    <x v="0"/>
    <x v="0"/>
    <x v="0"/>
    <x v="3"/>
    <x v="123"/>
    <x v="0"/>
    <x v="76"/>
    <x v="6"/>
    <x v="159"/>
    <x v="2"/>
    <x v="92"/>
    <x v="8"/>
    <x v="53"/>
    <x v="0"/>
    <x v="3"/>
    <x v="2"/>
    <x v="1"/>
    <x v="139"/>
    <x v="0"/>
    <x v="1"/>
    <x v="1"/>
    <x v="0"/>
    <x v="0"/>
    <x v="0"/>
    <x v="0"/>
    <x v="0"/>
    <x v="0"/>
    <x v="0"/>
    <x v="0"/>
    <x v="1"/>
    <x v="0"/>
    <x v="0"/>
    <x v="1"/>
    <x v="0"/>
    <x v="0"/>
    <x v="0"/>
    <x v="1"/>
    <x v="0"/>
    <x v="0"/>
    <x v="3"/>
    <x v="0"/>
    <x v="149"/>
    <x v="56"/>
    <x v="39"/>
    <x v="11"/>
    <x v="0"/>
    <x v="5"/>
    <x v="30"/>
    <x v="44"/>
    <x v="1"/>
    <x v="29"/>
    <x v="29"/>
    <x v="151"/>
  </r>
  <r>
    <x v="160"/>
    <x v="2"/>
    <x v="94"/>
    <x v="8"/>
    <x v="41"/>
    <x v="1"/>
    <x v="6"/>
    <x v="2"/>
    <x v="1"/>
    <x v="1"/>
    <x v="124"/>
    <x v="0"/>
    <x v="0"/>
    <x v="0"/>
    <x v="0"/>
    <x v="1"/>
    <x v="124"/>
    <x v="0"/>
    <x v="38"/>
    <x v="6"/>
    <x v="160"/>
    <x v="2"/>
    <x v="94"/>
    <x v="8"/>
    <x v="41"/>
    <x v="1"/>
    <x v="6"/>
    <x v="2"/>
    <x v="1"/>
    <x v="140"/>
    <x v="0"/>
    <x v="1"/>
    <x v="1"/>
    <x v="0"/>
    <x v="0"/>
    <x v="0"/>
    <x v="0"/>
    <x v="0"/>
    <x v="0"/>
    <x v="0"/>
    <x v="0"/>
    <x v="0"/>
    <x v="0"/>
    <x v="0"/>
    <x v="0"/>
    <x v="0"/>
    <x v="0"/>
    <x v="0"/>
    <x v="0"/>
    <x v="0"/>
    <x v="0"/>
    <x v="0"/>
    <x v="0"/>
    <x v="150"/>
    <x v="56"/>
    <x v="51"/>
    <x v="2"/>
    <x v="0"/>
    <x v="5"/>
    <x v="30"/>
    <x v="44"/>
    <x v="1"/>
    <x v="29"/>
    <x v="29"/>
    <x v="152"/>
  </r>
  <r>
    <x v="161"/>
    <x v="2"/>
    <x v="94"/>
    <x v="8"/>
    <x v="41"/>
    <x v="1"/>
    <x v="6"/>
    <x v="2"/>
    <x v="1"/>
    <x v="1"/>
    <x v="125"/>
    <x v="0"/>
    <x v="0"/>
    <x v="0"/>
    <x v="0"/>
    <x v="3"/>
    <x v="125"/>
    <x v="0"/>
    <x v="105"/>
    <x v="6"/>
    <x v="161"/>
    <x v="2"/>
    <x v="94"/>
    <x v="8"/>
    <x v="41"/>
    <x v="1"/>
    <x v="6"/>
    <x v="2"/>
    <x v="1"/>
    <x v="141"/>
    <x v="0"/>
    <x v="1"/>
    <x v="1"/>
    <x v="0"/>
    <x v="0"/>
    <x v="0"/>
    <x v="0"/>
    <x v="0"/>
    <x v="0"/>
    <x v="0"/>
    <x v="0"/>
    <x v="0"/>
    <x v="0"/>
    <x v="0"/>
    <x v="0"/>
    <x v="0"/>
    <x v="0"/>
    <x v="0"/>
    <x v="1"/>
    <x v="0"/>
    <x v="0"/>
    <x v="3"/>
    <x v="0"/>
    <x v="151"/>
    <x v="56"/>
    <x v="51"/>
    <x v="2"/>
    <x v="0"/>
    <x v="5"/>
    <x v="30"/>
    <x v="44"/>
    <x v="1"/>
    <x v="29"/>
    <x v="29"/>
    <x v="153"/>
  </r>
  <r>
    <x v="162"/>
    <x v="2"/>
    <x v="8"/>
    <x v="8"/>
    <x v="7"/>
    <x v="5"/>
    <x v="1"/>
    <x v="2"/>
    <x v="2"/>
    <x v="2"/>
    <x v="126"/>
    <x v="0"/>
    <x v="0"/>
    <x v="0"/>
    <x v="0"/>
    <x v="0"/>
    <x v="126"/>
    <x v="0"/>
    <x v="12"/>
    <x v="8"/>
    <x v="162"/>
    <x v="2"/>
    <x v="8"/>
    <x v="8"/>
    <x v="7"/>
    <x v="5"/>
    <x v="1"/>
    <x v="2"/>
    <x v="2"/>
    <x v="142"/>
    <x v="0"/>
    <x v="0"/>
    <x v="1"/>
    <x v="0"/>
    <x v="0"/>
    <x v="0"/>
    <x v="0"/>
    <x v="0"/>
    <x v="0"/>
    <x v="0"/>
    <x v="0"/>
    <x v="0"/>
    <x v="1"/>
    <x v="0"/>
    <x v="0"/>
    <x v="0"/>
    <x v="0"/>
    <x v="1"/>
    <x v="0"/>
    <x v="0"/>
    <x v="0"/>
    <x v="0"/>
    <x v="1"/>
    <x v="13"/>
    <x v="57"/>
    <x v="52"/>
    <x v="14"/>
    <x v="0"/>
    <x v="5"/>
    <x v="2"/>
    <x v="25"/>
    <x v="1"/>
    <x v="8"/>
    <x v="8"/>
    <x v="13"/>
  </r>
  <r>
    <x v="163"/>
    <x v="42"/>
    <x v="8"/>
    <x v="8"/>
    <x v="54"/>
    <x v="0"/>
    <x v="1"/>
    <x v="1"/>
    <x v="3"/>
    <x v="3"/>
    <x v="20"/>
    <x v="0"/>
    <x v="0"/>
    <x v="0"/>
    <x v="0"/>
    <x v="3"/>
    <x v="20"/>
    <x v="0"/>
    <x v="59"/>
    <x v="21"/>
    <x v="163"/>
    <x v="42"/>
    <x v="8"/>
    <x v="8"/>
    <x v="54"/>
    <x v="0"/>
    <x v="1"/>
    <x v="1"/>
    <x v="3"/>
    <x v="20"/>
    <x v="0"/>
    <x v="0"/>
    <x v="1"/>
    <x v="0"/>
    <x v="0"/>
    <x v="0"/>
    <x v="0"/>
    <x v="0"/>
    <x v="0"/>
    <x v="0"/>
    <x v="0"/>
    <x v="0"/>
    <x v="0"/>
    <x v="0"/>
    <x v="0"/>
    <x v="0"/>
    <x v="0"/>
    <x v="0"/>
    <x v="0"/>
    <x v="0"/>
    <x v="0"/>
    <x v="0"/>
    <x v="0"/>
    <x v="152"/>
    <x v="58"/>
    <x v="53"/>
    <x v="31"/>
    <x v="0"/>
    <x v="5"/>
    <x v="14"/>
    <x v="19"/>
    <x v="1"/>
    <x v="6"/>
    <x v="6"/>
    <x v="154"/>
  </r>
  <r>
    <x v="164"/>
    <x v="2"/>
    <x v="8"/>
    <x v="8"/>
    <x v="1"/>
    <x v="2"/>
    <x v="8"/>
    <x v="2"/>
    <x v="1"/>
    <x v="1"/>
    <x v="9"/>
    <x v="0"/>
    <x v="0"/>
    <x v="0"/>
    <x v="0"/>
    <x v="0"/>
    <x v="9"/>
    <x v="0"/>
    <x v="106"/>
    <x v="22"/>
    <x v="164"/>
    <x v="2"/>
    <x v="8"/>
    <x v="8"/>
    <x v="1"/>
    <x v="2"/>
    <x v="8"/>
    <x v="2"/>
    <x v="1"/>
    <x v="143"/>
    <x v="0"/>
    <x v="0"/>
    <x v="0"/>
    <x v="0"/>
    <x v="0"/>
    <x v="0"/>
    <x v="0"/>
    <x v="0"/>
    <x v="0"/>
    <x v="0"/>
    <x v="0"/>
    <x v="0"/>
    <x v="0"/>
    <x v="0"/>
    <x v="0"/>
    <x v="1"/>
    <x v="0"/>
    <x v="0"/>
    <x v="0"/>
    <x v="0"/>
    <x v="0"/>
    <x v="0"/>
    <x v="0"/>
    <x v="153"/>
    <x v="58"/>
    <x v="6"/>
    <x v="7"/>
    <x v="1"/>
    <x v="4"/>
    <x v="4"/>
    <x v="5"/>
    <x v="0"/>
    <x v="8"/>
    <x v="8"/>
    <x v="155"/>
  </r>
  <r>
    <x v="165"/>
    <x v="9"/>
    <x v="8"/>
    <x v="8"/>
    <x v="7"/>
    <x v="0"/>
    <x v="4"/>
    <x v="3"/>
    <x v="3"/>
    <x v="3"/>
    <x v="19"/>
    <x v="0"/>
    <x v="0"/>
    <x v="0"/>
    <x v="0"/>
    <x v="3"/>
    <x v="19"/>
    <x v="0"/>
    <x v="88"/>
    <x v="6"/>
    <x v="165"/>
    <x v="9"/>
    <x v="8"/>
    <x v="8"/>
    <x v="7"/>
    <x v="0"/>
    <x v="4"/>
    <x v="3"/>
    <x v="3"/>
    <x v="19"/>
    <x v="0"/>
    <x v="1"/>
    <x v="1"/>
    <x v="0"/>
    <x v="0"/>
    <x v="0"/>
    <x v="0"/>
    <x v="0"/>
    <x v="0"/>
    <x v="0"/>
    <x v="0"/>
    <x v="0"/>
    <x v="0"/>
    <x v="0"/>
    <x v="0"/>
    <x v="1"/>
    <x v="0"/>
    <x v="0"/>
    <x v="0"/>
    <x v="0"/>
    <x v="0"/>
    <x v="0"/>
    <x v="0"/>
    <x v="154"/>
    <x v="59"/>
    <x v="14"/>
    <x v="12"/>
    <x v="0"/>
    <x v="3"/>
    <x v="31"/>
    <x v="45"/>
    <x v="0"/>
    <x v="1"/>
    <x v="1"/>
    <x v="156"/>
  </r>
  <r>
    <x v="166"/>
    <x v="9"/>
    <x v="8"/>
    <x v="43"/>
    <x v="55"/>
    <x v="0"/>
    <x v="4"/>
    <x v="3"/>
    <x v="3"/>
    <x v="3"/>
    <x v="22"/>
    <x v="0"/>
    <x v="0"/>
    <x v="0"/>
    <x v="0"/>
    <x v="3"/>
    <x v="22"/>
    <x v="0"/>
    <x v="12"/>
    <x v="19"/>
    <x v="166"/>
    <x v="9"/>
    <x v="8"/>
    <x v="43"/>
    <x v="55"/>
    <x v="0"/>
    <x v="4"/>
    <x v="3"/>
    <x v="3"/>
    <x v="144"/>
    <x v="0"/>
    <x v="0"/>
    <x v="1"/>
    <x v="0"/>
    <x v="0"/>
    <x v="0"/>
    <x v="0"/>
    <x v="0"/>
    <x v="0"/>
    <x v="0"/>
    <x v="0"/>
    <x v="0"/>
    <x v="0"/>
    <x v="0"/>
    <x v="0"/>
    <x v="1"/>
    <x v="0"/>
    <x v="0"/>
    <x v="0"/>
    <x v="0"/>
    <x v="0"/>
    <x v="0"/>
    <x v="0"/>
    <x v="13"/>
    <x v="59"/>
    <x v="14"/>
    <x v="12"/>
    <x v="0"/>
    <x v="3"/>
    <x v="9"/>
    <x v="46"/>
    <x v="0"/>
    <x v="8"/>
    <x v="8"/>
    <x v="13"/>
  </r>
  <r>
    <x v="167"/>
    <x v="43"/>
    <x v="8"/>
    <x v="44"/>
    <x v="32"/>
    <x v="7"/>
    <x v="1"/>
    <x v="1"/>
    <x v="1"/>
    <x v="1"/>
    <x v="127"/>
    <x v="36"/>
    <x v="23"/>
    <x v="44"/>
    <x v="1"/>
    <x v="1"/>
    <x v="127"/>
    <x v="0"/>
    <x v="107"/>
    <x v="6"/>
    <x v="167"/>
    <x v="43"/>
    <x v="8"/>
    <x v="44"/>
    <x v="32"/>
    <x v="7"/>
    <x v="1"/>
    <x v="1"/>
    <x v="1"/>
    <x v="145"/>
    <x v="0"/>
    <x v="0"/>
    <x v="1"/>
    <x v="0"/>
    <x v="0"/>
    <x v="0"/>
    <x v="0"/>
    <x v="0"/>
    <x v="0"/>
    <x v="0"/>
    <x v="0"/>
    <x v="0"/>
    <x v="0"/>
    <x v="0"/>
    <x v="0"/>
    <x v="1"/>
    <x v="0"/>
    <x v="0"/>
    <x v="0"/>
    <x v="0"/>
    <x v="0"/>
    <x v="0"/>
    <x v="0"/>
    <x v="155"/>
    <x v="60"/>
    <x v="54"/>
    <x v="13"/>
    <x v="0"/>
    <x v="0"/>
    <x v="22"/>
    <x v="47"/>
    <x v="0"/>
    <x v="3"/>
    <x v="3"/>
    <x v="157"/>
  </r>
  <r>
    <x v="168"/>
    <x v="44"/>
    <x v="95"/>
    <x v="8"/>
    <x v="56"/>
    <x v="0"/>
    <x v="3"/>
    <x v="1"/>
    <x v="1"/>
    <x v="1"/>
    <x v="128"/>
    <x v="0"/>
    <x v="0"/>
    <x v="0"/>
    <x v="0"/>
    <x v="3"/>
    <x v="128"/>
    <x v="0"/>
    <x v="77"/>
    <x v="6"/>
    <x v="168"/>
    <x v="44"/>
    <x v="95"/>
    <x v="8"/>
    <x v="56"/>
    <x v="0"/>
    <x v="3"/>
    <x v="1"/>
    <x v="1"/>
    <x v="146"/>
    <x v="0"/>
    <x v="1"/>
    <x v="1"/>
    <x v="0"/>
    <x v="0"/>
    <x v="0"/>
    <x v="0"/>
    <x v="0"/>
    <x v="0"/>
    <x v="0"/>
    <x v="0"/>
    <x v="0"/>
    <x v="0"/>
    <x v="0"/>
    <x v="1"/>
    <x v="0"/>
    <x v="0"/>
    <x v="0"/>
    <x v="1"/>
    <x v="0"/>
    <x v="0"/>
    <x v="3"/>
    <x v="0"/>
    <x v="156"/>
    <x v="61"/>
    <x v="39"/>
    <x v="11"/>
    <x v="0"/>
    <x v="5"/>
    <x v="32"/>
    <x v="48"/>
    <x v="1"/>
    <x v="49"/>
    <x v="49"/>
    <x v="158"/>
  </r>
  <r>
    <x v="169"/>
    <x v="45"/>
    <x v="96"/>
    <x v="8"/>
    <x v="57"/>
    <x v="5"/>
    <x v="1"/>
    <x v="1"/>
    <x v="2"/>
    <x v="2"/>
    <x v="129"/>
    <x v="0"/>
    <x v="0"/>
    <x v="0"/>
    <x v="0"/>
    <x v="0"/>
    <x v="129"/>
    <x v="41"/>
    <x v="12"/>
    <x v="8"/>
    <x v="169"/>
    <x v="45"/>
    <x v="96"/>
    <x v="8"/>
    <x v="57"/>
    <x v="5"/>
    <x v="1"/>
    <x v="1"/>
    <x v="2"/>
    <x v="147"/>
    <x v="0"/>
    <x v="0"/>
    <x v="1"/>
    <x v="0"/>
    <x v="0"/>
    <x v="0"/>
    <x v="0"/>
    <x v="0"/>
    <x v="0"/>
    <x v="0"/>
    <x v="0"/>
    <x v="0"/>
    <x v="1"/>
    <x v="0"/>
    <x v="0"/>
    <x v="0"/>
    <x v="0"/>
    <x v="1"/>
    <x v="1"/>
    <x v="0"/>
    <x v="3"/>
    <x v="0"/>
    <x v="1"/>
    <x v="157"/>
    <x v="62"/>
    <x v="55"/>
    <x v="5"/>
    <x v="0"/>
    <x v="0"/>
    <x v="2"/>
    <x v="3"/>
    <x v="0"/>
    <x v="26"/>
    <x v="26"/>
    <x v="13"/>
  </r>
  <r>
    <x v="170"/>
    <x v="46"/>
    <x v="8"/>
    <x v="8"/>
    <x v="58"/>
    <x v="5"/>
    <x v="1"/>
    <x v="1"/>
    <x v="2"/>
    <x v="2"/>
    <x v="15"/>
    <x v="0"/>
    <x v="0"/>
    <x v="0"/>
    <x v="0"/>
    <x v="2"/>
    <x v="15"/>
    <x v="0"/>
    <x v="12"/>
    <x v="8"/>
    <x v="170"/>
    <x v="46"/>
    <x v="8"/>
    <x v="8"/>
    <x v="58"/>
    <x v="5"/>
    <x v="1"/>
    <x v="1"/>
    <x v="2"/>
    <x v="148"/>
    <x v="0"/>
    <x v="0"/>
    <x v="0"/>
    <x v="0"/>
    <x v="0"/>
    <x v="0"/>
    <x v="0"/>
    <x v="0"/>
    <x v="0"/>
    <x v="0"/>
    <x v="0"/>
    <x v="0"/>
    <x v="1"/>
    <x v="0"/>
    <x v="0"/>
    <x v="0"/>
    <x v="0"/>
    <x v="1"/>
    <x v="0"/>
    <x v="0"/>
    <x v="0"/>
    <x v="0"/>
    <x v="1"/>
    <x v="13"/>
    <x v="63"/>
    <x v="56"/>
    <x v="32"/>
    <x v="0"/>
    <x v="0"/>
    <x v="2"/>
    <x v="3"/>
    <x v="0"/>
    <x v="8"/>
    <x v="8"/>
    <x v="13"/>
  </r>
  <r>
    <x v="171"/>
    <x v="9"/>
    <x v="8"/>
    <x v="8"/>
    <x v="7"/>
    <x v="0"/>
    <x v="4"/>
    <x v="3"/>
    <x v="1"/>
    <x v="1"/>
    <x v="56"/>
    <x v="0"/>
    <x v="0"/>
    <x v="0"/>
    <x v="0"/>
    <x v="0"/>
    <x v="56"/>
    <x v="0"/>
    <x v="104"/>
    <x v="6"/>
    <x v="171"/>
    <x v="9"/>
    <x v="8"/>
    <x v="8"/>
    <x v="7"/>
    <x v="0"/>
    <x v="4"/>
    <x v="3"/>
    <x v="1"/>
    <x v="149"/>
    <x v="0"/>
    <x v="0"/>
    <x v="1"/>
    <x v="1"/>
    <x v="0"/>
    <x v="0"/>
    <x v="0"/>
    <x v="0"/>
    <x v="0"/>
    <x v="0"/>
    <x v="0"/>
    <x v="0"/>
    <x v="0"/>
    <x v="0"/>
    <x v="0"/>
    <x v="1"/>
    <x v="0"/>
    <x v="0"/>
    <x v="1"/>
    <x v="0"/>
    <x v="0"/>
    <x v="0"/>
    <x v="1"/>
    <x v="158"/>
    <x v="64"/>
    <x v="57"/>
    <x v="33"/>
    <x v="0"/>
    <x v="0"/>
    <x v="2"/>
    <x v="3"/>
    <x v="0"/>
    <x v="0"/>
    <x v="0"/>
    <x v="159"/>
  </r>
  <r>
    <x v="172"/>
    <x v="2"/>
    <x v="8"/>
    <x v="8"/>
    <x v="36"/>
    <x v="0"/>
    <x v="3"/>
    <x v="2"/>
    <x v="1"/>
    <x v="1"/>
    <x v="130"/>
    <x v="0"/>
    <x v="0"/>
    <x v="0"/>
    <x v="0"/>
    <x v="3"/>
    <x v="130"/>
    <x v="0"/>
    <x v="108"/>
    <x v="6"/>
    <x v="172"/>
    <x v="2"/>
    <x v="8"/>
    <x v="8"/>
    <x v="36"/>
    <x v="0"/>
    <x v="3"/>
    <x v="2"/>
    <x v="1"/>
    <x v="150"/>
    <x v="0"/>
    <x v="1"/>
    <x v="1"/>
    <x v="0"/>
    <x v="0"/>
    <x v="0"/>
    <x v="0"/>
    <x v="0"/>
    <x v="0"/>
    <x v="0"/>
    <x v="0"/>
    <x v="1"/>
    <x v="0"/>
    <x v="0"/>
    <x v="1"/>
    <x v="0"/>
    <x v="0"/>
    <x v="0"/>
    <x v="0"/>
    <x v="0"/>
    <x v="0"/>
    <x v="0"/>
    <x v="0"/>
    <x v="159"/>
    <x v="65"/>
    <x v="6"/>
    <x v="7"/>
    <x v="1"/>
    <x v="4"/>
    <x v="4"/>
    <x v="5"/>
    <x v="0"/>
    <x v="50"/>
    <x v="50"/>
    <x v="160"/>
  </r>
  <r>
    <x v="173"/>
    <x v="47"/>
    <x v="8"/>
    <x v="8"/>
    <x v="59"/>
    <x v="10"/>
    <x v="1"/>
    <x v="1"/>
    <x v="2"/>
    <x v="2"/>
    <x v="131"/>
    <x v="0"/>
    <x v="0"/>
    <x v="0"/>
    <x v="0"/>
    <x v="3"/>
    <x v="131"/>
    <x v="0"/>
    <x v="12"/>
    <x v="8"/>
    <x v="173"/>
    <x v="47"/>
    <x v="8"/>
    <x v="8"/>
    <x v="59"/>
    <x v="10"/>
    <x v="1"/>
    <x v="1"/>
    <x v="2"/>
    <x v="151"/>
    <x v="0"/>
    <x v="0"/>
    <x v="1"/>
    <x v="0"/>
    <x v="0"/>
    <x v="0"/>
    <x v="0"/>
    <x v="0"/>
    <x v="0"/>
    <x v="0"/>
    <x v="0"/>
    <x v="0"/>
    <x v="0"/>
    <x v="0"/>
    <x v="0"/>
    <x v="0"/>
    <x v="0"/>
    <x v="0"/>
    <x v="0"/>
    <x v="0"/>
    <x v="0"/>
    <x v="0"/>
    <x v="0"/>
    <x v="13"/>
    <x v="66"/>
    <x v="58"/>
    <x v="6"/>
    <x v="0"/>
    <x v="0"/>
    <x v="2"/>
    <x v="3"/>
    <x v="0"/>
    <x v="8"/>
    <x v="8"/>
    <x v="13"/>
  </r>
  <r>
    <x v="174"/>
    <x v="2"/>
    <x v="8"/>
    <x v="8"/>
    <x v="60"/>
    <x v="0"/>
    <x v="1"/>
    <x v="2"/>
    <x v="1"/>
    <x v="1"/>
    <x v="132"/>
    <x v="0"/>
    <x v="0"/>
    <x v="0"/>
    <x v="0"/>
    <x v="1"/>
    <x v="132"/>
    <x v="0"/>
    <x v="109"/>
    <x v="6"/>
    <x v="174"/>
    <x v="2"/>
    <x v="8"/>
    <x v="8"/>
    <x v="60"/>
    <x v="0"/>
    <x v="1"/>
    <x v="2"/>
    <x v="1"/>
    <x v="152"/>
    <x v="0"/>
    <x v="0"/>
    <x v="1"/>
    <x v="1"/>
    <x v="0"/>
    <x v="0"/>
    <x v="0"/>
    <x v="0"/>
    <x v="0"/>
    <x v="0"/>
    <x v="0"/>
    <x v="0"/>
    <x v="1"/>
    <x v="0"/>
    <x v="0"/>
    <x v="0"/>
    <x v="0"/>
    <x v="1"/>
    <x v="0"/>
    <x v="0"/>
    <x v="0"/>
    <x v="0"/>
    <x v="3"/>
    <x v="160"/>
    <x v="67"/>
    <x v="59"/>
    <x v="11"/>
    <x v="0"/>
    <x v="5"/>
    <x v="33"/>
    <x v="49"/>
    <x v="1"/>
    <x v="12"/>
    <x v="12"/>
    <x v="161"/>
  </r>
  <r>
    <x v="175"/>
    <x v="48"/>
    <x v="8"/>
    <x v="8"/>
    <x v="6"/>
    <x v="5"/>
    <x v="1"/>
    <x v="1"/>
    <x v="2"/>
    <x v="2"/>
    <x v="133"/>
    <x v="0"/>
    <x v="0"/>
    <x v="0"/>
    <x v="0"/>
    <x v="3"/>
    <x v="133"/>
    <x v="42"/>
    <x v="12"/>
    <x v="8"/>
    <x v="175"/>
    <x v="48"/>
    <x v="8"/>
    <x v="8"/>
    <x v="6"/>
    <x v="5"/>
    <x v="1"/>
    <x v="1"/>
    <x v="2"/>
    <x v="153"/>
    <x v="0"/>
    <x v="0"/>
    <x v="1"/>
    <x v="0"/>
    <x v="0"/>
    <x v="0"/>
    <x v="0"/>
    <x v="0"/>
    <x v="0"/>
    <x v="0"/>
    <x v="0"/>
    <x v="0"/>
    <x v="1"/>
    <x v="0"/>
    <x v="0"/>
    <x v="0"/>
    <x v="0"/>
    <x v="1"/>
    <x v="1"/>
    <x v="0"/>
    <x v="3"/>
    <x v="0"/>
    <x v="1"/>
    <x v="13"/>
    <x v="68"/>
    <x v="60"/>
    <x v="0"/>
    <x v="0"/>
    <x v="5"/>
    <x v="22"/>
    <x v="30"/>
    <x v="1"/>
    <x v="51"/>
    <x v="9"/>
    <x v="13"/>
  </r>
  <r>
    <x v="176"/>
    <x v="41"/>
    <x v="8"/>
    <x v="8"/>
    <x v="46"/>
    <x v="5"/>
    <x v="1"/>
    <x v="1"/>
    <x v="1"/>
    <x v="1"/>
    <x v="134"/>
    <x v="0"/>
    <x v="0"/>
    <x v="0"/>
    <x v="0"/>
    <x v="0"/>
    <x v="134"/>
    <x v="0"/>
    <x v="64"/>
    <x v="6"/>
    <x v="176"/>
    <x v="41"/>
    <x v="8"/>
    <x v="8"/>
    <x v="46"/>
    <x v="5"/>
    <x v="1"/>
    <x v="1"/>
    <x v="1"/>
    <x v="154"/>
    <x v="0"/>
    <x v="0"/>
    <x v="1"/>
    <x v="0"/>
    <x v="0"/>
    <x v="0"/>
    <x v="0"/>
    <x v="0"/>
    <x v="0"/>
    <x v="0"/>
    <x v="0"/>
    <x v="0"/>
    <x v="0"/>
    <x v="0"/>
    <x v="0"/>
    <x v="0"/>
    <x v="0"/>
    <x v="0"/>
    <x v="0"/>
    <x v="0"/>
    <x v="0"/>
    <x v="0"/>
    <x v="0"/>
    <x v="161"/>
    <x v="69"/>
    <x v="6"/>
    <x v="7"/>
    <x v="1"/>
    <x v="4"/>
    <x v="4"/>
    <x v="5"/>
    <x v="0"/>
    <x v="52"/>
    <x v="51"/>
    <x v="162"/>
  </r>
  <r>
    <x v="177"/>
    <x v="49"/>
    <x v="8"/>
    <x v="45"/>
    <x v="61"/>
    <x v="0"/>
    <x v="1"/>
    <x v="1"/>
    <x v="1"/>
    <x v="1"/>
    <x v="135"/>
    <x v="0"/>
    <x v="0"/>
    <x v="0"/>
    <x v="0"/>
    <x v="1"/>
    <x v="135"/>
    <x v="0"/>
    <x v="42"/>
    <x v="6"/>
    <x v="177"/>
    <x v="49"/>
    <x v="8"/>
    <x v="45"/>
    <x v="61"/>
    <x v="0"/>
    <x v="1"/>
    <x v="1"/>
    <x v="1"/>
    <x v="155"/>
    <x v="0"/>
    <x v="0"/>
    <x v="1"/>
    <x v="1"/>
    <x v="0"/>
    <x v="0"/>
    <x v="1"/>
    <x v="0"/>
    <x v="0"/>
    <x v="0"/>
    <x v="0"/>
    <x v="0"/>
    <x v="0"/>
    <x v="1"/>
    <x v="0"/>
    <x v="0"/>
    <x v="1"/>
    <x v="0"/>
    <x v="0"/>
    <x v="0"/>
    <x v="0"/>
    <x v="0"/>
    <x v="4"/>
    <x v="90"/>
    <x v="70"/>
    <x v="61"/>
    <x v="34"/>
    <x v="0"/>
    <x v="3"/>
    <x v="3"/>
    <x v="4"/>
    <x v="0"/>
    <x v="1"/>
    <x v="1"/>
    <x v="163"/>
  </r>
  <r>
    <x v="178"/>
    <x v="8"/>
    <x v="97"/>
    <x v="46"/>
    <x v="18"/>
    <x v="1"/>
    <x v="3"/>
    <x v="3"/>
    <x v="1"/>
    <x v="1"/>
    <x v="136"/>
    <x v="0"/>
    <x v="0"/>
    <x v="0"/>
    <x v="0"/>
    <x v="1"/>
    <x v="136"/>
    <x v="0"/>
    <x v="21"/>
    <x v="12"/>
    <x v="178"/>
    <x v="8"/>
    <x v="97"/>
    <x v="46"/>
    <x v="18"/>
    <x v="1"/>
    <x v="3"/>
    <x v="3"/>
    <x v="1"/>
    <x v="156"/>
    <x v="1"/>
    <x v="0"/>
    <x v="1"/>
    <x v="0"/>
    <x v="0"/>
    <x v="0"/>
    <x v="0"/>
    <x v="0"/>
    <x v="0"/>
    <x v="0"/>
    <x v="0"/>
    <x v="0"/>
    <x v="0"/>
    <x v="0"/>
    <x v="0"/>
    <x v="0"/>
    <x v="0"/>
    <x v="0"/>
    <x v="0"/>
    <x v="0"/>
    <x v="0"/>
    <x v="0"/>
    <x v="1"/>
    <x v="162"/>
    <x v="71"/>
    <x v="62"/>
    <x v="13"/>
    <x v="0"/>
    <x v="0"/>
    <x v="2"/>
    <x v="3"/>
    <x v="0"/>
    <x v="53"/>
    <x v="52"/>
    <x v="164"/>
  </r>
  <r>
    <x v="179"/>
    <x v="8"/>
    <x v="8"/>
    <x v="8"/>
    <x v="1"/>
    <x v="0"/>
    <x v="3"/>
    <x v="3"/>
    <x v="1"/>
    <x v="1"/>
    <x v="137"/>
    <x v="0"/>
    <x v="0"/>
    <x v="0"/>
    <x v="0"/>
    <x v="1"/>
    <x v="137"/>
    <x v="0"/>
    <x v="38"/>
    <x v="10"/>
    <x v="179"/>
    <x v="8"/>
    <x v="8"/>
    <x v="8"/>
    <x v="1"/>
    <x v="0"/>
    <x v="3"/>
    <x v="3"/>
    <x v="1"/>
    <x v="157"/>
    <x v="0"/>
    <x v="1"/>
    <x v="1"/>
    <x v="0"/>
    <x v="0"/>
    <x v="0"/>
    <x v="0"/>
    <x v="0"/>
    <x v="0"/>
    <x v="0"/>
    <x v="0"/>
    <x v="1"/>
    <x v="0"/>
    <x v="0"/>
    <x v="0"/>
    <x v="0"/>
    <x v="0"/>
    <x v="0"/>
    <x v="1"/>
    <x v="0"/>
    <x v="0"/>
    <x v="0"/>
    <x v="0"/>
    <x v="163"/>
    <x v="71"/>
    <x v="62"/>
    <x v="11"/>
    <x v="0"/>
    <x v="5"/>
    <x v="2"/>
    <x v="25"/>
    <x v="1"/>
    <x v="29"/>
    <x v="29"/>
    <x v="165"/>
  </r>
  <r>
    <x v="180"/>
    <x v="2"/>
    <x v="8"/>
    <x v="8"/>
    <x v="7"/>
    <x v="0"/>
    <x v="1"/>
    <x v="2"/>
    <x v="1"/>
    <x v="1"/>
    <x v="138"/>
    <x v="0"/>
    <x v="0"/>
    <x v="0"/>
    <x v="0"/>
    <x v="1"/>
    <x v="138"/>
    <x v="0"/>
    <x v="93"/>
    <x v="6"/>
    <x v="180"/>
    <x v="2"/>
    <x v="8"/>
    <x v="8"/>
    <x v="7"/>
    <x v="0"/>
    <x v="1"/>
    <x v="2"/>
    <x v="1"/>
    <x v="158"/>
    <x v="0"/>
    <x v="0"/>
    <x v="1"/>
    <x v="1"/>
    <x v="0"/>
    <x v="1"/>
    <x v="0"/>
    <x v="0"/>
    <x v="0"/>
    <x v="0"/>
    <x v="0"/>
    <x v="0"/>
    <x v="0"/>
    <x v="0"/>
    <x v="0"/>
    <x v="0"/>
    <x v="0"/>
    <x v="0"/>
    <x v="0"/>
    <x v="0"/>
    <x v="0"/>
    <x v="0"/>
    <x v="1"/>
    <x v="164"/>
    <x v="72"/>
    <x v="34"/>
    <x v="11"/>
    <x v="0"/>
    <x v="5"/>
    <x v="17"/>
    <x v="50"/>
    <x v="1"/>
    <x v="42"/>
    <x v="42"/>
    <x v="166"/>
  </r>
  <r>
    <x v="181"/>
    <x v="2"/>
    <x v="8"/>
    <x v="8"/>
    <x v="1"/>
    <x v="5"/>
    <x v="1"/>
    <x v="2"/>
    <x v="1"/>
    <x v="1"/>
    <x v="139"/>
    <x v="0"/>
    <x v="0"/>
    <x v="0"/>
    <x v="0"/>
    <x v="3"/>
    <x v="139"/>
    <x v="0"/>
    <x v="104"/>
    <x v="6"/>
    <x v="181"/>
    <x v="2"/>
    <x v="8"/>
    <x v="8"/>
    <x v="1"/>
    <x v="5"/>
    <x v="1"/>
    <x v="2"/>
    <x v="1"/>
    <x v="159"/>
    <x v="0"/>
    <x v="0"/>
    <x v="1"/>
    <x v="0"/>
    <x v="0"/>
    <x v="0"/>
    <x v="0"/>
    <x v="0"/>
    <x v="0"/>
    <x v="0"/>
    <x v="0"/>
    <x v="0"/>
    <x v="0"/>
    <x v="0"/>
    <x v="0"/>
    <x v="0"/>
    <x v="0"/>
    <x v="0"/>
    <x v="0"/>
    <x v="0"/>
    <x v="0"/>
    <x v="0"/>
    <x v="0"/>
    <x v="165"/>
    <x v="73"/>
    <x v="39"/>
    <x v="13"/>
    <x v="0"/>
    <x v="18"/>
    <x v="26"/>
    <x v="51"/>
    <x v="0"/>
    <x v="1"/>
    <x v="1"/>
    <x v="167"/>
  </r>
  <r>
    <x v="182"/>
    <x v="50"/>
    <x v="8"/>
    <x v="8"/>
    <x v="62"/>
    <x v="4"/>
    <x v="1"/>
    <x v="1"/>
    <x v="1"/>
    <x v="1"/>
    <x v="140"/>
    <x v="0"/>
    <x v="0"/>
    <x v="0"/>
    <x v="0"/>
    <x v="3"/>
    <x v="140"/>
    <x v="0"/>
    <x v="110"/>
    <x v="9"/>
    <x v="182"/>
    <x v="50"/>
    <x v="8"/>
    <x v="8"/>
    <x v="62"/>
    <x v="4"/>
    <x v="1"/>
    <x v="1"/>
    <x v="1"/>
    <x v="160"/>
    <x v="0"/>
    <x v="0"/>
    <x v="1"/>
    <x v="1"/>
    <x v="0"/>
    <x v="0"/>
    <x v="0"/>
    <x v="0"/>
    <x v="0"/>
    <x v="0"/>
    <x v="0"/>
    <x v="0"/>
    <x v="0"/>
    <x v="0"/>
    <x v="0"/>
    <x v="1"/>
    <x v="0"/>
    <x v="0"/>
    <x v="0"/>
    <x v="0"/>
    <x v="0"/>
    <x v="0"/>
    <x v="1"/>
    <x v="166"/>
    <x v="74"/>
    <x v="60"/>
    <x v="1"/>
    <x v="0"/>
    <x v="18"/>
    <x v="18"/>
    <x v="52"/>
    <x v="0"/>
    <x v="5"/>
    <x v="5"/>
    <x v="168"/>
  </r>
  <r>
    <x v="183"/>
    <x v="2"/>
    <x v="8"/>
    <x v="8"/>
    <x v="7"/>
    <x v="0"/>
    <x v="1"/>
    <x v="2"/>
    <x v="1"/>
    <x v="1"/>
    <x v="141"/>
    <x v="0"/>
    <x v="0"/>
    <x v="0"/>
    <x v="0"/>
    <x v="2"/>
    <x v="141"/>
    <x v="0"/>
    <x v="59"/>
    <x v="6"/>
    <x v="183"/>
    <x v="2"/>
    <x v="8"/>
    <x v="8"/>
    <x v="7"/>
    <x v="0"/>
    <x v="1"/>
    <x v="2"/>
    <x v="1"/>
    <x v="161"/>
    <x v="1"/>
    <x v="0"/>
    <x v="1"/>
    <x v="0"/>
    <x v="0"/>
    <x v="0"/>
    <x v="0"/>
    <x v="0"/>
    <x v="0"/>
    <x v="0"/>
    <x v="0"/>
    <x v="0"/>
    <x v="0"/>
    <x v="0"/>
    <x v="0"/>
    <x v="1"/>
    <x v="0"/>
    <x v="0"/>
    <x v="0"/>
    <x v="0"/>
    <x v="0"/>
    <x v="0"/>
    <x v="1"/>
    <x v="91"/>
    <x v="75"/>
    <x v="39"/>
    <x v="11"/>
    <x v="0"/>
    <x v="2"/>
    <x v="1"/>
    <x v="2"/>
    <x v="0"/>
    <x v="54"/>
    <x v="53"/>
    <x v="169"/>
  </r>
  <r>
    <x v="184"/>
    <x v="0"/>
    <x v="98"/>
    <x v="8"/>
    <x v="0"/>
    <x v="2"/>
    <x v="0"/>
    <x v="0"/>
    <x v="2"/>
    <x v="2"/>
    <x v="142"/>
    <x v="0"/>
    <x v="0"/>
    <x v="0"/>
    <x v="0"/>
    <x v="3"/>
    <x v="142"/>
    <x v="0"/>
    <x v="41"/>
    <x v="12"/>
    <x v="184"/>
    <x v="0"/>
    <x v="98"/>
    <x v="8"/>
    <x v="0"/>
    <x v="2"/>
    <x v="0"/>
    <x v="0"/>
    <x v="2"/>
    <x v="162"/>
    <x v="0"/>
    <x v="0"/>
    <x v="0"/>
    <x v="0"/>
    <x v="1"/>
    <x v="0"/>
    <x v="0"/>
    <x v="0"/>
    <x v="0"/>
    <x v="0"/>
    <x v="0"/>
    <x v="0"/>
    <x v="0"/>
    <x v="0"/>
    <x v="0"/>
    <x v="0"/>
    <x v="0"/>
    <x v="0"/>
    <x v="0"/>
    <x v="0"/>
    <x v="0"/>
    <x v="0"/>
    <x v="0"/>
    <x v="167"/>
    <x v="76"/>
    <x v="63"/>
    <x v="35"/>
    <x v="0"/>
    <x v="3"/>
    <x v="19"/>
    <x v="26"/>
    <x v="0"/>
    <x v="29"/>
    <x v="29"/>
    <x v="170"/>
  </r>
  <r>
    <x v="185"/>
    <x v="0"/>
    <x v="8"/>
    <x v="8"/>
    <x v="7"/>
    <x v="0"/>
    <x v="0"/>
    <x v="0"/>
    <x v="2"/>
    <x v="2"/>
    <x v="143"/>
    <x v="0"/>
    <x v="0"/>
    <x v="0"/>
    <x v="0"/>
    <x v="0"/>
    <x v="143"/>
    <x v="0"/>
    <x v="57"/>
    <x v="12"/>
    <x v="185"/>
    <x v="0"/>
    <x v="8"/>
    <x v="8"/>
    <x v="7"/>
    <x v="0"/>
    <x v="0"/>
    <x v="0"/>
    <x v="2"/>
    <x v="163"/>
    <x v="0"/>
    <x v="0"/>
    <x v="1"/>
    <x v="0"/>
    <x v="0"/>
    <x v="0"/>
    <x v="0"/>
    <x v="0"/>
    <x v="0"/>
    <x v="0"/>
    <x v="0"/>
    <x v="0"/>
    <x v="0"/>
    <x v="0"/>
    <x v="0"/>
    <x v="0"/>
    <x v="0"/>
    <x v="0"/>
    <x v="0"/>
    <x v="0"/>
    <x v="0"/>
    <x v="0"/>
    <x v="0"/>
    <x v="168"/>
    <x v="76"/>
    <x v="63"/>
    <x v="35"/>
    <x v="0"/>
    <x v="10"/>
    <x v="19"/>
    <x v="53"/>
    <x v="0"/>
    <x v="13"/>
    <x v="13"/>
    <x v="171"/>
  </r>
  <r>
    <x v="186"/>
    <x v="51"/>
    <x v="99"/>
    <x v="47"/>
    <x v="21"/>
    <x v="0"/>
    <x v="1"/>
    <x v="1"/>
    <x v="1"/>
    <x v="1"/>
    <x v="144"/>
    <x v="37"/>
    <x v="24"/>
    <x v="45"/>
    <x v="1"/>
    <x v="3"/>
    <x v="144"/>
    <x v="0"/>
    <x v="0"/>
    <x v="6"/>
    <x v="186"/>
    <x v="51"/>
    <x v="99"/>
    <x v="47"/>
    <x v="21"/>
    <x v="0"/>
    <x v="1"/>
    <x v="1"/>
    <x v="1"/>
    <x v="164"/>
    <x v="0"/>
    <x v="0"/>
    <x v="1"/>
    <x v="0"/>
    <x v="0"/>
    <x v="0"/>
    <x v="1"/>
    <x v="0"/>
    <x v="0"/>
    <x v="0"/>
    <x v="0"/>
    <x v="0"/>
    <x v="0"/>
    <x v="0"/>
    <x v="0"/>
    <x v="0"/>
    <x v="1"/>
    <x v="0"/>
    <x v="0"/>
    <x v="0"/>
    <x v="0"/>
    <x v="0"/>
    <x v="1"/>
    <x v="169"/>
    <x v="77"/>
    <x v="54"/>
    <x v="11"/>
    <x v="0"/>
    <x v="5"/>
    <x v="2"/>
    <x v="25"/>
    <x v="1"/>
    <x v="55"/>
    <x v="54"/>
    <x v="172"/>
  </r>
  <r>
    <x v="187"/>
    <x v="8"/>
    <x v="38"/>
    <x v="27"/>
    <x v="36"/>
    <x v="0"/>
    <x v="3"/>
    <x v="3"/>
    <x v="1"/>
    <x v="1"/>
    <x v="145"/>
    <x v="0"/>
    <x v="0"/>
    <x v="0"/>
    <x v="0"/>
    <x v="0"/>
    <x v="145"/>
    <x v="0"/>
    <x v="37"/>
    <x v="12"/>
    <x v="187"/>
    <x v="8"/>
    <x v="38"/>
    <x v="27"/>
    <x v="36"/>
    <x v="0"/>
    <x v="3"/>
    <x v="3"/>
    <x v="1"/>
    <x v="165"/>
    <x v="0"/>
    <x v="0"/>
    <x v="0"/>
    <x v="0"/>
    <x v="0"/>
    <x v="0"/>
    <x v="0"/>
    <x v="0"/>
    <x v="0"/>
    <x v="0"/>
    <x v="0"/>
    <x v="0"/>
    <x v="0"/>
    <x v="0"/>
    <x v="1"/>
    <x v="0"/>
    <x v="0"/>
    <x v="0"/>
    <x v="0"/>
    <x v="0"/>
    <x v="0"/>
    <x v="0"/>
    <x v="0"/>
    <x v="170"/>
    <x v="78"/>
    <x v="64"/>
    <x v="3"/>
    <x v="0"/>
    <x v="3"/>
    <x v="34"/>
    <x v="54"/>
    <x v="0"/>
    <x v="8"/>
    <x v="8"/>
    <x v="173"/>
  </r>
  <r>
    <x v="188"/>
    <x v="7"/>
    <x v="100"/>
    <x v="48"/>
    <x v="6"/>
    <x v="5"/>
    <x v="1"/>
    <x v="1"/>
    <x v="2"/>
    <x v="2"/>
    <x v="146"/>
    <x v="38"/>
    <x v="25"/>
    <x v="46"/>
    <x v="1"/>
    <x v="2"/>
    <x v="146"/>
    <x v="0"/>
    <x v="12"/>
    <x v="8"/>
    <x v="188"/>
    <x v="7"/>
    <x v="100"/>
    <x v="48"/>
    <x v="6"/>
    <x v="5"/>
    <x v="1"/>
    <x v="1"/>
    <x v="2"/>
    <x v="166"/>
    <x v="0"/>
    <x v="0"/>
    <x v="1"/>
    <x v="0"/>
    <x v="0"/>
    <x v="0"/>
    <x v="0"/>
    <x v="0"/>
    <x v="0"/>
    <x v="0"/>
    <x v="0"/>
    <x v="0"/>
    <x v="1"/>
    <x v="0"/>
    <x v="0"/>
    <x v="0"/>
    <x v="0"/>
    <x v="1"/>
    <x v="0"/>
    <x v="0"/>
    <x v="0"/>
    <x v="0"/>
    <x v="1"/>
    <x v="171"/>
    <x v="79"/>
    <x v="65"/>
    <x v="36"/>
    <x v="0"/>
    <x v="5"/>
    <x v="35"/>
    <x v="55"/>
    <x v="1"/>
    <x v="27"/>
    <x v="27"/>
    <x v="13"/>
  </r>
  <r>
    <x v="189"/>
    <x v="5"/>
    <x v="101"/>
    <x v="49"/>
    <x v="0"/>
    <x v="2"/>
    <x v="2"/>
    <x v="0"/>
    <x v="2"/>
    <x v="2"/>
    <x v="147"/>
    <x v="0"/>
    <x v="0"/>
    <x v="0"/>
    <x v="0"/>
    <x v="0"/>
    <x v="147"/>
    <x v="0"/>
    <x v="36"/>
    <x v="6"/>
    <x v="189"/>
    <x v="5"/>
    <x v="101"/>
    <x v="49"/>
    <x v="0"/>
    <x v="2"/>
    <x v="2"/>
    <x v="0"/>
    <x v="2"/>
    <x v="167"/>
    <x v="0"/>
    <x v="0"/>
    <x v="0"/>
    <x v="0"/>
    <x v="1"/>
    <x v="0"/>
    <x v="0"/>
    <x v="0"/>
    <x v="0"/>
    <x v="0"/>
    <x v="0"/>
    <x v="0"/>
    <x v="0"/>
    <x v="0"/>
    <x v="0"/>
    <x v="1"/>
    <x v="0"/>
    <x v="0"/>
    <x v="0"/>
    <x v="0"/>
    <x v="0"/>
    <x v="0"/>
    <x v="0"/>
    <x v="172"/>
    <x v="80"/>
    <x v="60"/>
    <x v="1"/>
    <x v="0"/>
    <x v="3"/>
    <x v="36"/>
    <x v="56"/>
    <x v="0"/>
    <x v="44"/>
    <x v="44"/>
    <x v="174"/>
  </r>
  <r>
    <x v="190"/>
    <x v="5"/>
    <x v="102"/>
    <x v="50"/>
    <x v="2"/>
    <x v="2"/>
    <x v="2"/>
    <x v="0"/>
    <x v="2"/>
    <x v="2"/>
    <x v="148"/>
    <x v="0"/>
    <x v="0"/>
    <x v="0"/>
    <x v="0"/>
    <x v="0"/>
    <x v="148"/>
    <x v="0"/>
    <x v="111"/>
    <x v="6"/>
    <x v="190"/>
    <x v="5"/>
    <x v="102"/>
    <x v="50"/>
    <x v="2"/>
    <x v="2"/>
    <x v="2"/>
    <x v="0"/>
    <x v="2"/>
    <x v="168"/>
    <x v="0"/>
    <x v="0"/>
    <x v="0"/>
    <x v="0"/>
    <x v="1"/>
    <x v="0"/>
    <x v="1"/>
    <x v="0"/>
    <x v="0"/>
    <x v="0"/>
    <x v="0"/>
    <x v="0"/>
    <x v="0"/>
    <x v="0"/>
    <x v="0"/>
    <x v="0"/>
    <x v="1"/>
    <x v="0"/>
    <x v="0"/>
    <x v="0"/>
    <x v="0"/>
    <x v="0"/>
    <x v="1"/>
    <x v="173"/>
    <x v="80"/>
    <x v="60"/>
    <x v="1"/>
    <x v="0"/>
    <x v="3"/>
    <x v="36"/>
    <x v="56"/>
    <x v="0"/>
    <x v="44"/>
    <x v="44"/>
    <x v="175"/>
  </r>
  <r>
    <x v="191"/>
    <x v="5"/>
    <x v="103"/>
    <x v="8"/>
    <x v="63"/>
    <x v="2"/>
    <x v="2"/>
    <x v="0"/>
    <x v="2"/>
    <x v="2"/>
    <x v="149"/>
    <x v="0"/>
    <x v="0"/>
    <x v="0"/>
    <x v="0"/>
    <x v="0"/>
    <x v="149"/>
    <x v="0"/>
    <x v="112"/>
    <x v="6"/>
    <x v="191"/>
    <x v="5"/>
    <x v="103"/>
    <x v="8"/>
    <x v="63"/>
    <x v="2"/>
    <x v="2"/>
    <x v="0"/>
    <x v="2"/>
    <x v="169"/>
    <x v="0"/>
    <x v="0"/>
    <x v="1"/>
    <x v="0"/>
    <x v="0"/>
    <x v="0"/>
    <x v="0"/>
    <x v="0"/>
    <x v="0"/>
    <x v="0"/>
    <x v="0"/>
    <x v="0"/>
    <x v="1"/>
    <x v="0"/>
    <x v="0"/>
    <x v="0"/>
    <x v="0"/>
    <x v="1"/>
    <x v="0"/>
    <x v="0"/>
    <x v="0"/>
    <x v="0"/>
    <x v="1"/>
    <x v="174"/>
    <x v="80"/>
    <x v="60"/>
    <x v="1"/>
    <x v="0"/>
    <x v="3"/>
    <x v="36"/>
    <x v="56"/>
    <x v="0"/>
    <x v="56"/>
    <x v="55"/>
    <x v="176"/>
  </r>
  <r>
    <x v="192"/>
    <x v="2"/>
    <x v="8"/>
    <x v="8"/>
    <x v="64"/>
    <x v="5"/>
    <x v="1"/>
    <x v="2"/>
    <x v="1"/>
    <x v="1"/>
    <x v="150"/>
    <x v="0"/>
    <x v="0"/>
    <x v="0"/>
    <x v="0"/>
    <x v="2"/>
    <x v="150"/>
    <x v="43"/>
    <x v="0"/>
    <x v="9"/>
    <x v="192"/>
    <x v="2"/>
    <x v="8"/>
    <x v="8"/>
    <x v="64"/>
    <x v="5"/>
    <x v="1"/>
    <x v="2"/>
    <x v="1"/>
    <x v="170"/>
    <x v="0"/>
    <x v="0"/>
    <x v="0"/>
    <x v="0"/>
    <x v="0"/>
    <x v="0"/>
    <x v="0"/>
    <x v="0"/>
    <x v="0"/>
    <x v="0"/>
    <x v="0"/>
    <x v="0"/>
    <x v="1"/>
    <x v="0"/>
    <x v="0"/>
    <x v="0"/>
    <x v="0"/>
    <x v="1"/>
    <x v="0"/>
    <x v="0"/>
    <x v="2"/>
    <x v="0"/>
    <x v="1"/>
    <x v="175"/>
    <x v="81"/>
    <x v="66"/>
    <x v="13"/>
    <x v="0"/>
    <x v="0"/>
    <x v="2"/>
    <x v="3"/>
    <x v="0"/>
    <x v="16"/>
    <x v="16"/>
    <x v="177"/>
  </r>
  <r>
    <x v="193"/>
    <x v="2"/>
    <x v="8"/>
    <x v="8"/>
    <x v="64"/>
    <x v="5"/>
    <x v="1"/>
    <x v="2"/>
    <x v="1"/>
    <x v="1"/>
    <x v="30"/>
    <x v="0"/>
    <x v="0"/>
    <x v="0"/>
    <x v="0"/>
    <x v="0"/>
    <x v="30"/>
    <x v="44"/>
    <x v="59"/>
    <x v="6"/>
    <x v="193"/>
    <x v="2"/>
    <x v="8"/>
    <x v="8"/>
    <x v="64"/>
    <x v="5"/>
    <x v="1"/>
    <x v="2"/>
    <x v="1"/>
    <x v="32"/>
    <x v="0"/>
    <x v="0"/>
    <x v="1"/>
    <x v="0"/>
    <x v="0"/>
    <x v="0"/>
    <x v="0"/>
    <x v="0"/>
    <x v="0"/>
    <x v="0"/>
    <x v="0"/>
    <x v="0"/>
    <x v="1"/>
    <x v="0"/>
    <x v="0"/>
    <x v="0"/>
    <x v="0"/>
    <x v="1"/>
    <x v="0"/>
    <x v="0"/>
    <x v="2"/>
    <x v="0"/>
    <x v="1"/>
    <x v="176"/>
    <x v="81"/>
    <x v="66"/>
    <x v="13"/>
    <x v="0"/>
    <x v="0"/>
    <x v="2"/>
    <x v="3"/>
    <x v="0"/>
    <x v="38"/>
    <x v="38"/>
    <x v="178"/>
  </r>
  <r>
    <x v="194"/>
    <x v="2"/>
    <x v="8"/>
    <x v="8"/>
    <x v="65"/>
    <x v="9"/>
    <x v="1"/>
    <x v="2"/>
    <x v="1"/>
    <x v="1"/>
    <x v="151"/>
    <x v="0"/>
    <x v="0"/>
    <x v="0"/>
    <x v="0"/>
    <x v="1"/>
    <x v="151"/>
    <x v="0"/>
    <x v="113"/>
    <x v="6"/>
    <x v="194"/>
    <x v="2"/>
    <x v="8"/>
    <x v="8"/>
    <x v="65"/>
    <x v="9"/>
    <x v="1"/>
    <x v="2"/>
    <x v="1"/>
    <x v="171"/>
    <x v="0"/>
    <x v="0"/>
    <x v="1"/>
    <x v="0"/>
    <x v="0"/>
    <x v="0"/>
    <x v="0"/>
    <x v="0"/>
    <x v="0"/>
    <x v="0"/>
    <x v="0"/>
    <x v="0"/>
    <x v="0"/>
    <x v="0"/>
    <x v="0"/>
    <x v="1"/>
    <x v="0"/>
    <x v="0"/>
    <x v="0"/>
    <x v="0"/>
    <x v="0"/>
    <x v="0"/>
    <x v="0"/>
    <x v="177"/>
    <x v="81"/>
    <x v="66"/>
    <x v="13"/>
    <x v="0"/>
    <x v="17"/>
    <x v="2"/>
    <x v="40"/>
    <x v="0"/>
    <x v="16"/>
    <x v="16"/>
    <x v="179"/>
  </r>
  <r>
    <x v="195"/>
    <x v="2"/>
    <x v="8"/>
    <x v="8"/>
    <x v="64"/>
    <x v="5"/>
    <x v="1"/>
    <x v="2"/>
    <x v="1"/>
    <x v="1"/>
    <x v="152"/>
    <x v="0"/>
    <x v="0"/>
    <x v="0"/>
    <x v="0"/>
    <x v="4"/>
    <x v="152"/>
    <x v="45"/>
    <x v="12"/>
    <x v="9"/>
    <x v="195"/>
    <x v="2"/>
    <x v="8"/>
    <x v="8"/>
    <x v="64"/>
    <x v="5"/>
    <x v="1"/>
    <x v="2"/>
    <x v="1"/>
    <x v="172"/>
    <x v="0"/>
    <x v="0"/>
    <x v="1"/>
    <x v="0"/>
    <x v="0"/>
    <x v="0"/>
    <x v="0"/>
    <x v="0"/>
    <x v="0"/>
    <x v="0"/>
    <x v="0"/>
    <x v="0"/>
    <x v="1"/>
    <x v="0"/>
    <x v="0"/>
    <x v="0"/>
    <x v="0"/>
    <x v="1"/>
    <x v="0"/>
    <x v="0"/>
    <x v="8"/>
    <x v="0"/>
    <x v="1"/>
    <x v="13"/>
    <x v="81"/>
    <x v="6"/>
    <x v="7"/>
    <x v="1"/>
    <x v="4"/>
    <x v="4"/>
    <x v="5"/>
    <x v="0"/>
    <x v="8"/>
    <x v="8"/>
    <x v="13"/>
  </r>
  <r>
    <x v="196"/>
    <x v="52"/>
    <x v="8"/>
    <x v="8"/>
    <x v="66"/>
    <x v="0"/>
    <x v="1"/>
    <x v="1"/>
    <x v="1"/>
    <x v="1"/>
    <x v="138"/>
    <x v="0"/>
    <x v="0"/>
    <x v="0"/>
    <x v="0"/>
    <x v="1"/>
    <x v="138"/>
    <x v="0"/>
    <x v="114"/>
    <x v="6"/>
    <x v="196"/>
    <x v="52"/>
    <x v="8"/>
    <x v="8"/>
    <x v="66"/>
    <x v="0"/>
    <x v="1"/>
    <x v="1"/>
    <x v="1"/>
    <x v="158"/>
    <x v="0"/>
    <x v="0"/>
    <x v="0"/>
    <x v="1"/>
    <x v="0"/>
    <x v="0"/>
    <x v="0"/>
    <x v="0"/>
    <x v="0"/>
    <x v="0"/>
    <x v="0"/>
    <x v="0"/>
    <x v="0"/>
    <x v="0"/>
    <x v="1"/>
    <x v="1"/>
    <x v="0"/>
    <x v="0"/>
    <x v="1"/>
    <x v="0"/>
    <x v="0"/>
    <x v="0"/>
    <x v="1"/>
    <x v="178"/>
    <x v="82"/>
    <x v="38"/>
    <x v="3"/>
    <x v="0"/>
    <x v="3"/>
    <x v="26"/>
    <x v="35"/>
    <x v="0"/>
    <x v="3"/>
    <x v="3"/>
    <x v="180"/>
  </r>
  <r>
    <x v="197"/>
    <x v="53"/>
    <x v="8"/>
    <x v="8"/>
    <x v="65"/>
    <x v="1"/>
    <x v="6"/>
    <x v="1"/>
    <x v="1"/>
    <x v="1"/>
    <x v="153"/>
    <x v="0"/>
    <x v="0"/>
    <x v="0"/>
    <x v="0"/>
    <x v="1"/>
    <x v="153"/>
    <x v="0"/>
    <x v="115"/>
    <x v="6"/>
    <x v="197"/>
    <x v="53"/>
    <x v="8"/>
    <x v="8"/>
    <x v="65"/>
    <x v="1"/>
    <x v="6"/>
    <x v="1"/>
    <x v="1"/>
    <x v="173"/>
    <x v="0"/>
    <x v="0"/>
    <x v="1"/>
    <x v="0"/>
    <x v="0"/>
    <x v="0"/>
    <x v="0"/>
    <x v="0"/>
    <x v="0"/>
    <x v="0"/>
    <x v="0"/>
    <x v="0"/>
    <x v="0"/>
    <x v="0"/>
    <x v="0"/>
    <x v="1"/>
    <x v="1"/>
    <x v="0"/>
    <x v="1"/>
    <x v="0"/>
    <x v="0"/>
    <x v="1"/>
    <x v="0"/>
    <x v="179"/>
    <x v="83"/>
    <x v="67"/>
    <x v="3"/>
    <x v="0"/>
    <x v="18"/>
    <x v="26"/>
    <x v="51"/>
    <x v="0"/>
    <x v="2"/>
    <x v="2"/>
    <x v="181"/>
  </r>
  <r>
    <x v="198"/>
    <x v="8"/>
    <x v="104"/>
    <x v="51"/>
    <x v="7"/>
    <x v="0"/>
    <x v="3"/>
    <x v="3"/>
    <x v="1"/>
    <x v="1"/>
    <x v="154"/>
    <x v="0"/>
    <x v="0"/>
    <x v="0"/>
    <x v="0"/>
    <x v="0"/>
    <x v="154"/>
    <x v="0"/>
    <x v="36"/>
    <x v="12"/>
    <x v="198"/>
    <x v="8"/>
    <x v="104"/>
    <x v="51"/>
    <x v="7"/>
    <x v="0"/>
    <x v="3"/>
    <x v="3"/>
    <x v="1"/>
    <x v="174"/>
    <x v="0"/>
    <x v="0"/>
    <x v="0"/>
    <x v="0"/>
    <x v="0"/>
    <x v="0"/>
    <x v="0"/>
    <x v="0"/>
    <x v="0"/>
    <x v="0"/>
    <x v="0"/>
    <x v="1"/>
    <x v="0"/>
    <x v="0"/>
    <x v="0"/>
    <x v="1"/>
    <x v="0"/>
    <x v="0"/>
    <x v="0"/>
    <x v="0"/>
    <x v="0"/>
    <x v="0"/>
    <x v="0"/>
    <x v="180"/>
    <x v="84"/>
    <x v="68"/>
    <x v="37"/>
    <x v="0"/>
    <x v="2"/>
    <x v="37"/>
    <x v="2"/>
    <x v="0"/>
    <x v="8"/>
    <x v="8"/>
    <x v="182"/>
  </r>
  <r>
    <x v="199"/>
    <x v="54"/>
    <x v="8"/>
    <x v="8"/>
    <x v="3"/>
    <x v="5"/>
    <x v="1"/>
    <x v="1"/>
    <x v="3"/>
    <x v="3"/>
    <x v="155"/>
    <x v="0"/>
    <x v="0"/>
    <x v="0"/>
    <x v="0"/>
    <x v="0"/>
    <x v="155"/>
    <x v="46"/>
    <x v="12"/>
    <x v="8"/>
    <x v="199"/>
    <x v="54"/>
    <x v="8"/>
    <x v="8"/>
    <x v="3"/>
    <x v="5"/>
    <x v="1"/>
    <x v="1"/>
    <x v="3"/>
    <x v="175"/>
    <x v="0"/>
    <x v="0"/>
    <x v="1"/>
    <x v="0"/>
    <x v="0"/>
    <x v="0"/>
    <x v="0"/>
    <x v="0"/>
    <x v="0"/>
    <x v="0"/>
    <x v="0"/>
    <x v="0"/>
    <x v="1"/>
    <x v="0"/>
    <x v="0"/>
    <x v="0"/>
    <x v="0"/>
    <x v="1"/>
    <x v="1"/>
    <x v="0"/>
    <x v="9"/>
    <x v="0"/>
    <x v="1"/>
    <x v="13"/>
    <x v="85"/>
    <x v="69"/>
    <x v="2"/>
    <x v="0"/>
    <x v="5"/>
    <x v="2"/>
    <x v="25"/>
    <x v="1"/>
    <x v="8"/>
    <x v="8"/>
    <x v="13"/>
  </r>
  <r>
    <x v="200"/>
    <x v="55"/>
    <x v="105"/>
    <x v="52"/>
    <x v="67"/>
    <x v="2"/>
    <x v="1"/>
    <x v="5"/>
    <x v="1"/>
    <x v="1"/>
    <x v="156"/>
    <x v="0"/>
    <x v="0"/>
    <x v="0"/>
    <x v="0"/>
    <x v="3"/>
    <x v="156"/>
    <x v="0"/>
    <x v="64"/>
    <x v="7"/>
    <x v="200"/>
    <x v="55"/>
    <x v="105"/>
    <x v="52"/>
    <x v="67"/>
    <x v="2"/>
    <x v="1"/>
    <x v="5"/>
    <x v="1"/>
    <x v="176"/>
    <x v="0"/>
    <x v="0"/>
    <x v="1"/>
    <x v="0"/>
    <x v="0"/>
    <x v="0"/>
    <x v="0"/>
    <x v="0"/>
    <x v="0"/>
    <x v="0"/>
    <x v="0"/>
    <x v="0"/>
    <x v="0"/>
    <x v="0"/>
    <x v="0"/>
    <x v="0"/>
    <x v="0"/>
    <x v="0"/>
    <x v="0"/>
    <x v="0"/>
    <x v="0"/>
    <x v="0"/>
    <x v="0"/>
    <x v="181"/>
    <x v="86"/>
    <x v="60"/>
    <x v="1"/>
    <x v="0"/>
    <x v="1"/>
    <x v="2"/>
    <x v="11"/>
    <x v="0"/>
    <x v="33"/>
    <x v="33"/>
    <x v="183"/>
  </r>
  <r>
    <x v="201"/>
    <x v="24"/>
    <x v="106"/>
    <x v="8"/>
    <x v="36"/>
    <x v="0"/>
    <x v="1"/>
    <x v="1"/>
    <x v="3"/>
    <x v="3"/>
    <x v="157"/>
    <x v="0"/>
    <x v="0"/>
    <x v="0"/>
    <x v="0"/>
    <x v="3"/>
    <x v="157"/>
    <x v="0"/>
    <x v="7"/>
    <x v="6"/>
    <x v="201"/>
    <x v="24"/>
    <x v="106"/>
    <x v="8"/>
    <x v="36"/>
    <x v="0"/>
    <x v="1"/>
    <x v="1"/>
    <x v="3"/>
    <x v="177"/>
    <x v="0"/>
    <x v="0"/>
    <x v="1"/>
    <x v="1"/>
    <x v="0"/>
    <x v="0"/>
    <x v="0"/>
    <x v="0"/>
    <x v="0"/>
    <x v="0"/>
    <x v="0"/>
    <x v="0"/>
    <x v="0"/>
    <x v="0"/>
    <x v="1"/>
    <x v="0"/>
    <x v="0"/>
    <x v="0"/>
    <x v="0"/>
    <x v="1"/>
    <x v="0"/>
    <x v="0"/>
    <x v="1"/>
    <x v="182"/>
    <x v="87"/>
    <x v="70"/>
    <x v="38"/>
    <x v="0"/>
    <x v="0"/>
    <x v="2"/>
    <x v="3"/>
    <x v="0"/>
    <x v="47"/>
    <x v="47"/>
    <x v="184"/>
  </r>
  <r>
    <x v="202"/>
    <x v="24"/>
    <x v="107"/>
    <x v="8"/>
    <x v="7"/>
    <x v="0"/>
    <x v="1"/>
    <x v="1"/>
    <x v="3"/>
    <x v="3"/>
    <x v="158"/>
    <x v="0"/>
    <x v="0"/>
    <x v="0"/>
    <x v="0"/>
    <x v="3"/>
    <x v="158"/>
    <x v="0"/>
    <x v="4"/>
    <x v="6"/>
    <x v="202"/>
    <x v="24"/>
    <x v="107"/>
    <x v="8"/>
    <x v="7"/>
    <x v="0"/>
    <x v="1"/>
    <x v="1"/>
    <x v="3"/>
    <x v="178"/>
    <x v="0"/>
    <x v="0"/>
    <x v="1"/>
    <x v="1"/>
    <x v="0"/>
    <x v="0"/>
    <x v="0"/>
    <x v="0"/>
    <x v="0"/>
    <x v="0"/>
    <x v="0"/>
    <x v="0"/>
    <x v="0"/>
    <x v="0"/>
    <x v="0"/>
    <x v="0"/>
    <x v="0"/>
    <x v="0"/>
    <x v="0"/>
    <x v="1"/>
    <x v="0"/>
    <x v="0"/>
    <x v="1"/>
    <x v="183"/>
    <x v="87"/>
    <x v="70"/>
    <x v="39"/>
    <x v="0"/>
    <x v="0"/>
    <x v="2"/>
    <x v="3"/>
    <x v="0"/>
    <x v="11"/>
    <x v="11"/>
    <x v="185"/>
  </r>
  <r>
    <x v="203"/>
    <x v="24"/>
    <x v="8"/>
    <x v="8"/>
    <x v="7"/>
    <x v="0"/>
    <x v="1"/>
    <x v="1"/>
    <x v="3"/>
    <x v="3"/>
    <x v="142"/>
    <x v="0"/>
    <x v="0"/>
    <x v="0"/>
    <x v="0"/>
    <x v="3"/>
    <x v="142"/>
    <x v="0"/>
    <x v="77"/>
    <x v="6"/>
    <x v="203"/>
    <x v="24"/>
    <x v="8"/>
    <x v="8"/>
    <x v="7"/>
    <x v="0"/>
    <x v="1"/>
    <x v="1"/>
    <x v="3"/>
    <x v="179"/>
    <x v="1"/>
    <x v="0"/>
    <x v="1"/>
    <x v="1"/>
    <x v="0"/>
    <x v="0"/>
    <x v="0"/>
    <x v="0"/>
    <x v="0"/>
    <x v="0"/>
    <x v="0"/>
    <x v="0"/>
    <x v="0"/>
    <x v="0"/>
    <x v="0"/>
    <x v="0"/>
    <x v="0"/>
    <x v="0"/>
    <x v="0"/>
    <x v="0"/>
    <x v="0"/>
    <x v="0"/>
    <x v="2"/>
    <x v="184"/>
    <x v="87"/>
    <x v="70"/>
    <x v="39"/>
    <x v="0"/>
    <x v="0"/>
    <x v="2"/>
    <x v="3"/>
    <x v="0"/>
    <x v="32"/>
    <x v="32"/>
    <x v="186"/>
  </r>
  <r>
    <x v="204"/>
    <x v="2"/>
    <x v="8"/>
    <x v="8"/>
    <x v="68"/>
    <x v="4"/>
    <x v="1"/>
    <x v="2"/>
    <x v="1"/>
    <x v="1"/>
    <x v="8"/>
    <x v="0"/>
    <x v="0"/>
    <x v="0"/>
    <x v="0"/>
    <x v="1"/>
    <x v="8"/>
    <x v="0"/>
    <x v="13"/>
    <x v="6"/>
    <x v="204"/>
    <x v="2"/>
    <x v="8"/>
    <x v="8"/>
    <x v="68"/>
    <x v="4"/>
    <x v="1"/>
    <x v="2"/>
    <x v="1"/>
    <x v="8"/>
    <x v="1"/>
    <x v="0"/>
    <x v="1"/>
    <x v="1"/>
    <x v="0"/>
    <x v="0"/>
    <x v="0"/>
    <x v="0"/>
    <x v="0"/>
    <x v="0"/>
    <x v="0"/>
    <x v="0"/>
    <x v="0"/>
    <x v="0"/>
    <x v="0"/>
    <x v="1"/>
    <x v="0"/>
    <x v="0"/>
    <x v="0"/>
    <x v="0"/>
    <x v="0"/>
    <x v="0"/>
    <x v="2"/>
    <x v="185"/>
    <x v="88"/>
    <x v="71"/>
    <x v="13"/>
    <x v="0"/>
    <x v="0"/>
    <x v="38"/>
    <x v="57"/>
    <x v="0"/>
    <x v="2"/>
    <x v="2"/>
    <x v="187"/>
  </r>
  <r>
    <x v="205"/>
    <x v="56"/>
    <x v="8"/>
    <x v="8"/>
    <x v="18"/>
    <x v="1"/>
    <x v="1"/>
    <x v="1"/>
    <x v="1"/>
    <x v="1"/>
    <x v="159"/>
    <x v="0"/>
    <x v="0"/>
    <x v="0"/>
    <x v="0"/>
    <x v="1"/>
    <x v="159"/>
    <x v="0"/>
    <x v="87"/>
    <x v="6"/>
    <x v="205"/>
    <x v="56"/>
    <x v="8"/>
    <x v="8"/>
    <x v="18"/>
    <x v="1"/>
    <x v="1"/>
    <x v="1"/>
    <x v="1"/>
    <x v="180"/>
    <x v="0"/>
    <x v="0"/>
    <x v="1"/>
    <x v="0"/>
    <x v="0"/>
    <x v="0"/>
    <x v="0"/>
    <x v="0"/>
    <x v="0"/>
    <x v="0"/>
    <x v="0"/>
    <x v="0"/>
    <x v="0"/>
    <x v="0"/>
    <x v="0"/>
    <x v="0"/>
    <x v="0"/>
    <x v="0"/>
    <x v="1"/>
    <x v="0"/>
    <x v="0"/>
    <x v="0"/>
    <x v="0"/>
    <x v="186"/>
    <x v="89"/>
    <x v="16"/>
    <x v="15"/>
    <x v="0"/>
    <x v="19"/>
    <x v="32"/>
    <x v="58"/>
    <x v="0"/>
    <x v="57"/>
    <x v="56"/>
    <x v="188"/>
  </r>
  <r>
    <x v="206"/>
    <x v="41"/>
    <x v="108"/>
    <x v="53"/>
    <x v="22"/>
    <x v="1"/>
    <x v="1"/>
    <x v="1"/>
    <x v="1"/>
    <x v="1"/>
    <x v="160"/>
    <x v="0"/>
    <x v="0"/>
    <x v="0"/>
    <x v="0"/>
    <x v="1"/>
    <x v="160"/>
    <x v="0"/>
    <x v="42"/>
    <x v="6"/>
    <x v="206"/>
    <x v="41"/>
    <x v="108"/>
    <x v="53"/>
    <x v="22"/>
    <x v="1"/>
    <x v="1"/>
    <x v="1"/>
    <x v="1"/>
    <x v="181"/>
    <x v="0"/>
    <x v="0"/>
    <x v="1"/>
    <x v="0"/>
    <x v="0"/>
    <x v="0"/>
    <x v="0"/>
    <x v="0"/>
    <x v="0"/>
    <x v="0"/>
    <x v="0"/>
    <x v="0"/>
    <x v="0"/>
    <x v="0"/>
    <x v="0"/>
    <x v="0"/>
    <x v="0"/>
    <x v="0"/>
    <x v="1"/>
    <x v="0"/>
    <x v="0"/>
    <x v="3"/>
    <x v="0"/>
    <x v="187"/>
    <x v="90"/>
    <x v="72"/>
    <x v="40"/>
    <x v="0"/>
    <x v="18"/>
    <x v="39"/>
    <x v="59"/>
    <x v="0"/>
    <x v="58"/>
    <x v="9"/>
    <x v="189"/>
  </r>
  <r>
    <x v="207"/>
    <x v="41"/>
    <x v="109"/>
    <x v="54"/>
    <x v="18"/>
    <x v="1"/>
    <x v="1"/>
    <x v="1"/>
    <x v="1"/>
    <x v="1"/>
    <x v="160"/>
    <x v="0"/>
    <x v="0"/>
    <x v="0"/>
    <x v="0"/>
    <x v="1"/>
    <x v="160"/>
    <x v="0"/>
    <x v="116"/>
    <x v="6"/>
    <x v="207"/>
    <x v="41"/>
    <x v="109"/>
    <x v="54"/>
    <x v="18"/>
    <x v="1"/>
    <x v="1"/>
    <x v="1"/>
    <x v="1"/>
    <x v="181"/>
    <x v="0"/>
    <x v="0"/>
    <x v="1"/>
    <x v="0"/>
    <x v="0"/>
    <x v="0"/>
    <x v="0"/>
    <x v="0"/>
    <x v="0"/>
    <x v="0"/>
    <x v="0"/>
    <x v="0"/>
    <x v="0"/>
    <x v="0"/>
    <x v="0"/>
    <x v="0"/>
    <x v="0"/>
    <x v="0"/>
    <x v="1"/>
    <x v="0"/>
    <x v="0"/>
    <x v="4"/>
    <x v="0"/>
    <x v="188"/>
    <x v="90"/>
    <x v="72"/>
    <x v="40"/>
    <x v="0"/>
    <x v="18"/>
    <x v="40"/>
    <x v="60"/>
    <x v="0"/>
    <x v="59"/>
    <x v="9"/>
    <x v="190"/>
  </r>
  <r>
    <x v="208"/>
    <x v="41"/>
    <x v="110"/>
    <x v="55"/>
    <x v="69"/>
    <x v="2"/>
    <x v="1"/>
    <x v="1"/>
    <x v="1"/>
    <x v="1"/>
    <x v="161"/>
    <x v="39"/>
    <x v="17"/>
    <x v="47"/>
    <x v="1"/>
    <x v="2"/>
    <x v="161"/>
    <x v="0"/>
    <x v="117"/>
    <x v="6"/>
    <x v="208"/>
    <x v="41"/>
    <x v="110"/>
    <x v="55"/>
    <x v="69"/>
    <x v="2"/>
    <x v="1"/>
    <x v="1"/>
    <x v="1"/>
    <x v="182"/>
    <x v="0"/>
    <x v="0"/>
    <x v="1"/>
    <x v="0"/>
    <x v="0"/>
    <x v="0"/>
    <x v="0"/>
    <x v="0"/>
    <x v="0"/>
    <x v="0"/>
    <x v="0"/>
    <x v="0"/>
    <x v="0"/>
    <x v="0"/>
    <x v="0"/>
    <x v="0"/>
    <x v="0"/>
    <x v="0"/>
    <x v="0"/>
    <x v="0"/>
    <x v="0"/>
    <x v="0"/>
    <x v="0"/>
    <x v="189"/>
    <x v="90"/>
    <x v="72"/>
    <x v="40"/>
    <x v="0"/>
    <x v="3"/>
    <x v="17"/>
    <x v="61"/>
    <x v="0"/>
    <x v="60"/>
    <x v="9"/>
    <x v="191"/>
  </r>
  <r>
    <x v="209"/>
    <x v="41"/>
    <x v="111"/>
    <x v="56"/>
    <x v="70"/>
    <x v="1"/>
    <x v="1"/>
    <x v="1"/>
    <x v="1"/>
    <x v="1"/>
    <x v="162"/>
    <x v="0"/>
    <x v="0"/>
    <x v="0"/>
    <x v="0"/>
    <x v="1"/>
    <x v="162"/>
    <x v="0"/>
    <x v="118"/>
    <x v="6"/>
    <x v="209"/>
    <x v="41"/>
    <x v="111"/>
    <x v="56"/>
    <x v="70"/>
    <x v="1"/>
    <x v="1"/>
    <x v="1"/>
    <x v="1"/>
    <x v="183"/>
    <x v="0"/>
    <x v="0"/>
    <x v="1"/>
    <x v="0"/>
    <x v="0"/>
    <x v="0"/>
    <x v="0"/>
    <x v="0"/>
    <x v="0"/>
    <x v="0"/>
    <x v="0"/>
    <x v="0"/>
    <x v="0"/>
    <x v="0"/>
    <x v="0"/>
    <x v="0"/>
    <x v="0"/>
    <x v="0"/>
    <x v="1"/>
    <x v="0"/>
    <x v="0"/>
    <x v="0"/>
    <x v="0"/>
    <x v="190"/>
    <x v="90"/>
    <x v="72"/>
    <x v="41"/>
    <x v="0"/>
    <x v="18"/>
    <x v="39"/>
    <x v="59"/>
    <x v="0"/>
    <x v="61"/>
    <x v="9"/>
    <x v="192"/>
  </r>
  <r>
    <x v="210"/>
    <x v="2"/>
    <x v="8"/>
    <x v="8"/>
    <x v="40"/>
    <x v="3"/>
    <x v="1"/>
    <x v="2"/>
    <x v="1"/>
    <x v="1"/>
    <x v="163"/>
    <x v="40"/>
    <x v="26"/>
    <x v="48"/>
    <x v="1"/>
    <x v="1"/>
    <x v="163"/>
    <x v="0"/>
    <x v="119"/>
    <x v="19"/>
    <x v="210"/>
    <x v="2"/>
    <x v="8"/>
    <x v="8"/>
    <x v="40"/>
    <x v="3"/>
    <x v="1"/>
    <x v="2"/>
    <x v="1"/>
    <x v="184"/>
    <x v="0"/>
    <x v="0"/>
    <x v="1"/>
    <x v="1"/>
    <x v="0"/>
    <x v="0"/>
    <x v="0"/>
    <x v="0"/>
    <x v="0"/>
    <x v="0"/>
    <x v="0"/>
    <x v="0"/>
    <x v="0"/>
    <x v="0"/>
    <x v="0"/>
    <x v="0"/>
    <x v="0"/>
    <x v="0"/>
    <x v="1"/>
    <x v="0"/>
    <x v="0"/>
    <x v="0"/>
    <x v="1"/>
    <x v="191"/>
    <x v="91"/>
    <x v="73"/>
    <x v="9"/>
    <x v="0"/>
    <x v="0"/>
    <x v="2"/>
    <x v="3"/>
    <x v="0"/>
    <x v="1"/>
    <x v="1"/>
    <x v="193"/>
  </r>
  <r>
    <x v="211"/>
    <x v="57"/>
    <x v="112"/>
    <x v="57"/>
    <x v="1"/>
    <x v="0"/>
    <x v="1"/>
    <x v="1"/>
    <x v="1"/>
    <x v="1"/>
    <x v="32"/>
    <x v="0"/>
    <x v="0"/>
    <x v="0"/>
    <x v="0"/>
    <x v="3"/>
    <x v="32"/>
    <x v="0"/>
    <x v="57"/>
    <x v="9"/>
    <x v="211"/>
    <x v="57"/>
    <x v="112"/>
    <x v="57"/>
    <x v="1"/>
    <x v="0"/>
    <x v="1"/>
    <x v="1"/>
    <x v="1"/>
    <x v="34"/>
    <x v="0"/>
    <x v="0"/>
    <x v="0"/>
    <x v="1"/>
    <x v="0"/>
    <x v="0"/>
    <x v="1"/>
    <x v="0"/>
    <x v="0"/>
    <x v="0"/>
    <x v="0"/>
    <x v="0"/>
    <x v="0"/>
    <x v="0"/>
    <x v="0"/>
    <x v="1"/>
    <x v="0"/>
    <x v="0"/>
    <x v="0"/>
    <x v="0"/>
    <x v="0"/>
    <x v="0"/>
    <x v="2"/>
    <x v="89"/>
    <x v="92"/>
    <x v="74"/>
    <x v="42"/>
    <x v="0"/>
    <x v="0"/>
    <x v="2"/>
    <x v="3"/>
    <x v="0"/>
    <x v="1"/>
    <x v="1"/>
    <x v="194"/>
  </r>
  <r>
    <x v="212"/>
    <x v="58"/>
    <x v="113"/>
    <x v="58"/>
    <x v="7"/>
    <x v="0"/>
    <x v="1"/>
    <x v="1"/>
    <x v="1"/>
    <x v="1"/>
    <x v="145"/>
    <x v="0"/>
    <x v="0"/>
    <x v="0"/>
    <x v="0"/>
    <x v="0"/>
    <x v="145"/>
    <x v="0"/>
    <x v="64"/>
    <x v="12"/>
    <x v="212"/>
    <x v="58"/>
    <x v="113"/>
    <x v="58"/>
    <x v="7"/>
    <x v="0"/>
    <x v="1"/>
    <x v="1"/>
    <x v="1"/>
    <x v="165"/>
    <x v="0"/>
    <x v="0"/>
    <x v="1"/>
    <x v="0"/>
    <x v="0"/>
    <x v="0"/>
    <x v="0"/>
    <x v="0"/>
    <x v="0"/>
    <x v="0"/>
    <x v="0"/>
    <x v="0"/>
    <x v="0"/>
    <x v="0"/>
    <x v="0"/>
    <x v="0"/>
    <x v="0"/>
    <x v="0"/>
    <x v="0"/>
    <x v="0"/>
    <x v="0"/>
    <x v="0"/>
    <x v="2"/>
    <x v="192"/>
    <x v="93"/>
    <x v="75"/>
    <x v="43"/>
    <x v="0"/>
    <x v="20"/>
    <x v="2"/>
    <x v="62"/>
    <x v="0"/>
    <x v="62"/>
    <x v="57"/>
    <x v="195"/>
  </r>
  <r>
    <x v="213"/>
    <x v="59"/>
    <x v="8"/>
    <x v="8"/>
    <x v="3"/>
    <x v="5"/>
    <x v="1"/>
    <x v="1"/>
    <x v="1"/>
    <x v="1"/>
    <x v="164"/>
    <x v="0"/>
    <x v="0"/>
    <x v="0"/>
    <x v="0"/>
    <x v="3"/>
    <x v="164"/>
    <x v="47"/>
    <x v="104"/>
    <x v="6"/>
    <x v="213"/>
    <x v="59"/>
    <x v="8"/>
    <x v="8"/>
    <x v="3"/>
    <x v="5"/>
    <x v="1"/>
    <x v="1"/>
    <x v="1"/>
    <x v="185"/>
    <x v="0"/>
    <x v="0"/>
    <x v="1"/>
    <x v="0"/>
    <x v="0"/>
    <x v="0"/>
    <x v="0"/>
    <x v="0"/>
    <x v="0"/>
    <x v="0"/>
    <x v="0"/>
    <x v="0"/>
    <x v="1"/>
    <x v="0"/>
    <x v="0"/>
    <x v="0"/>
    <x v="0"/>
    <x v="1"/>
    <x v="1"/>
    <x v="0"/>
    <x v="1"/>
    <x v="0"/>
    <x v="1"/>
    <x v="193"/>
    <x v="94"/>
    <x v="39"/>
    <x v="11"/>
    <x v="0"/>
    <x v="5"/>
    <x v="25"/>
    <x v="34"/>
    <x v="1"/>
    <x v="2"/>
    <x v="2"/>
    <x v="196"/>
  </r>
  <r>
    <x v="214"/>
    <x v="59"/>
    <x v="8"/>
    <x v="8"/>
    <x v="3"/>
    <x v="5"/>
    <x v="1"/>
    <x v="1"/>
    <x v="1"/>
    <x v="1"/>
    <x v="31"/>
    <x v="0"/>
    <x v="0"/>
    <x v="0"/>
    <x v="0"/>
    <x v="0"/>
    <x v="31"/>
    <x v="33"/>
    <x v="67"/>
    <x v="6"/>
    <x v="214"/>
    <x v="59"/>
    <x v="8"/>
    <x v="8"/>
    <x v="3"/>
    <x v="5"/>
    <x v="1"/>
    <x v="1"/>
    <x v="1"/>
    <x v="186"/>
    <x v="0"/>
    <x v="0"/>
    <x v="1"/>
    <x v="0"/>
    <x v="0"/>
    <x v="0"/>
    <x v="0"/>
    <x v="0"/>
    <x v="0"/>
    <x v="0"/>
    <x v="0"/>
    <x v="0"/>
    <x v="1"/>
    <x v="0"/>
    <x v="0"/>
    <x v="0"/>
    <x v="0"/>
    <x v="1"/>
    <x v="1"/>
    <x v="0"/>
    <x v="1"/>
    <x v="0"/>
    <x v="1"/>
    <x v="194"/>
    <x v="94"/>
    <x v="39"/>
    <x v="11"/>
    <x v="0"/>
    <x v="5"/>
    <x v="0"/>
    <x v="63"/>
    <x v="1"/>
    <x v="2"/>
    <x v="2"/>
    <x v="89"/>
  </r>
  <r>
    <x v="215"/>
    <x v="60"/>
    <x v="114"/>
    <x v="8"/>
    <x v="1"/>
    <x v="0"/>
    <x v="1"/>
    <x v="1"/>
    <x v="1"/>
    <x v="1"/>
    <x v="165"/>
    <x v="0"/>
    <x v="0"/>
    <x v="0"/>
    <x v="0"/>
    <x v="1"/>
    <x v="165"/>
    <x v="0"/>
    <x v="0"/>
    <x v="12"/>
    <x v="215"/>
    <x v="60"/>
    <x v="114"/>
    <x v="8"/>
    <x v="1"/>
    <x v="0"/>
    <x v="1"/>
    <x v="1"/>
    <x v="1"/>
    <x v="187"/>
    <x v="0"/>
    <x v="0"/>
    <x v="1"/>
    <x v="0"/>
    <x v="0"/>
    <x v="0"/>
    <x v="0"/>
    <x v="0"/>
    <x v="0"/>
    <x v="0"/>
    <x v="0"/>
    <x v="0"/>
    <x v="0"/>
    <x v="0"/>
    <x v="0"/>
    <x v="0"/>
    <x v="0"/>
    <x v="0"/>
    <x v="1"/>
    <x v="0"/>
    <x v="0"/>
    <x v="0"/>
    <x v="0"/>
    <x v="195"/>
    <x v="95"/>
    <x v="60"/>
    <x v="0"/>
    <x v="0"/>
    <x v="5"/>
    <x v="24"/>
    <x v="33"/>
    <x v="1"/>
    <x v="2"/>
    <x v="2"/>
    <x v="197"/>
  </r>
  <r>
    <x v="216"/>
    <x v="61"/>
    <x v="8"/>
    <x v="8"/>
    <x v="7"/>
    <x v="5"/>
    <x v="1"/>
    <x v="1"/>
    <x v="1"/>
    <x v="1"/>
    <x v="166"/>
    <x v="41"/>
    <x v="27"/>
    <x v="49"/>
    <x v="1"/>
    <x v="1"/>
    <x v="166"/>
    <x v="0"/>
    <x v="120"/>
    <x v="6"/>
    <x v="216"/>
    <x v="61"/>
    <x v="8"/>
    <x v="8"/>
    <x v="7"/>
    <x v="5"/>
    <x v="1"/>
    <x v="1"/>
    <x v="1"/>
    <x v="188"/>
    <x v="0"/>
    <x v="1"/>
    <x v="1"/>
    <x v="1"/>
    <x v="0"/>
    <x v="0"/>
    <x v="0"/>
    <x v="0"/>
    <x v="0"/>
    <x v="0"/>
    <x v="0"/>
    <x v="0"/>
    <x v="0"/>
    <x v="0"/>
    <x v="0"/>
    <x v="0"/>
    <x v="0"/>
    <x v="0"/>
    <x v="0"/>
    <x v="0"/>
    <x v="0"/>
    <x v="0"/>
    <x v="1"/>
    <x v="196"/>
    <x v="96"/>
    <x v="76"/>
    <x v="11"/>
    <x v="0"/>
    <x v="5"/>
    <x v="41"/>
    <x v="64"/>
    <x v="1"/>
    <x v="3"/>
    <x v="3"/>
    <x v="198"/>
  </r>
  <r>
    <x v="217"/>
    <x v="61"/>
    <x v="8"/>
    <x v="8"/>
    <x v="7"/>
    <x v="3"/>
    <x v="1"/>
    <x v="1"/>
    <x v="1"/>
    <x v="1"/>
    <x v="167"/>
    <x v="42"/>
    <x v="28"/>
    <x v="50"/>
    <x v="1"/>
    <x v="3"/>
    <x v="167"/>
    <x v="0"/>
    <x v="121"/>
    <x v="6"/>
    <x v="217"/>
    <x v="61"/>
    <x v="8"/>
    <x v="8"/>
    <x v="7"/>
    <x v="3"/>
    <x v="1"/>
    <x v="1"/>
    <x v="1"/>
    <x v="189"/>
    <x v="0"/>
    <x v="0"/>
    <x v="1"/>
    <x v="1"/>
    <x v="0"/>
    <x v="1"/>
    <x v="0"/>
    <x v="0"/>
    <x v="0"/>
    <x v="0"/>
    <x v="0"/>
    <x v="0"/>
    <x v="0"/>
    <x v="0"/>
    <x v="0"/>
    <x v="1"/>
    <x v="0"/>
    <x v="0"/>
    <x v="1"/>
    <x v="0"/>
    <x v="0"/>
    <x v="1"/>
    <x v="2"/>
    <x v="197"/>
    <x v="96"/>
    <x v="76"/>
    <x v="11"/>
    <x v="0"/>
    <x v="5"/>
    <x v="41"/>
    <x v="64"/>
    <x v="1"/>
    <x v="3"/>
    <x v="3"/>
    <x v="199"/>
  </r>
  <r>
    <x v="218"/>
    <x v="61"/>
    <x v="8"/>
    <x v="8"/>
    <x v="71"/>
    <x v="5"/>
    <x v="1"/>
    <x v="1"/>
    <x v="1"/>
    <x v="1"/>
    <x v="168"/>
    <x v="43"/>
    <x v="27"/>
    <x v="51"/>
    <x v="1"/>
    <x v="1"/>
    <x v="168"/>
    <x v="0"/>
    <x v="122"/>
    <x v="6"/>
    <x v="218"/>
    <x v="61"/>
    <x v="8"/>
    <x v="8"/>
    <x v="71"/>
    <x v="5"/>
    <x v="1"/>
    <x v="1"/>
    <x v="1"/>
    <x v="190"/>
    <x v="0"/>
    <x v="0"/>
    <x v="1"/>
    <x v="0"/>
    <x v="0"/>
    <x v="0"/>
    <x v="0"/>
    <x v="0"/>
    <x v="0"/>
    <x v="0"/>
    <x v="0"/>
    <x v="0"/>
    <x v="1"/>
    <x v="0"/>
    <x v="0"/>
    <x v="0"/>
    <x v="0"/>
    <x v="1"/>
    <x v="0"/>
    <x v="0"/>
    <x v="0"/>
    <x v="0"/>
    <x v="1"/>
    <x v="198"/>
    <x v="96"/>
    <x v="76"/>
    <x v="11"/>
    <x v="0"/>
    <x v="5"/>
    <x v="11"/>
    <x v="65"/>
    <x v="1"/>
    <x v="3"/>
    <x v="3"/>
    <x v="200"/>
  </r>
  <r>
    <x v="219"/>
    <x v="61"/>
    <x v="8"/>
    <x v="8"/>
    <x v="72"/>
    <x v="4"/>
    <x v="1"/>
    <x v="1"/>
    <x v="1"/>
    <x v="1"/>
    <x v="169"/>
    <x v="44"/>
    <x v="27"/>
    <x v="52"/>
    <x v="1"/>
    <x v="1"/>
    <x v="169"/>
    <x v="0"/>
    <x v="123"/>
    <x v="6"/>
    <x v="219"/>
    <x v="61"/>
    <x v="8"/>
    <x v="8"/>
    <x v="72"/>
    <x v="4"/>
    <x v="1"/>
    <x v="1"/>
    <x v="1"/>
    <x v="191"/>
    <x v="0"/>
    <x v="0"/>
    <x v="1"/>
    <x v="1"/>
    <x v="0"/>
    <x v="0"/>
    <x v="0"/>
    <x v="0"/>
    <x v="0"/>
    <x v="0"/>
    <x v="0"/>
    <x v="0"/>
    <x v="0"/>
    <x v="0"/>
    <x v="0"/>
    <x v="1"/>
    <x v="1"/>
    <x v="0"/>
    <x v="0"/>
    <x v="0"/>
    <x v="0"/>
    <x v="0"/>
    <x v="1"/>
    <x v="199"/>
    <x v="96"/>
    <x v="76"/>
    <x v="11"/>
    <x v="0"/>
    <x v="5"/>
    <x v="41"/>
    <x v="64"/>
    <x v="1"/>
    <x v="3"/>
    <x v="3"/>
    <x v="201"/>
  </r>
  <r>
    <x v="220"/>
    <x v="41"/>
    <x v="8"/>
    <x v="8"/>
    <x v="73"/>
    <x v="4"/>
    <x v="1"/>
    <x v="1"/>
    <x v="1"/>
    <x v="1"/>
    <x v="170"/>
    <x v="45"/>
    <x v="29"/>
    <x v="53"/>
    <x v="1"/>
    <x v="1"/>
    <x v="170"/>
    <x v="0"/>
    <x v="124"/>
    <x v="6"/>
    <x v="220"/>
    <x v="41"/>
    <x v="8"/>
    <x v="8"/>
    <x v="73"/>
    <x v="4"/>
    <x v="1"/>
    <x v="1"/>
    <x v="1"/>
    <x v="192"/>
    <x v="1"/>
    <x v="0"/>
    <x v="1"/>
    <x v="1"/>
    <x v="0"/>
    <x v="0"/>
    <x v="0"/>
    <x v="0"/>
    <x v="0"/>
    <x v="0"/>
    <x v="0"/>
    <x v="0"/>
    <x v="0"/>
    <x v="0"/>
    <x v="0"/>
    <x v="1"/>
    <x v="0"/>
    <x v="0"/>
    <x v="0"/>
    <x v="0"/>
    <x v="0"/>
    <x v="0"/>
    <x v="2"/>
    <x v="200"/>
    <x v="96"/>
    <x v="76"/>
    <x v="11"/>
    <x v="0"/>
    <x v="5"/>
    <x v="41"/>
    <x v="64"/>
    <x v="1"/>
    <x v="3"/>
    <x v="3"/>
    <x v="202"/>
  </r>
  <r>
    <x v="221"/>
    <x v="62"/>
    <x v="8"/>
    <x v="8"/>
    <x v="74"/>
    <x v="5"/>
    <x v="1"/>
    <x v="1"/>
    <x v="1"/>
    <x v="1"/>
    <x v="171"/>
    <x v="0"/>
    <x v="0"/>
    <x v="0"/>
    <x v="0"/>
    <x v="2"/>
    <x v="171"/>
    <x v="48"/>
    <x v="70"/>
    <x v="23"/>
    <x v="221"/>
    <x v="62"/>
    <x v="8"/>
    <x v="8"/>
    <x v="74"/>
    <x v="5"/>
    <x v="1"/>
    <x v="1"/>
    <x v="1"/>
    <x v="193"/>
    <x v="0"/>
    <x v="0"/>
    <x v="1"/>
    <x v="0"/>
    <x v="0"/>
    <x v="0"/>
    <x v="0"/>
    <x v="0"/>
    <x v="0"/>
    <x v="0"/>
    <x v="0"/>
    <x v="0"/>
    <x v="0"/>
    <x v="0"/>
    <x v="0"/>
    <x v="0"/>
    <x v="0"/>
    <x v="0"/>
    <x v="1"/>
    <x v="0"/>
    <x v="2"/>
    <x v="0"/>
    <x v="0"/>
    <x v="201"/>
    <x v="97"/>
    <x v="77"/>
    <x v="44"/>
    <x v="0"/>
    <x v="14"/>
    <x v="2"/>
    <x v="36"/>
    <x v="0"/>
    <x v="10"/>
    <x v="10"/>
    <x v="203"/>
  </r>
  <r>
    <x v="222"/>
    <x v="63"/>
    <x v="8"/>
    <x v="8"/>
    <x v="75"/>
    <x v="4"/>
    <x v="1"/>
    <x v="1"/>
    <x v="1"/>
    <x v="1"/>
    <x v="172"/>
    <x v="0"/>
    <x v="0"/>
    <x v="0"/>
    <x v="0"/>
    <x v="3"/>
    <x v="172"/>
    <x v="0"/>
    <x v="125"/>
    <x v="11"/>
    <x v="222"/>
    <x v="63"/>
    <x v="8"/>
    <x v="8"/>
    <x v="75"/>
    <x v="4"/>
    <x v="1"/>
    <x v="1"/>
    <x v="1"/>
    <x v="194"/>
    <x v="0"/>
    <x v="0"/>
    <x v="1"/>
    <x v="1"/>
    <x v="0"/>
    <x v="0"/>
    <x v="0"/>
    <x v="0"/>
    <x v="0"/>
    <x v="0"/>
    <x v="0"/>
    <x v="0"/>
    <x v="0"/>
    <x v="0"/>
    <x v="0"/>
    <x v="0"/>
    <x v="0"/>
    <x v="0"/>
    <x v="1"/>
    <x v="0"/>
    <x v="0"/>
    <x v="0"/>
    <x v="1"/>
    <x v="202"/>
    <x v="98"/>
    <x v="78"/>
    <x v="1"/>
    <x v="0"/>
    <x v="3"/>
    <x v="42"/>
    <x v="66"/>
    <x v="0"/>
    <x v="11"/>
    <x v="11"/>
    <x v="204"/>
  </r>
  <r>
    <x v="223"/>
    <x v="64"/>
    <x v="8"/>
    <x v="8"/>
    <x v="6"/>
    <x v="5"/>
    <x v="1"/>
    <x v="1"/>
    <x v="5"/>
    <x v="4"/>
    <x v="116"/>
    <x v="0"/>
    <x v="0"/>
    <x v="0"/>
    <x v="0"/>
    <x v="3"/>
    <x v="116"/>
    <x v="0"/>
    <x v="12"/>
    <x v="8"/>
    <x v="223"/>
    <x v="64"/>
    <x v="8"/>
    <x v="8"/>
    <x v="6"/>
    <x v="5"/>
    <x v="1"/>
    <x v="1"/>
    <x v="5"/>
    <x v="195"/>
    <x v="0"/>
    <x v="0"/>
    <x v="0"/>
    <x v="0"/>
    <x v="0"/>
    <x v="0"/>
    <x v="0"/>
    <x v="0"/>
    <x v="0"/>
    <x v="0"/>
    <x v="0"/>
    <x v="0"/>
    <x v="1"/>
    <x v="0"/>
    <x v="0"/>
    <x v="0"/>
    <x v="0"/>
    <x v="1"/>
    <x v="0"/>
    <x v="0"/>
    <x v="0"/>
    <x v="0"/>
    <x v="1"/>
    <x v="203"/>
    <x v="99"/>
    <x v="79"/>
    <x v="9"/>
    <x v="0"/>
    <x v="0"/>
    <x v="2"/>
    <x v="3"/>
    <x v="0"/>
    <x v="63"/>
    <x v="58"/>
    <x v="13"/>
  </r>
  <r>
    <x v="224"/>
    <x v="65"/>
    <x v="8"/>
    <x v="8"/>
    <x v="65"/>
    <x v="9"/>
    <x v="8"/>
    <x v="3"/>
    <x v="3"/>
    <x v="3"/>
    <x v="130"/>
    <x v="0"/>
    <x v="0"/>
    <x v="0"/>
    <x v="0"/>
    <x v="3"/>
    <x v="130"/>
    <x v="0"/>
    <x v="126"/>
    <x v="6"/>
    <x v="224"/>
    <x v="65"/>
    <x v="8"/>
    <x v="8"/>
    <x v="65"/>
    <x v="9"/>
    <x v="8"/>
    <x v="3"/>
    <x v="3"/>
    <x v="196"/>
    <x v="0"/>
    <x v="0"/>
    <x v="1"/>
    <x v="0"/>
    <x v="0"/>
    <x v="0"/>
    <x v="0"/>
    <x v="0"/>
    <x v="0"/>
    <x v="0"/>
    <x v="0"/>
    <x v="0"/>
    <x v="0"/>
    <x v="0"/>
    <x v="0"/>
    <x v="1"/>
    <x v="0"/>
    <x v="0"/>
    <x v="0"/>
    <x v="0"/>
    <x v="0"/>
    <x v="0"/>
    <x v="0"/>
    <x v="204"/>
    <x v="100"/>
    <x v="80"/>
    <x v="13"/>
    <x v="0"/>
    <x v="21"/>
    <x v="22"/>
    <x v="67"/>
    <x v="0"/>
    <x v="64"/>
    <x v="59"/>
    <x v="205"/>
  </r>
  <r>
    <x v="225"/>
    <x v="4"/>
    <x v="115"/>
    <x v="59"/>
    <x v="76"/>
    <x v="4"/>
    <x v="1"/>
    <x v="1"/>
    <x v="1"/>
    <x v="1"/>
    <x v="2"/>
    <x v="0"/>
    <x v="0"/>
    <x v="0"/>
    <x v="0"/>
    <x v="1"/>
    <x v="2"/>
    <x v="0"/>
    <x v="37"/>
    <x v="6"/>
    <x v="225"/>
    <x v="4"/>
    <x v="115"/>
    <x v="59"/>
    <x v="76"/>
    <x v="4"/>
    <x v="1"/>
    <x v="1"/>
    <x v="1"/>
    <x v="2"/>
    <x v="0"/>
    <x v="0"/>
    <x v="1"/>
    <x v="0"/>
    <x v="0"/>
    <x v="0"/>
    <x v="0"/>
    <x v="0"/>
    <x v="0"/>
    <x v="0"/>
    <x v="0"/>
    <x v="0"/>
    <x v="0"/>
    <x v="0"/>
    <x v="0"/>
    <x v="0"/>
    <x v="0"/>
    <x v="0"/>
    <x v="0"/>
    <x v="0"/>
    <x v="0"/>
    <x v="0"/>
    <x v="0"/>
    <x v="45"/>
    <x v="100"/>
    <x v="81"/>
    <x v="13"/>
    <x v="0"/>
    <x v="21"/>
    <x v="22"/>
    <x v="67"/>
    <x v="0"/>
    <x v="8"/>
    <x v="8"/>
    <x v="206"/>
  </r>
  <r>
    <x v="226"/>
    <x v="65"/>
    <x v="8"/>
    <x v="8"/>
    <x v="7"/>
    <x v="0"/>
    <x v="8"/>
    <x v="3"/>
    <x v="3"/>
    <x v="3"/>
    <x v="173"/>
    <x v="0"/>
    <x v="0"/>
    <x v="0"/>
    <x v="0"/>
    <x v="0"/>
    <x v="173"/>
    <x v="0"/>
    <x v="127"/>
    <x v="6"/>
    <x v="226"/>
    <x v="65"/>
    <x v="8"/>
    <x v="8"/>
    <x v="7"/>
    <x v="0"/>
    <x v="8"/>
    <x v="3"/>
    <x v="3"/>
    <x v="197"/>
    <x v="0"/>
    <x v="0"/>
    <x v="0"/>
    <x v="0"/>
    <x v="0"/>
    <x v="0"/>
    <x v="0"/>
    <x v="0"/>
    <x v="0"/>
    <x v="0"/>
    <x v="0"/>
    <x v="0"/>
    <x v="0"/>
    <x v="0"/>
    <x v="0"/>
    <x v="1"/>
    <x v="0"/>
    <x v="0"/>
    <x v="0"/>
    <x v="1"/>
    <x v="0"/>
    <x v="0"/>
    <x v="0"/>
    <x v="136"/>
    <x v="100"/>
    <x v="82"/>
    <x v="11"/>
    <x v="0"/>
    <x v="21"/>
    <x v="22"/>
    <x v="67"/>
    <x v="0"/>
    <x v="2"/>
    <x v="2"/>
    <x v="207"/>
  </r>
  <r>
    <x v="227"/>
    <x v="66"/>
    <x v="8"/>
    <x v="8"/>
    <x v="7"/>
    <x v="0"/>
    <x v="1"/>
    <x v="1"/>
    <x v="1"/>
    <x v="1"/>
    <x v="174"/>
    <x v="0"/>
    <x v="0"/>
    <x v="0"/>
    <x v="0"/>
    <x v="3"/>
    <x v="174"/>
    <x v="0"/>
    <x v="57"/>
    <x v="6"/>
    <x v="227"/>
    <x v="66"/>
    <x v="8"/>
    <x v="8"/>
    <x v="7"/>
    <x v="0"/>
    <x v="1"/>
    <x v="1"/>
    <x v="1"/>
    <x v="198"/>
    <x v="0"/>
    <x v="1"/>
    <x v="1"/>
    <x v="1"/>
    <x v="0"/>
    <x v="0"/>
    <x v="0"/>
    <x v="0"/>
    <x v="0"/>
    <x v="0"/>
    <x v="0"/>
    <x v="0"/>
    <x v="0"/>
    <x v="0"/>
    <x v="0"/>
    <x v="0"/>
    <x v="0"/>
    <x v="0"/>
    <x v="0"/>
    <x v="0"/>
    <x v="0"/>
    <x v="0"/>
    <x v="1"/>
    <x v="205"/>
    <x v="101"/>
    <x v="83"/>
    <x v="45"/>
    <x v="0"/>
    <x v="3"/>
    <x v="24"/>
    <x v="68"/>
    <x v="0"/>
    <x v="65"/>
    <x v="60"/>
    <x v="208"/>
  </r>
  <r>
    <x v="228"/>
    <x v="67"/>
    <x v="116"/>
    <x v="8"/>
    <x v="7"/>
    <x v="0"/>
    <x v="1"/>
    <x v="1"/>
    <x v="1"/>
    <x v="1"/>
    <x v="175"/>
    <x v="0"/>
    <x v="0"/>
    <x v="0"/>
    <x v="0"/>
    <x v="3"/>
    <x v="175"/>
    <x v="0"/>
    <x v="1"/>
    <x v="6"/>
    <x v="228"/>
    <x v="67"/>
    <x v="116"/>
    <x v="8"/>
    <x v="7"/>
    <x v="0"/>
    <x v="1"/>
    <x v="1"/>
    <x v="1"/>
    <x v="199"/>
    <x v="1"/>
    <x v="1"/>
    <x v="1"/>
    <x v="1"/>
    <x v="0"/>
    <x v="1"/>
    <x v="0"/>
    <x v="0"/>
    <x v="0"/>
    <x v="0"/>
    <x v="0"/>
    <x v="0"/>
    <x v="0"/>
    <x v="0"/>
    <x v="0"/>
    <x v="1"/>
    <x v="0"/>
    <x v="0"/>
    <x v="1"/>
    <x v="0"/>
    <x v="0"/>
    <x v="3"/>
    <x v="2"/>
    <x v="206"/>
    <x v="102"/>
    <x v="84"/>
    <x v="11"/>
    <x v="0"/>
    <x v="5"/>
    <x v="2"/>
    <x v="25"/>
    <x v="1"/>
    <x v="8"/>
    <x v="8"/>
    <x v="209"/>
  </r>
  <r>
    <x v="229"/>
    <x v="2"/>
    <x v="8"/>
    <x v="8"/>
    <x v="32"/>
    <x v="7"/>
    <x v="1"/>
    <x v="2"/>
    <x v="1"/>
    <x v="1"/>
    <x v="176"/>
    <x v="0"/>
    <x v="0"/>
    <x v="0"/>
    <x v="0"/>
    <x v="1"/>
    <x v="176"/>
    <x v="0"/>
    <x v="128"/>
    <x v="6"/>
    <x v="229"/>
    <x v="2"/>
    <x v="8"/>
    <x v="8"/>
    <x v="32"/>
    <x v="7"/>
    <x v="1"/>
    <x v="2"/>
    <x v="1"/>
    <x v="200"/>
    <x v="0"/>
    <x v="0"/>
    <x v="1"/>
    <x v="0"/>
    <x v="0"/>
    <x v="0"/>
    <x v="0"/>
    <x v="0"/>
    <x v="0"/>
    <x v="0"/>
    <x v="0"/>
    <x v="0"/>
    <x v="0"/>
    <x v="0"/>
    <x v="0"/>
    <x v="0"/>
    <x v="0"/>
    <x v="0"/>
    <x v="1"/>
    <x v="0"/>
    <x v="0"/>
    <x v="6"/>
    <x v="0"/>
    <x v="207"/>
    <x v="103"/>
    <x v="85"/>
    <x v="13"/>
    <x v="0"/>
    <x v="3"/>
    <x v="19"/>
    <x v="26"/>
    <x v="0"/>
    <x v="66"/>
    <x v="61"/>
    <x v="210"/>
  </r>
  <r>
    <x v="230"/>
    <x v="4"/>
    <x v="8"/>
    <x v="8"/>
    <x v="77"/>
    <x v="3"/>
    <x v="1"/>
    <x v="1"/>
    <x v="1"/>
    <x v="1"/>
    <x v="177"/>
    <x v="17"/>
    <x v="6"/>
    <x v="54"/>
    <x v="1"/>
    <x v="3"/>
    <x v="177"/>
    <x v="0"/>
    <x v="59"/>
    <x v="10"/>
    <x v="230"/>
    <x v="4"/>
    <x v="8"/>
    <x v="8"/>
    <x v="77"/>
    <x v="3"/>
    <x v="1"/>
    <x v="1"/>
    <x v="1"/>
    <x v="201"/>
    <x v="0"/>
    <x v="0"/>
    <x v="1"/>
    <x v="0"/>
    <x v="0"/>
    <x v="0"/>
    <x v="0"/>
    <x v="0"/>
    <x v="0"/>
    <x v="0"/>
    <x v="0"/>
    <x v="0"/>
    <x v="0"/>
    <x v="0"/>
    <x v="0"/>
    <x v="0"/>
    <x v="0"/>
    <x v="0"/>
    <x v="1"/>
    <x v="0"/>
    <x v="0"/>
    <x v="0"/>
    <x v="0"/>
    <x v="208"/>
    <x v="104"/>
    <x v="0"/>
    <x v="1"/>
    <x v="0"/>
    <x v="0"/>
    <x v="2"/>
    <x v="3"/>
    <x v="0"/>
    <x v="67"/>
    <x v="62"/>
    <x v="211"/>
  </r>
  <r>
    <x v="231"/>
    <x v="68"/>
    <x v="8"/>
    <x v="60"/>
    <x v="40"/>
    <x v="3"/>
    <x v="1"/>
    <x v="1"/>
    <x v="1"/>
    <x v="1"/>
    <x v="178"/>
    <x v="0"/>
    <x v="0"/>
    <x v="0"/>
    <x v="0"/>
    <x v="1"/>
    <x v="178"/>
    <x v="0"/>
    <x v="129"/>
    <x v="6"/>
    <x v="231"/>
    <x v="68"/>
    <x v="8"/>
    <x v="60"/>
    <x v="40"/>
    <x v="3"/>
    <x v="1"/>
    <x v="1"/>
    <x v="1"/>
    <x v="202"/>
    <x v="0"/>
    <x v="0"/>
    <x v="1"/>
    <x v="1"/>
    <x v="0"/>
    <x v="0"/>
    <x v="0"/>
    <x v="0"/>
    <x v="0"/>
    <x v="0"/>
    <x v="0"/>
    <x v="0"/>
    <x v="0"/>
    <x v="0"/>
    <x v="0"/>
    <x v="0"/>
    <x v="0"/>
    <x v="0"/>
    <x v="1"/>
    <x v="0"/>
    <x v="0"/>
    <x v="7"/>
    <x v="1"/>
    <x v="209"/>
    <x v="105"/>
    <x v="40"/>
    <x v="14"/>
    <x v="0"/>
    <x v="5"/>
    <x v="43"/>
    <x v="69"/>
    <x v="1"/>
    <x v="1"/>
    <x v="1"/>
    <x v="212"/>
  </r>
  <r>
    <x v="232"/>
    <x v="68"/>
    <x v="8"/>
    <x v="61"/>
    <x v="7"/>
    <x v="0"/>
    <x v="1"/>
    <x v="1"/>
    <x v="1"/>
    <x v="1"/>
    <x v="179"/>
    <x v="0"/>
    <x v="0"/>
    <x v="0"/>
    <x v="0"/>
    <x v="1"/>
    <x v="179"/>
    <x v="0"/>
    <x v="130"/>
    <x v="6"/>
    <x v="232"/>
    <x v="68"/>
    <x v="8"/>
    <x v="61"/>
    <x v="7"/>
    <x v="0"/>
    <x v="1"/>
    <x v="1"/>
    <x v="1"/>
    <x v="203"/>
    <x v="0"/>
    <x v="0"/>
    <x v="1"/>
    <x v="1"/>
    <x v="0"/>
    <x v="0"/>
    <x v="1"/>
    <x v="0"/>
    <x v="0"/>
    <x v="0"/>
    <x v="0"/>
    <x v="0"/>
    <x v="0"/>
    <x v="0"/>
    <x v="0"/>
    <x v="0"/>
    <x v="0"/>
    <x v="0"/>
    <x v="0"/>
    <x v="0"/>
    <x v="0"/>
    <x v="0"/>
    <x v="3"/>
    <x v="210"/>
    <x v="105"/>
    <x v="40"/>
    <x v="14"/>
    <x v="0"/>
    <x v="5"/>
    <x v="43"/>
    <x v="69"/>
    <x v="1"/>
    <x v="1"/>
    <x v="1"/>
    <x v="213"/>
  </r>
  <r>
    <x v="233"/>
    <x v="2"/>
    <x v="8"/>
    <x v="8"/>
    <x v="3"/>
    <x v="11"/>
    <x v="1"/>
    <x v="2"/>
    <x v="1"/>
    <x v="1"/>
    <x v="180"/>
    <x v="0"/>
    <x v="0"/>
    <x v="0"/>
    <x v="0"/>
    <x v="3"/>
    <x v="180"/>
    <x v="0"/>
    <x v="131"/>
    <x v="6"/>
    <x v="233"/>
    <x v="2"/>
    <x v="8"/>
    <x v="8"/>
    <x v="3"/>
    <x v="11"/>
    <x v="1"/>
    <x v="2"/>
    <x v="1"/>
    <x v="204"/>
    <x v="0"/>
    <x v="0"/>
    <x v="1"/>
    <x v="0"/>
    <x v="0"/>
    <x v="0"/>
    <x v="0"/>
    <x v="0"/>
    <x v="0"/>
    <x v="0"/>
    <x v="0"/>
    <x v="0"/>
    <x v="1"/>
    <x v="0"/>
    <x v="0"/>
    <x v="0"/>
    <x v="0"/>
    <x v="1"/>
    <x v="0"/>
    <x v="0"/>
    <x v="0"/>
    <x v="0"/>
    <x v="1"/>
    <x v="211"/>
    <x v="105"/>
    <x v="40"/>
    <x v="14"/>
    <x v="0"/>
    <x v="5"/>
    <x v="43"/>
    <x v="69"/>
    <x v="1"/>
    <x v="2"/>
    <x v="2"/>
    <x v="214"/>
  </r>
  <r>
    <x v="234"/>
    <x v="12"/>
    <x v="16"/>
    <x v="17"/>
    <x v="7"/>
    <x v="0"/>
    <x v="5"/>
    <x v="3"/>
    <x v="1"/>
    <x v="1"/>
    <x v="181"/>
    <x v="0"/>
    <x v="0"/>
    <x v="0"/>
    <x v="0"/>
    <x v="2"/>
    <x v="181"/>
    <x v="0"/>
    <x v="36"/>
    <x v="9"/>
    <x v="234"/>
    <x v="12"/>
    <x v="16"/>
    <x v="17"/>
    <x v="7"/>
    <x v="0"/>
    <x v="5"/>
    <x v="3"/>
    <x v="1"/>
    <x v="205"/>
    <x v="1"/>
    <x v="0"/>
    <x v="1"/>
    <x v="1"/>
    <x v="0"/>
    <x v="0"/>
    <x v="0"/>
    <x v="0"/>
    <x v="0"/>
    <x v="0"/>
    <x v="0"/>
    <x v="0"/>
    <x v="0"/>
    <x v="0"/>
    <x v="0"/>
    <x v="1"/>
    <x v="0"/>
    <x v="0"/>
    <x v="0"/>
    <x v="0"/>
    <x v="0"/>
    <x v="0"/>
    <x v="2"/>
    <x v="212"/>
    <x v="106"/>
    <x v="47"/>
    <x v="18"/>
    <x v="0"/>
    <x v="3"/>
    <x v="24"/>
    <x v="68"/>
    <x v="0"/>
    <x v="8"/>
    <x v="8"/>
    <x v="215"/>
  </r>
  <r>
    <x v="235"/>
    <x v="69"/>
    <x v="117"/>
    <x v="8"/>
    <x v="14"/>
    <x v="3"/>
    <x v="1"/>
    <x v="1"/>
    <x v="1"/>
    <x v="1"/>
    <x v="182"/>
    <x v="0"/>
    <x v="0"/>
    <x v="0"/>
    <x v="0"/>
    <x v="3"/>
    <x v="182"/>
    <x v="0"/>
    <x v="36"/>
    <x v="6"/>
    <x v="235"/>
    <x v="69"/>
    <x v="117"/>
    <x v="8"/>
    <x v="14"/>
    <x v="3"/>
    <x v="1"/>
    <x v="1"/>
    <x v="1"/>
    <x v="206"/>
    <x v="1"/>
    <x v="1"/>
    <x v="1"/>
    <x v="1"/>
    <x v="0"/>
    <x v="0"/>
    <x v="0"/>
    <x v="0"/>
    <x v="0"/>
    <x v="0"/>
    <x v="0"/>
    <x v="0"/>
    <x v="0"/>
    <x v="0"/>
    <x v="0"/>
    <x v="0"/>
    <x v="0"/>
    <x v="0"/>
    <x v="1"/>
    <x v="0"/>
    <x v="0"/>
    <x v="0"/>
    <x v="3"/>
    <x v="213"/>
    <x v="107"/>
    <x v="86"/>
    <x v="17"/>
    <x v="0"/>
    <x v="5"/>
    <x v="25"/>
    <x v="34"/>
    <x v="1"/>
    <x v="68"/>
    <x v="63"/>
    <x v="216"/>
  </r>
  <r>
    <x v="236"/>
    <x v="69"/>
    <x v="118"/>
    <x v="8"/>
    <x v="2"/>
    <x v="0"/>
    <x v="1"/>
    <x v="1"/>
    <x v="1"/>
    <x v="1"/>
    <x v="73"/>
    <x v="0"/>
    <x v="0"/>
    <x v="0"/>
    <x v="0"/>
    <x v="2"/>
    <x v="73"/>
    <x v="0"/>
    <x v="132"/>
    <x v="6"/>
    <x v="236"/>
    <x v="69"/>
    <x v="118"/>
    <x v="8"/>
    <x v="2"/>
    <x v="0"/>
    <x v="1"/>
    <x v="1"/>
    <x v="1"/>
    <x v="77"/>
    <x v="1"/>
    <x v="1"/>
    <x v="1"/>
    <x v="1"/>
    <x v="0"/>
    <x v="0"/>
    <x v="0"/>
    <x v="0"/>
    <x v="0"/>
    <x v="0"/>
    <x v="0"/>
    <x v="0"/>
    <x v="0"/>
    <x v="0"/>
    <x v="0"/>
    <x v="1"/>
    <x v="0"/>
    <x v="0"/>
    <x v="1"/>
    <x v="0"/>
    <x v="0"/>
    <x v="0"/>
    <x v="2"/>
    <x v="214"/>
    <x v="107"/>
    <x v="86"/>
    <x v="17"/>
    <x v="0"/>
    <x v="5"/>
    <x v="3"/>
    <x v="70"/>
    <x v="1"/>
    <x v="69"/>
    <x v="64"/>
    <x v="217"/>
  </r>
  <r>
    <x v="237"/>
    <x v="70"/>
    <x v="8"/>
    <x v="8"/>
    <x v="78"/>
    <x v="5"/>
    <x v="1"/>
    <x v="1"/>
    <x v="2"/>
    <x v="2"/>
    <x v="183"/>
    <x v="0"/>
    <x v="0"/>
    <x v="0"/>
    <x v="0"/>
    <x v="0"/>
    <x v="183"/>
    <x v="49"/>
    <x v="12"/>
    <x v="8"/>
    <x v="237"/>
    <x v="70"/>
    <x v="8"/>
    <x v="8"/>
    <x v="78"/>
    <x v="5"/>
    <x v="1"/>
    <x v="1"/>
    <x v="2"/>
    <x v="207"/>
    <x v="0"/>
    <x v="0"/>
    <x v="1"/>
    <x v="0"/>
    <x v="0"/>
    <x v="0"/>
    <x v="0"/>
    <x v="0"/>
    <x v="0"/>
    <x v="0"/>
    <x v="0"/>
    <x v="0"/>
    <x v="0"/>
    <x v="0"/>
    <x v="0"/>
    <x v="0"/>
    <x v="0"/>
    <x v="0"/>
    <x v="1"/>
    <x v="0"/>
    <x v="2"/>
    <x v="0"/>
    <x v="0"/>
    <x v="13"/>
    <x v="108"/>
    <x v="87"/>
    <x v="46"/>
    <x v="0"/>
    <x v="0"/>
    <x v="2"/>
    <x v="3"/>
    <x v="0"/>
    <x v="8"/>
    <x v="8"/>
    <x v="13"/>
  </r>
  <r>
    <x v="238"/>
    <x v="2"/>
    <x v="8"/>
    <x v="8"/>
    <x v="79"/>
    <x v="9"/>
    <x v="3"/>
    <x v="2"/>
    <x v="1"/>
    <x v="1"/>
    <x v="138"/>
    <x v="0"/>
    <x v="0"/>
    <x v="0"/>
    <x v="0"/>
    <x v="1"/>
    <x v="138"/>
    <x v="0"/>
    <x v="133"/>
    <x v="6"/>
    <x v="238"/>
    <x v="2"/>
    <x v="8"/>
    <x v="8"/>
    <x v="79"/>
    <x v="9"/>
    <x v="3"/>
    <x v="2"/>
    <x v="1"/>
    <x v="158"/>
    <x v="1"/>
    <x v="1"/>
    <x v="0"/>
    <x v="0"/>
    <x v="0"/>
    <x v="0"/>
    <x v="0"/>
    <x v="0"/>
    <x v="0"/>
    <x v="0"/>
    <x v="0"/>
    <x v="0"/>
    <x v="0"/>
    <x v="0"/>
    <x v="0"/>
    <x v="0"/>
    <x v="0"/>
    <x v="0"/>
    <x v="0"/>
    <x v="0"/>
    <x v="0"/>
    <x v="0"/>
    <x v="1"/>
    <x v="215"/>
    <x v="109"/>
    <x v="60"/>
    <x v="0"/>
    <x v="0"/>
    <x v="5"/>
    <x v="22"/>
    <x v="30"/>
    <x v="1"/>
    <x v="43"/>
    <x v="43"/>
    <x v="218"/>
  </r>
  <r>
    <x v="239"/>
    <x v="65"/>
    <x v="8"/>
    <x v="8"/>
    <x v="7"/>
    <x v="0"/>
    <x v="8"/>
    <x v="3"/>
    <x v="3"/>
    <x v="3"/>
    <x v="184"/>
    <x v="46"/>
    <x v="30"/>
    <x v="55"/>
    <x v="1"/>
    <x v="0"/>
    <x v="184"/>
    <x v="0"/>
    <x v="134"/>
    <x v="7"/>
    <x v="239"/>
    <x v="65"/>
    <x v="8"/>
    <x v="8"/>
    <x v="7"/>
    <x v="0"/>
    <x v="8"/>
    <x v="3"/>
    <x v="3"/>
    <x v="208"/>
    <x v="0"/>
    <x v="0"/>
    <x v="0"/>
    <x v="1"/>
    <x v="0"/>
    <x v="0"/>
    <x v="0"/>
    <x v="0"/>
    <x v="0"/>
    <x v="0"/>
    <x v="0"/>
    <x v="0"/>
    <x v="0"/>
    <x v="0"/>
    <x v="0"/>
    <x v="1"/>
    <x v="0"/>
    <x v="0"/>
    <x v="0"/>
    <x v="0"/>
    <x v="0"/>
    <x v="0"/>
    <x v="1"/>
    <x v="216"/>
    <x v="110"/>
    <x v="35"/>
    <x v="13"/>
    <x v="0"/>
    <x v="0"/>
    <x v="0"/>
    <x v="0"/>
    <x v="0"/>
    <x v="29"/>
    <x v="29"/>
    <x v="219"/>
  </r>
  <r>
    <x v="240"/>
    <x v="4"/>
    <x v="8"/>
    <x v="8"/>
    <x v="36"/>
    <x v="0"/>
    <x v="1"/>
    <x v="1"/>
    <x v="3"/>
    <x v="3"/>
    <x v="185"/>
    <x v="47"/>
    <x v="31"/>
    <x v="56"/>
    <x v="1"/>
    <x v="3"/>
    <x v="185"/>
    <x v="0"/>
    <x v="135"/>
    <x v="7"/>
    <x v="240"/>
    <x v="4"/>
    <x v="8"/>
    <x v="8"/>
    <x v="36"/>
    <x v="0"/>
    <x v="1"/>
    <x v="1"/>
    <x v="3"/>
    <x v="209"/>
    <x v="0"/>
    <x v="0"/>
    <x v="0"/>
    <x v="1"/>
    <x v="0"/>
    <x v="0"/>
    <x v="0"/>
    <x v="0"/>
    <x v="0"/>
    <x v="0"/>
    <x v="0"/>
    <x v="0"/>
    <x v="0"/>
    <x v="0"/>
    <x v="1"/>
    <x v="0"/>
    <x v="0"/>
    <x v="0"/>
    <x v="0"/>
    <x v="0"/>
    <x v="0"/>
    <x v="0"/>
    <x v="1"/>
    <x v="217"/>
    <x v="110"/>
    <x v="35"/>
    <x v="13"/>
    <x v="0"/>
    <x v="0"/>
    <x v="0"/>
    <x v="0"/>
    <x v="0"/>
    <x v="1"/>
    <x v="1"/>
    <x v="220"/>
  </r>
  <r>
    <x v="241"/>
    <x v="4"/>
    <x v="8"/>
    <x v="8"/>
    <x v="7"/>
    <x v="0"/>
    <x v="1"/>
    <x v="1"/>
    <x v="3"/>
    <x v="3"/>
    <x v="186"/>
    <x v="48"/>
    <x v="32"/>
    <x v="57"/>
    <x v="1"/>
    <x v="0"/>
    <x v="186"/>
    <x v="0"/>
    <x v="28"/>
    <x v="7"/>
    <x v="241"/>
    <x v="4"/>
    <x v="8"/>
    <x v="8"/>
    <x v="7"/>
    <x v="0"/>
    <x v="1"/>
    <x v="1"/>
    <x v="3"/>
    <x v="210"/>
    <x v="0"/>
    <x v="0"/>
    <x v="1"/>
    <x v="1"/>
    <x v="0"/>
    <x v="0"/>
    <x v="0"/>
    <x v="0"/>
    <x v="0"/>
    <x v="0"/>
    <x v="0"/>
    <x v="0"/>
    <x v="0"/>
    <x v="0"/>
    <x v="0"/>
    <x v="1"/>
    <x v="0"/>
    <x v="0"/>
    <x v="0"/>
    <x v="0"/>
    <x v="0"/>
    <x v="0"/>
    <x v="1"/>
    <x v="218"/>
    <x v="110"/>
    <x v="54"/>
    <x v="11"/>
    <x v="0"/>
    <x v="0"/>
    <x v="0"/>
    <x v="0"/>
    <x v="0"/>
    <x v="1"/>
    <x v="1"/>
    <x v="221"/>
  </r>
  <r>
    <x v="242"/>
    <x v="71"/>
    <x v="8"/>
    <x v="8"/>
    <x v="7"/>
    <x v="3"/>
    <x v="1"/>
    <x v="1"/>
    <x v="1"/>
    <x v="1"/>
    <x v="110"/>
    <x v="49"/>
    <x v="17"/>
    <x v="58"/>
    <x v="1"/>
    <x v="3"/>
    <x v="110"/>
    <x v="0"/>
    <x v="36"/>
    <x v="6"/>
    <x v="242"/>
    <x v="71"/>
    <x v="8"/>
    <x v="8"/>
    <x v="7"/>
    <x v="3"/>
    <x v="1"/>
    <x v="1"/>
    <x v="1"/>
    <x v="211"/>
    <x v="1"/>
    <x v="0"/>
    <x v="1"/>
    <x v="1"/>
    <x v="0"/>
    <x v="0"/>
    <x v="0"/>
    <x v="0"/>
    <x v="0"/>
    <x v="0"/>
    <x v="0"/>
    <x v="0"/>
    <x v="0"/>
    <x v="0"/>
    <x v="0"/>
    <x v="1"/>
    <x v="0"/>
    <x v="0"/>
    <x v="1"/>
    <x v="0"/>
    <x v="0"/>
    <x v="0"/>
    <x v="2"/>
    <x v="219"/>
    <x v="111"/>
    <x v="13"/>
    <x v="13"/>
    <x v="0"/>
    <x v="3"/>
    <x v="26"/>
    <x v="35"/>
    <x v="0"/>
    <x v="44"/>
    <x v="44"/>
    <x v="222"/>
  </r>
  <r>
    <x v="243"/>
    <x v="72"/>
    <x v="8"/>
    <x v="62"/>
    <x v="14"/>
    <x v="3"/>
    <x v="1"/>
    <x v="4"/>
    <x v="1"/>
    <x v="1"/>
    <x v="187"/>
    <x v="0"/>
    <x v="0"/>
    <x v="0"/>
    <x v="0"/>
    <x v="0"/>
    <x v="187"/>
    <x v="0"/>
    <x v="93"/>
    <x v="6"/>
    <x v="243"/>
    <x v="72"/>
    <x v="8"/>
    <x v="62"/>
    <x v="14"/>
    <x v="3"/>
    <x v="1"/>
    <x v="4"/>
    <x v="1"/>
    <x v="212"/>
    <x v="1"/>
    <x v="1"/>
    <x v="1"/>
    <x v="1"/>
    <x v="0"/>
    <x v="0"/>
    <x v="0"/>
    <x v="0"/>
    <x v="0"/>
    <x v="0"/>
    <x v="0"/>
    <x v="0"/>
    <x v="0"/>
    <x v="0"/>
    <x v="0"/>
    <x v="1"/>
    <x v="0"/>
    <x v="0"/>
    <x v="1"/>
    <x v="0"/>
    <x v="0"/>
    <x v="1"/>
    <x v="2"/>
    <x v="9"/>
    <x v="111"/>
    <x v="88"/>
    <x v="13"/>
    <x v="0"/>
    <x v="3"/>
    <x v="26"/>
    <x v="35"/>
    <x v="0"/>
    <x v="1"/>
    <x v="1"/>
    <x v="223"/>
  </r>
  <r>
    <x v="244"/>
    <x v="71"/>
    <x v="119"/>
    <x v="63"/>
    <x v="7"/>
    <x v="3"/>
    <x v="1"/>
    <x v="1"/>
    <x v="1"/>
    <x v="1"/>
    <x v="31"/>
    <x v="0"/>
    <x v="0"/>
    <x v="0"/>
    <x v="0"/>
    <x v="0"/>
    <x v="31"/>
    <x v="0"/>
    <x v="0"/>
    <x v="6"/>
    <x v="244"/>
    <x v="71"/>
    <x v="119"/>
    <x v="63"/>
    <x v="7"/>
    <x v="3"/>
    <x v="1"/>
    <x v="1"/>
    <x v="1"/>
    <x v="186"/>
    <x v="1"/>
    <x v="1"/>
    <x v="1"/>
    <x v="1"/>
    <x v="0"/>
    <x v="0"/>
    <x v="0"/>
    <x v="0"/>
    <x v="0"/>
    <x v="0"/>
    <x v="0"/>
    <x v="0"/>
    <x v="0"/>
    <x v="0"/>
    <x v="0"/>
    <x v="0"/>
    <x v="0"/>
    <x v="0"/>
    <x v="1"/>
    <x v="0"/>
    <x v="0"/>
    <x v="1"/>
    <x v="2"/>
    <x v="102"/>
    <x v="111"/>
    <x v="88"/>
    <x v="13"/>
    <x v="0"/>
    <x v="3"/>
    <x v="26"/>
    <x v="35"/>
    <x v="0"/>
    <x v="5"/>
    <x v="5"/>
    <x v="224"/>
  </r>
  <r>
    <x v="245"/>
    <x v="72"/>
    <x v="120"/>
    <x v="8"/>
    <x v="7"/>
    <x v="0"/>
    <x v="1"/>
    <x v="4"/>
    <x v="1"/>
    <x v="1"/>
    <x v="188"/>
    <x v="0"/>
    <x v="0"/>
    <x v="0"/>
    <x v="0"/>
    <x v="0"/>
    <x v="188"/>
    <x v="0"/>
    <x v="37"/>
    <x v="6"/>
    <x v="245"/>
    <x v="72"/>
    <x v="120"/>
    <x v="8"/>
    <x v="7"/>
    <x v="0"/>
    <x v="1"/>
    <x v="4"/>
    <x v="1"/>
    <x v="213"/>
    <x v="1"/>
    <x v="1"/>
    <x v="1"/>
    <x v="1"/>
    <x v="0"/>
    <x v="0"/>
    <x v="1"/>
    <x v="0"/>
    <x v="0"/>
    <x v="0"/>
    <x v="0"/>
    <x v="0"/>
    <x v="0"/>
    <x v="0"/>
    <x v="0"/>
    <x v="1"/>
    <x v="0"/>
    <x v="0"/>
    <x v="0"/>
    <x v="0"/>
    <x v="0"/>
    <x v="0"/>
    <x v="3"/>
    <x v="87"/>
    <x v="111"/>
    <x v="89"/>
    <x v="3"/>
    <x v="0"/>
    <x v="3"/>
    <x v="26"/>
    <x v="35"/>
    <x v="0"/>
    <x v="1"/>
    <x v="1"/>
    <x v="225"/>
  </r>
  <r>
    <x v="246"/>
    <x v="73"/>
    <x v="121"/>
    <x v="8"/>
    <x v="7"/>
    <x v="0"/>
    <x v="1"/>
    <x v="1"/>
    <x v="1"/>
    <x v="1"/>
    <x v="189"/>
    <x v="0"/>
    <x v="0"/>
    <x v="0"/>
    <x v="0"/>
    <x v="3"/>
    <x v="189"/>
    <x v="0"/>
    <x v="67"/>
    <x v="6"/>
    <x v="246"/>
    <x v="73"/>
    <x v="121"/>
    <x v="8"/>
    <x v="7"/>
    <x v="0"/>
    <x v="1"/>
    <x v="1"/>
    <x v="1"/>
    <x v="214"/>
    <x v="1"/>
    <x v="0"/>
    <x v="1"/>
    <x v="1"/>
    <x v="0"/>
    <x v="0"/>
    <x v="0"/>
    <x v="0"/>
    <x v="0"/>
    <x v="0"/>
    <x v="0"/>
    <x v="0"/>
    <x v="0"/>
    <x v="0"/>
    <x v="0"/>
    <x v="1"/>
    <x v="0"/>
    <x v="0"/>
    <x v="1"/>
    <x v="0"/>
    <x v="0"/>
    <x v="1"/>
    <x v="2"/>
    <x v="220"/>
    <x v="111"/>
    <x v="89"/>
    <x v="3"/>
    <x v="0"/>
    <x v="3"/>
    <x v="26"/>
    <x v="35"/>
    <x v="0"/>
    <x v="26"/>
    <x v="26"/>
    <x v="226"/>
  </r>
  <r>
    <x v="247"/>
    <x v="71"/>
    <x v="8"/>
    <x v="64"/>
    <x v="80"/>
    <x v="0"/>
    <x v="1"/>
    <x v="1"/>
    <x v="1"/>
    <x v="1"/>
    <x v="9"/>
    <x v="0"/>
    <x v="0"/>
    <x v="0"/>
    <x v="0"/>
    <x v="0"/>
    <x v="9"/>
    <x v="0"/>
    <x v="136"/>
    <x v="6"/>
    <x v="247"/>
    <x v="71"/>
    <x v="8"/>
    <x v="64"/>
    <x v="80"/>
    <x v="0"/>
    <x v="1"/>
    <x v="1"/>
    <x v="1"/>
    <x v="143"/>
    <x v="1"/>
    <x v="1"/>
    <x v="1"/>
    <x v="1"/>
    <x v="0"/>
    <x v="0"/>
    <x v="0"/>
    <x v="0"/>
    <x v="0"/>
    <x v="0"/>
    <x v="0"/>
    <x v="0"/>
    <x v="0"/>
    <x v="0"/>
    <x v="0"/>
    <x v="1"/>
    <x v="0"/>
    <x v="0"/>
    <x v="1"/>
    <x v="0"/>
    <x v="0"/>
    <x v="4"/>
    <x v="2"/>
    <x v="221"/>
    <x v="111"/>
    <x v="86"/>
    <x v="18"/>
    <x v="0"/>
    <x v="3"/>
    <x v="26"/>
    <x v="35"/>
    <x v="0"/>
    <x v="41"/>
    <x v="41"/>
    <x v="227"/>
  </r>
  <r>
    <x v="248"/>
    <x v="26"/>
    <x v="8"/>
    <x v="8"/>
    <x v="7"/>
    <x v="0"/>
    <x v="1"/>
    <x v="1"/>
    <x v="3"/>
    <x v="3"/>
    <x v="190"/>
    <x v="0"/>
    <x v="0"/>
    <x v="0"/>
    <x v="0"/>
    <x v="3"/>
    <x v="190"/>
    <x v="0"/>
    <x v="111"/>
    <x v="24"/>
    <x v="248"/>
    <x v="26"/>
    <x v="8"/>
    <x v="8"/>
    <x v="7"/>
    <x v="0"/>
    <x v="1"/>
    <x v="1"/>
    <x v="3"/>
    <x v="215"/>
    <x v="0"/>
    <x v="0"/>
    <x v="0"/>
    <x v="0"/>
    <x v="0"/>
    <x v="0"/>
    <x v="0"/>
    <x v="0"/>
    <x v="0"/>
    <x v="0"/>
    <x v="0"/>
    <x v="1"/>
    <x v="0"/>
    <x v="0"/>
    <x v="0"/>
    <x v="0"/>
    <x v="0"/>
    <x v="0"/>
    <x v="0"/>
    <x v="0"/>
    <x v="0"/>
    <x v="0"/>
    <x v="0"/>
    <x v="222"/>
    <x v="112"/>
    <x v="90"/>
    <x v="47"/>
    <x v="0"/>
    <x v="3"/>
    <x v="9"/>
    <x v="46"/>
    <x v="0"/>
    <x v="54"/>
    <x v="53"/>
    <x v="228"/>
  </r>
  <r>
    <x v="249"/>
    <x v="26"/>
    <x v="8"/>
    <x v="8"/>
    <x v="7"/>
    <x v="0"/>
    <x v="1"/>
    <x v="1"/>
    <x v="2"/>
    <x v="2"/>
    <x v="191"/>
    <x v="0"/>
    <x v="0"/>
    <x v="0"/>
    <x v="0"/>
    <x v="3"/>
    <x v="191"/>
    <x v="0"/>
    <x v="66"/>
    <x v="9"/>
    <x v="249"/>
    <x v="26"/>
    <x v="8"/>
    <x v="8"/>
    <x v="7"/>
    <x v="0"/>
    <x v="1"/>
    <x v="1"/>
    <x v="2"/>
    <x v="216"/>
    <x v="0"/>
    <x v="1"/>
    <x v="1"/>
    <x v="1"/>
    <x v="0"/>
    <x v="0"/>
    <x v="0"/>
    <x v="0"/>
    <x v="0"/>
    <x v="0"/>
    <x v="0"/>
    <x v="0"/>
    <x v="0"/>
    <x v="0"/>
    <x v="0"/>
    <x v="0"/>
    <x v="0"/>
    <x v="0"/>
    <x v="0"/>
    <x v="0"/>
    <x v="0"/>
    <x v="0"/>
    <x v="1"/>
    <x v="223"/>
    <x v="112"/>
    <x v="90"/>
    <x v="47"/>
    <x v="0"/>
    <x v="3"/>
    <x v="9"/>
    <x v="46"/>
    <x v="0"/>
    <x v="54"/>
    <x v="53"/>
    <x v="229"/>
  </r>
  <r>
    <x v="250"/>
    <x v="2"/>
    <x v="8"/>
    <x v="8"/>
    <x v="1"/>
    <x v="2"/>
    <x v="1"/>
    <x v="2"/>
    <x v="3"/>
    <x v="3"/>
    <x v="145"/>
    <x v="0"/>
    <x v="0"/>
    <x v="0"/>
    <x v="0"/>
    <x v="0"/>
    <x v="145"/>
    <x v="0"/>
    <x v="36"/>
    <x v="12"/>
    <x v="250"/>
    <x v="2"/>
    <x v="8"/>
    <x v="8"/>
    <x v="1"/>
    <x v="2"/>
    <x v="1"/>
    <x v="2"/>
    <x v="3"/>
    <x v="217"/>
    <x v="0"/>
    <x v="0"/>
    <x v="0"/>
    <x v="0"/>
    <x v="0"/>
    <x v="0"/>
    <x v="0"/>
    <x v="0"/>
    <x v="0"/>
    <x v="0"/>
    <x v="0"/>
    <x v="0"/>
    <x v="0"/>
    <x v="0"/>
    <x v="0"/>
    <x v="0"/>
    <x v="0"/>
    <x v="0"/>
    <x v="1"/>
    <x v="0"/>
    <x v="0"/>
    <x v="0"/>
    <x v="0"/>
    <x v="224"/>
    <x v="112"/>
    <x v="6"/>
    <x v="7"/>
    <x v="1"/>
    <x v="4"/>
    <x v="4"/>
    <x v="5"/>
    <x v="0"/>
    <x v="54"/>
    <x v="53"/>
    <x v="230"/>
  </r>
  <r>
    <x v="251"/>
    <x v="45"/>
    <x v="8"/>
    <x v="8"/>
    <x v="81"/>
    <x v="5"/>
    <x v="1"/>
    <x v="1"/>
    <x v="2"/>
    <x v="2"/>
    <x v="192"/>
    <x v="50"/>
    <x v="33"/>
    <x v="59"/>
    <x v="1"/>
    <x v="0"/>
    <x v="192"/>
    <x v="50"/>
    <x v="12"/>
    <x v="8"/>
    <x v="251"/>
    <x v="45"/>
    <x v="8"/>
    <x v="8"/>
    <x v="81"/>
    <x v="5"/>
    <x v="1"/>
    <x v="1"/>
    <x v="2"/>
    <x v="218"/>
    <x v="0"/>
    <x v="0"/>
    <x v="1"/>
    <x v="0"/>
    <x v="0"/>
    <x v="0"/>
    <x v="0"/>
    <x v="0"/>
    <x v="0"/>
    <x v="0"/>
    <x v="0"/>
    <x v="0"/>
    <x v="0"/>
    <x v="0"/>
    <x v="0"/>
    <x v="0"/>
    <x v="0"/>
    <x v="1"/>
    <x v="0"/>
    <x v="0"/>
    <x v="6"/>
    <x v="0"/>
    <x v="0"/>
    <x v="225"/>
    <x v="113"/>
    <x v="91"/>
    <x v="6"/>
    <x v="0"/>
    <x v="3"/>
    <x v="19"/>
    <x v="26"/>
    <x v="0"/>
    <x v="47"/>
    <x v="47"/>
    <x v="13"/>
  </r>
  <r>
    <x v="252"/>
    <x v="74"/>
    <x v="122"/>
    <x v="8"/>
    <x v="11"/>
    <x v="2"/>
    <x v="1"/>
    <x v="1"/>
    <x v="2"/>
    <x v="2"/>
    <x v="193"/>
    <x v="0"/>
    <x v="0"/>
    <x v="0"/>
    <x v="0"/>
    <x v="2"/>
    <x v="193"/>
    <x v="51"/>
    <x v="12"/>
    <x v="8"/>
    <x v="252"/>
    <x v="74"/>
    <x v="122"/>
    <x v="8"/>
    <x v="11"/>
    <x v="2"/>
    <x v="1"/>
    <x v="1"/>
    <x v="2"/>
    <x v="219"/>
    <x v="0"/>
    <x v="0"/>
    <x v="0"/>
    <x v="0"/>
    <x v="1"/>
    <x v="0"/>
    <x v="0"/>
    <x v="0"/>
    <x v="0"/>
    <x v="0"/>
    <x v="0"/>
    <x v="0"/>
    <x v="1"/>
    <x v="0"/>
    <x v="0"/>
    <x v="0"/>
    <x v="0"/>
    <x v="1"/>
    <x v="1"/>
    <x v="0"/>
    <x v="1"/>
    <x v="0"/>
    <x v="1"/>
    <x v="226"/>
    <x v="114"/>
    <x v="92"/>
    <x v="12"/>
    <x v="0"/>
    <x v="0"/>
    <x v="2"/>
    <x v="3"/>
    <x v="0"/>
    <x v="70"/>
    <x v="65"/>
    <x v="13"/>
  </r>
  <r>
    <x v="24"/>
    <x v="2"/>
    <x v="8"/>
    <x v="8"/>
    <x v="7"/>
    <x v="0"/>
    <x v="1"/>
    <x v="2"/>
    <x v="1"/>
    <x v="1"/>
    <x v="194"/>
    <x v="0"/>
    <x v="0"/>
    <x v="0"/>
    <x v="0"/>
    <x v="3"/>
    <x v="194"/>
    <x v="0"/>
    <x v="21"/>
    <x v="6"/>
    <x v="24"/>
    <x v="2"/>
    <x v="8"/>
    <x v="8"/>
    <x v="7"/>
    <x v="0"/>
    <x v="1"/>
    <x v="2"/>
    <x v="1"/>
    <x v="220"/>
    <x v="1"/>
    <x v="1"/>
    <x v="1"/>
    <x v="1"/>
    <x v="0"/>
    <x v="0"/>
    <x v="1"/>
    <x v="0"/>
    <x v="0"/>
    <x v="0"/>
    <x v="0"/>
    <x v="0"/>
    <x v="0"/>
    <x v="0"/>
    <x v="0"/>
    <x v="1"/>
    <x v="0"/>
    <x v="0"/>
    <x v="1"/>
    <x v="0"/>
    <x v="0"/>
    <x v="0"/>
    <x v="3"/>
    <x v="227"/>
    <x v="115"/>
    <x v="22"/>
    <x v="11"/>
    <x v="0"/>
    <x v="5"/>
    <x v="22"/>
    <x v="30"/>
    <x v="1"/>
    <x v="11"/>
    <x v="11"/>
    <x v="231"/>
  </r>
  <r>
    <x v="253"/>
    <x v="2"/>
    <x v="8"/>
    <x v="8"/>
    <x v="18"/>
    <x v="1"/>
    <x v="1"/>
    <x v="2"/>
    <x v="1"/>
    <x v="1"/>
    <x v="195"/>
    <x v="0"/>
    <x v="0"/>
    <x v="0"/>
    <x v="0"/>
    <x v="1"/>
    <x v="195"/>
    <x v="0"/>
    <x v="38"/>
    <x v="6"/>
    <x v="253"/>
    <x v="2"/>
    <x v="8"/>
    <x v="8"/>
    <x v="18"/>
    <x v="1"/>
    <x v="1"/>
    <x v="2"/>
    <x v="1"/>
    <x v="221"/>
    <x v="0"/>
    <x v="0"/>
    <x v="1"/>
    <x v="0"/>
    <x v="0"/>
    <x v="0"/>
    <x v="0"/>
    <x v="0"/>
    <x v="0"/>
    <x v="0"/>
    <x v="0"/>
    <x v="0"/>
    <x v="0"/>
    <x v="0"/>
    <x v="0"/>
    <x v="0"/>
    <x v="0"/>
    <x v="0"/>
    <x v="0"/>
    <x v="0"/>
    <x v="0"/>
    <x v="0"/>
    <x v="0"/>
    <x v="150"/>
    <x v="116"/>
    <x v="16"/>
    <x v="16"/>
    <x v="0"/>
    <x v="0"/>
    <x v="42"/>
    <x v="71"/>
    <x v="0"/>
    <x v="29"/>
    <x v="29"/>
    <x v="232"/>
  </r>
  <r>
    <x v="254"/>
    <x v="2"/>
    <x v="8"/>
    <x v="8"/>
    <x v="7"/>
    <x v="0"/>
    <x v="1"/>
    <x v="2"/>
    <x v="1"/>
    <x v="1"/>
    <x v="196"/>
    <x v="0"/>
    <x v="0"/>
    <x v="0"/>
    <x v="0"/>
    <x v="3"/>
    <x v="196"/>
    <x v="0"/>
    <x v="36"/>
    <x v="25"/>
    <x v="254"/>
    <x v="2"/>
    <x v="8"/>
    <x v="8"/>
    <x v="7"/>
    <x v="0"/>
    <x v="1"/>
    <x v="2"/>
    <x v="1"/>
    <x v="222"/>
    <x v="0"/>
    <x v="0"/>
    <x v="1"/>
    <x v="0"/>
    <x v="0"/>
    <x v="0"/>
    <x v="0"/>
    <x v="0"/>
    <x v="0"/>
    <x v="0"/>
    <x v="0"/>
    <x v="0"/>
    <x v="0"/>
    <x v="0"/>
    <x v="0"/>
    <x v="0"/>
    <x v="0"/>
    <x v="0"/>
    <x v="0"/>
    <x v="0"/>
    <x v="0"/>
    <x v="0"/>
    <x v="0"/>
    <x v="228"/>
    <x v="117"/>
    <x v="93"/>
    <x v="9"/>
    <x v="0"/>
    <x v="14"/>
    <x v="2"/>
    <x v="36"/>
    <x v="0"/>
    <x v="7"/>
    <x v="7"/>
    <x v="233"/>
  </r>
  <r>
    <x v="255"/>
    <x v="22"/>
    <x v="123"/>
    <x v="8"/>
    <x v="82"/>
    <x v="3"/>
    <x v="1"/>
    <x v="1"/>
    <x v="1"/>
    <x v="1"/>
    <x v="197"/>
    <x v="51"/>
    <x v="28"/>
    <x v="60"/>
    <x v="1"/>
    <x v="3"/>
    <x v="197"/>
    <x v="52"/>
    <x v="39"/>
    <x v="6"/>
    <x v="255"/>
    <x v="22"/>
    <x v="123"/>
    <x v="8"/>
    <x v="82"/>
    <x v="3"/>
    <x v="1"/>
    <x v="1"/>
    <x v="1"/>
    <x v="223"/>
    <x v="0"/>
    <x v="0"/>
    <x v="1"/>
    <x v="0"/>
    <x v="0"/>
    <x v="0"/>
    <x v="0"/>
    <x v="0"/>
    <x v="0"/>
    <x v="0"/>
    <x v="0"/>
    <x v="0"/>
    <x v="1"/>
    <x v="0"/>
    <x v="0"/>
    <x v="1"/>
    <x v="0"/>
    <x v="1"/>
    <x v="1"/>
    <x v="0"/>
    <x v="1"/>
    <x v="0"/>
    <x v="2"/>
    <x v="229"/>
    <x v="118"/>
    <x v="20"/>
    <x v="3"/>
    <x v="0"/>
    <x v="10"/>
    <x v="16"/>
    <x v="22"/>
    <x v="0"/>
    <x v="1"/>
    <x v="1"/>
    <x v="234"/>
  </r>
  <r>
    <x v="256"/>
    <x v="22"/>
    <x v="124"/>
    <x v="8"/>
    <x v="0"/>
    <x v="3"/>
    <x v="1"/>
    <x v="1"/>
    <x v="1"/>
    <x v="1"/>
    <x v="198"/>
    <x v="52"/>
    <x v="11"/>
    <x v="39"/>
    <x v="1"/>
    <x v="0"/>
    <x v="198"/>
    <x v="53"/>
    <x v="137"/>
    <x v="6"/>
    <x v="256"/>
    <x v="22"/>
    <x v="124"/>
    <x v="8"/>
    <x v="0"/>
    <x v="3"/>
    <x v="1"/>
    <x v="1"/>
    <x v="1"/>
    <x v="224"/>
    <x v="0"/>
    <x v="0"/>
    <x v="1"/>
    <x v="1"/>
    <x v="0"/>
    <x v="0"/>
    <x v="0"/>
    <x v="0"/>
    <x v="0"/>
    <x v="1"/>
    <x v="0"/>
    <x v="0"/>
    <x v="1"/>
    <x v="0"/>
    <x v="0"/>
    <x v="0"/>
    <x v="0"/>
    <x v="1"/>
    <x v="1"/>
    <x v="0"/>
    <x v="1"/>
    <x v="0"/>
    <x v="3"/>
    <x v="230"/>
    <x v="118"/>
    <x v="6"/>
    <x v="7"/>
    <x v="1"/>
    <x v="4"/>
    <x v="4"/>
    <x v="5"/>
    <x v="0"/>
    <x v="35"/>
    <x v="35"/>
    <x v="235"/>
  </r>
  <r>
    <x v="257"/>
    <x v="75"/>
    <x v="8"/>
    <x v="8"/>
    <x v="7"/>
    <x v="0"/>
    <x v="1"/>
    <x v="1"/>
    <x v="1"/>
    <x v="1"/>
    <x v="20"/>
    <x v="0"/>
    <x v="0"/>
    <x v="0"/>
    <x v="0"/>
    <x v="3"/>
    <x v="20"/>
    <x v="0"/>
    <x v="64"/>
    <x v="7"/>
    <x v="257"/>
    <x v="75"/>
    <x v="8"/>
    <x v="8"/>
    <x v="7"/>
    <x v="0"/>
    <x v="1"/>
    <x v="1"/>
    <x v="1"/>
    <x v="46"/>
    <x v="1"/>
    <x v="0"/>
    <x v="1"/>
    <x v="1"/>
    <x v="0"/>
    <x v="0"/>
    <x v="0"/>
    <x v="0"/>
    <x v="0"/>
    <x v="0"/>
    <x v="0"/>
    <x v="0"/>
    <x v="0"/>
    <x v="0"/>
    <x v="0"/>
    <x v="1"/>
    <x v="0"/>
    <x v="0"/>
    <x v="1"/>
    <x v="0"/>
    <x v="0"/>
    <x v="0"/>
    <x v="2"/>
    <x v="231"/>
    <x v="119"/>
    <x v="94"/>
    <x v="13"/>
    <x v="0"/>
    <x v="0"/>
    <x v="2"/>
    <x v="3"/>
    <x v="0"/>
    <x v="50"/>
    <x v="50"/>
    <x v="236"/>
  </r>
  <r>
    <x v="258"/>
    <x v="2"/>
    <x v="8"/>
    <x v="8"/>
    <x v="7"/>
    <x v="0"/>
    <x v="1"/>
    <x v="2"/>
    <x v="1"/>
    <x v="1"/>
    <x v="151"/>
    <x v="0"/>
    <x v="0"/>
    <x v="0"/>
    <x v="0"/>
    <x v="1"/>
    <x v="151"/>
    <x v="0"/>
    <x v="2"/>
    <x v="6"/>
    <x v="258"/>
    <x v="2"/>
    <x v="8"/>
    <x v="8"/>
    <x v="7"/>
    <x v="0"/>
    <x v="1"/>
    <x v="2"/>
    <x v="1"/>
    <x v="171"/>
    <x v="0"/>
    <x v="0"/>
    <x v="1"/>
    <x v="1"/>
    <x v="0"/>
    <x v="0"/>
    <x v="0"/>
    <x v="0"/>
    <x v="0"/>
    <x v="0"/>
    <x v="0"/>
    <x v="0"/>
    <x v="0"/>
    <x v="0"/>
    <x v="0"/>
    <x v="0"/>
    <x v="0"/>
    <x v="0"/>
    <x v="0"/>
    <x v="0"/>
    <x v="0"/>
    <x v="0"/>
    <x v="2"/>
    <x v="40"/>
    <x v="120"/>
    <x v="10"/>
    <x v="11"/>
    <x v="0"/>
    <x v="5"/>
    <x v="9"/>
    <x v="10"/>
    <x v="1"/>
    <x v="1"/>
    <x v="1"/>
    <x v="237"/>
  </r>
  <r>
    <x v="259"/>
    <x v="2"/>
    <x v="8"/>
    <x v="8"/>
    <x v="83"/>
    <x v="0"/>
    <x v="1"/>
    <x v="2"/>
    <x v="1"/>
    <x v="1"/>
    <x v="199"/>
    <x v="0"/>
    <x v="0"/>
    <x v="0"/>
    <x v="0"/>
    <x v="1"/>
    <x v="199"/>
    <x v="0"/>
    <x v="138"/>
    <x v="6"/>
    <x v="259"/>
    <x v="2"/>
    <x v="8"/>
    <x v="8"/>
    <x v="83"/>
    <x v="0"/>
    <x v="1"/>
    <x v="2"/>
    <x v="1"/>
    <x v="225"/>
    <x v="0"/>
    <x v="1"/>
    <x v="1"/>
    <x v="1"/>
    <x v="0"/>
    <x v="0"/>
    <x v="0"/>
    <x v="0"/>
    <x v="0"/>
    <x v="0"/>
    <x v="0"/>
    <x v="0"/>
    <x v="0"/>
    <x v="0"/>
    <x v="0"/>
    <x v="0"/>
    <x v="0"/>
    <x v="0"/>
    <x v="0"/>
    <x v="0"/>
    <x v="0"/>
    <x v="0"/>
    <x v="1"/>
    <x v="232"/>
    <x v="120"/>
    <x v="10"/>
    <x v="11"/>
    <x v="0"/>
    <x v="5"/>
    <x v="9"/>
    <x v="10"/>
    <x v="1"/>
    <x v="1"/>
    <x v="1"/>
    <x v="238"/>
  </r>
  <r>
    <x v="260"/>
    <x v="76"/>
    <x v="125"/>
    <x v="65"/>
    <x v="14"/>
    <x v="3"/>
    <x v="9"/>
    <x v="0"/>
    <x v="1"/>
    <x v="1"/>
    <x v="200"/>
    <x v="0"/>
    <x v="0"/>
    <x v="0"/>
    <x v="0"/>
    <x v="0"/>
    <x v="200"/>
    <x v="0"/>
    <x v="0"/>
    <x v="11"/>
    <x v="260"/>
    <x v="76"/>
    <x v="125"/>
    <x v="65"/>
    <x v="14"/>
    <x v="3"/>
    <x v="9"/>
    <x v="0"/>
    <x v="1"/>
    <x v="226"/>
    <x v="0"/>
    <x v="0"/>
    <x v="1"/>
    <x v="1"/>
    <x v="0"/>
    <x v="0"/>
    <x v="0"/>
    <x v="0"/>
    <x v="0"/>
    <x v="0"/>
    <x v="0"/>
    <x v="0"/>
    <x v="0"/>
    <x v="0"/>
    <x v="0"/>
    <x v="0"/>
    <x v="0"/>
    <x v="0"/>
    <x v="1"/>
    <x v="0"/>
    <x v="0"/>
    <x v="0"/>
    <x v="1"/>
    <x v="180"/>
    <x v="121"/>
    <x v="95"/>
    <x v="42"/>
    <x v="0"/>
    <x v="0"/>
    <x v="2"/>
    <x v="3"/>
    <x v="0"/>
    <x v="8"/>
    <x v="8"/>
    <x v="239"/>
  </r>
  <r>
    <x v="261"/>
    <x v="77"/>
    <x v="8"/>
    <x v="8"/>
    <x v="84"/>
    <x v="5"/>
    <x v="1"/>
    <x v="1"/>
    <x v="2"/>
    <x v="2"/>
    <x v="201"/>
    <x v="0"/>
    <x v="0"/>
    <x v="0"/>
    <x v="0"/>
    <x v="0"/>
    <x v="201"/>
    <x v="54"/>
    <x v="12"/>
    <x v="8"/>
    <x v="261"/>
    <x v="77"/>
    <x v="8"/>
    <x v="8"/>
    <x v="84"/>
    <x v="5"/>
    <x v="1"/>
    <x v="1"/>
    <x v="2"/>
    <x v="227"/>
    <x v="0"/>
    <x v="0"/>
    <x v="1"/>
    <x v="0"/>
    <x v="0"/>
    <x v="0"/>
    <x v="0"/>
    <x v="0"/>
    <x v="0"/>
    <x v="0"/>
    <x v="0"/>
    <x v="0"/>
    <x v="1"/>
    <x v="0"/>
    <x v="0"/>
    <x v="0"/>
    <x v="0"/>
    <x v="1"/>
    <x v="1"/>
    <x v="0"/>
    <x v="2"/>
    <x v="0"/>
    <x v="1"/>
    <x v="13"/>
    <x v="122"/>
    <x v="96"/>
    <x v="48"/>
    <x v="0"/>
    <x v="5"/>
    <x v="2"/>
    <x v="25"/>
    <x v="1"/>
    <x v="8"/>
    <x v="8"/>
    <x v="13"/>
  </r>
  <r>
    <x v="262"/>
    <x v="8"/>
    <x v="38"/>
    <x v="27"/>
    <x v="36"/>
    <x v="0"/>
    <x v="3"/>
    <x v="3"/>
    <x v="1"/>
    <x v="1"/>
    <x v="202"/>
    <x v="0"/>
    <x v="0"/>
    <x v="0"/>
    <x v="0"/>
    <x v="0"/>
    <x v="202"/>
    <x v="0"/>
    <x v="57"/>
    <x v="6"/>
    <x v="262"/>
    <x v="8"/>
    <x v="38"/>
    <x v="27"/>
    <x v="36"/>
    <x v="0"/>
    <x v="3"/>
    <x v="3"/>
    <x v="1"/>
    <x v="228"/>
    <x v="0"/>
    <x v="0"/>
    <x v="0"/>
    <x v="0"/>
    <x v="0"/>
    <x v="0"/>
    <x v="0"/>
    <x v="0"/>
    <x v="0"/>
    <x v="0"/>
    <x v="0"/>
    <x v="0"/>
    <x v="0"/>
    <x v="0"/>
    <x v="1"/>
    <x v="0"/>
    <x v="0"/>
    <x v="0"/>
    <x v="0"/>
    <x v="0"/>
    <x v="0"/>
    <x v="0"/>
    <x v="0"/>
    <x v="233"/>
    <x v="123"/>
    <x v="97"/>
    <x v="49"/>
    <x v="0"/>
    <x v="3"/>
    <x v="3"/>
    <x v="4"/>
    <x v="0"/>
    <x v="0"/>
    <x v="0"/>
    <x v="240"/>
  </r>
  <r>
    <x v="263"/>
    <x v="8"/>
    <x v="8"/>
    <x v="66"/>
    <x v="7"/>
    <x v="0"/>
    <x v="3"/>
    <x v="3"/>
    <x v="1"/>
    <x v="1"/>
    <x v="202"/>
    <x v="0"/>
    <x v="0"/>
    <x v="0"/>
    <x v="0"/>
    <x v="0"/>
    <x v="202"/>
    <x v="0"/>
    <x v="3"/>
    <x v="6"/>
    <x v="263"/>
    <x v="8"/>
    <x v="8"/>
    <x v="66"/>
    <x v="7"/>
    <x v="0"/>
    <x v="3"/>
    <x v="3"/>
    <x v="1"/>
    <x v="228"/>
    <x v="0"/>
    <x v="0"/>
    <x v="0"/>
    <x v="0"/>
    <x v="0"/>
    <x v="0"/>
    <x v="0"/>
    <x v="0"/>
    <x v="0"/>
    <x v="0"/>
    <x v="0"/>
    <x v="0"/>
    <x v="0"/>
    <x v="0"/>
    <x v="0"/>
    <x v="1"/>
    <x v="0"/>
    <x v="0"/>
    <x v="0"/>
    <x v="0"/>
    <x v="0"/>
    <x v="0"/>
    <x v="0"/>
    <x v="234"/>
    <x v="123"/>
    <x v="97"/>
    <x v="50"/>
    <x v="0"/>
    <x v="3"/>
    <x v="3"/>
    <x v="4"/>
    <x v="0"/>
    <x v="0"/>
    <x v="0"/>
    <x v="241"/>
  </r>
  <r>
    <x v="264"/>
    <x v="2"/>
    <x v="8"/>
    <x v="8"/>
    <x v="1"/>
    <x v="2"/>
    <x v="3"/>
    <x v="2"/>
    <x v="1"/>
    <x v="1"/>
    <x v="203"/>
    <x v="0"/>
    <x v="0"/>
    <x v="0"/>
    <x v="0"/>
    <x v="0"/>
    <x v="203"/>
    <x v="0"/>
    <x v="64"/>
    <x v="6"/>
    <x v="264"/>
    <x v="2"/>
    <x v="8"/>
    <x v="8"/>
    <x v="1"/>
    <x v="2"/>
    <x v="3"/>
    <x v="2"/>
    <x v="1"/>
    <x v="229"/>
    <x v="0"/>
    <x v="0"/>
    <x v="0"/>
    <x v="0"/>
    <x v="0"/>
    <x v="0"/>
    <x v="0"/>
    <x v="0"/>
    <x v="0"/>
    <x v="0"/>
    <x v="0"/>
    <x v="1"/>
    <x v="0"/>
    <x v="0"/>
    <x v="0"/>
    <x v="0"/>
    <x v="0"/>
    <x v="0"/>
    <x v="0"/>
    <x v="0"/>
    <x v="0"/>
    <x v="0"/>
    <x v="0"/>
    <x v="235"/>
    <x v="123"/>
    <x v="6"/>
    <x v="7"/>
    <x v="1"/>
    <x v="4"/>
    <x v="4"/>
    <x v="5"/>
    <x v="0"/>
    <x v="8"/>
    <x v="8"/>
    <x v="242"/>
  </r>
  <r>
    <x v="265"/>
    <x v="78"/>
    <x v="8"/>
    <x v="8"/>
    <x v="85"/>
    <x v="3"/>
    <x v="1"/>
    <x v="1"/>
    <x v="1"/>
    <x v="1"/>
    <x v="131"/>
    <x v="0"/>
    <x v="0"/>
    <x v="0"/>
    <x v="0"/>
    <x v="3"/>
    <x v="131"/>
    <x v="0"/>
    <x v="12"/>
    <x v="8"/>
    <x v="265"/>
    <x v="78"/>
    <x v="8"/>
    <x v="8"/>
    <x v="85"/>
    <x v="3"/>
    <x v="1"/>
    <x v="1"/>
    <x v="1"/>
    <x v="230"/>
    <x v="0"/>
    <x v="0"/>
    <x v="1"/>
    <x v="0"/>
    <x v="0"/>
    <x v="0"/>
    <x v="0"/>
    <x v="0"/>
    <x v="0"/>
    <x v="0"/>
    <x v="0"/>
    <x v="0"/>
    <x v="0"/>
    <x v="0"/>
    <x v="0"/>
    <x v="0"/>
    <x v="0"/>
    <x v="0"/>
    <x v="0"/>
    <x v="0"/>
    <x v="0"/>
    <x v="0"/>
    <x v="0"/>
    <x v="13"/>
    <x v="124"/>
    <x v="98"/>
    <x v="12"/>
    <x v="0"/>
    <x v="17"/>
    <x v="2"/>
    <x v="40"/>
    <x v="0"/>
    <x v="8"/>
    <x v="8"/>
    <x v="13"/>
  </r>
  <r>
    <x v="266"/>
    <x v="2"/>
    <x v="8"/>
    <x v="8"/>
    <x v="18"/>
    <x v="5"/>
    <x v="2"/>
    <x v="2"/>
    <x v="1"/>
    <x v="1"/>
    <x v="90"/>
    <x v="0"/>
    <x v="0"/>
    <x v="0"/>
    <x v="0"/>
    <x v="3"/>
    <x v="90"/>
    <x v="0"/>
    <x v="21"/>
    <x v="26"/>
    <x v="266"/>
    <x v="2"/>
    <x v="8"/>
    <x v="8"/>
    <x v="18"/>
    <x v="5"/>
    <x v="2"/>
    <x v="2"/>
    <x v="1"/>
    <x v="98"/>
    <x v="0"/>
    <x v="0"/>
    <x v="1"/>
    <x v="0"/>
    <x v="0"/>
    <x v="0"/>
    <x v="0"/>
    <x v="0"/>
    <x v="0"/>
    <x v="0"/>
    <x v="0"/>
    <x v="0"/>
    <x v="1"/>
    <x v="0"/>
    <x v="0"/>
    <x v="0"/>
    <x v="0"/>
    <x v="1"/>
    <x v="0"/>
    <x v="0"/>
    <x v="0"/>
    <x v="0"/>
    <x v="1"/>
    <x v="236"/>
    <x v="125"/>
    <x v="99"/>
    <x v="51"/>
    <x v="0"/>
    <x v="5"/>
    <x v="35"/>
    <x v="55"/>
    <x v="1"/>
    <x v="12"/>
    <x v="12"/>
    <x v="243"/>
  </r>
  <r>
    <x v="267"/>
    <x v="2"/>
    <x v="8"/>
    <x v="8"/>
    <x v="18"/>
    <x v="5"/>
    <x v="1"/>
    <x v="2"/>
    <x v="1"/>
    <x v="1"/>
    <x v="90"/>
    <x v="0"/>
    <x v="0"/>
    <x v="0"/>
    <x v="0"/>
    <x v="3"/>
    <x v="90"/>
    <x v="0"/>
    <x v="24"/>
    <x v="21"/>
    <x v="267"/>
    <x v="2"/>
    <x v="8"/>
    <x v="8"/>
    <x v="18"/>
    <x v="5"/>
    <x v="1"/>
    <x v="2"/>
    <x v="1"/>
    <x v="98"/>
    <x v="0"/>
    <x v="0"/>
    <x v="1"/>
    <x v="0"/>
    <x v="0"/>
    <x v="0"/>
    <x v="0"/>
    <x v="0"/>
    <x v="0"/>
    <x v="0"/>
    <x v="0"/>
    <x v="0"/>
    <x v="1"/>
    <x v="0"/>
    <x v="0"/>
    <x v="0"/>
    <x v="0"/>
    <x v="1"/>
    <x v="0"/>
    <x v="0"/>
    <x v="0"/>
    <x v="0"/>
    <x v="1"/>
    <x v="237"/>
    <x v="125"/>
    <x v="99"/>
    <x v="51"/>
    <x v="0"/>
    <x v="5"/>
    <x v="35"/>
    <x v="55"/>
    <x v="1"/>
    <x v="56"/>
    <x v="55"/>
    <x v="244"/>
  </r>
  <r>
    <x v="268"/>
    <x v="2"/>
    <x v="8"/>
    <x v="8"/>
    <x v="18"/>
    <x v="5"/>
    <x v="1"/>
    <x v="2"/>
    <x v="1"/>
    <x v="1"/>
    <x v="90"/>
    <x v="0"/>
    <x v="0"/>
    <x v="0"/>
    <x v="0"/>
    <x v="3"/>
    <x v="90"/>
    <x v="0"/>
    <x v="4"/>
    <x v="21"/>
    <x v="268"/>
    <x v="2"/>
    <x v="8"/>
    <x v="8"/>
    <x v="18"/>
    <x v="5"/>
    <x v="1"/>
    <x v="2"/>
    <x v="1"/>
    <x v="98"/>
    <x v="0"/>
    <x v="0"/>
    <x v="1"/>
    <x v="0"/>
    <x v="0"/>
    <x v="0"/>
    <x v="0"/>
    <x v="0"/>
    <x v="0"/>
    <x v="0"/>
    <x v="0"/>
    <x v="0"/>
    <x v="1"/>
    <x v="0"/>
    <x v="0"/>
    <x v="0"/>
    <x v="0"/>
    <x v="1"/>
    <x v="0"/>
    <x v="0"/>
    <x v="0"/>
    <x v="0"/>
    <x v="1"/>
    <x v="238"/>
    <x v="125"/>
    <x v="99"/>
    <x v="51"/>
    <x v="0"/>
    <x v="5"/>
    <x v="35"/>
    <x v="55"/>
    <x v="1"/>
    <x v="56"/>
    <x v="55"/>
    <x v="245"/>
  </r>
  <r>
    <x v="269"/>
    <x v="2"/>
    <x v="8"/>
    <x v="8"/>
    <x v="18"/>
    <x v="5"/>
    <x v="9"/>
    <x v="2"/>
    <x v="1"/>
    <x v="1"/>
    <x v="90"/>
    <x v="0"/>
    <x v="0"/>
    <x v="0"/>
    <x v="0"/>
    <x v="3"/>
    <x v="90"/>
    <x v="55"/>
    <x v="10"/>
    <x v="26"/>
    <x v="269"/>
    <x v="2"/>
    <x v="8"/>
    <x v="8"/>
    <x v="18"/>
    <x v="5"/>
    <x v="9"/>
    <x v="2"/>
    <x v="1"/>
    <x v="98"/>
    <x v="0"/>
    <x v="0"/>
    <x v="1"/>
    <x v="0"/>
    <x v="0"/>
    <x v="0"/>
    <x v="0"/>
    <x v="0"/>
    <x v="0"/>
    <x v="0"/>
    <x v="0"/>
    <x v="0"/>
    <x v="1"/>
    <x v="0"/>
    <x v="0"/>
    <x v="0"/>
    <x v="0"/>
    <x v="1"/>
    <x v="1"/>
    <x v="0"/>
    <x v="1"/>
    <x v="0"/>
    <x v="1"/>
    <x v="239"/>
    <x v="125"/>
    <x v="6"/>
    <x v="7"/>
    <x v="1"/>
    <x v="4"/>
    <x v="4"/>
    <x v="5"/>
    <x v="0"/>
    <x v="12"/>
    <x v="12"/>
    <x v="246"/>
  </r>
  <r>
    <x v="270"/>
    <x v="2"/>
    <x v="8"/>
    <x v="8"/>
    <x v="86"/>
    <x v="12"/>
    <x v="1"/>
    <x v="2"/>
    <x v="1"/>
    <x v="1"/>
    <x v="136"/>
    <x v="0"/>
    <x v="0"/>
    <x v="0"/>
    <x v="0"/>
    <x v="1"/>
    <x v="136"/>
    <x v="0"/>
    <x v="7"/>
    <x v="6"/>
    <x v="270"/>
    <x v="2"/>
    <x v="8"/>
    <x v="8"/>
    <x v="86"/>
    <x v="12"/>
    <x v="1"/>
    <x v="2"/>
    <x v="1"/>
    <x v="156"/>
    <x v="0"/>
    <x v="0"/>
    <x v="1"/>
    <x v="0"/>
    <x v="0"/>
    <x v="0"/>
    <x v="0"/>
    <x v="0"/>
    <x v="0"/>
    <x v="0"/>
    <x v="0"/>
    <x v="0"/>
    <x v="0"/>
    <x v="0"/>
    <x v="0"/>
    <x v="0"/>
    <x v="0"/>
    <x v="0"/>
    <x v="0"/>
    <x v="0"/>
    <x v="0"/>
    <x v="7"/>
    <x v="1"/>
    <x v="240"/>
    <x v="126"/>
    <x v="100"/>
    <x v="52"/>
    <x v="0"/>
    <x v="5"/>
    <x v="44"/>
    <x v="72"/>
    <x v="1"/>
    <x v="39"/>
    <x v="39"/>
    <x v="247"/>
  </r>
  <r>
    <x v="271"/>
    <x v="35"/>
    <x v="126"/>
    <x v="67"/>
    <x v="7"/>
    <x v="0"/>
    <x v="7"/>
    <x v="4"/>
    <x v="1"/>
    <x v="1"/>
    <x v="204"/>
    <x v="0"/>
    <x v="0"/>
    <x v="0"/>
    <x v="0"/>
    <x v="3"/>
    <x v="204"/>
    <x v="0"/>
    <x v="66"/>
    <x v="6"/>
    <x v="271"/>
    <x v="35"/>
    <x v="126"/>
    <x v="67"/>
    <x v="7"/>
    <x v="0"/>
    <x v="7"/>
    <x v="4"/>
    <x v="1"/>
    <x v="231"/>
    <x v="0"/>
    <x v="0"/>
    <x v="0"/>
    <x v="1"/>
    <x v="0"/>
    <x v="0"/>
    <x v="0"/>
    <x v="0"/>
    <x v="0"/>
    <x v="0"/>
    <x v="0"/>
    <x v="0"/>
    <x v="0"/>
    <x v="0"/>
    <x v="0"/>
    <x v="1"/>
    <x v="1"/>
    <x v="0"/>
    <x v="0"/>
    <x v="0"/>
    <x v="0"/>
    <x v="0"/>
    <x v="1"/>
    <x v="241"/>
    <x v="127"/>
    <x v="101"/>
    <x v="13"/>
    <x v="0"/>
    <x v="0"/>
    <x v="2"/>
    <x v="3"/>
    <x v="0"/>
    <x v="28"/>
    <x v="28"/>
    <x v="248"/>
  </r>
  <r>
    <x v="272"/>
    <x v="74"/>
    <x v="127"/>
    <x v="8"/>
    <x v="3"/>
    <x v="5"/>
    <x v="1"/>
    <x v="1"/>
    <x v="2"/>
    <x v="2"/>
    <x v="5"/>
    <x v="0"/>
    <x v="0"/>
    <x v="0"/>
    <x v="0"/>
    <x v="2"/>
    <x v="5"/>
    <x v="0"/>
    <x v="12"/>
    <x v="8"/>
    <x v="272"/>
    <x v="74"/>
    <x v="127"/>
    <x v="8"/>
    <x v="3"/>
    <x v="5"/>
    <x v="1"/>
    <x v="1"/>
    <x v="2"/>
    <x v="232"/>
    <x v="0"/>
    <x v="0"/>
    <x v="1"/>
    <x v="0"/>
    <x v="0"/>
    <x v="0"/>
    <x v="0"/>
    <x v="0"/>
    <x v="0"/>
    <x v="0"/>
    <x v="0"/>
    <x v="0"/>
    <x v="1"/>
    <x v="0"/>
    <x v="0"/>
    <x v="0"/>
    <x v="0"/>
    <x v="1"/>
    <x v="0"/>
    <x v="0"/>
    <x v="0"/>
    <x v="0"/>
    <x v="1"/>
    <x v="13"/>
    <x v="128"/>
    <x v="102"/>
    <x v="45"/>
    <x v="0"/>
    <x v="3"/>
    <x v="15"/>
    <x v="20"/>
    <x v="0"/>
    <x v="51"/>
    <x v="9"/>
    <x v="13"/>
  </r>
  <r>
    <x v="273"/>
    <x v="79"/>
    <x v="8"/>
    <x v="8"/>
    <x v="4"/>
    <x v="5"/>
    <x v="1"/>
    <x v="1"/>
    <x v="2"/>
    <x v="2"/>
    <x v="205"/>
    <x v="0"/>
    <x v="0"/>
    <x v="0"/>
    <x v="0"/>
    <x v="0"/>
    <x v="205"/>
    <x v="56"/>
    <x v="63"/>
    <x v="9"/>
    <x v="273"/>
    <x v="79"/>
    <x v="8"/>
    <x v="8"/>
    <x v="4"/>
    <x v="5"/>
    <x v="1"/>
    <x v="1"/>
    <x v="2"/>
    <x v="233"/>
    <x v="0"/>
    <x v="0"/>
    <x v="1"/>
    <x v="0"/>
    <x v="0"/>
    <x v="0"/>
    <x v="0"/>
    <x v="0"/>
    <x v="0"/>
    <x v="0"/>
    <x v="0"/>
    <x v="0"/>
    <x v="0"/>
    <x v="0"/>
    <x v="0"/>
    <x v="0"/>
    <x v="0"/>
    <x v="1"/>
    <x v="1"/>
    <x v="0"/>
    <x v="2"/>
    <x v="0"/>
    <x v="0"/>
    <x v="206"/>
    <x v="128"/>
    <x v="102"/>
    <x v="45"/>
    <x v="0"/>
    <x v="3"/>
    <x v="15"/>
    <x v="20"/>
    <x v="0"/>
    <x v="71"/>
    <x v="9"/>
    <x v="249"/>
  </r>
  <r>
    <x v="274"/>
    <x v="2"/>
    <x v="8"/>
    <x v="8"/>
    <x v="87"/>
    <x v="1"/>
    <x v="1"/>
    <x v="2"/>
    <x v="1"/>
    <x v="1"/>
    <x v="203"/>
    <x v="0"/>
    <x v="0"/>
    <x v="0"/>
    <x v="0"/>
    <x v="0"/>
    <x v="203"/>
    <x v="0"/>
    <x v="112"/>
    <x v="11"/>
    <x v="274"/>
    <x v="2"/>
    <x v="8"/>
    <x v="8"/>
    <x v="87"/>
    <x v="1"/>
    <x v="1"/>
    <x v="2"/>
    <x v="1"/>
    <x v="229"/>
    <x v="0"/>
    <x v="0"/>
    <x v="1"/>
    <x v="0"/>
    <x v="0"/>
    <x v="0"/>
    <x v="0"/>
    <x v="0"/>
    <x v="0"/>
    <x v="0"/>
    <x v="0"/>
    <x v="0"/>
    <x v="0"/>
    <x v="0"/>
    <x v="0"/>
    <x v="0"/>
    <x v="0"/>
    <x v="0"/>
    <x v="0"/>
    <x v="0"/>
    <x v="0"/>
    <x v="0"/>
    <x v="0"/>
    <x v="242"/>
    <x v="129"/>
    <x v="39"/>
    <x v="13"/>
    <x v="0"/>
    <x v="0"/>
    <x v="31"/>
    <x v="73"/>
    <x v="0"/>
    <x v="26"/>
    <x v="26"/>
    <x v="250"/>
  </r>
  <r>
    <x v="275"/>
    <x v="80"/>
    <x v="8"/>
    <x v="8"/>
    <x v="88"/>
    <x v="5"/>
    <x v="1"/>
    <x v="1"/>
    <x v="2"/>
    <x v="2"/>
    <x v="206"/>
    <x v="0"/>
    <x v="0"/>
    <x v="0"/>
    <x v="0"/>
    <x v="2"/>
    <x v="206"/>
    <x v="57"/>
    <x v="36"/>
    <x v="12"/>
    <x v="275"/>
    <x v="80"/>
    <x v="8"/>
    <x v="8"/>
    <x v="88"/>
    <x v="5"/>
    <x v="1"/>
    <x v="1"/>
    <x v="2"/>
    <x v="234"/>
    <x v="0"/>
    <x v="0"/>
    <x v="1"/>
    <x v="0"/>
    <x v="0"/>
    <x v="0"/>
    <x v="0"/>
    <x v="0"/>
    <x v="0"/>
    <x v="0"/>
    <x v="0"/>
    <x v="0"/>
    <x v="1"/>
    <x v="0"/>
    <x v="0"/>
    <x v="0"/>
    <x v="0"/>
    <x v="1"/>
    <x v="1"/>
    <x v="0"/>
    <x v="10"/>
    <x v="0"/>
    <x v="1"/>
    <x v="180"/>
    <x v="130"/>
    <x v="103"/>
    <x v="1"/>
    <x v="0"/>
    <x v="1"/>
    <x v="2"/>
    <x v="11"/>
    <x v="0"/>
    <x v="8"/>
    <x v="8"/>
    <x v="251"/>
  </r>
  <r>
    <x v="276"/>
    <x v="2"/>
    <x v="8"/>
    <x v="8"/>
    <x v="72"/>
    <x v="4"/>
    <x v="1"/>
    <x v="2"/>
    <x v="1"/>
    <x v="1"/>
    <x v="207"/>
    <x v="0"/>
    <x v="0"/>
    <x v="0"/>
    <x v="0"/>
    <x v="1"/>
    <x v="207"/>
    <x v="0"/>
    <x v="63"/>
    <x v="6"/>
    <x v="276"/>
    <x v="2"/>
    <x v="8"/>
    <x v="8"/>
    <x v="72"/>
    <x v="4"/>
    <x v="1"/>
    <x v="2"/>
    <x v="1"/>
    <x v="235"/>
    <x v="0"/>
    <x v="0"/>
    <x v="1"/>
    <x v="1"/>
    <x v="0"/>
    <x v="0"/>
    <x v="0"/>
    <x v="0"/>
    <x v="0"/>
    <x v="0"/>
    <x v="0"/>
    <x v="0"/>
    <x v="0"/>
    <x v="0"/>
    <x v="0"/>
    <x v="1"/>
    <x v="1"/>
    <x v="0"/>
    <x v="0"/>
    <x v="0"/>
    <x v="0"/>
    <x v="0"/>
    <x v="1"/>
    <x v="243"/>
    <x v="131"/>
    <x v="104"/>
    <x v="15"/>
    <x v="0"/>
    <x v="5"/>
    <x v="45"/>
    <x v="74"/>
    <x v="1"/>
    <x v="47"/>
    <x v="47"/>
    <x v="252"/>
  </r>
  <r>
    <x v="277"/>
    <x v="81"/>
    <x v="128"/>
    <x v="68"/>
    <x v="49"/>
    <x v="0"/>
    <x v="4"/>
    <x v="1"/>
    <x v="1"/>
    <x v="1"/>
    <x v="79"/>
    <x v="0"/>
    <x v="0"/>
    <x v="0"/>
    <x v="0"/>
    <x v="3"/>
    <x v="79"/>
    <x v="0"/>
    <x v="30"/>
    <x v="6"/>
    <x v="277"/>
    <x v="81"/>
    <x v="128"/>
    <x v="68"/>
    <x v="49"/>
    <x v="0"/>
    <x v="4"/>
    <x v="1"/>
    <x v="1"/>
    <x v="85"/>
    <x v="0"/>
    <x v="1"/>
    <x v="1"/>
    <x v="0"/>
    <x v="0"/>
    <x v="0"/>
    <x v="0"/>
    <x v="0"/>
    <x v="0"/>
    <x v="0"/>
    <x v="0"/>
    <x v="0"/>
    <x v="0"/>
    <x v="0"/>
    <x v="0"/>
    <x v="1"/>
    <x v="0"/>
    <x v="0"/>
    <x v="1"/>
    <x v="0"/>
    <x v="0"/>
    <x v="3"/>
    <x v="0"/>
    <x v="244"/>
    <x v="132"/>
    <x v="105"/>
    <x v="53"/>
    <x v="0"/>
    <x v="5"/>
    <x v="14"/>
    <x v="19"/>
    <x v="1"/>
    <x v="2"/>
    <x v="2"/>
    <x v="253"/>
  </r>
  <r>
    <x v="278"/>
    <x v="41"/>
    <x v="8"/>
    <x v="8"/>
    <x v="89"/>
    <x v="1"/>
    <x v="1"/>
    <x v="1"/>
    <x v="1"/>
    <x v="1"/>
    <x v="86"/>
    <x v="0"/>
    <x v="0"/>
    <x v="0"/>
    <x v="0"/>
    <x v="1"/>
    <x v="86"/>
    <x v="0"/>
    <x v="139"/>
    <x v="6"/>
    <x v="278"/>
    <x v="41"/>
    <x v="8"/>
    <x v="8"/>
    <x v="89"/>
    <x v="1"/>
    <x v="1"/>
    <x v="1"/>
    <x v="1"/>
    <x v="92"/>
    <x v="0"/>
    <x v="0"/>
    <x v="1"/>
    <x v="0"/>
    <x v="0"/>
    <x v="0"/>
    <x v="0"/>
    <x v="0"/>
    <x v="0"/>
    <x v="0"/>
    <x v="0"/>
    <x v="0"/>
    <x v="0"/>
    <x v="0"/>
    <x v="0"/>
    <x v="0"/>
    <x v="0"/>
    <x v="0"/>
    <x v="0"/>
    <x v="0"/>
    <x v="0"/>
    <x v="0"/>
    <x v="0"/>
    <x v="245"/>
    <x v="133"/>
    <x v="54"/>
    <x v="13"/>
    <x v="0"/>
    <x v="0"/>
    <x v="2"/>
    <x v="3"/>
    <x v="0"/>
    <x v="62"/>
    <x v="57"/>
    <x v="254"/>
  </r>
  <r>
    <x v="279"/>
    <x v="82"/>
    <x v="129"/>
    <x v="69"/>
    <x v="90"/>
    <x v="1"/>
    <x v="1"/>
    <x v="1"/>
    <x v="1"/>
    <x v="1"/>
    <x v="138"/>
    <x v="0"/>
    <x v="0"/>
    <x v="0"/>
    <x v="0"/>
    <x v="1"/>
    <x v="138"/>
    <x v="0"/>
    <x v="140"/>
    <x v="6"/>
    <x v="279"/>
    <x v="82"/>
    <x v="129"/>
    <x v="69"/>
    <x v="90"/>
    <x v="1"/>
    <x v="1"/>
    <x v="1"/>
    <x v="1"/>
    <x v="158"/>
    <x v="0"/>
    <x v="0"/>
    <x v="1"/>
    <x v="0"/>
    <x v="0"/>
    <x v="0"/>
    <x v="0"/>
    <x v="0"/>
    <x v="0"/>
    <x v="0"/>
    <x v="0"/>
    <x v="0"/>
    <x v="1"/>
    <x v="0"/>
    <x v="0"/>
    <x v="0"/>
    <x v="0"/>
    <x v="1"/>
    <x v="0"/>
    <x v="0"/>
    <x v="0"/>
    <x v="0"/>
    <x v="1"/>
    <x v="246"/>
    <x v="134"/>
    <x v="106"/>
    <x v="28"/>
    <x v="0"/>
    <x v="0"/>
    <x v="2"/>
    <x v="3"/>
    <x v="0"/>
    <x v="1"/>
    <x v="1"/>
    <x v="255"/>
  </r>
  <r>
    <x v="280"/>
    <x v="41"/>
    <x v="130"/>
    <x v="70"/>
    <x v="91"/>
    <x v="1"/>
    <x v="1"/>
    <x v="1"/>
    <x v="1"/>
    <x v="1"/>
    <x v="208"/>
    <x v="0"/>
    <x v="0"/>
    <x v="0"/>
    <x v="0"/>
    <x v="1"/>
    <x v="208"/>
    <x v="0"/>
    <x v="141"/>
    <x v="6"/>
    <x v="280"/>
    <x v="41"/>
    <x v="130"/>
    <x v="70"/>
    <x v="91"/>
    <x v="1"/>
    <x v="1"/>
    <x v="1"/>
    <x v="1"/>
    <x v="236"/>
    <x v="0"/>
    <x v="0"/>
    <x v="1"/>
    <x v="0"/>
    <x v="0"/>
    <x v="0"/>
    <x v="0"/>
    <x v="0"/>
    <x v="0"/>
    <x v="0"/>
    <x v="0"/>
    <x v="0"/>
    <x v="0"/>
    <x v="0"/>
    <x v="0"/>
    <x v="0"/>
    <x v="0"/>
    <x v="0"/>
    <x v="1"/>
    <x v="0"/>
    <x v="0"/>
    <x v="0"/>
    <x v="0"/>
    <x v="247"/>
    <x v="134"/>
    <x v="106"/>
    <x v="28"/>
    <x v="0"/>
    <x v="0"/>
    <x v="2"/>
    <x v="3"/>
    <x v="0"/>
    <x v="1"/>
    <x v="1"/>
    <x v="256"/>
  </r>
  <r>
    <x v="281"/>
    <x v="82"/>
    <x v="131"/>
    <x v="71"/>
    <x v="91"/>
    <x v="1"/>
    <x v="1"/>
    <x v="1"/>
    <x v="1"/>
    <x v="1"/>
    <x v="209"/>
    <x v="0"/>
    <x v="0"/>
    <x v="0"/>
    <x v="0"/>
    <x v="1"/>
    <x v="209"/>
    <x v="0"/>
    <x v="142"/>
    <x v="6"/>
    <x v="281"/>
    <x v="82"/>
    <x v="131"/>
    <x v="71"/>
    <x v="91"/>
    <x v="1"/>
    <x v="1"/>
    <x v="1"/>
    <x v="1"/>
    <x v="237"/>
    <x v="0"/>
    <x v="0"/>
    <x v="1"/>
    <x v="0"/>
    <x v="0"/>
    <x v="0"/>
    <x v="0"/>
    <x v="0"/>
    <x v="0"/>
    <x v="0"/>
    <x v="0"/>
    <x v="0"/>
    <x v="0"/>
    <x v="0"/>
    <x v="0"/>
    <x v="0"/>
    <x v="0"/>
    <x v="0"/>
    <x v="0"/>
    <x v="0"/>
    <x v="0"/>
    <x v="0"/>
    <x v="0"/>
    <x v="248"/>
    <x v="134"/>
    <x v="106"/>
    <x v="37"/>
    <x v="0"/>
    <x v="0"/>
    <x v="2"/>
    <x v="3"/>
    <x v="0"/>
    <x v="72"/>
    <x v="66"/>
    <x v="257"/>
  </r>
  <r>
    <x v="282"/>
    <x v="82"/>
    <x v="132"/>
    <x v="8"/>
    <x v="92"/>
    <x v="1"/>
    <x v="1"/>
    <x v="1"/>
    <x v="1"/>
    <x v="1"/>
    <x v="53"/>
    <x v="0"/>
    <x v="0"/>
    <x v="0"/>
    <x v="0"/>
    <x v="1"/>
    <x v="53"/>
    <x v="0"/>
    <x v="143"/>
    <x v="6"/>
    <x v="282"/>
    <x v="82"/>
    <x v="132"/>
    <x v="8"/>
    <x v="92"/>
    <x v="1"/>
    <x v="1"/>
    <x v="1"/>
    <x v="1"/>
    <x v="56"/>
    <x v="0"/>
    <x v="0"/>
    <x v="1"/>
    <x v="0"/>
    <x v="0"/>
    <x v="0"/>
    <x v="0"/>
    <x v="0"/>
    <x v="0"/>
    <x v="0"/>
    <x v="0"/>
    <x v="0"/>
    <x v="0"/>
    <x v="0"/>
    <x v="0"/>
    <x v="0"/>
    <x v="0"/>
    <x v="0"/>
    <x v="0"/>
    <x v="0"/>
    <x v="0"/>
    <x v="0"/>
    <x v="0"/>
    <x v="246"/>
    <x v="134"/>
    <x v="106"/>
    <x v="37"/>
    <x v="0"/>
    <x v="0"/>
    <x v="2"/>
    <x v="3"/>
    <x v="0"/>
    <x v="1"/>
    <x v="1"/>
    <x v="258"/>
  </r>
  <r>
    <x v="283"/>
    <x v="83"/>
    <x v="8"/>
    <x v="8"/>
    <x v="41"/>
    <x v="1"/>
    <x v="6"/>
    <x v="1"/>
    <x v="1"/>
    <x v="1"/>
    <x v="210"/>
    <x v="0"/>
    <x v="0"/>
    <x v="0"/>
    <x v="0"/>
    <x v="3"/>
    <x v="210"/>
    <x v="0"/>
    <x v="144"/>
    <x v="6"/>
    <x v="283"/>
    <x v="83"/>
    <x v="8"/>
    <x v="8"/>
    <x v="41"/>
    <x v="1"/>
    <x v="6"/>
    <x v="1"/>
    <x v="1"/>
    <x v="238"/>
    <x v="0"/>
    <x v="1"/>
    <x v="1"/>
    <x v="0"/>
    <x v="0"/>
    <x v="0"/>
    <x v="0"/>
    <x v="0"/>
    <x v="0"/>
    <x v="0"/>
    <x v="0"/>
    <x v="0"/>
    <x v="0"/>
    <x v="0"/>
    <x v="0"/>
    <x v="0"/>
    <x v="0"/>
    <x v="0"/>
    <x v="1"/>
    <x v="0"/>
    <x v="0"/>
    <x v="3"/>
    <x v="0"/>
    <x v="249"/>
    <x v="135"/>
    <x v="107"/>
    <x v="2"/>
    <x v="0"/>
    <x v="5"/>
    <x v="22"/>
    <x v="30"/>
    <x v="1"/>
    <x v="2"/>
    <x v="2"/>
    <x v="259"/>
  </r>
  <r>
    <x v="284"/>
    <x v="41"/>
    <x v="8"/>
    <x v="8"/>
    <x v="72"/>
    <x v="4"/>
    <x v="1"/>
    <x v="1"/>
    <x v="1"/>
    <x v="1"/>
    <x v="211"/>
    <x v="0"/>
    <x v="0"/>
    <x v="0"/>
    <x v="0"/>
    <x v="1"/>
    <x v="211"/>
    <x v="0"/>
    <x v="0"/>
    <x v="6"/>
    <x v="284"/>
    <x v="41"/>
    <x v="8"/>
    <x v="8"/>
    <x v="72"/>
    <x v="4"/>
    <x v="1"/>
    <x v="1"/>
    <x v="1"/>
    <x v="239"/>
    <x v="0"/>
    <x v="0"/>
    <x v="1"/>
    <x v="0"/>
    <x v="0"/>
    <x v="0"/>
    <x v="0"/>
    <x v="0"/>
    <x v="0"/>
    <x v="0"/>
    <x v="0"/>
    <x v="0"/>
    <x v="0"/>
    <x v="0"/>
    <x v="0"/>
    <x v="0"/>
    <x v="0"/>
    <x v="0"/>
    <x v="1"/>
    <x v="0"/>
    <x v="0"/>
    <x v="0"/>
    <x v="0"/>
    <x v="250"/>
    <x v="136"/>
    <x v="104"/>
    <x v="15"/>
    <x v="0"/>
    <x v="5"/>
    <x v="46"/>
    <x v="75"/>
    <x v="1"/>
    <x v="8"/>
    <x v="8"/>
    <x v="260"/>
  </r>
  <r>
    <x v="285"/>
    <x v="79"/>
    <x v="8"/>
    <x v="8"/>
    <x v="64"/>
    <x v="5"/>
    <x v="1"/>
    <x v="1"/>
    <x v="2"/>
    <x v="2"/>
    <x v="22"/>
    <x v="0"/>
    <x v="0"/>
    <x v="0"/>
    <x v="0"/>
    <x v="3"/>
    <x v="22"/>
    <x v="58"/>
    <x v="12"/>
    <x v="8"/>
    <x v="285"/>
    <x v="79"/>
    <x v="8"/>
    <x v="8"/>
    <x v="64"/>
    <x v="5"/>
    <x v="1"/>
    <x v="1"/>
    <x v="2"/>
    <x v="240"/>
    <x v="0"/>
    <x v="0"/>
    <x v="1"/>
    <x v="0"/>
    <x v="0"/>
    <x v="0"/>
    <x v="0"/>
    <x v="0"/>
    <x v="0"/>
    <x v="0"/>
    <x v="0"/>
    <x v="0"/>
    <x v="0"/>
    <x v="0"/>
    <x v="0"/>
    <x v="0"/>
    <x v="0"/>
    <x v="1"/>
    <x v="1"/>
    <x v="0"/>
    <x v="3"/>
    <x v="0"/>
    <x v="0"/>
    <x v="13"/>
    <x v="137"/>
    <x v="108"/>
    <x v="21"/>
    <x v="0"/>
    <x v="0"/>
    <x v="2"/>
    <x v="3"/>
    <x v="0"/>
    <x v="8"/>
    <x v="8"/>
    <x v="13"/>
  </r>
  <r>
    <x v="286"/>
    <x v="84"/>
    <x v="8"/>
    <x v="72"/>
    <x v="93"/>
    <x v="5"/>
    <x v="1"/>
    <x v="1"/>
    <x v="3"/>
    <x v="3"/>
    <x v="212"/>
    <x v="0"/>
    <x v="0"/>
    <x v="0"/>
    <x v="0"/>
    <x v="4"/>
    <x v="212"/>
    <x v="59"/>
    <x v="12"/>
    <x v="8"/>
    <x v="286"/>
    <x v="84"/>
    <x v="8"/>
    <x v="72"/>
    <x v="93"/>
    <x v="5"/>
    <x v="1"/>
    <x v="1"/>
    <x v="3"/>
    <x v="241"/>
    <x v="0"/>
    <x v="0"/>
    <x v="1"/>
    <x v="0"/>
    <x v="0"/>
    <x v="0"/>
    <x v="0"/>
    <x v="0"/>
    <x v="0"/>
    <x v="0"/>
    <x v="0"/>
    <x v="0"/>
    <x v="1"/>
    <x v="0"/>
    <x v="0"/>
    <x v="0"/>
    <x v="0"/>
    <x v="1"/>
    <x v="1"/>
    <x v="0"/>
    <x v="2"/>
    <x v="0"/>
    <x v="1"/>
    <x v="251"/>
    <x v="138"/>
    <x v="109"/>
    <x v="15"/>
    <x v="0"/>
    <x v="14"/>
    <x v="2"/>
    <x v="36"/>
    <x v="0"/>
    <x v="73"/>
    <x v="67"/>
    <x v="13"/>
  </r>
  <r>
    <x v="287"/>
    <x v="9"/>
    <x v="8"/>
    <x v="8"/>
    <x v="94"/>
    <x v="0"/>
    <x v="4"/>
    <x v="3"/>
    <x v="1"/>
    <x v="1"/>
    <x v="34"/>
    <x v="0"/>
    <x v="0"/>
    <x v="0"/>
    <x v="0"/>
    <x v="3"/>
    <x v="34"/>
    <x v="0"/>
    <x v="106"/>
    <x v="18"/>
    <x v="287"/>
    <x v="9"/>
    <x v="8"/>
    <x v="8"/>
    <x v="94"/>
    <x v="0"/>
    <x v="4"/>
    <x v="3"/>
    <x v="1"/>
    <x v="242"/>
    <x v="0"/>
    <x v="0"/>
    <x v="1"/>
    <x v="0"/>
    <x v="0"/>
    <x v="0"/>
    <x v="0"/>
    <x v="0"/>
    <x v="0"/>
    <x v="0"/>
    <x v="0"/>
    <x v="0"/>
    <x v="0"/>
    <x v="0"/>
    <x v="0"/>
    <x v="1"/>
    <x v="0"/>
    <x v="0"/>
    <x v="1"/>
    <x v="0"/>
    <x v="0"/>
    <x v="0"/>
    <x v="0"/>
    <x v="252"/>
    <x v="139"/>
    <x v="110"/>
    <x v="20"/>
    <x v="0"/>
    <x v="0"/>
    <x v="2"/>
    <x v="3"/>
    <x v="0"/>
    <x v="1"/>
    <x v="1"/>
    <x v="261"/>
  </r>
  <r>
    <x v="288"/>
    <x v="10"/>
    <x v="8"/>
    <x v="8"/>
    <x v="7"/>
    <x v="0"/>
    <x v="4"/>
    <x v="1"/>
    <x v="1"/>
    <x v="1"/>
    <x v="213"/>
    <x v="0"/>
    <x v="0"/>
    <x v="0"/>
    <x v="0"/>
    <x v="3"/>
    <x v="213"/>
    <x v="0"/>
    <x v="145"/>
    <x v="6"/>
    <x v="288"/>
    <x v="10"/>
    <x v="8"/>
    <x v="8"/>
    <x v="7"/>
    <x v="0"/>
    <x v="4"/>
    <x v="1"/>
    <x v="1"/>
    <x v="243"/>
    <x v="0"/>
    <x v="0"/>
    <x v="1"/>
    <x v="1"/>
    <x v="0"/>
    <x v="0"/>
    <x v="0"/>
    <x v="0"/>
    <x v="0"/>
    <x v="0"/>
    <x v="0"/>
    <x v="0"/>
    <x v="0"/>
    <x v="0"/>
    <x v="0"/>
    <x v="1"/>
    <x v="0"/>
    <x v="0"/>
    <x v="0"/>
    <x v="0"/>
    <x v="0"/>
    <x v="0"/>
    <x v="1"/>
    <x v="253"/>
    <x v="139"/>
    <x v="110"/>
    <x v="20"/>
    <x v="0"/>
    <x v="0"/>
    <x v="2"/>
    <x v="3"/>
    <x v="0"/>
    <x v="0"/>
    <x v="0"/>
    <x v="262"/>
  </r>
  <r>
    <x v="289"/>
    <x v="85"/>
    <x v="8"/>
    <x v="8"/>
    <x v="7"/>
    <x v="0"/>
    <x v="10"/>
    <x v="0"/>
    <x v="1"/>
    <x v="1"/>
    <x v="129"/>
    <x v="0"/>
    <x v="0"/>
    <x v="0"/>
    <x v="0"/>
    <x v="0"/>
    <x v="129"/>
    <x v="0"/>
    <x v="71"/>
    <x v="10"/>
    <x v="289"/>
    <x v="85"/>
    <x v="8"/>
    <x v="8"/>
    <x v="7"/>
    <x v="0"/>
    <x v="10"/>
    <x v="0"/>
    <x v="1"/>
    <x v="244"/>
    <x v="1"/>
    <x v="0"/>
    <x v="1"/>
    <x v="1"/>
    <x v="0"/>
    <x v="0"/>
    <x v="0"/>
    <x v="0"/>
    <x v="0"/>
    <x v="0"/>
    <x v="0"/>
    <x v="0"/>
    <x v="0"/>
    <x v="0"/>
    <x v="0"/>
    <x v="1"/>
    <x v="0"/>
    <x v="0"/>
    <x v="0"/>
    <x v="0"/>
    <x v="0"/>
    <x v="0"/>
    <x v="2"/>
    <x v="254"/>
    <x v="140"/>
    <x v="111"/>
    <x v="54"/>
    <x v="0"/>
    <x v="0"/>
    <x v="2"/>
    <x v="3"/>
    <x v="0"/>
    <x v="8"/>
    <x v="8"/>
    <x v="263"/>
  </r>
  <r>
    <x v="290"/>
    <x v="86"/>
    <x v="8"/>
    <x v="8"/>
    <x v="22"/>
    <x v="1"/>
    <x v="1"/>
    <x v="1"/>
    <x v="1"/>
    <x v="1"/>
    <x v="214"/>
    <x v="0"/>
    <x v="0"/>
    <x v="0"/>
    <x v="0"/>
    <x v="1"/>
    <x v="214"/>
    <x v="0"/>
    <x v="146"/>
    <x v="8"/>
    <x v="290"/>
    <x v="86"/>
    <x v="8"/>
    <x v="8"/>
    <x v="22"/>
    <x v="1"/>
    <x v="1"/>
    <x v="1"/>
    <x v="1"/>
    <x v="245"/>
    <x v="0"/>
    <x v="0"/>
    <x v="1"/>
    <x v="0"/>
    <x v="0"/>
    <x v="0"/>
    <x v="0"/>
    <x v="0"/>
    <x v="0"/>
    <x v="0"/>
    <x v="0"/>
    <x v="0"/>
    <x v="0"/>
    <x v="0"/>
    <x v="0"/>
    <x v="0"/>
    <x v="0"/>
    <x v="0"/>
    <x v="0"/>
    <x v="0"/>
    <x v="0"/>
    <x v="0"/>
    <x v="0"/>
    <x v="255"/>
    <x v="141"/>
    <x v="112"/>
    <x v="16"/>
    <x v="0"/>
    <x v="22"/>
    <x v="2"/>
    <x v="76"/>
    <x v="0"/>
    <x v="74"/>
    <x v="68"/>
    <x v="264"/>
  </r>
  <r>
    <x v="291"/>
    <x v="41"/>
    <x v="8"/>
    <x v="8"/>
    <x v="51"/>
    <x v="1"/>
    <x v="1"/>
    <x v="1"/>
    <x v="1"/>
    <x v="1"/>
    <x v="53"/>
    <x v="0"/>
    <x v="0"/>
    <x v="0"/>
    <x v="0"/>
    <x v="1"/>
    <x v="53"/>
    <x v="0"/>
    <x v="147"/>
    <x v="6"/>
    <x v="291"/>
    <x v="41"/>
    <x v="8"/>
    <x v="8"/>
    <x v="51"/>
    <x v="1"/>
    <x v="1"/>
    <x v="1"/>
    <x v="1"/>
    <x v="56"/>
    <x v="0"/>
    <x v="0"/>
    <x v="1"/>
    <x v="0"/>
    <x v="0"/>
    <x v="0"/>
    <x v="0"/>
    <x v="0"/>
    <x v="0"/>
    <x v="0"/>
    <x v="0"/>
    <x v="0"/>
    <x v="0"/>
    <x v="0"/>
    <x v="0"/>
    <x v="0"/>
    <x v="0"/>
    <x v="0"/>
    <x v="0"/>
    <x v="0"/>
    <x v="0"/>
    <x v="0"/>
    <x v="0"/>
    <x v="256"/>
    <x v="142"/>
    <x v="13"/>
    <x v="13"/>
    <x v="0"/>
    <x v="3"/>
    <x v="15"/>
    <x v="20"/>
    <x v="0"/>
    <x v="1"/>
    <x v="1"/>
    <x v="265"/>
  </r>
  <r>
    <x v="292"/>
    <x v="87"/>
    <x v="8"/>
    <x v="8"/>
    <x v="95"/>
    <x v="7"/>
    <x v="1"/>
    <x v="1"/>
    <x v="1"/>
    <x v="1"/>
    <x v="215"/>
    <x v="0"/>
    <x v="0"/>
    <x v="0"/>
    <x v="0"/>
    <x v="1"/>
    <x v="215"/>
    <x v="0"/>
    <x v="148"/>
    <x v="6"/>
    <x v="292"/>
    <x v="87"/>
    <x v="8"/>
    <x v="8"/>
    <x v="95"/>
    <x v="7"/>
    <x v="1"/>
    <x v="1"/>
    <x v="1"/>
    <x v="246"/>
    <x v="1"/>
    <x v="0"/>
    <x v="1"/>
    <x v="0"/>
    <x v="0"/>
    <x v="0"/>
    <x v="0"/>
    <x v="0"/>
    <x v="0"/>
    <x v="0"/>
    <x v="0"/>
    <x v="0"/>
    <x v="0"/>
    <x v="0"/>
    <x v="0"/>
    <x v="1"/>
    <x v="0"/>
    <x v="0"/>
    <x v="0"/>
    <x v="0"/>
    <x v="0"/>
    <x v="0"/>
    <x v="1"/>
    <x v="257"/>
    <x v="143"/>
    <x v="19"/>
    <x v="34"/>
    <x v="0"/>
    <x v="18"/>
    <x v="18"/>
    <x v="52"/>
    <x v="0"/>
    <x v="1"/>
    <x v="1"/>
    <x v="266"/>
  </r>
  <r>
    <x v="293"/>
    <x v="24"/>
    <x v="8"/>
    <x v="8"/>
    <x v="7"/>
    <x v="3"/>
    <x v="1"/>
    <x v="1"/>
    <x v="4"/>
    <x v="0"/>
    <x v="216"/>
    <x v="0"/>
    <x v="0"/>
    <x v="0"/>
    <x v="0"/>
    <x v="0"/>
    <x v="216"/>
    <x v="0"/>
    <x v="1"/>
    <x v="6"/>
    <x v="293"/>
    <x v="24"/>
    <x v="8"/>
    <x v="8"/>
    <x v="7"/>
    <x v="3"/>
    <x v="1"/>
    <x v="1"/>
    <x v="4"/>
    <x v="247"/>
    <x v="1"/>
    <x v="0"/>
    <x v="1"/>
    <x v="1"/>
    <x v="0"/>
    <x v="0"/>
    <x v="0"/>
    <x v="0"/>
    <x v="0"/>
    <x v="0"/>
    <x v="0"/>
    <x v="0"/>
    <x v="0"/>
    <x v="0"/>
    <x v="0"/>
    <x v="1"/>
    <x v="0"/>
    <x v="0"/>
    <x v="1"/>
    <x v="0"/>
    <x v="0"/>
    <x v="0"/>
    <x v="2"/>
    <x v="258"/>
    <x v="144"/>
    <x v="35"/>
    <x v="11"/>
    <x v="0"/>
    <x v="5"/>
    <x v="22"/>
    <x v="30"/>
    <x v="1"/>
    <x v="11"/>
    <x v="11"/>
    <x v="267"/>
  </r>
  <r>
    <x v="294"/>
    <x v="24"/>
    <x v="8"/>
    <x v="8"/>
    <x v="7"/>
    <x v="0"/>
    <x v="1"/>
    <x v="1"/>
    <x v="4"/>
    <x v="0"/>
    <x v="174"/>
    <x v="0"/>
    <x v="0"/>
    <x v="0"/>
    <x v="0"/>
    <x v="3"/>
    <x v="174"/>
    <x v="0"/>
    <x v="64"/>
    <x v="6"/>
    <x v="294"/>
    <x v="24"/>
    <x v="8"/>
    <x v="8"/>
    <x v="7"/>
    <x v="0"/>
    <x v="1"/>
    <x v="1"/>
    <x v="4"/>
    <x v="248"/>
    <x v="0"/>
    <x v="0"/>
    <x v="1"/>
    <x v="1"/>
    <x v="0"/>
    <x v="0"/>
    <x v="0"/>
    <x v="1"/>
    <x v="0"/>
    <x v="0"/>
    <x v="0"/>
    <x v="0"/>
    <x v="0"/>
    <x v="1"/>
    <x v="0"/>
    <x v="0"/>
    <x v="1"/>
    <x v="0"/>
    <x v="0"/>
    <x v="0"/>
    <x v="0"/>
    <x v="0"/>
    <x v="2"/>
    <x v="259"/>
    <x v="144"/>
    <x v="35"/>
    <x v="11"/>
    <x v="0"/>
    <x v="5"/>
    <x v="22"/>
    <x v="30"/>
    <x v="1"/>
    <x v="39"/>
    <x v="39"/>
    <x v="268"/>
  </r>
  <r>
    <x v="295"/>
    <x v="24"/>
    <x v="8"/>
    <x v="8"/>
    <x v="7"/>
    <x v="0"/>
    <x v="1"/>
    <x v="1"/>
    <x v="1"/>
    <x v="1"/>
    <x v="217"/>
    <x v="0"/>
    <x v="0"/>
    <x v="0"/>
    <x v="0"/>
    <x v="3"/>
    <x v="217"/>
    <x v="0"/>
    <x v="136"/>
    <x v="6"/>
    <x v="295"/>
    <x v="24"/>
    <x v="8"/>
    <x v="8"/>
    <x v="7"/>
    <x v="0"/>
    <x v="1"/>
    <x v="1"/>
    <x v="1"/>
    <x v="249"/>
    <x v="1"/>
    <x v="0"/>
    <x v="1"/>
    <x v="1"/>
    <x v="0"/>
    <x v="0"/>
    <x v="0"/>
    <x v="0"/>
    <x v="0"/>
    <x v="0"/>
    <x v="0"/>
    <x v="0"/>
    <x v="0"/>
    <x v="0"/>
    <x v="0"/>
    <x v="1"/>
    <x v="0"/>
    <x v="0"/>
    <x v="0"/>
    <x v="0"/>
    <x v="0"/>
    <x v="0"/>
    <x v="2"/>
    <x v="260"/>
    <x v="144"/>
    <x v="35"/>
    <x v="11"/>
    <x v="0"/>
    <x v="5"/>
    <x v="22"/>
    <x v="30"/>
    <x v="1"/>
    <x v="75"/>
    <x v="69"/>
    <x v="269"/>
  </r>
  <r>
    <x v="296"/>
    <x v="24"/>
    <x v="8"/>
    <x v="8"/>
    <x v="7"/>
    <x v="0"/>
    <x v="1"/>
    <x v="1"/>
    <x v="4"/>
    <x v="0"/>
    <x v="218"/>
    <x v="0"/>
    <x v="0"/>
    <x v="0"/>
    <x v="0"/>
    <x v="2"/>
    <x v="218"/>
    <x v="0"/>
    <x v="149"/>
    <x v="6"/>
    <x v="296"/>
    <x v="24"/>
    <x v="8"/>
    <x v="8"/>
    <x v="7"/>
    <x v="0"/>
    <x v="1"/>
    <x v="1"/>
    <x v="4"/>
    <x v="250"/>
    <x v="1"/>
    <x v="0"/>
    <x v="1"/>
    <x v="1"/>
    <x v="0"/>
    <x v="0"/>
    <x v="0"/>
    <x v="0"/>
    <x v="0"/>
    <x v="0"/>
    <x v="0"/>
    <x v="0"/>
    <x v="0"/>
    <x v="0"/>
    <x v="0"/>
    <x v="1"/>
    <x v="0"/>
    <x v="0"/>
    <x v="1"/>
    <x v="0"/>
    <x v="0"/>
    <x v="0"/>
    <x v="4"/>
    <x v="261"/>
    <x v="144"/>
    <x v="113"/>
    <x v="55"/>
    <x v="0"/>
    <x v="5"/>
    <x v="22"/>
    <x v="30"/>
    <x v="1"/>
    <x v="2"/>
    <x v="2"/>
    <x v="270"/>
  </r>
  <r>
    <x v="297"/>
    <x v="88"/>
    <x v="133"/>
    <x v="8"/>
    <x v="7"/>
    <x v="0"/>
    <x v="1"/>
    <x v="1"/>
    <x v="1"/>
    <x v="1"/>
    <x v="73"/>
    <x v="53"/>
    <x v="34"/>
    <x v="61"/>
    <x v="1"/>
    <x v="2"/>
    <x v="73"/>
    <x v="0"/>
    <x v="62"/>
    <x v="2"/>
    <x v="297"/>
    <x v="88"/>
    <x v="133"/>
    <x v="8"/>
    <x v="7"/>
    <x v="0"/>
    <x v="1"/>
    <x v="1"/>
    <x v="1"/>
    <x v="251"/>
    <x v="1"/>
    <x v="1"/>
    <x v="1"/>
    <x v="1"/>
    <x v="0"/>
    <x v="0"/>
    <x v="0"/>
    <x v="0"/>
    <x v="0"/>
    <x v="0"/>
    <x v="0"/>
    <x v="0"/>
    <x v="0"/>
    <x v="0"/>
    <x v="0"/>
    <x v="1"/>
    <x v="0"/>
    <x v="0"/>
    <x v="1"/>
    <x v="0"/>
    <x v="0"/>
    <x v="0"/>
    <x v="2"/>
    <x v="98"/>
    <x v="145"/>
    <x v="51"/>
    <x v="2"/>
    <x v="0"/>
    <x v="5"/>
    <x v="47"/>
    <x v="77"/>
    <x v="1"/>
    <x v="1"/>
    <x v="1"/>
    <x v="271"/>
  </r>
  <r>
    <x v="298"/>
    <x v="88"/>
    <x v="134"/>
    <x v="73"/>
    <x v="7"/>
    <x v="0"/>
    <x v="1"/>
    <x v="1"/>
    <x v="1"/>
    <x v="1"/>
    <x v="219"/>
    <x v="0"/>
    <x v="0"/>
    <x v="0"/>
    <x v="0"/>
    <x v="3"/>
    <x v="219"/>
    <x v="0"/>
    <x v="150"/>
    <x v="27"/>
    <x v="298"/>
    <x v="88"/>
    <x v="134"/>
    <x v="73"/>
    <x v="7"/>
    <x v="0"/>
    <x v="1"/>
    <x v="1"/>
    <x v="1"/>
    <x v="252"/>
    <x v="1"/>
    <x v="0"/>
    <x v="1"/>
    <x v="1"/>
    <x v="0"/>
    <x v="0"/>
    <x v="1"/>
    <x v="0"/>
    <x v="0"/>
    <x v="0"/>
    <x v="0"/>
    <x v="0"/>
    <x v="0"/>
    <x v="0"/>
    <x v="0"/>
    <x v="1"/>
    <x v="0"/>
    <x v="0"/>
    <x v="1"/>
    <x v="0"/>
    <x v="0"/>
    <x v="0"/>
    <x v="3"/>
    <x v="166"/>
    <x v="145"/>
    <x v="51"/>
    <x v="2"/>
    <x v="0"/>
    <x v="5"/>
    <x v="48"/>
    <x v="78"/>
    <x v="1"/>
    <x v="1"/>
    <x v="1"/>
    <x v="272"/>
  </r>
  <r>
    <x v="299"/>
    <x v="2"/>
    <x v="8"/>
    <x v="8"/>
    <x v="7"/>
    <x v="5"/>
    <x v="1"/>
    <x v="2"/>
    <x v="1"/>
    <x v="1"/>
    <x v="2"/>
    <x v="0"/>
    <x v="0"/>
    <x v="0"/>
    <x v="0"/>
    <x v="1"/>
    <x v="2"/>
    <x v="0"/>
    <x v="47"/>
    <x v="6"/>
    <x v="299"/>
    <x v="2"/>
    <x v="8"/>
    <x v="8"/>
    <x v="7"/>
    <x v="5"/>
    <x v="1"/>
    <x v="2"/>
    <x v="1"/>
    <x v="2"/>
    <x v="0"/>
    <x v="0"/>
    <x v="1"/>
    <x v="1"/>
    <x v="0"/>
    <x v="0"/>
    <x v="0"/>
    <x v="1"/>
    <x v="0"/>
    <x v="0"/>
    <x v="0"/>
    <x v="0"/>
    <x v="0"/>
    <x v="0"/>
    <x v="0"/>
    <x v="0"/>
    <x v="0"/>
    <x v="0"/>
    <x v="0"/>
    <x v="0"/>
    <x v="0"/>
    <x v="0"/>
    <x v="1"/>
    <x v="262"/>
    <x v="146"/>
    <x v="19"/>
    <x v="17"/>
    <x v="0"/>
    <x v="5"/>
    <x v="41"/>
    <x v="64"/>
    <x v="1"/>
    <x v="1"/>
    <x v="1"/>
    <x v="273"/>
  </r>
  <r>
    <x v="300"/>
    <x v="2"/>
    <x v="8"/>
    <x v="8"/>
    <x v="64"/>
    <x v="4"/>
    <x v="1"/>
    <x v="2"/>
    <x v="1"/>
    <x v="1"/>
    <x v="138"/>
    <x v="0"/>
    <x v="0"/>
    <x v="0"/>
    <x v="0"/>
    <x v="1"/>
    <x v="138"/>
    <x v="0"/>
    <x v="151"/>
    <x v="6"/>
    <x v="300"/>
    <x v="2"/>
    <x v="8"/>
    <x v="8"/>
    <x v="64"/>
    <x v="4"/>
    <x v="1"/>
    <x v="2"/>
    <x v="1"/>
    <x v="158"/>
    <x v="0"/>
    <x v="0"/>
    <x v="1"/>
    <x v="0"/>
    <x v="0"/>
    <x v="0"/>
    <x v="0"/>
    <x v="0"/>
    <x v="0"/>
    <x v="0"/>
    <x v="0"/>
    <x v="0"/>
    <x v="0"/>
    <x v="0"/>
    <x v="0"/>
    <x v="0"/>
    <x v="0"/>
    <x v="0"/>
    <x v="0"/>
    <x v="0"/>
    <x v="0"/>
    <x v="0"/>
    <x v="1"/>
    <x v="263"/>
    <x v="147"/>
    <x v="109"/>
    <x v="16"/>
    <x v="0"/>
    <x v="0"/>
    <x v="2"/>
    <x v="3"/>
    <x v="0"/>
    <x v="64"/>
    <x v="59"/>
    <x v="274"/>
  </r>
  <r>
    <x v="301"/>
    <x v="89"/>
    <x v="8"/>
    <x v="8"/>
    <x v="96"/>
    <x v="0"/>
    <x v="1"/>
    <x v="1"/>
    <x v="1"/>
    <x v="1"/>
    <x v="220"/>
    <x v="0"/>
    <x v="0"/>
    <x v="0"/>
    <x v="0"/>
    <x v="3"/>
    <x v="220"/>
    <x v="0"/>
    <x v="152"/>
    <x v="7"/>
    <x v="301"/>
    <x v="89"/>
    <x v="8"/>
    <x v="8"/>
    <x v="96"/>
    <x v="0"/>
    <x v="1"/>
    <x v="1"/>
    <x v="1"/>
    <x v="253"/>
    <x v="0"/>
    <x v="0"/>
    <x v="1"/>
    <x v="1"/>
    <x v="0"/>
    <x v="0"/>
    <x v="0"/>
    <x v="1"/>
    <x v="0"/>
    <x v="0"/>
    <x v="0"/>
    <x v="0"/>
    <x v="0"/>
    <x v="0"/>
    <x v="0"/>
    <x v="0"/>
    <x v="0"/>
    <x v="0"/>
    <x v="0"/>
    <x v="0"/>
    <x v="0"/>
    <x v="0"/>
    <x v="1"/>
    <x v="264"/>
    <x v="148"/>
    <x v="114"/>
    <x v="13"/>
    <x v="0"/>
    <x v="0"/>
    <x v="2"/>
    <x v="3"/>
    <x v="0"/>
    <x v="1"/>
    <x v="1"/>
    <x v="275"/>
  </r>
  <r>
    <x v="302"/>
    <x v="90"/>
    <x v="135"/>
    <x v="74"/>
    <x v="1"/>
    <x v="0"/>
    <x v="1"/>
    <x v="1"/>
    <x v="1"/>
    <x v="1"/>
    <x v="24"/>
    <x v="0"/>
    <x v="0"/>
    <x v="0"/>
    <x v="0"/>
    <x v="0"/>
    <x v="24"/>
    <x v="0"/>
    <x v="59"/>
    <x v="12"/>
    <x v="302"/>
    <x v="90"/>
    <x v="135"/>
    <x v="74"/>
    <x v="1"/>
    <x v="0"/>
    <x v="1"/>
    <x v="1"/>
    <x v="1"/>
    <x v="254"/>
    <x v="0"/>
    <x v="0"/>
    <x v="1"/>
    <x v="0"/>
    <x v="0"/>
    <x v="0"/>
    <x v="0"/>
    <x v="0"/>
    <x v="0"/>
    <x v="0"/>
    <x v="0"/>
    <x v="0"/>
    <x v="0"/>
    <x v="0"/>
    <x v="0"/>
    <x v="0"/>
    <x v="0"/>
    <x v="0"/>
    <x v="0"/>
    <x v="0"/>
    <x v="0"/>
    <x v="0"/>
    <x v="0"/>
    <x v="265"/>
    <x v="149"/>
    <x v="56"/>
    <x v="56"/>
    <x v="0"/>
    <x v="5"/>
    <x v="25"/>
    <x v="34"/>
    <x v="1"/>
    <x v="1"/>
    <x v="1"/>
    <x v="276"/>
  </r>
  <r>
    <x v="303"/>
    <x v="8"/>
    <x v="8"/>
    <x v="8"/>
    <x v="97"/>
    <x v="0"/>
    <x v="3"/>
    <x v="3"/>
    <x v="1"/>
    <x v="1"/>
    <x v="151"/>
    <x v="0"/>
    <x v="0"/>
    <x v="0"/>
    <x v="0"/>
    <x v="1"/>
    <x v="151"/>
    <x v="0"/>
    <x v="73"/>
    <x v="6"/>
    <x v="303"/>
    <x v="8"/>
    <x v="8"/>
    <x v="8"/>
    <x v="97"/>
    <x v="0"/>
    <x v="3"/>
    <x v="3"/>
    <x v="1"/>
    <x v="171"/>
    <x v="0"/>
    <x v="0"/>
    <x v="0"/>
    <x v="0"/>
    <x v="0"/>
    <x v="0"/>
    <x v="0"/>
    <x v="0"/>
    <x v="0"/>
    <x v="0"/>
    <x v="0"/>
    <x v="0"/>
    <x v="0"/>
    <x v="0"/>
    <x v="1"/>
    <x v="0"/>
    <x v="0"/>
    <x v="0"/>
    <x v="0"/>
    <x v="0"/>
    <x v="0"/>
    <x v="0"/>
    <x v="0"/>
    <x v="266"/>
    <x v="150"/>
    <x v="14"/>
    <x v="12"/>
    <x v="0"/>
    <x v="0"/>
    <x v="2"/>
    <x v="3"/>
    <x v="0"/>
    <x v="76"/>
    <x v="70"/>
    <x v="277"/>
  </r>
  <r>
    <x v="304"/>
    <x v="8"/>
    <x v="8"/>
    <x v="8"/>
    <x v="98"/>
    <x v="0"/>
    <x v="3"/>
    <x v="3"/>
    <x v="1"/>
    <x v="1"/>
    <x v="53"/>
    <x v="0"/>
    <x v="0"/>
    <x v="0"/>
    <x v="0"/>
    <x v="1"/>
    <x v="53"/>
    <x v="0"/>
    <x v="153"/>
    <x v="6"/>
    <x v="304"/>
    <x v="8"/>
    <x v="8"/>
    <x v="8"/>
    <x v="98"/>
    <x v="0"/>
    <x v="3"/>
    <x v="3"/>
    <x v="1"/>
    <x v="56"/>
    <x v="0"/>
    <x v="0"/>
    <x v="1"/>
    <x v="0"/>
    <x v="0"/>
    <x v="0"/>
    <x v="0"/>
    <x v="0"/>
    <x v="0"/>
    <x v="0"/>
    <x v="0"/>
    <x v="0"/>
    <x v="0"/>
    <x v="0"/>
    <x v="1"/>
    <x v="0"/>
    <x v="0"/>
    <x v="0"/>
    <x v="0"/>
    <x v="0"/>
    <x v="0"/>
    <x v="0"/>
    <x v="0"/>
    <x v="267"/>
    <x v="150"/>
    <x v="14"/>
    <x v="12"/>
    <x v="0"/>
    <x v="0"/>
    <x v="2"/>
    <x v="3"/>
    <x v="0"/>
    <x v="34"/>
    <x v="34"/>
    <x v="278"/>
  </r>
  <r>
    <x v="305"/>
    <x v="4"/>
    <x v="136"/>
    <x v="75"/>
    <x v="36"/>
    <x v="0"/>
    <x v="1"/>
    <x v="1"/>
    <x v="1"/>
    <x v="1"/>
    <x v="137"/>
    <x v="0"/>
    <x v="0"/>
    <x v="0"/>
    <x v="0"/>
    <x v="1"/>
    <x v="137"/>
    <x v="0"/>
    <x v="154"/>
    <x v="6"/>
    <x v="305"/>
    <x v="4"/>
    <x v="136"/>
    <x v="75"/>
    <x v="36"/>
    <x v="0"/>
    <x v="1"/>
    <x v="1"/>
    <x v="1"/>
    <x v="157"/>
    <x v="0"/>
    <x v="0"/>
    <x v="1"/>
    <x v="0"/>
    <x v="0"/>
    <x v="0"/>
    <x v="0"/>
    <x v="0"/>
    <x v="0"/>
    <x v="0"/>
    <x v="0"/>
    <x v="0"/>
    <x v="0"/>
    <x v="0"/>
    <x v="1"/>
    <x v="0"/>
    <x v="0"/>
    <x v="0"/>
    <x v="0"/>
    <x v="0"/>
    <x v="0"/>
    <x v="0"/>
    <x v="0"/>
    <x v="268"/>
    <x v="150"/>
    <x v="14"/>
    <x v="12"/>
    <x v="0"/>
    <x v="0"/>
    <x v="2"/>
    <x v="3"/>
    <x v="0"/>
    <x v="77"/>
    <x v="71"/>
    <x v="279"/>
  </r>
  <r>
    <x v="306"/>
    <x v="91"/>
    <x v="137"/>
    <x v="8"/>
    <x v="99"/>
    <x v="5"/>
    <x v="1"/>
    <x v="1"/>
    <x v="3"/>
    <x v="3"/>
    <x v="221"/>
    <x v="54"/>
    <x v="35"/>
    <x v="37"/>
    <x v="1"/>
    <x v="0"/>
    <x v="221"/>
    <x v="0"/>
    <x v="12"/>
    <x v="9"/>
    <x v="306"/>
    <x v="91"/>
    <x v="137"/>
    <x v="8"/>
    <x v="99"/>
    <x v="5"/>
    <x v="1"/>
    <x v="1"/>
    <x v="3"/>
    <x v="255"/>
    <x v="0"/>
    <x v="0"/>
    <x v="1"/>
    <x v="0"/>
    <x v="0"/>
    <x v="0"/>
    <x v="0"/>
    <x v="0"/>
    <x v="0"/>
    <x v="0"/>
    <x v="0"/>
    <x v="0"/>
    <x v="1"/>
    <x v="0"/>
    <x v="0"/>
    <x v="0"/>
    <x v="0"/>
    <x v="1"/>
    <x v="1"/>
    <x v="0"/>
    <x v="0"/>
    <x v="0"/>
    <x v="1"/>
    <x v="269"/>
    <x v="151"/>
    <x v="115"/>
    <x v="13"/>
    <x v="0"/>
    <x v="0"/>
    <x v="10"/>
    <x v="79"/>
    <x v="0"/>
    <x v="78"/>
    <x v="72"/>
    <x v="13"/>
  </r>
  <r>
    <x v="307"/>
    <x v="92"/>
    <x v="138"/>
    <x v="8"/>
    <x v="1"/>
    <x v="5"/>
    <x v="1"/>
    <x v="1"/>
    <x v="1"/>
    <x v="1"/>
    <x v="222"/>
    <x v="55"/>
    <x v="17"/>
    <x v="62"/>
    <x v="1"/>
    <x v="2"/>
    <x v="222"/>
    <x v="60"/>
    <x v="12"/>
    <x v="8"/>
    <x v="307"/>
    <x v="92"/>
    <x v="138"/>
    <x v="8"/>
    <x v="1"/>
    <x v="5"/>
    <x v="1"/>
    <x v="1"/>
    <x v="1"/>
    <x v="256"/>
    <x v="0"/>
    <x v="0"/>
    <x v="1"/>
    <x v="0"/>
    <x v="0"/>
    <x v="0"/>
    <x v="0"/>
    <x v="0"/>
    <x v="0"/>
    <x v="0"/>
    <x v="0"/>
    <x v="0"/>
    <x v="1"/>
    <x v="0"/>
    <x v="0"/>
    <x v="0"/>
    <x v="0"/>
    <x v="1"/>
    <x v="1"/>
    <x v="0"/>
    <x v="1"/>
    <x v="0"/>
    <x v="1"/>
    <x v="270"/>
    <x v="152"/>
    <x v="116"/>
    <x v="0"/>
    <x v="0"/>
    <x v="5"/>
    <x v="32"/>
    <x v="48"/>
    <x v="1"/>
    <x v="79"/>
    <x v="9"/>
    <x v="13"/>
  </r>
  <r>
    <x v="308"/>
    <x v="93"/>
    <x v="139"/>
    <x v="8"/>
    <x v="100"/>
    <x v="5"/>
    <x v="1"/>
    <x v="1"/>
    <x v="3"/>
    <x v="3"/>
    <x v="223"/>
    <x v="56"/>
    <x v="17"/>
    <x v="63"/>
    <x v="1"/>
    <x v="0"/>
    <x v="223"/>
    <x v="61"/>
    <x v="12"/>
    <x v="8"/>
    <x v="308"/>
    <x v="93"/>
    <x v="139"/>
    <x v="8"/>
    <x v="100"/>
    <x v="5"/>
    <x v="1"/>
    <x v="1"/>
    <x v="3"/>
    <x v="257"/>
    <x v="0"/>
    <x v="0"/>
    <x v="1"/>
    <x v="0"/>
    <x v="0"/>
    <x v="0"/>
    <x v="0"/>
    <x v="0"/>
    <x v="0"/>
    <x v="0"/>
    <x v="0"/>
    <x v="0"/>
    <x v="1"/>
    <x v="0"/>
    <x v="0"/>
    <x v="0"/>
    <x v="0"/>
    <x v="1"/>
    <x v="1"/>
    <x v="0"/>
    <x v="1"/>
    <x v="0"/>
    <x v="1"/>
    <x v="270"/>
    <x v="152"/>
    <x v="6"/>
    <x v="7"/>
    <x v="1"/>
    <x v="4"/>
    <x v="4"/>
    <x v="5"/>
    <x v="0"/>
    <x v="79"/>
    <x v="9"/>
    <x v="13"/>
  </r>
  <r>
    <x v="309"/>
    <x v="9"/>
    <x v="8"/>
    <x v="8"/>
    <x v="55"/>
    <x v="0"/>
    <x v="4"/>
    <x v="3"/>
    <x v="3"/>
    <x v="3"/>
    <x v="41"/>
    <x v="0"/>
    <x v="0"/>
    <x v="0"/>
    <x v="0"/>
    <x v="1"/>
    <x v="41"/>
    <x v="0"/>
    <x v="155"/>
    <x v="6"/>
    <x v="309"/>
    <x v="9"/>
    <x v="8"/>
    <x v="8"/>
    <x v="55"/>
    <x v="0"/>
    <x v="4"/>
    <x v="3"/>
    <x v="3"/>
    <x v="258"/>
    <x v="0"/>
    <x v="0"/>
    <x v="1"/>
    <x v="0"/>
    <x v="0"/>
    <x v="0"/>
    <x v="0"/>
    <x v="0"/>
    <x v="0"/>
    <x v="0"/>
    <x v="0"/>
    <x v="0"/>
    <x v="0"/>
    <x v="0"/>
    <x v="0"/>
    <x v="0"/>
    <x v="0"/>
    <x v="0"/>
    <x v="1"/>
    <x v="0"/>
    <x v="0"/>
    <x v="0"/>
    <x v="0"/>
    <x v="271"/>
    <x v="153"/>
    <x v="112"/>
    <x v="15"/>
    <x v="0"/>
    <x v="0"/>
    <x v="2"/>
    <x v="3"/>
    <x v="0"/>
    <x v="80"/>
    <x v="73"/>
    <x v="280"/>
  </r>
  <r>
    <x v="310"/>
    <x v="9"/>
    <x v="8"/>
    <x v="8"/>
    <x v="7"/>
    <x v="0"/>
    <x v="4"/>
    <x v="3"/>
    <x v="3"/>
    <x v="3"/>
    <x v="224"/>
    <x v="0"/>
    <x v="0"/>
    <x v="0"/>
    <x v="0"/>
    <x v="3"/>
    <x v="224"/>
    <x v="0"/>
    <x v="156"/>
    <x v="6"/>
    <x v="310"/>
    <x v="9"/>
    <x v="8"/>
    <x v="8"/>
    <x v="7"/>
    <x v="0"/>
    <x v="4"/>
    <x v="3"/>
    <x v="3"/>
    <x v="259"/>
    <x v="0"/>
    <x v="0"/>
    <x v="1"/>
    <x v="1"/>
    <x v="0"/>
    <x v="0"/>
    <x v="0"/>
    <x v="0"/>
    <x v="0"/>
    <x v="0"/>
    <x v="0"/>
    <x v="0"/>
    <x v="0"/>
    <x v="0"/>
    <x v="0"/>
    <x v="1"/>
    <x v="0"/>
    <x v="0"/>
    <x v="0"/>
    <x v="0"/>
    <x v="0"/>
    <x v="0"/>
    <x v="1"/>
    <x v="272"/>
    <x v="153"/>
    <x v="112"/>
    <x v="16"/>
    <x v="0"/>
    <x v="0"/>
    <x v="2"/>
    <x v="3"/>
    <x v="0"/>
    <x v="32"/>
    <x v="32"/>
    <x v="281"/>
  </r>
  <r>
    <x v="311"/>
    <x v="9"/>
    <x v="8"/>
    <x v="8"/>
    <x v="55"/>
    <x v="0"/>
    <x v="4"/>
    <x v="3"/>
    <x v="1"/>
    <x v="1"/>
    <x v="38"/>
    <x v="0"/>
    <x v="0"/>
    <x v="0"/>
    <x v="0"/>
    <x v="3"/>
    <x v="38"/>
    <x v="0"/>
    <x v="6"/>
    <x v="10"/>
    <x v="311"/>
    <x v="9"/>
    <x v="8"/>
    <x v="8"/>
    <x v="55"/>
    <x v="0"/>
    <x v="4"/>
    <x v="3"/>
    <x v="1"/>
    <x v="40"/>
    <x v="0"/>
    <x v="0"/>
    <x v="1"/>
    <x v="0"/>
    <x v="0"/>
    <x v="0"/>
    <x v="0"/>
    <x v="0"/>
    <x v="0"/>
    <x v="0"/>
    <x v="0"/>
    <x v="0"/>
    <x v="0"/>
    <x v="0"/>
    <x v="0"/>
    <x v="0"/>
    <x v="0"/>
    <x v="0"/>
    <x v="1"/>
    <x v="0"/>
    <x v="0"/>
    <x v="0"/>
    <x v="0"/>
    <x v="273"/>
    <x v="153"/>
    <x v="112"/>
    <x v="16"/>
    <x v="0"/>
    <x v="0"/>
    <x v="2"/>
    <x v="3"/>
    <x v="0"/>
    <x v="29"/>
    <x v="29"/>
    <x v="282"/>
  </r>
  <r>
    <x v="312"/>
    <x v="9"/>
    <x v="8"/>
    <x v="8"/>
    <x v="55"/>
    <x v="0"/>
    <x v="4"/>
    <x v="3"/>
    <x v="3"/>
    <x v="3"/>
    <x v="174"/>
    <x v="0"/>
    <x v="0"/>
    <x v="0"/>
    <x v="0"/>
    <x v="3"/>
    <x v="174"/>
    <x v="0"/>
    <x v="157"/>
    <x v="6"/>
    <x v="312"/>
    <x v="9"/>
    <x v="8"/>
    <x v="8"/>
    <x v="55"/>
    <x v="0"/>
    <x v="4"/>
    <x v="3"/>
    <x v="3"/>
    <x v="260"/>
    <x v="0"/>
    <x v="0"/>
    <x v="1"/>
    <x v="0"/>
    <x v="0"/>
    <x v="0"/>
    <x v="0"/>
    <x v="0"/>
    <x v="0"/>
    <x v="0"/>
    <x v="0"/>
    <x v="0"/>
    <x v="0"/>
    <x v="0"/>
    <x v="0"/>
    <x v="0"/>
    <x v="0"/>
    <x v="0"/>
    <x v="1"/>
    <x v="0"/>
    <x v="0"/>
    <x v="0"/>
    <x v="0"/>
    <x v="274"/>
    <x v="153"/>
    <x v="112"/>
    <x v="16"/>
    <x v="0"/>
    <x v="0"/>
    <x v="2"/>
    <x v="3"/>
    <x v="0"/>
    <x v="3"/>
    <x v="3"/>
    <x v="283"/>
  </r>
  <r>
    <x v="313"/>
    <x v="94"/>
    <x v="8"/>
    <x v="76"/>
    <x v="101"/>
    <x v="2"/>
    <x v="1"/>
    <x v="1"/>
    <x v="1"/>
    <x v="1"/>
    <x v="1"/>
    <x v="0"/>
    <x v="0"/>
    <x v="0"/>
    <x v="0"/>
    <x v="0"/>
    <x v="1"/>
    <x v="0"/>
    <x v="41"/>
    <x v="6"/>
    <x v="313"/>
    <x v="94"/>
    <x v="8"/>
    <x v="76"/>
    <x v="101"/>
    <x v="2"/>
    <x v="1"/>
    <x v="1"/>
    <x v="1"/>
    <x v="1"/>
    <x v="0"/>
    <x v="0"/>
    <x v="1"/>
    <x v="0"/>
    <x v="0"/>
    <x v="0"/>
    <x v="0"/>
    <x v="0"/>
    <x v="0"/>
    <x v="0"/>
    <x v="0"/>
    <x v="0"/>
    <x v="0"/>
    <x v="0"/>
    <x v="0"/>
    <x v="0"/>
    <x v="0"/>
    <x v="0"/>
    <x v="0"/>
    <x v="0"/>
    <x v="0"/>
    <x v="0"/>
    <x v="0"/>
    <x v="275"/>
    <x v="154"/>
    <x v="117"/>
    <x v="26"/>
    <x v="0"/>
    <x v="16"/>
    <x v="2"/>
    <x v="39"/>
    <x v="0"/>
    <x v="2"/>
    <x v="2"/>
    <x v="284"/>
  </r>
  <r>
    <x v="313"/>
    <x v="94"/>
    <x v="8"/>
    <x v="76"/>
    <x v="101"/>
    <x v="2"/>
    <x v="1"/>
    <x v="1"/>
    <x v="1"/>
    <x v="1"/>
    <x v="1"/>
    <x v="0"/>
    <x v="0"/>
    <x v="0"/>
    <x v="0"/>
    <x v="0"/>
    <x v="1"/>
    <x v="0"/>
    <x v="26"/>
    <x v="6"/>
    <x v="313"/>
    <x v="94"/>
    <x v="8"/>
    <x v="76"/>
    <x v="101"/>
    <x v="2"/>
    <x v="1"/>
    <x v="1"/>
    <x v="1"/>
    <x v="1"/>
    <x v="0"/>
    <x v="0"/>
    <x v="1"/>
    <x v="0"/>
    <x v="0"/>
    <x v="0"/>
    <x v="0"/>
    <x v="0"/>
    <x v="0"/>
    <x v="0"/>
    <x v="0"/>
    <x v="0"/>
    <x v="0"/>
    <x v="0"/>
    <x v="0"/>
    <x v="0"/>
    <x v="0"/>
    <x v="0"/>
    <x v="0"/>
    <x v="0"/>
    <x v="0"/>
    <x v="0"/>
    <x v="0"/>
    <x v="276"/>
    <x v="154"/>
    <x v="117"/>
    <x v="26"/>
    <x v="0"/>
    <x v="16"/>
    <x v="2"/>
    <x v="39"/>
    <x v="0"/>
    <x v="2"/>
    <x v="2"/>
    <x v="28"/>
  </r>
  <r>
    <x v="314"/>
    <x v="94"/>
    <x v="8"/>
    <x v="8"/>
    <x v="101"/>
    <x v="1"/>
    <x v="1"/>
    <x v="1"/>
    <x v="1"/>
    <x v="1"/>
    <x v="65"/>
    <x v="0"/>
    <x v="0"/>
    <x v="0"/>
    <x v="0"/>
    <x v="0"/>
    <x v="65"/>
    <x v="0"/>
    <x v="63"/>
    <x v="6"/>
    <x v="314"/>
    <x v="94"/>
    <x v="8"/>
    <x v="8"/>
    <x v="101"/>
    <x v="1"/>
    <x v="1"/>
    <x v="1"/>
    <x v="1"/>
    <x v="79"/>
    <x v="0"/>
    <x v="0"/>
    <x v="1"/>
    <x v="0"/>
    <x v="0"/>
    <x v="0"/>
    <x v="0"/>
    <x v="0"/>
    <x v="0"/>
    <x v="0"/>
    <x v="0"/>
    <x v="0"/>
    <x v="0"/>
    <x v="0"/>
    <x v="0"/>
    <x v="0"/>
    <x v="0"/>
    <x v="0"/>
    <x v="0"/>
    <x v="0"/>
    <x v="0"/>
    <x v="0"/>
    <x v="0"/>
    <x v="277"/>
    <x v="154"/>
    <x v="117"/>
    <x v="26"/>
    <x v="0"/>
    <x v="16"/>
    <x v="2"/>
    <x v="39"/>
    <x v="0"/>
    <x v="29"/>
    <x v="29"/>
    <x v="285"/>
  </r>
  <r>
    <x v="315"/>
    <x v="19"/>
    <x v="140"/>
    <x v="8"/>
    <x v="65"/>
    <x v="13"/>
    <x v="6"/>
    <x v="3"/>
    <x v="1"/>
    <x v="1"/>
    <x v="179"/>
    <x v="0"/>
    <x v="0"/>
    <x v="0"/>
    <x v="0"/>
    <x v="1"/>
    <x v="179"/>
    <x v="0"/>
    <x v="6"/>
    <x v="6"/>
    <x v="315"/>
    <x v="19"/>
    <x v="140"/>
    <x v="8"/>
    <x v="65"/>
    <x v="13"/>
    <x v="6"/>
    <x v="3"/>
    <x v="1"/>
    <x v="203"/>
    <x v="0"/>
    <x v="0"/>
    <x v="1"/>
    <x v="0"/>
    <x v="0"/>
    <x v="0"/>
    <x v="0"/>
    <x v="0"/>
    <x v="0"/>
    <x v="0"/>
    <x v="0"/>
    <x v="1"/>
    <x v="0"/>
    <x v="0"/>
    <x v="0"/>
    <x v="0"/>
    <x v="0"/>
    <x v="0"/>
    <x v="0"/>
    <x v="0"/>
    <x v="0"/>
    <x v="0"/>
    <x v="0"/>
    <x v="278"/>
    <x v="155"/>
    <x v="118"/>
    <x v="13"/>
    <x v="0"/>
    <x v="17"/>
    <x v="2"/>
    <x v="40"/>
    <x v="0"/>
    <x v="2"/>
    <x v="2"/>
    <x v="286"/>
  </r>
  <r>
    <x v="316"/>
    <x v="86"/>
    <x v="8"/>
    <x v="8"/>
    <x v="65"/>
    <x v="9"/>
    <x v="8"/>
    <x v="1"/>
    <x v="1"/>
    <x v="1"/>
    <x v="2"/>
    <x v="0"/>
    <x v="0"/>
    <x v="0"/>
    <x v="0"/>
    <x v="1"/>
    <x v="2"/>
    <x v="0"/>
    <x v="158"/>
    <x v="6"/>
    <x v="316"/>
    <x v="86"/>
    <x v="8"/>
    <x v="8"/>
    <x v="65"/>
    <x v="9"/>
    <x v="8"/>
    <x v="1"/>
    <x v="1"/>
    <x v="2"/>
    <x v="0"/>
    <x v="0"/>
    <x v="1"/>
    <x v="0"/>
    <x v="0"/>
    <x v="0"/>
    <x v="0"/>
    <x v="0"/>
    <x v="0"/>
    <x v="0"/>
    <x v="0"/>
    <x v="1"/>
    <x v="0"/>
    <x v="0"/>
    <x v="0"/>
    <x v="0"/>
    <x v="0"/>
    <x v="0"/>
    <x v="1"/>
    <x v="0"/>
    <x v="0"/>
    <x v="0"/>
    <x v="0"/>
    <x v="279"/>
    <x v="155"/>
    <x v="118"/>
    <x v="13"/>
    <x v="0"/>
    <x v="17"/>
    <x v="2"/>
    <x v="40"/>
    <x v="0"/>
    <x v="81"/>
    <x v="74"/>
    <x v="287"/>
  </r>
  <r>
    <x v="317"/>
    <x v="2"/>
    <x v="8"/>
    <x v="8"/>
    <x v="1"/>
    <x v="0"/>
    <x v="5"/>
    <x v="2"/>
    <x v="1"/>
    <x v="1"/>
    <x v="225"/>
    <x v="0"/>
    <x v="0"/>
    <x v="0"/>
    <x v="0"/>
    <x v="1"/>
    <x v="225"/>
    <x v="0"/>
    <x v="106"/>
    <x v="6"/>
    <x v="317"/>
    <x v="2"/>
    <x v="8"/>
    <x v="8"/>
    <x v="1"/>
    <x v="0"/>
    <x v="5"/>
    <x v="2"/>
    <x v="1"/>
    <x v="261"/>
    <x v="0"/>
    <x v="0"/>
    <x v="1"/>
    <x v="0"/>
    <x v="0"/>
    <x v="1"/>
    <x v="0"/>
    <x v="0"/>
    <x v="0"/>
    <x v="0"/>
    <x v="0"/>
    <x v="0"/>
    <x v="0"/>
    <x v="0"/>
    <x v="0"/>
    <x v="0"/>
    <x v="0"/>
    <x v="0"/>
    <x v="0"/>
    <x v="0"/>
    <x v="0"/>
    <x v="0"/>
    <x v="0"/>
    <x v="280"/>
    <x v="155"/>
    <x v="118"/>
    <x v="13"/>
    <x v="0"/>
    <x v="0"/>
    <x v="2"/>
    <x v="3"/>
    <x v="0"/>
    <x v="8"/>
    <x v="8"/>
    <x v="288"/>
  </r>
  <r>
    <x v="318"/>
    <x v="2"/>
    <x v="8"/>
    <x v="8"/>
    <x v="65"/>
    <x v="9"/>
    <x v="8"/>
    <x v="2"/>
    <x v="1"/>
    <x v="1"/>
    <x v="226"/>
    <x v="0"/>
    <x v="0"/>
    <x v="0"/>
    <x v="0"/>
    <x v="1"/>
    <x v="226"/>
    <x v="0"/>
    <x v="47"/>
    <x v="6"/>
    <x v="318"/>
    <x v="2"/>
    <x v="8"/>
    <x v="8"/>
    <x v="65"/>
    <x v="9"/>
    <x v="8"/>
    <x v="2"/>
    <x v="1"/>
    <x v="262"/>
    <x v="0"/>
    <x v="1"/>
    <x v="1"/>
    <x v="0"/>
    <x v="0"/>
    <x v="0"/>
    <x v="0"/>
    <x v="0"/>
    <x v="0"/>
    <x v="0"/>
    <x v="0"/>
    <x v="0"/>
    <x v="0"/>
    <x v="0"/>
    <x v="0"/>
    <x v="1"/>
    <x v="1"/>
    <x v="0"/>
    <x v="0"/>
    <x v="0"/>
    <x v="0"/>
    <x v="0"/>
    <x v="0"/>
    <x v="245"/>
    <x v="155"/>
    <x v="118"/>
    <x v="11"/>
    <x v="0"/>
    <x v="17"/>
    <x v="2"/>
    <x v="40"/>
    <x v="0"/>
    <x v="0"/>
    <x v="0"/>
    <x v="289"/>
  </r>
  <r>
    <x v="319"/>
    <x v="2"/>
    <x v="8"/>
    <x v="8"/>
    <x v="102"/>
    <x v="0"/>
    <x v="1"/>
    <x v="2"/>
    <x v="1"/>
    <x v="1"/>
    <x v="151"/>
    <x v="0"/>
    <x v="0"/>
    <x v="0"/>
    <x v="0"/>
    <x v="1"/>
    <x v="151"/>
    <x v="0"/>
    <x v="32"/>
    <x v="6"/>
    <x v="319"/>
    <x v="2"/>
    <x v="8"/>
    <x v="8"/>
    <x v="102"/>
    <x v="0"/>
    <x v="1"/>
    <x v="2"/>
    <x v="1"/>
    <x v="171"/>
    <x v="0"/>
    <x v="0"/>
    <x v="1"/>
    <x v="1"/>
    <x v="0"/>
    <x v="1"/>
    <x v="0"/>
    <x v="0"/>
    <x v="0"/>
    <x v="0"/>
    <x v="0"/>
    <x v="0"/>
    <x v="0"/>
    <x v="0"/>
    <x v="0"/>
    <x v="0"/>
    <x v="0"/>
    <x v="0"/>
    <x v="0"/>
    <x v="0"/>
    <x v="0"/>
    <x v="0"/>
    <x v="1"/>
    <x v="281"/>
    <x v="156"/>
    <x v="6"/>
    <x v="7"/>
    <x v="1"/>
    <x v="4"/>
    <x v="4"/>
    <x v="5"/>
    <x v="0"/>
    <x v="3"/>
    <x v="3"/>
    <x v="290"/>
  </r>
  <r>
    <x v="320"/>
    <x v="2"/>
    <x v="8"/>
    <x v="8"/>
    <x v="1"/>
    <x v="2"/>
    <x v="1"/>
    <x v="2"/>
    <x v="1"/>
    <x v="1"/>
    <x v="227"/>
    <x v="0"/>
    <x v="0"/>
    <x v="0"/>
    <x v="0"/>
    <x v="1"/>
    <x v="227"/>
    <x v="0"/>
    <x v="0"/>
    <x v="6"/>
    <x v="320"/>
    <x v="2"/>
    <x v="8"/>
    <x v="8"/>
    <x v="1"/>
    <x v="2"/>
    <x v="1"/>
    <x v="2"/>
    <x v="1"/>
    <x v="263"/>
    <x v="0"/>
    <x v="0"/>
    <x v="1"/>
    <x v="1"/>
    <x v="0"/>
    <x v="0"/>
    <x v="0"/>
    <x v="0"/>
    <x v="0"/>
    <x v="0"/>
    <x v="0"/>
    <x v="0"/>
    <x v="0"/>
    <x v="0"/>
    <x v="0"/>
    <x v="0"/>
    <x v="0"/>
    <x v="0"/>
    <x v="0"/>
    <x v="0"/>
    <x v="0"/>
    <x v="0"/>
    <x v="1"/>
    <x v="250"/>
    <x v="156"/>
    <x v="6"/>
    <x v="7"/>
    <x v="1"/>
    <x v="4"/>
    <x v="4"/>
    <x v="5"/>
    <x v="0"/>
    <x v="8"/>
    <x v="8"/>
    <x v="291"/>
  </r>
  <r>
    <x v="321"/>
    <x v="95"/>
    <x v="141"/>
    <x v="8"/>
    <x v="2"/>
    <x v="2"/>
    <x v="1"/>
    <x v="1"/>
    <x v="1"/>
    <x v="1"/>
    <x v="228"/>
    <x v="2"/>
    <x v="14"/>
    <x v="64"/>
    <x v="1"/>
    <x v="0"/>
    <x v="228"/>
    <x v="0"/>
    <x v="36"/>
    <x v="6"/>
    <x v="321"/>
    <x v="95"/>
    <x v="141"/>
    <x v="8"/>
    <x v="2"/>
    <x v="2"/>
    <x v="1"/>
    <x v="1"/>
    <x v="1"/>
    <x v="264"/>
    <x v="0"/>
    <x v="0"/>
    <x v="0"/>
    <x v="0"/>
    <x v="1"/>
    <x v="0"/>
    <x v="1"/>
    <x v="0"/>
    <x v="0"/>
    <x v="0"/>
    <x v="0"/>
    <x v="0"/>
    <x v="0"/>
    <x v="0"/>
    <x v="0"/>
    <x v="1"/>
    <x v="0"/>
    <x v="0"/>
    <x v="0"/>
    <x v="0"/>
    <x v="0"/>
    <x v="0"/>
    <x v="2"/>
    <x v="282"/>
    <x v="157"/>
    <x v="119"/>
    <x v="0"/>
    <x v="0"/>
    <x v="0"/>
    <x v="23"/>
    <x v="32"/>
    <x v="0"/>
    <x v="26"/>
    <x v="26"/>
    <x v="292"/>
  </r>
  <r>
    <x v="322"/>
    <x v="95"/>
    <x v="8"/>
    <x v="8"/>
    <x v="7"/>
    <x v="3"/>
    <x v="1"/>
    <x v="1"/>
    <x v="1"/>
    <x v="1"/>
    <x v="229"/>
    <x v="57"/>
    <x v="36"/>
    <x v="31"/>
    <x v="1"/>
    <x v="2"/>
    <x v="229"/>
    <x v="62"/>
    <x v="66"/>
    <x v="6"/>
    <x v="322"/>
    <x v="95"/>
    <x v="8"/>
    <x v="8"/>
    <x v="7"/>
    <x v="3"/>
    <x v="1"/>
    <x v="1"/>
    <x v="1"/>
    <x v="265"/>
    <x v="0"/>
    <x v="0"/>
    <x v="1"/>
    <x v="1"/>
    <x v="0"/>
    <x v="0"/>
    <x v="1"/>
    <x v="0"/>
    <x v="0"/>
    <x v="0"/>
    <x v="0"/>
    <x v="0"/>
    <x v="1"/>
    <x v="0"/>
    <x v="0"/>
    <x v="1"/>
    <x v="0"/>
    <x v="1"/>
    <x v="1"/>
    <x v="0"/>
    <x v="4"/>
    <x v="0"/>
    <x v="3"/>
    <x v="3"/>
    <x v="157"/>
    <x v="119"/>
    <x v="1"/>
    <x v="0"/>
    <x v="1"/>
    <x v="38"/>
    <x v="80"/>
    <x v="0"/>
    <x v="5"/>
    <x v="5"/>
    <x v="293"/>
  </r>
  <r>
    <x v="323"/>
    <x v="95"/>
    <x v="8"/>
    <x v="8"/>
    <x v="7"/>
    <x v="3"/>
    <x v="1"/>
    <x v="1"/>
    <x v="1"/>
    <x v="1"/>
    <x v="230"/>
    <x v="57"/>
    <x v="37"/>
    <x v="65"/>
    <x v="1"/>
    <x v="2"/>
    <x v="230"/>
    <x v="63"/>
    <x v="66"/>
    <x v="6"/>
    <x v="323"/>
    <x v="95"/>
    <x v="8"/>
    <x v="8"/>
    <x v="7"/>
    <x v="3"/>
    <x v="1"/>
    <x v="1"/>
    <x v="1"/>
    <x v="266"/>
    <x v="0"/>
    <x v="0"/>
    <x v="1"/>
    <x v="1"/>
    <x v="0"/>
    <x v="0"/>
    <x v="0"/>
    <x v="0"/>
    <x v="0"/>
    <x v="0"/>
    <x v="0"/>
    <x v="0"/>
    <x v="1"/>
    <x v="0"/>
    <x v="0"/>
    <x v="1"/>
    <x v="0"/>
    <x v="1"/>
    <x v="1"/>
    <x v="0"/>
    <x v="4"/>
    <x v="0"/>
    <x v="2"/>
    <x v="283"/>
    <x v="157"/>
    <x v="6"/>
    <x v="7"/>
    <x v="1"/>
    <x v="4"/>
    <x v="4"/>
    <x v="5"/>
    <x v="0"/>
    <x v="5"/>
    <x v="5"/>
    <x v="294"/>
  </r>
  <r>
    <x v="324"/>
    <x v="96"/>
    <x v="8"/>
    <x v="77"/>
    <x v="103"/>
    <x v="0"/>
    <x v="1"/>
    <x v="1"/>
    <x v="1"/>
    <x v="1"/>
    <x v="231"/>
    <x v="0"/>
    <x v="0"/>
    <x v="0"/>
    <x v="0"/>
    <x v="0"/>
    <x v="231"/>
    <x v="0"/>
    <x v="0"/>
    <x v="27"/>
    <x v="324"/>
    <x v="96"/>
    <x v="8"/>
    <x v="77"/>
    <x v="103"/>
    <x v="0"/>
    <x v="1"/>
    <x v="1"/>
    <x v="1"/>
    <x v="267"/>
    <x v="1"/>
    <x v="0"/>
    <x v="1"/>
    <x v="1"/>
    <x v="0"/>
    <x v="0"/>
    <x v="0"/>
    <x v="0"/>
    <x v="0"/>
    <x v="0"/>
    <x v="0"/>
    <x v="0"/>
    <x v="0"/>
    <x v="0"/>
    <x v="0"/>
    <x v="1"/>
    <x v="0"/>
    <x v="0"/>
    <x v="0"/>
    <x v="0"/>
    <x v="0"/>
    <x v="0"/>
    <x v="2"/>
    <x v="284"/>
    <x v="158"/>
    <x v="35"/>
    <x v="13"/>
    <x v="0"/>
    <x v="3"/>
    <x v="26"/>
    <x v="35"/>
    <x v="0"/>
    <x v="26"/>
    <x v="26"/>
    <x v="295"/>
  </r>
  <r>
    <x v="325"/>
    <x v="96"/>
    <x v="8"/>
    <x v="77"/>
    <x v="103"/>
    <x v="0"/>
    <x v="1"/>
    <x v="1"/>
    <x v="1"/>
    <x v="1"/>
    <x v="232"/>
    <x v="0"/>
    <x v="0"/>
    <x v="0"/>
    <x v="0"/>
    <x v="0"/>
    <x v="232"/>
    <x v="0"/>
    <x v="32"/>
    <x v="28"/>
    <x v="325"/>
    <x v="96"/>
    <x v="8"/>
    <x v="77"/>
    <x v="103"/>
    <x v="0"/>
    <x v="1"/>
    <x v="1"/>
    <x v="1"/>
    <x v="268"/>
    <x v="1"/>
    <x v="1"/>
    <x v="1"/>
    <x v="1"/>
    <x v="0"/>
    <x v="0"/>
    <x v="0"/>
    <x v="0"/>
    <x v="0"/>
    <x v="0"/>
    <x v="0"/>
    <x v="0"/>
    <x v="0"/>
    <x v="0"/>
    <x v="0"/>
    <x v="1"/>
    <x v="0"/>
    <x v="0"/>
    <x v="1"/>
    <x v="0"/>
    <x v="0"/>
    <x v="0"/>
    <x v="2"/>
    <x v="285"/>
    <x v="158"/>
    <x v="35"/>
    <x v="13"/>
    <x v="0"/>
    <x v="3"/>
    <x v="26"/>
    <x v="35"/>
    <x v="0"/>
    <x v="26"/>
    <x v="26"/>
    <x v="296"/>
  </r>
  <r>
    <x v="326"/>
    <x v="2"/>
    <x v="8"/>
    <x v="8"/>
    <x v="104"/>
    <x v="4"/>
    <x v="1"/>
    <x v="2"/>
    <x v="1"/>
    <x v="1"/>
    <x v="233"/>
    <x v="58"/>
    <x v="38"/>
    <x v="66"/>
    <x v="1"/>
    <x v="1"/>
    <x v="233"/>
    <x v="0"/>
    <x v="159"/>
    <x v="6"/>
    <x v="326"/>
    <x v="2"/>
    <x v="8"/>
    <x v="8"/>
    <x v="104"/>
    <x v="4"/>
    <x v="1"/>
    <x v="2"/>
    <x v="1"/>
    <x v="269"/>
    <x v="0"/>
    <x v="0"/>
    <x v="1"/>
    <x v="0"/>
    <x v="0"/>
    <x v="0"/>
    <x v="0"/>
    <x v="0"/>
    <x v="0"/>
    <x v="0"/>
    <x v="0"/>
    <x v="0"/>
    <x v="0"/>
    <x v="0"/>
    <x v="0"/>
    <x v="0"/>
    <x v="0"/>
    <x v="0"/>
    <x v="1"/>
    <x v="0"/>
    <x v="0"/>
    <x v="4"/>
    <x v="0"/>
    <x v="286"/>
    <x v="159"/>
    <x v="114"/>
    <x v="11"/>
    <x v="0"/>
    <x v="2"/>
    <x v="14"/>
    <x v="81"/>
    <x v="0"/>
    <x v="1"/>
    <x v="1"/>
    <x v="297"/>
  </r>
  <r>
    <x v="327"/>
    <x v="97"/>
    <x v="8"/>
    <x v="8"/>
    <x v="64"/>
    <x v="5"/>
    <x v="1"/>
    <x v="1"/>
    <x v="3"/>
    <x v="3"/>
    <x v="179"/>
    <x v="0"/>
    <x v="0"/>
    <x v="0"/>
    <x v="0"/>
    <x v="1"/>
    <x v="179"/>
    <x v="0"/>
    <x v="12"/>
    <x v="8"/>
    <x v="327"/>
    <x v="97"/>
    <x v="8"/>
    <x v="8"/>
    <x v="64"/>
    <x v="5"/>
    <x v="1"/>
    <x v="1"/>
    <x v="3"/>
    <x v="270"/>
    <x v="0"/>
    <x v="0"/>
    <x v="1"/>
    <x v="0"/>
    <x v="0"/>
    <x v="0"/>
    <x v="0"/>
    <x v="0"/>
    <x v="0"/>
    <x v="0"/>
    <x v="0"/>
    <x v="0"/>
    <x v="0"/>
    <x v="0"/>
    <x v="0"/>
    <x v="0"/>
    <x v="0"/>
    <x v="1"/>
    <x v="0"/>
    <x v="0"/>
    <x v="0"/>
    <x v="0"/>
    <x v="0"/>
    <x v="287"/>
    <x v="160"/>
    <x v="120"/>
    <x v="57"/>
    <x v="0"/>
    <x v="0"/>
    <x v="2"/>
    <x v="3"/>
    <x v="0"/>
    <x v="64"/>
    <x v="59"/>
    <x v="13"/>
  </r>
  <r>
    <x v="328"/>
    <x v="98"/>
    <x v="8"/>
    <x v="78"/>
    <x v="1"/>
    <x v="0"/>
    <x v="1"/>
    <x v="1"/>
    <x v="1"/>
    <x v="1"/>
    <x v="234"/>
    <x v="0"/>
    <x v="0"/>
    <x v="0"/>
    <x v="0"/>
    <x v="2"/>
    <x v="234"/>
    <x v="0"/>
    <x v="36"/>
    <x v="24"/>
    <x v="328"/>
    <x v="98"/>
    <x v="8"/>
    <x v="78"/>
    <x v="1"/>
    <x v="0"/>
    <x v="1"/>
    <x v="1"/>
    <x v="1"/>
    <x v="271"/>
    <x v="1"/>
    <x v="0"/>
    <x v="1"/>
    <x v="0"/>
    <x v="0"/>
    <x v="0"/>
    <x v="1"/>
    <x v="0"/>
    <x v="0"/>
    <x v="0"/>
    <x v="0"/>
    <x v="0"/>
    <x v="0"/>
    <x v="0"/>
    <x v="0"/>
    <x v="0"/>
    <x v="0"/>
    <x v="0"/>
    <x v="1"/>
    <x v="0"/>
    <x v="0"/>
    <x v="0"/>
    <x v="4"/>
    <x v="288"/>
    <x v="161"/>
    <x v="110"/>
    <x v="20"/>
    <x v="0"/>
    <x v="14"/>
    <x v="2"/>
    <x v="36"/>
    <x v="0"/>
    <x v="35"/>
    <x v="35"/>
    <x v="298"/>
  </r>
  <r>
    <x v="329"/>
    <x v="99"/>
    <x v="8"/>
    <x v="8"/>
    <x v="1"/>
    <x v="0"/>
    <x v="1"/>
    <x v="1"/>
    <x v="1"/>
    <x v="1"/>
    <x v="235"/>
    <x v="0"/>
    <x v="0"/>
    <x v="0"/>
    <x v="0"/>
    <x v="3"/>
    <x v="235"/>
    <x v="0"/>
    <x v="160"/>
    <x v="19"/>
    <x v="329"/>
    <x v="99"/>
    <x v="8"/>
    <x v="8"/>
    <x v="1"/>
    <x v="0"/>
    <x v="1"/>
    <x v="1"/>
    <x v="1"/>
    <x v="272"/>
    <x v="0"/>
    <x v="0"/>
    <x v="1"/>
    <x v="1"/>
    <x v="0"/>
    <x v="0"/>
    <x v="0"/>
    <x v="0"/>
    <x v="0"/>
    <x v="0"/>
    <x v="0"/>
    <x v="0"/>
    <x v="0"/>
    <x v="0"/>
    <x v="1"/>
    <x v="0"/>
    <x v="0"/>
    <x v="0"/>
    <x v="0"/>
    <x v="0"/>
    <x v="0"/>
    <x v="0"/>
    <x v="2"/>
    <x v="289"/>
    <x v="162"/>
    <x v="121"/>
    <x v="12"/>
    <x v="0"/>
    <x v="0"/>
    <x v="2"/>
    <x v="3"/>
    <x v="0"/>
    <x v="26"/>
    <x v="26"/>
    <x v="299"/>
  </r>
  <r>
    <x v="330"/>
    <x v="100"/>
    <x v="8"/>
    <x v="8"/>
    <x v="105"/>
    <x v="5"/>
    <x v="1"/>
    <x v="1"/>
    <x v="2"/>
    <x v="2"/>
    <x v="236"/>
    <x v="59"/>
    <x v="7"/>
    <x v="26"/>
    <x v="1"/>
    <x v="2"/>
    <x v="236"/>
    <x v="0"/>
    <x v="12"/>
    <x v="9"/>
    <x v="330"/>
    <x v="100"/>
    <x v="8"/>
    <x v="8"/>
    <x v="105"/>
    <x v="5"/>
    <x v="1"/>
    <x v="1"/>
    <x v="2"/>
    <x v="273"/>
    <x v="0"/>
    <x v="0"/>
    <x v="1"/>
    <x v="0"/>
    <x v="0"/>
    <x v="0"/>
    <x v="0"/>
    <x v="0"/>
    <x v="0"/>
    <x v="0"/>
    <x v="0"/>
    <x v="0"/>
    <x v="0"/>
    <x v="0"/>
    <x v="0"/>
    <x v="0"/>
    <x v="0"/>
    <x v="0"/>
    <x v="0"/>
    <x v="0"/>
    <x v="0"/>
    <x v="0"/>
    <x v="0"/>
    <x v="290"/>
    <x v="163"/>
    <x v="122"/>
    <x v="32"/>
    <x v="0"/>
    <x v="1"/>
    <x v="49"/>
    <x v="82"/>
    <x v="0"/>
    <x v="48"/>
    <x v="48"/>
    <x v="13"/>
  </r>
  <r>
    <x v="331"/>
    <x v="101"/>
    <x v="8"/>
    <x v="8"/>
    <x v="106"/>
    <x v="0"/>
    <x v="1"/>
    <x v="1"/>
    <x v="3"/>
    <x v="3"/>
    <x v="237"/>
    <x v="0"/>
    <x v="0"/>
    <x v="0"/>
    <x v="0"/>
    <x v="4"/>
    <x v="237"/>
    <x v="0"/>
    <x v="64"/>
    <x v="12"/>
    <x v="331"/>
    <x v="101"/>
    <x v="8"/>
    <x v="8"/>
    <x v="106"/>
    <x v="0"/>
    <x v="1"/>
    <x v="1"/>
    <x v="3"/>
    <x v="274"/>
    <x v="0"/>
    <x v="0"/>
    <x v="1"/>
    <x v="0"/>
    <x v="0"/>
    <x v="0"/>
    <x v="1"/>
    <x v="0"/>
    <x v="0"/>
    <x v="0"/>
    <x v="0"/>
    <x v="0"/>
    <x v="0"/>
    <x v="0"/>
    <x v="0"/>
    <x v="0"/>
    <x v="0"/>
    <x v="0"/>
    <x v="0"/>
    <x v="0"/>
    <x v="0"/>
    <x v="0"/>
    <x v="1"/>
    <x v="291"/>
    <x v="164"/>
    <x v="123"/>
    <x v="12"/>
    <x v="0"/>
    <x v="0"/>
    <x v="2"/>
    <x v="3"/>
    <x v="0"/>
    <x v="29"/>
    <x v="29"/>
    <x v="300"/>
  </r>
  <r>
    <x v="332"/>
    <x v="102"/>
    <x v="8"/>
    <x v="8"/>
    <x v="7"/>
    <x v="0"/>
    <x v="1"/>
    <x v="1"/>
    <x v="1"/>
    <x v="1"/>
    <x v="238"/>
    <x v="0"/>
    <x v="0"/>
    <x v="0"/>
    <x v="0"/>
    <x v="3"/>
    <x v="238"/>
    <x v="0"/>
    <x v="18"/>
    <x v="6"/>
    <x v="332"/>
    <x v="102"/>
    <x v="8"/>
    <x v="8"/>
    <x v="7"/>
    <x v="0"/>
    <x v="1"/>
    <x v="1"/>
    <x v="1"/>
    <x v="275"/>
    <x v="0"/>
    <x v="0"/>
    <x v="1"/>
    <x v="1"/>
    <x v="0"/>
    <x v="0"/>
    <x v="1"/>
    <x v="0"/>
    <x v="0"/>
    <x v="0"/>
    <x v="0"/>
    <x v="0"/>
    <x v="0"/>
    <x v="0"/>
    <x v="0"/>
    <x v="1"/>
    <x v="0"/>
    <x v="0"/>
    <x v="0"/>
    <x v="0"/>
    <x v="0"/>
    <x v="0"/>
    <x v="3"/>
    <x v="292"/>
    <x v="165"/>
    <x v="106"/>
    <x v="28"/>
    <x v="0"/>
    <x v="23"/>
    <x v="26"/>
    <x v="83"/>
    <x v="0"/>
    <x v="5"/>
    <x v="5"/>
    <x v="301"/>
  </r>
  <r>
    <x v="333"/>
    <x v="8"/>
    <x v="8"/>
    <x v="8"/>
    <x v="96"/>
    <x v="4"/>
    <x v="3"/>
    <x v="3"/>
    <x v="3"/>
    <x v="3"/>
    <x v="204"/>
    <x v="0"/>
    <x v="0"/>
    <x v="0"/>
    <x v="0"/>
    <x v="3"/>
    <x v="204"/>
    <x v="0"/>
    <x v="161"/>
    <x v="6"/>
    <x v="333"/>
    <x v="8"/>
    <x v="8"/>
    <x v="8"/>
    <x v="96"/>
    <x v="4"/>
    <x v="3"/>
    <x v="3"/>
    <x v="3"/>
    <x v="276"/>
    <x v="0"/>
    <x v="0"/>
    <x v="1"/>
    <x v="0"/>
    <x v="0"/>
    <x v="0"/>
    <x v="0"/>
    <x v="1"/>
    <x v="0"/>
    <x v="0"/>
    <x v="0"/>
    <x v="0"/>
    <x v="0"/>
    <x v="0"/>
    <x v="0"/>
    <x v="0"/>
    <x v="0"/>
    <x v="0"/>
    <x v="1"/>
    <x v="0"/>
    <x v="0"/>
    <x v="3"/>
    <x v="0"/>
    <x v="293"/>
    <x v="166"/>
    <x v="124"/>
    <x v="26"/>
    <x v="0"/>
    <x v="3"/>
    <x v="19"/>
    <x v="26"/>
    <x v="0"/>
    <x v="31"/>
    <x v="31"/>
    <x v="302"/>
  </r>
  <r>
    <x v="334"/>
    <x v="8"/>
    <x v="8"/>
    <x v="8"/>
    <x v="14"/>
    <x v="0"/>
    <x v="3"/>
    <x v="3"/>
    <x v="2"/>
    <x v="2"/>
    <x v="239"/>
    <x v="0"/>
    <x v="0"/>
    <x v="0"/>
    <x v="0"/>
    <x v="0"/>
    <x v="239"/>
    <x v="0"/>
    <x v="12"/>
    <x v="8"/>
    <x v="334"/>
    <x v="8"/>
    <x v="8"/>
    <x v="8"/>
    <x v="14"/>
    <x v="0"/>
    <x v="3"/>
    <x v="3"/>
    <x v="2"/>
    <x v="277"/>
    <x v="0"/>
    <x v="0"/>
    <x v="1"/>
    <x v="0"/>
    <x v="0"/>
    <x v="0"/>
    <x v="0"/>
    <x v="0"/>
    <x v="0"/>
    <x v="0"/>
    <x v="0"/>
    <x v="0"/>
    <x v="0"/>
    <x v="0"/>
    <x v="0"/>
    <x v="0"/>
    <x v="0"/>
    <x v="0"/>
    <x v="1"/>
    <x v="0"/>
    <x v="0"/>
    <x v="0"/>
    <x v="0"/>
    <x v="13"/>
    <x v="167"/>
    <x v="6"/>
    <x v="7"/>
    <x v="1"/>
    <x v="4"/>
    <x v="4"/>
    <x v="5"/>
    <x v="0"/>
    <x v="8"/>
    <x v="8"/>
    <x v="13"/>
  </r>
  <r>
    <x v="335"/>
    <x v="103"/>
    <x v="8"/>
    <x v="8"/>
    <x v="107"/>
    <x v="5"/>
    <x v="1"/>
    <x v="1"/>
    <x v="2"/>
    <x v="2"/>
    <x v="240"/>
    <x v="0"/>
    <x v="0"/>
    <x v="0"/>
    <x v="0"/>
    <x v="3"/>
    <x v="240"/>
    <x v="10"/>
    <x v="12"/>
    <x v="8"/>
    <x v="335"/>
    <x v="103"/>
    <x v="8"/>
    <x v="8"/>
    <x v="107"/>
    <x v="5"/>
    <x v="1"/>
    <x v="1"/>
    <x v="2"/>
    <x v="278"/>
    <x v="0"/>
    <x v="0"/>
    <x v="1"/>
    <x v="0"/>
    <x v="0"/>
    <x v="0"/>
    <x v="0"/>
    <x v="0"/>
    <x v="0"/>
    <x v="0"/>
    <x v="0"/>
    <x v="0"/>
    <x v="1"/>
    <x v="0"/>
    <x v="0"/>
    <x v="0"/>
    <x v="0"/>
    <x v="1"/>
    <x v="1"/>
    <x v="0"/>
    <x v="1"/>
    <x v="0"/>
    <x v="1"/>
    <x v="13"/>
    <x v="168"/>
    <x v="125"/>
    <x v="42"/>
    <x v="0"/>
    <x v="0"/>
    <x v="2"/>
    <x v="3"/>
    <x v="0"/>
    <x v="8"/>
    <x v="8"/>
    <x v="13"/>
  </r>
  <r>
    <x v="336"/>
    <x v="2"/>
    <x v="142"/>
    <x v="8"/>
    <x v="1"/>
    <x v="0"/>
    <x v="1"/>
    <x v="2"/>
    <x v="1"/>
    <x v="1"/>
    <x v="179"/>
    <x v="0"/>
    <x v="0"/>
    <x v="0"/>
    <x v="0"/>
    <x v="1"/>
    <x v="179"/>
    <x v="0"/>
    <x v="36"/>
    <x v="18"/>
    <x v="336"/>
    <x v="2"/>
    <x v="142"/>
    <x v="8"/>
    <x v="1"/>
    <x v="0"/>
    <x v="1"/>
    <x v="2"/>
    <x v="1"/>
    <x v="203"/>
    <x v="0"/>
    <x v="0"/>
    <x v="1"/>
    <x v="1"/>
    <x v="0"/>
    <x v="0"/>
    <x v="0"/>
    <x v="0"/>
    <x v="0"/>
    <x v="0"/>
    <x v="0"/>
    <x v="0"/>
    <x v="0"/>
    <x v="0"/>
    <x v="1"/>
    <x v="0"/>
    <x v="0"/>
    <x v="0"/>
    <x v="0"/>
    <x v="0"/>
    <x v="0"/>
    <x v="0"/>
    <x v="2"/>
    <x v="294"/>
    <x v="169"/>
    <x v="126"/>
    <x v="27"/>
    <x v="0"/>
    <x v="5"/>
    <x v="38"/>
    <x v="84"/>
    <x v="1"/>
    <x v="82"/>
    <x v="75"/>
    <x v="303"/>
  </r>
  <r>
    <x v="337"/>
    <x v="2"/>
    <x v="8"/>
    <x v="8"/>
    <x v="7"/>
    <x v="0"/>
    <x v="1"/>
    <x v="2"/>
    <x v="1"/>
    <x v="1"/>
    <x v="241"/>
    <x v="0"/>
    <x v="0"/>
    <x v="0"/>
    <x v="0"/>
    <x v="1"/>
    <x v="241"/>
    <x v="0"/>
    <x v="162"/>
    <x v="6"/>
    <x v="337"/>
    <x v="2"/>
    <x v="8"/>
    <x v="8"/>
    <x v="7"/>
    <x v="0"/>
    <x v="1"/>
    <x v="2"/>
    <x v="1"/>
    <x v="279"/>
    <x v="0"/>
    <x v="0"/>
    <x v="1"/>
    <x v="1"/>
    <x v="0"/>
    <x v="0"/>
    <x v="0"/>
    <x v="0"/>
    <x v="0"/>
    <x v="0"/>
    <x v="0"/>
    <x v="0"/>
    <x v="0"/>
    <x v="0"/>
    <x v="0"/>
    <x v="0"/>
    <x v="0"/>
    <x v="0"/>
    <x v="0"/>
    <x v="0"/>
    <x v="0"/>
    <x v="0"/>
    <x v="1"/>
    <x v="295"/>
    <x v="170"/>
    <x v="13"/>
    <x v="11"/>
    <x v="0"/>
    <x v="24"/>
    <x v="50"/>
    <x v="85"/>
    <x v="0"/>
    <x v="12"/>
    <x v="12"/>
    <x v="304"/>
  </r>
  <r>
    <x v="338"/>
    <x v="24"/>
    <x v="8"/>
    <x v="8"/>
    <x v="7"/>
    <x v="0"/>
    <x v="1"/>
    <x v="1"/>
    <x v="3"/>
    <x v="3"/>
    <x v="242"/>
    <x v="0"/>
    <x v="0"/>
    <x v="0"/>
    <x v="0"/>
    <x v="2"/>
    <x v="242"/>
    <x v="0"/>
    <x v="12"/>
    <x v="8"/>
    <x v="338"/>
    <x v="24"/>
    <x v="8"/>
    <x v="8"/>
    <x v="7"/>
    <x v="0"/>
    <x v="1"/>
    <x v="1"/>
    <x v="3"/>
    <x v="280"/>
    <x v="1"/>
    <x v="0"/>
    <x v="1"/>
    <x v="0"/>
    <x v="0"/>
    <x v="0"/>
    <x v="0"/>
    <x v="0"/>
    <x v="0"/>
    <x v="0"/>
    <x v="0"/>
    <x v="0"/>
    <x v="0"/>
    <x v="0"/>
    <x v="0"/>
    <x v="0"/>
    <x v="0"/>
    <x v="0"/>
    <x v="1"/>
    <x v="1"/>
    <x v="0"/>
    <x v="0"/>
    <x v="1"/>
    <x v="13"/>
    <x v="171"/>
    <x v="127"/>
    <x v="42"/>
    <x v="0"/>
    <x v="0"/>
    <x v="2"/>
    <x v="3"/>
    <x v="0"/>
    <x v="8"/>
    <x v="8"/>
    <x v="13"/>
  </r>
  <r>
    <x v="339"/>
    <x v="104"/>
    <x v="8"/>
    <x v="8"/>
    <x v="108"/>
    <x v="0"/>
    <x v="1"/>
    <x v="1"/>
    <x v="1"/>
    <x v="1"/>
    <x v="18"/>
    <x v="0"/>
    <x v="0"/>
    <x v="0"/>
    <x v="0"/>
    <x v="3"/>
    <x v="18"/>
    <x v="0"/>
    <x v="163"/>
    <x v="6"/>
    <x v="339"/>
    <x v="104"/>
    <x v="8"/>
    <x v="8"/>
    <x v="108"/>
    <x v="0"/>
    <x v="1"/>
    <x v="1"/>
    <x v="1"/>
    <x v="47"/>
    <x v="0"/>
    <x v="0"/>
    <x v="1"/>
    <x v="1"/>
    <x v="0"/>
    <x v="0"/>
    <x v="0"/>
    <x v="0"/>
    <x v="0"/>
    <x v="0"/>
    <x v="0"/>
    <x v="0"/>
    <x v="0"/>
    <x v="0"/>
    <x v="0"/>
    <x v="0"/>
    <x v="0"/>
    <x v="0"/>
    <x v="0"/>
    <x v="0"/>
    <x v="0"/>
    <x v="0"/>
    <x v="1"/>
    <x v="296"/>
    <x v="172"/>
    <x v="13"/>
    <x v="11"/>
    <x v="0"/>
    <x v="5"/>
    <x v="22"/>
    <x v="30"/>
    <x v="1"/>
    <x v="1"/>
    <x v="1"/>
    <x v="305"/>
  </r>
  <r>
    <x v="340"/>
    <x v="105"/>
    <x v="8"/>
    <x v="8"/>
    <x v="7"/>
    <x v="0"/>
    <x v="1"/>
    <x v="1"/>
    <x v="1"/>
    <x v="1"/>
    <x v="243"/>
    <x v="0"/>
    <x v="0"/>
    <x v="0"/>
    <x v="0"/>
    <x v="1"/>
    <x v="243"/>
    <x v="0"/>
    <x v="160"/>
    <x v="6"/>
    <x v="340"/>
    <x v="105"/>
    <x v="8"/>
    <x v="8"/>
    <x v="7"/>
    <x v="0"/>
    <x v="1"/>
    <x v="1"/>
    <x v="1"/>
    <x v="281"/>
    <x v="0"/>
    <x v="0"/>
    <x v="1"/>
    <x v="0"/>
    <x v="0"/>
    <x v="0"/>
    <x v="0"/>
    <x v="0"/>
    <x v="0"/>
    <x v="0"/>
    <x v="0"/>
    <x v="0"/>
    <x v="0"/>
    <x v="0"/>
    <x v="0"/>
    <x v="0"/>
    <x v="1"/>
    <x v="0"/>
    <x v="0"/>
    <x v="0"/>
    <x v="0"/>
    <x v="0"/>
    <x v="1"/>
    <x v="297"/>
    <x v="173"/>
    <x v="34"/>
    <x v="13"/>
    <x v="0"/>
    <x v="1"/>
    <x v="0"/>
    <x v="1"/>
    <x v="0"/>
    <x v="44"/>
    <x v="44"/>
    <x v="306"/>
  </r>
  <r>
    <x v="341"/>
    <x v="106"/>
    <x v="8"/>
    <x v="8"/>
    <x v="6"/>
    <x v="5"/>
    <x v="1"/>
    <x v="1"/>
    <x v="2"/>
    <x v="2"/>
    <x v="14"/>
    <x v="0"/>
    <x v="0"/>
    <x v="0"/>
    <x v="0"/>
    <x v="0"/>
    <x v="14"/>
    <x v="1"/>
    <x v="12"/>
    <x v="8"/>
    <x v="341"/>
    <x v="106"/>
    <x v="8"/>
    <x v="8"/>
    <x v="6"/>
    <x v="5"/>
    <x v="1"/>
    <x v="1"/>
    <x v="2"/>
    <x v="14"/>
    <x v="0"/>
    <x v="0"/>
    <x v="0"/>
    <x v="0"/>
    <x v="1"/>
    <x v="0"/>
    <x v="0"/>
    <x v="0"/>
    <x v="0"/>
    <x v="0"/>
    <x v="0"/>
    <x v="0"/>
    <x v="1"/>
    <x v="0"/>
    <x v="0"/>
    <x v="0"/>
    <x v="0"/>
    <x v="1"/>
    <x v="1"/>
    <x v="0"/>
    <x v="3"/>
    <x v="0"/>
    <x v="1"/>
    <x v="298"/>
    <x v="174"/>
    <x v="128"/>
    <x v="13"/>
    <x v="0"/>
    <x v="0"/>
    <x v="2"/>
    <x v="3"/>
    <x v="0"/>
    <x v="36"/>
    <x v="36"/>
    <x v="13"/>
  </r>
  <r>
    <x v="342"/>
    <x v="107"/>
    <x v="8"/>
    <x v="8"/>
    <x v="3"/>
    <x v="5"/>
    <x v="1"/>
    <x v="1"/>
    <x v="2"/>
    <x v="2"/>
    <x v="244"/>
    <x v="60"/>
    <x v="7"/>
    <x v="67"/>
    <x v="1"/>
    <x v="0"/>
    <x v="244"/>
    <x v="64"/>
    <x v="12"/>
    <x v="8"/>
    <x v="342"/>
    <x v="107"/>
    <x v="8"/>
    <x v="8"/>
    <x v="3"/>
    <x v="5"/>
    <x v="1"/>
    <x v="1"/>
    <x v="2"/>
    <x v="282"/>
    <x v="0"/>
    <x v="0"/>
    <x v="1"/>
    <x v="0"/>
    <x v="0"/>
    <x v="0"/>
    <x v="0"/>
    <x v="0"/>
    <x v="0"/>
    <x v="0"/>
    <x v="0"/>
    <x v="0"/>
    <x v="0"/>
    <x v="0"/>
    <x v="0"/>
    <x v="0"/>
    <x v="0"/>
    <x v="1"/>
    <x v="1"/>
    <x v="0"/>
    <x v="2"/>
    <x v="0"/>
    <x v="0"/>
    <x v="299"/>
    <x v="174"/>
    <x v="128"/>
    <x v="13"/>
    <x v="0"/>
    <x v="3"/>
    <x v="3"/>
    <x v="4"/>
    <x v="0"/>
    <x v="32"/>
    <x v="32"/>
    <x v="13"/>
  </r>
  <r>
    <x v="343"/>
    <x v="108"/>
    <x v="8"/>
    <x v="8"/>
    <x v="42"/>
    <x v="5"/>
    <x v="1"/>
    <x v="1"/>
    <x v="1"/>
    <x v="1"/>
    <x v="245"/>
    <x v="0"/>
    <x v="0"/>
    <x v="0"/>
    <x v="0"/>
    <x v="3"/>
    <x v="245"/>
    <x v="65"/>
    <x v="32"/>
    <x v="6"/>
    <x v="343"/>
    <x v="108"/>
    <x v="8"/>
    <x v="8"/>
    <x v="42"/>
    <x v="5"/>
    <x v="1"/>
    <x v="1"/>
    <x v="1"/>
    <x v="283"/>
    <x v="0"/>
    <x v="0"/>
    <x v="1"/>
    <x v="0"/>
    <x v="0"/>
    <x v="0"/>
    <x v="0"/>
    <x v="0"/>
    <x v="0"/>
    <x v="0"/>
    <x v="0"/>
    <x v="0"/>
    <x v="1"/>
    <x v="0"/>
    <x v="0"/>
    <x v="0"/>
    <x v="0"/>
    <x v="1"/>
    <x v="1"/>
    <x v="0"/>
    <x v="1"/>
    <x v="0"/>
    <x v="1"/>
    <x v="300"/>
    <x v="175"/>
    <x v="51"/>
    <x v="3"/>
    <x v="0"/>
    <x v="0"/>
    <x v="31"/>
    <x v="73"/>
    <x v="0"/>
    <x v="29"/>
    <x v="29"/>
    <x v="307"/>
  </r>
  <r>
    <x v="344"/>
    <x v="106"/>
    <x v="8"/>
    <x v="8"/>
    <x v="6"/>
    <x v="5"/>
    <x v="1"/>
    <x v="1"/>
    <x v="3"/>
    <x v="3"/>
    <x v="246"/>
    <x v="0"/>
    <x v="0"/>
    <x v="0"/>
    <x v="0"/>
    <x v="0"/>
    <x v="246"/>
    <x v="20"/>
    <x v="12"/>
    <x v="8"/>
    <x v="344"/>
    <x v="106"/>
    <x v="8"/>
    <x v="8"/>
    <x v="6"/>
    <x v="5"/>
    <x v="1"/>
    <x v="1"/>
    <x v="3"/>
    <x v="284"/>
    <x v="0"/>
    <x v="0"/>
    <x v="0"/>
    <x v="0"/>
    <x v="1"/>
    <x v="0"/>
    <x v="0"/>
    <x v="0"/>
    <x v="0"/>
    <x v="0"/>
    <x v="0"/>
    <x v="0"/>
    <x v="1"/>
    <x v="0"/>
    <x v="0"/>
    <x v="0"/>
    <x v="0"/>
    <x v="1"/>
    <x v="1"/>
    <x v="0"/>
    <x v="3"/>
    <x v="0"/>
    <x v="1"/>
    <x v="301"/>
    <x v="176"/>
    <x v="128"/>
    <x v="11"/>
    <x v="0"/>
    <x v="5"/>
    <x v="2"/>
    <x v="25"/>
    <x v="1"/>
    <x v="83"/>
    <x v="76"/>
    <x v="13"/>
  </r>
  <r>
    <x v="345"/>
    <x v="19"/>
    <x v="8"/>
    <x v="79"/>
    <x v="7"/>
    <x v="3"/>
    <x v="6"/>
    <x v="3"/>
    <x v="1"/>
    <x v="1"/>
    <x v="247"/>
    <x v="0"/>
    <x v="0"/>
    <x v="0"/>
    <x v="0"/>
    <x v="0"/>
    <x v="247"/>
    <x v="0"/>
    <x v="64"/>
    <x v="10"/>
    <x v="345"/>
    <x v="19"/>
    <x v="8"/>
    <x v="79"/>
    <x v="7"/>
    <x v="3"/>
    <x v="6"/>
    <x v="3"/>
    <x v="1"/>
    <x v="285"/>
    <x v="0"/>
    <x v="1"/>
    <x v="1"/>
    <x v="0"/>
    <x v="0"/>
    <x v="0"/>
    <x v="0"/>
    <x v="0"/>
    <x v="0"/>
    <x v="0"/>
    <x v="0"/>
    <x v="0"/>
    <x v="0"/>
    <x v="0"/>
    <x v="0"/>
    <x v="0"/>
    <x v="0"/>
    <x v="0"/>
    <x v="0"/>
    <x v="0"/>
    <x v="0"/>
    <x v="0"/>
    <x v="0"/>
    <x v="302"/>
    <x v="177"/>
    <x v="129"/>
    <x v="21"/>
    <x v="0"/>
    <x v="3"/>
    <x v="18"/>
    <x v="24"/>
    <x v="0"/>
    <x v="25"/>
    <x v="25"/>
    <x v="308"/>
  </r>
  <r>
    <x v="346"/>
    <x v="109"/>
    <x v="8"/>
    <x v="8"/>
    <x v="109"/>
    <x v="4"/>
    <x v="1"/>
    <x v="1"/>
    <x v="1"/>
    <x v="1"/>
    <x v="136"/>
    <x v="0"/>
    <x v="0"/>
    <x v="0"/>
    <x v="0"/>
    <x v="1"/>
    <x v="136"/>
    <x v="0"/>
    <x v="78"/>
    <x v="6"/>
    <x v="346"/>
    <x v="109"/>
    <x v="8"/>
    <x v="8"/>
    <x v="109"/>
    <x v="4"/>
    <x v="1"/>
    <x v="1"/>
    <x v="1"/>
    <x v="156"/>
    <x v="0"/>
    <x v="0"/>
    <x v="1"/>
    <x v="1"/>
    <x v="0"/>
    <x v="0"/>
    <x v="0"/>
    <x v="0"/>
    <x v="0"/>
    <x v="0"/>
    <x v="0"/>
    <x v="0"/>
    <x v="0"/>
    <x v="0"/>
    <x v="0"/>
    <x v="0"/>
    <x v="0"/>
    <x v="0"/>
    <x v="1"/>
    <x v="0"/>
    <x v="0"/>
    <x v="0"/>
    <x v="1"/>
    <x v="303"/>
    <x v="178"/>
    <x v="6"/>
    <x v="7"/>
    <x v="1"/>
    <x v="4"/>
    <x v="4"/>
    <x v="5"/>
    <x v="0"/>
    <x v="84"/>
    <x v="77"/>
    <x v="309"/>
  </r>
  <r>
    <x v="347"/>
    <x v="8"/>
    <x v="143"/>
    <x v="8"/>
    <x v="36"/>
    <x v="0"/>
    <x v="3"/>
    <x v="3"/>
    <x v="1"/>
    <x v="1"/>
    <x v="115"/>
    <x v="0"/>
    <x v="0"/>
    <x v="0"/>
    <x v="0"/>
    <x v="1"/>
    <x v="115"/>
    <x v="0"/>
    <x v="71"/>
    <x v="29"/>
    <x v="347"/>
    <x v="8"/>
    <x v="143"/>
    <x v="8"/>
    <x v="36"/>
    <x v="0"/>
    <x v="3"/>
    <x v="3"/>
    <x v="1"/>
    <x v="286"/>
    <x v="1"/>
    <x v="1"/>
    <x v="1"/>
    <x v="0"/>
    <x v="0"/>
    <x v="0"/>
    <x v="0"/>
    <x v="0"/>
    <x v="0"/>
    <x v="0"/>
    <x v="0"/>
    <x v="0"/>
    <x v="0"/>
    <x v="0"/>
    <x v="1"/>
    <x v="0"/>
    <x v="0"/>
    <x v="0"/>
    <x v="1"/>
    <x v="0"/>
    <x v="0"/>
    <x v="3"/>
    <x v="1"/>
    <x v="304"/>
    <x v="179"/>
    <x v="13"/>
    <x v="11"/>
    <x v="0"/>
    <x v="5"/>
    <x v="32"/>
    <x v="48"/>
    <x v="1"/>
    <x v="5"/>
    <x v="5"/>
    <x v="310"/>
  </r>
  <r>
    <x v="348"/>
    <x v="4"/>
    <x v="8"/>
    <x v="80"/>
    <x v="110"/>
    <x v="0"/>
    <x v="1"/>
    <x v="1"/>
    <x v="1"/>
    <x v="1"/>
    <x v="248"/>
    <x v="0"/>
    <x v="0"/>
    <x v="0"/>
    <x v="0"/>
    <x v="3"/>
    <x v="248"/>
    <x v="0"/>
    <x v="59"/>
    <x v="10"/>
    <x v="348"/>
    <x v="4"/>
    <x v="8"/>
    <x v="80"/>
    <x v="110"/>
    <x v="0"/>
    <x v="1"/>
    <x v="1"/>
    <x v="1"/>
    <x v="287"/>
    <x v="0"/>
    <x v="0"/>
    <x v="0"/>
    <x v="1"/>
    <x v="0"/>
    <x v="0"/>
    <x v="0"/>
    <x v="0"/>
    <x v="0"/>
    <x v="0"/>
    <x v="0"/>
    <x v="0"/>
    <x v="0"/>
    <x v="0"/>
    <x v="1"/>
    <x v="0"/>
    <x v="0"/>
    <x v="0"/>
    <x v="0"/>
    <x v="0"/>
    <x v="0"/>
    <x v="0"/>
    <x v="1"/>
    <x v="14"/>
    <x v="180"/>
    <x v="130"/>
    <x v="40"/>
    <x v="0"/>
    <x v="0"/>
    <x v="2"/>
    <x v="3"/>
    <x v="0"/>
    <x v="8"/>
    <x v="8"/>
    <x v="311"/>
  </r>
  <r>
    <x v="349"/>
    <x v="12"/>
    <x v="144"/>
    <x v="81"/>
    <x v="7"/>
    <x v="0"/>
    <x v="5"/>
    <x v="3"/>
    <x v="1"/>
    <x v="1"/>
    <x v="1"/>
    <x v="57"/>
    <x v="39"/>
    <x v="61"/>
    <x v="1"/>
    <x v="0"/>
    <x v="1"/>
    <x v="0"/>
    <x v="0"/>
    <x v="16"/>
    <x v="349"/>
    <x v="12"/>
    <x v="144"/>
    <x v="81"/>
    <x v="7"/>
    <x v="0"/>
    <x v="5"/>
    <x v="3"/>
    <x v="1"/>
    <x v="288"/>
    <x v="1"/>
    <x v="0"/>
    <x v="1"/>
    <x v="1"/>
    <x v="0"/>
    <x v="0"/>
    <x v="0"/>
    <x v="0"/>
    <x v="0"/>
    <x v="0"/>
    <x v="0"/>
    <x v="0"/>
    <x v="0"/>
    <x v="0"/>
    <x v="0"/>
    <x v="1"/>
    <x v="0"/>
    <x v="0"/>
    <x v="1"/>
    <x v="0"/>
    <x v="0"/>
    <x v="3"/>
    <x v="2"/>
    <x v="305"/>
    <x v="181"/>
    <x v="131"/>
    <x v="34"/>
    <x v="0"/>
    <x v="3"/>
    <x v="3"/>
    <x v="4"/>
    <x v="0"/>
    <x v="1"/>
    <x v="1"/>
    <x v="312"/>
  </r>
  <r>
    <x v="350"/>
    <x v="4"/>
    <x v="145"/>
    <x v="82"/>
    <x v="1"/>
    <x v="3"/>
    <x v="1"/>
    <x v="1"/>
    <x v="3"/>
    <x v="3"/>
    <x v="249"/>
    <x v="0"/>
    <x v="0"/>
    <x v="0"/>
    <x v="0"/>
    <x v="0"/>
    <x v="249"/>
    <x v="0"/>
    <x v="36"/>
    <x v="9"/>
    <x v="350"/>
    <x v="4"/>
    <x v="145"/>
    <x v="82"/>
    <x v="1"/>
    <x v="3"/>
    <x v="1"/>
    <x v="1"/>
    <x v="3"/>
    <x v="289"/>
    <x v="0"/>
    <x v="0"/>
    <x v="1"/>
    <x v="0"/>
    <x v="0"/>
    <x v="0"/>
    <x v="0"/>
    <x v="0"/>
    <x v="0"/>
    <x v="0"/>
    <x v="0"/>
    <x v="0"/>
    <x v="0"/>
    <x v="0"/>
    <x v="0"/>
    <x v="0"/>
    <x v="0"/>
    <x v="0"/>
    <x v="1"/>
    <x v="0"/>
    <x v="0"/>
    <x v="0"/>
    <x v="0"/>
    <x v="70"/>
    <x v="182"/>
    <x v="132"/>
    <x v="1"/>
    <x v="0"/>
    <x v="3"/>
    <x v="15"/>
    <x v="20"/>
    <x v="0"/>
    <x v="2"/>
    <x v="2"/>
    <x v="313"/>
  </r>
  <r>
    <x v="351"/>
    <x v="110"/>
    <x v="8"/>
    <x v="8"/>
    <x v="64"/>
    <x v="5"/>
    <x v="1"/>
    <x v="1"/>
    <x v="2"/>
    <x v="2"/>
    <x v="250"/>
    <x v="61"/>
    <x v="40"/>
    <x v="68"/>
    <x v="1"/>
    <x v="3"/>
    <x v="250"/>
    <x v="0"/>
    <x v="12"/>
    <x v="8"/>
    <x v="351"/>
    <x v="110"/>
    <x v="8"/>
    <x v="8"/>
    <x v="64"/>
    <x v="5"/>
    <x v="1"/>
    <x v="1"/>
    <x v="2"/>
    <x v="290"/>
    <x v="0"/>
    <x v="0"/>
    <x v="1"/>
    <x v="0"/>
    <x v="0"/>
    <x v="0"/>
    <x v="0"/>
    <x v="0"/>
    <x v="0"/>
    <x v="0"/>
    <x v="0"/>
    <x v="0"/>
    <x v="0"/>
    <x v="0"/>
    <x v="0"/>
    <x v="0"/>
    <x v="0"/>
    <x v="0"/>
    <x v="0"/>
    <x v="0"/>
    <x v="0"/>
    <x v="0"/>
    <x v="0"/>
    <x v="306"/>
    <x v="183"/>
    <x v="133"/>
    <x v="58"/>
    <x v="0"/>
    <x v="1"/>
    <x v="2"/>
    <x v="11"/>
    <x v="0"/>
    <x v="8"/>
    <x v="8"/>
    <x v="13"/>
  </r>
  <r>
    <x v="352"/>
    <x v="111"/>
    <x v="146"/>
    <x v="83"/>
    <x v="18"/>
    <x v="1"/>
    <x v="1"/>
    <x v="1"/>
    <x v="1"/>
    <x v="1"/>
    <x v="138"/>
    <x v="0"/>
    <x v="0"/>
    <x v="0"/>
    <x v="0"/>
    <x v="1"/>
    <x v="138"/>
    <x v="0"/>
    <x v="164"/>
    <x v="24"/>
    <x v="352"/>
    <x v="111"/>
    <x v="146"/>
    <x v="83"/>
    <x v="18"/>
    <x v="1"/>
    <x v="1"/>
    <x v="1"/>
    <x v="1"/>
    <x v="158"/>
    <x v="0"/>
    <x v="0"/>
    <x v="1"/>
    <x v="1"/>
    <x v="0"/>
    <x v="0"/>
    <x v="0"/>
    <x v="0"/>
    <x v="0"/>
    <x v="0"/>
    <x v="0"/>
    <x v="0"/>
    <x v="0"/>
    <x v="0"/>
    <x v="0"/>
    <x v="0"/>
    <x v="0"/>
    <x v="0"/>
    <x v="0"/>
    <x v="0"/>
    <x v="0"/>
    <x v="0"/>
    <x v="1"/>
    <x v="307"/>
    <x v="184"/>
    <x v="134"/>
    <x v="26"/>
    <x v="0"/>
    <x v="3"/>
    <x v="15"/>
    <x v="20"/>
    <x v="0"/>
    <x v="44"/>
    <x v="44"/>
    <x v="314"/>
  </r>
  <r>
    <x v="353"/>
    <x v="19"/>
    <x v="8"/>
    <x v="8"/>
    <x v="7"/>
    <x v="0"/>
    <x v="6"/>
    <x v="3"/>
    <x v="1"/>
    <x v="1"/>
    <x v="251"/>
    <x v="0"/>
    <x v="0"/>
    <x v="0"/>
    <x v="0"/>
    <x v="3"/>
    <x v="251"/>
    <x v="0"/>
    <x v="0"/>
    <x v="24"/>
    <x v="353"/>
    <x v="19"/>
    <x v="8"/>
    <x v="8"/>
    <x v="7"/>
    <x v="0"/>
    <x v="6"/>
    <x v="3"/>
    <x v="1"/>
    <x v="291"/>
    <x v="0"/>
    <x v="0"/>
    <x v="1"/>
    <x v="0"/>
    <x v="0"/>
    <x v="0"/>
    <x v="1"/>
    <x v="0"/>
    <x v="0"/>
    <x v="0"/>
    <x v="0"/>
    <x v="0"/>
    <x v="0"/>
    <x v="0"/>
    <x v="0"/>
    <x v="0"/>
    <x v="1"/>
    <x v="0"/>
    <x v="0"/>
    <x v="0"/>
    <x v="0"/>
    <x v="0"/>
    <x v="1"/>
    <x v="70"/>
    <x v="185"/>
    <x v="6"/>
    <x v="7"/>
    <x v="1"/>
    <x v="4"/>
    <x v="4"/>
    <x v="5"/>
    <x v="0"/>
    <x v="2"/>
    <x v="2"/>
    <x v="315"/>
  </r>
  <r>
    <x v="354"/>
    <x v="19"/>
    <x v="147"/>
    <x v="84"/>
    <x v="7"/>
    <x v="0"/>
    <x v="6"/>
    <x v="3"/>
    <x v="1"/>
    <x v="1"/>
    <x v="21"/>
    <x v="0"/>
    <x v="0"/>
    <x v="0"/>
    <x v="0"/>
    <x v="3"/>
    <x v="21"/>
    <x v="0"/>
    <x v="0"/>
    <x v="18"/>
    <x v="354"/>
    <x v="19"/>
    <x v="147"/>
    <x v="84"/>
    <x v="7"/>
    <x v="0"/>
    <x v="6"/>
    <x v="3"/>
    <x v="1"/>
    <x v="292"/>
    <x v="0"/>
    <x v="0"/>
    <x v="1"/>
    <x v="1"/>
    <x v="0"/>
    <x v="0"/>
    <x v="0"/>
    <x v="0"/>
    <x v="0"/>
    <x v="0"/>
    <x v="0"/>
    <x v="1"/>
    <x v="0"/>
    <x v="0"/>
    <x v="0"/>
    <x v="1"/>
    <x v="0"/>
    <x v="0"/>
    <x v="0"/>
    <x v="0"/>
    <x v="0"/>
    <x v="0"/>
    <x v="1"/>
    <x v="308"/>
    <x v="186"/>
    <x v="6"/>
    <x v="7"/>
    <x v="1"/>
    <x v="4"/>
    <x v="4"/>
    <x v="5"/>
    <x v="0"/>
    <x v="28"/>
    <x v="28"/>
    <x v="316"/>
  </r>
  <r>
    <x v="355"/>
    <x v="2"/>
    <x v="8"/>
    <x v="8"/>
    <x v="64"/>
    <x v="0"/>
    <x v="1"/>
    <x v="2"/>
    <x v="1"/>
    <x v="1"/>
    <x v="252"/>
    <x v="0"/>
    <x v="0"/>
    <x v="0"/>
    <x v="0"/>
    <x v="3"/>
    <x v="252"/>
    <x v="0"/>
    <x v="165"/>
    <x v="6"/>
    <x v="355"/>
    <x v="2"/>
    <x v="8"/>
    <x v="8"/>
    <x v="64"/>
    <x v="0"/>
    <x v="1"/>
    <x v="2"/>
    <x v="1"/>
    <x v="293"/>
    <x v="0"/>
    <x v="0"/>
    <x v="1"/>
    <x v="0"/>
    <x v="0"/>
    <x v="0"/>
    <x v="0"/>
    <x v="0"/>
    <x v="0"/>
    <x v="0"/>
    <x v="0"/>
    <x v="0"/>
    <x v="0"/>
    <x v="0"/>
    <x v="0"/>
    <x v="0"/>
    <x v="0"/>
    <x v="0"/>
    <x v="0"/>
    <x v="0"/>
    <x v="0"/>
    <x v="0"/>
    <x v="0"/>
    <x v="309"/>
    <x v="187"/>
    <x v="135"/>
    <x v="8"/>
    <x v="0"/>
    <x v="5"/>
    <x v="51"/>
    <x v="86"/>
    <x v="1"/>
    <x v="0"/>
    <x v="0"/>
    <x v="317"/>
  </r>
  <r>
    <x v="356"/>
    <x v="9"/>
    <x v="148"/>
    <x v="8"/>
    <x v="1"/>
    <x v="0"/>
    <x v="4"/>
    <x v="3"/>
    <x v="1"/>
    <x v="1"/>
    <x v="19"/>
    <x v="0"/>
    <x v="0"/>
    <x v="0"/>
    <x v="0"/>
    <x v="3"/>
    <x v="19"/>
    <x v="0"/>
    <x v="63"/>
    <x v="11"/>
    <x v="356"/>
    <x v="9"/>
    <x v="148"/>
    <x v="8"/>
    <x v="1"/>
    <x v="0"/>
    <x v="4"/>
    <x v="3"/>
    <x v="1"/>
    <x v="294"/>
    <x v="0"/>
    <x v="0"/>
    <x v="1"/>
    <x v="0"/>
    <x v="0"/>
    <x v="0"/>
    <x v="0"/>
    <x v="0"/>
    <x v="0"/>
    <x v="0"/>
    <x v="0"/>
    <x v="0"/>
    <x v="0"/>
    <x v="0"/>
    <x v="0"/>
    <x v="0"/>
    <x v="0"/>
    <x v="0"/>
    <x v="0"/>
    <x v="0"/>
    <x v="0"/>
    <x v="0"/>
    <x v="0"/>
    <x v="310"/>
    <x v="188"/>
    <x v="136"/>
    <x v="27"/>
    <x v="0"/>
    <x v="0"/>
    <x v="2"/>
    <x v="3"/>
    <x v="0"/>
    <x v="24"/>
    <x v="24"/>
    <x v="318"/>
  </r>
  <r>
    <x v="357"/>
    <x v="58"/>
    <x v="8"/>
    <x v="8"/>
    <x v="3"/>
    <x v="5"/>
    <x v="1"/>
    <x v="1"/>
    <x v="2"/>
    <x v="2"/>
    <x v="37"/>
    <x v="0"/>
    <x v="0"/>
    <x v="0"/>
    <x v="0"/>
    <x v="0"/>
    <x v="37"/>
    <x v="0"/>
    <x v="36"/>
    <x v="19"/>
    <x v="357"/>
    <x v="58"/>
    <x v="8"/>
    <x v="8"/>
    <x v="3"/>
    <x v="5"/>
    <x v="1"/>
    <x v="1"/>
    <x v="2"/>
    <x v="295"/>
    <x v="0"/>
    <x v="0"/>
    <x v="1"/>
    <x v="0"/>
    <x v="0"/>
    <x v="0"/>
    <x v="0"/>
    <x v="0"/>
    <x v="0"/>
    <x v="0"/>
    <x v="0"/>
    <x v="0"/>
    <x v="1"/>
    <x v="0"/>
    <x v="0"/>
    <x v="0"/>
    <x v="0"/>
    <x v="1"/>
    <x v="0"/>
    <x v="0"/>
    <x v="0"/>
    <x v="0"/>
    <x v="1"/>
    <x v="311"/>
    <x v="189"/>
    <x v="137"/>
    <x v="54"/>
    <x v="0"/>
    <x v="0"/>
    <x v="2"/>
    <x v="3"/>
    <x v="0"/>
    <x v="33"/>
    <x v="33"/>
    <x v="41"/>
  </r>
  <r>
    <x v="358"/>
    <x v="41"/>
    <x v="8"/>
    <x v="8"/>
    <x v="111"/>
    <x v="12"/>
    <x v="1"/>
    <x v="1"/>
    <x v="1"/>
    <x v="1"/>
    <x v="136"/>
    <x v="0"/>
    <x v="0"/>
    <x v="0"/>
    <x v="0"/>
    <x v="1"/>
    <x v="136"/>
    <x v="0"/>
    <x v="61"/>
    <x v="16"/>
    <x v="358"/>
    <x v="41"/>
    <x v="8"/>
    <x v="8"/>
    <x v="111"/>
    <x v="12"/>
    <x v="1"/>
    <x v="1"/>
    <x v="1"/>
    <x v="156"/>
    <x v="0"/>
    <x v="0"/>
    <x v="1"/>
    <x v="0"/>
    <x v="0"/>
    <x v="0"/>
    <x v="0"/>
    <x v="0"/>
    <x v="0"/>
    <x v="0"/>
    <x v="0"/>
    <x v="0"/>
    <x v="0"/>
    <x v="0"/>
    <x v="0"/>
    <x v="0"/>
    <x v="0"/>
    <x v="0"/>
    <x v="0"/>
    <x v="0"/>
    <x v="0"/>
    <x v="0"/>
    <x v="1"/>
    <x v="312"/>
    <x v="190"/>
    <x v="138"/>
    <x v="11"/>
    <x v="0"/>
    <x v="0"/>
    <x v="2"/>
    <x v="3"/>
    <x v="0"/>
    <x v="8"/>
    <x v="8"/>
    <x v="319"/>
  </r>
  <r>
    <x v="359"/>
    <x v="112"/>
    <x v="8"/>
    <x v="8"/>
    <x v="112"/>
    <x v="4"/>
    <x v="1"/>
    <x v="1"/>
    <x v="1"/>
    <x v="1"/>
    <x v="137"/>
    <x v="62"/>
    <x v="41"/>
    <x v="69"/>
    <x v="1"/>
    <x v="1"/>
    <x v="137"/>
    <x v="0"/>
    <x v="144"/>
    <x v="6"/>
    <x v="359"/>
    <x v="112"/>
    <x v="8"/>
    <x v="8"/>
    <x v="112"/>
    <x v="4"/>
    <x v="1"/>
    <x v="1"/>
    <x v="1"/>
    <x v="296"/>
    <x v="0"/>
    <x v="0"/>
    <x v="1"/>
    <x v="0"/>
    <x v="0"/>
    <x v="0"/>
    <x v="0"/>
    <x v="0"/>
    <x v="0"/>
    <x v="0"/>
    <x v="0"/>
    <x v="0"/>
    <x v="0"/>
    <x v="0"/>
    <x v="0"/>
    <x v="1"/>
    <x v="0"/>
    <x v="0"/>
    <x v="0"/>
    <x v="0"/>
    <x v="0"/>
    <x v="0"/>
    <x v="0"/>
    <x v="313"/>
    <x v="191"/>
    <x v="139"/>
    <x v="2"/>
    <x v="0"/>
    <x v="5"/>
    <x v="52"/>
    <x v="87"/>
    <x v="1"/>
    <x v="26"/>
    <x v="26"/>
    <x v="320"/>
  </r>
  <r>
    <x v="360"/>
    <x v="113"/>
    <x v="8"/>
    <x v="8"/>
    <x v="113"/>
    <x v="13"/>
    <x v="3"/>
    <x v="1"/>
    <x v="1"/>
    <x v="1"/>
    <x v="253"/>
    <x v="0"/>
    <x v="0"/>
    <x v="0"/>
    <x v="0"/>
    <x v="1"/>
    <x v="253"/>
    <x v="0"/>
    <x v="166"/>
    <x v="6"/>
    <x v="360"/>
    <x v="113"/>
    <x v="8"/>
    <x v="8"/>
    <x v="113"/>
    <x v="13"/>
    <x v="3"/>
    <x v="1"/>
    <x v="1"/>
    <x v="95"/>
    <x v="0"/>
    <x v="0"/>
    <x v="1"/>
    <x v="0"/>
    <x v="0"/>
    <x v="0"/>
    <x v="0"/>
    <x v="0"/>
    <x v="0"/>
    <x v="0"/>
    <x v="0"/>
    <x v="0"/>
    <x v="0"/>
    <x v="0"/>
    <x v="0"/>
    <x v="0"/>
    <x v="1"/>
    <x v="0"/>
    <x v="0"/>
    <x v="0"/>
    <x v="0"/>
    <x v="0"/>
    <x v="0"/>
    <x v="314"/>
    <x v="192"/>
    <x v="140"/>
    <x v="59"/>
    <x v="0"/>
    <x v="16"/>
    <x v="2"/>
    <x v="39"/>
    <x v="0"/>
    <x v="85"/>
    <x v="78"/>
    <x v="321"/>
  </r>
  <r>
    <x v="361"/>
    <x v="114"/>
    <x v="8"/>
    <x v="85"/>
    <x v="1"/>
    <x v="3"/>
    <x v="1"/>
    <x v="1"/>
    <x v="1"/>
    <x v="1"/>
    <x v="254"/>
    <x v="0"/>
    <x v="0"/>
    <x v="0"/>
    <x v="0"/>
    <x v="0"/>
    <x v="254"/>
    <x v="63"/>
    <x v="36"/>
    <x v="12"/>
    <x v="361"/>
    <x v="114"/>
    <x v="8"/>
    <x v="85"/>
    <x v="1"/>
    <x v="3"/>
    <x v="1"/>
    <x v="1"/>
    <x v="1"/>
    <x v="297"/>
    <x v="0"/>
    <x v="0"/>
    <x v="1"/>
    <x v="0"/>
    <x v="0"/>
    <x v="0"/>
    <x v="0"/>
    <x v="0"/>
    <x v="0"/>
    <x v="0"/>
    <x v="0"/>
    <x v="0"/>
    <x v="1"/>
    <x v="0"/>
    <x v="0"/>
    <x v="1"/>
    <x v="1"/>
    <x v="1"/>
    <x v="1"/>
    <x v="0"/>
    <x v="1"/>
    <x v="0"/>
    <x v="1"/>
    <x v="139"/>
    <x v="193"/>
    <x v="56"/>
    <x v="56"/>
    <x v="0"/>
    <x v="5"/>
    <x v="25"/>
    <x v="34"/>
    <x v="1"/>
    <x v="1"/>
    <x v="1"/>
    <x v="322"/>
  </r>
  <r>
    <x v="362"/>
    <x v="4"/>
    <x v="149"/>
    <x v="8"/>
    <x v="7"/>
    <x v="3"/>
    <x v="1"/>
    <x v="1"/>
    <x v="1"/>
    <x v="1"/>
    <x v="247"/>
    <x v="0"/>
    <x v="0"/>
    <x v="0"/>
    <x v="0"/>
    <x v="0"/>
    <x v="247"/>
    <x v="0"/>
    <x v="36"/>
    <x v="12"/>
    <x v="362"/>
    <x v="4"/>
    <x v="149"/>
    <x v="8"/>
    <x v="7"/>
    <x v="3"/>
    <x v="1"/>
    <x v="1"/>
    <x v="1"/>
    <x v="285"/>
    <x v="0"/>
    <x v="0"/>
    <x v="1"/>
    <x v="0"/>
    <x v="0"/>
    <x v="0"/>
    <x v="0"/>
    <x v="0"/>
    <x v="0"/>
    <x v="0"/>
    <x v="0"/>
    <x v="0"/>
    <x v="0"/>
    <x v="0"/>
    <x v="0"/>
    <x v="1"/>
    <x v="0"/>
    <x v="0"/>
    <x v="0"/>
    <x v="0"/>
    <x v="0"/>
    <x v="0"/>
    <x v="0"/>
    <x v="180"/>
    <x v="194"/>
    <x v="141"/>
    <x v="60"/>
    <x v="0"/>
    <x v="0"/>
    <x v="2"/>
    <x v="3"/>
    <x v="0"/>
    <x v="8"/>
    <x v="8"/>
    <x v="323"/>
  </r>
  <r>
    <x v="363"/>
    <x v="12"/>
    <x v="150"/>
    <x v="8"/>
    <x v="7"/>
    <x v="0"/>
    <x v="5"/>
    <x v="3"/>
    <x v="1"/>
    <x v="1"/>
    <x v="255"/>
    <x v="0"/>
    <x v="0"/>
    <x v="0"/>
    <x v="0"/>
    <x v="2"/>
    <x v="255"/>
    <x v="0"/>
    <x v="6"/>
    <x v="6"/>
    <x v="363"/>
    <x v="12"/>
    <x v="150"/>
    <x v="8"/>
    <x v="7"/>
    <x v="0"/>
    <x v="5"/>
    <x v="3"/>
    <x v="1"/>
    <x v="298"/>
    <x v="0"/>
    <x v="0"/>
    <x v="1"/>
    <x v="1"/>
    <x v="0"/>
    <x v="0"/>
    <x v="0"/>
    <x v="0"/>
    <x v="0"/>
    <x v="0"/>
    <x v="0"/>
    <x v="1"/>
    <x v="0"/>
    <x v="0"/>
    <x v="0"/>
    <x v="1"/>
    <x v="0"/>
    <x v="0"/>
    <x v="1"/>
    <x v="0"/>
    <x v="0"/>
    <x v="0"/>
    <x v="1"/>
    <x v="315"/>
    <x v="195"/>
    <x v="6"/>
    <x v="7"/>
    <x v="1"/>
    <x v="4"/>
    <x v="4"/>
    <x v="5"/>
    <x v="0"/>
    <x v="1"/>
    <x v="1"/>
    <x v="324"/>
  </r>
  <r>
    <x v="364"/>
    <x v="115"/>
    <x v="8"/>
    <x v="8"/>
    <x v="108"/>
    <x v="0"/>
    <x v="1"/>
    <x v="1"/>
    <x v="1"/>
    <x v="1"/>
    <x v="18"/>
    <x v="0"/>
    <x v="0"/>
    <x v="0"/>
    <x v="0"/>
    <x v="3"/>
    <x v="18"/>
    <x v="0"/>
    <x v="39"/>
    <x v="6"/>
    <x v="364"/>
    <x v="115"/>
    <x v="8"/>
    <x v="8"/>
    <x v="108"/>
    <x v="0"/>
    <x v="1"/>
    <x v="1"/>
    <x v="1"/>
    <x v="47"/>
    <x v="0"/>
    <x v="0"/>
    <x v="1"/>
    <x v="1"/>
    <x v="0"/>
    <x v="0"/>
    <x v="0"/>
    <x v="0"/>
    <x v="0"/>
    <x v="0"/>
    <x v="0"/>
    <x v="0"/>
    <x v="0"/>
    <x v="0"/>
    <x v="0"/>
    <x v="0"/>
    <x v="1"/>
    <x v="0"/>
    <x v="0"/>
    <x v="0"/>
    <x v="0"/>
    <x v="0"/>
    <x v="2"/>
    <x v="316"/>
    <x v="196"/>
    <x v="13"/>
    <x v="11"/>
    <x v="0"/>
    <x v="5"/>
    <x v="22"/>
    <x v="30"/>
    <x v="1"/>
    <x v="1"/>
    <x v="1"/>
    <x v="325"/>
  </r>
  <r>
    <x v="365"/>
    <x v="116"/>
    <x v="151"/>
    <x v="86"/>
    <x v="114"/>
    <x v="4"/>
    <x v="1"/>
    <x v="1"/>
    <x v="1"/>
    <x v="1"/>
    <x v="256"/>
    <x v="0"/>
    <x v="0"/>
    <x v="0"/>
    <x v="0"/>
    <x v="0"/>
    <x v="256"/>
    <x v="0"/>
    <x v="3"/>
    <x v="24"/>
    <x v="365"/>
    <x v="116"/>
    <x v="151"/>
    <x v="86"/>
    <x v="114"/>
    <x v="4"/>
    <x v="1"/>
    <x v="1"/>
    <x v="1"/>
    <x v="299"/>
    <x v="0"/>
    <x v="0"/>
    <x v="1"/>
    <x v="0"/>
    <x v="0"/>
    <x v="0"/>
    <x v="0"/>
    <x v="0"/>
    <x v="1"/>
    <x v="0"/>
    <x v="0"/>
    <x v="0"/>
    <x v="0"/>
    <x v="0"/>
    <x v="0"/>
    <x v="0"/>
    <x v="0"/>
    <x v="0"/>
    <x v="1"/>
    <x v="0"/>
    <x v="0"/>
    <x v="0"/>
    <x v="1"/>
    <x v="317"/>
    <x v="197"/>
    <x v="142"/>
    <x v="14"/>
    <x v="0"/>
    <x v="0"/>
    <x v="2"/>
    <x v="3"/>
    <x v="0"/>
    <x v="14"/>
    <x v="14"/>
    <x v="326"/>
  </r>
  <r>
    <x v="366"/>
    <x v="95"/>
    <x v="8"/>
    <x v="8"/>
    <x v="7"/>
    <x v="3"/>
    <x v="1"/>
    <x v="1"/>
    <x v="1"/>
    <x v="1"/>
    <x v="257"/>
    <x v="0"/>
    <x v="0"/>
    <x v="0"/>
    <x v="0"/>
    <x v="2"/>
    <x v="257"/>
    <x v="66"/>
    <x v="71"/>
    <x v="6"/>
    <x v="366"/>
    <x v="95"/>
    <x v="8"/>
    <x v="8"/>
    <x v="7"/>
    <x v="3"/>
    <x v="1"/>
    <x v="1"/>
    <x v="1"/>
    <x v="300"/>
    <x v="0"/>
    <x v="0"/>
    <x v="1"/>
    <x v="1"/>
    <x v="0"/>
    <x v="0"/>
    <x v="0"/>
    <x v="0"/>
    <x v="0"/>
    <x v="0"/>
    <x v="0"/>
    <x v="0"/>
    <x v="1"/>
    <x v="0"/>
    <x v="0"/>
    <x v="1"/>
    <x v="0"/>
    <x v="1"/>
    <x v="1"/>
    <x v="0"/>
    <x v="4"/>
    <x v="0"/>
    <x v="2"/>
    <x v="318"/>
    <x v="198"/>
    <x v="119"/>
    <x v="0"/>
    <x v="0"/>
    <x v="1"/>
    <x v="38"/>
    <x v="80"/>
    <x v="0"/>
    <x v="5"/>
    <x v="5"/>
    <x v="327"/>
  </r>
  <r>
    <x v="367"/>
    <x v="96"/>
    <x v="8"/>
    <x v="8"/>
    <x v="0"/>
    <x v="0"/>
    <x v="1"/>
    <x v="1"/>
    <x v="1"/>
    <x v="1"/>
    <x v="231"/>
    <x v="0"/>
    <x v="0"/>
    <x v="0"/>
    <x v="0"/>
    <x v="0"/>
    <x v="231"/>
    <x v="0"/>
    <x v="64"/>
    <x v="6"/>
    <x v="367"/>
    <x v="96"/>
    <x v="8"/>
    <x v="8"/>
    <x v="0"/>
    <x v="0"/>
    <x v="1"/>
    <x v="1"/>
    <x v="1"/>
    <x v="267"/>
    <x v="1"/>
    <x v="0"/>
    <x v="1"/>
    <x v="1"/>
    <x v="0"/>
    <x v="0"/>
    <x v="0"/>
    <x v="0"/>
    <x v="0"/>
    <x v="0"/>
    <x v="0"/>
    <x v="0"/>
    <x v="0"/>
    <x v="0"/>
    <x v="0"/>
    <x v="1"/>
    <x v="0"/>
    <x v="0"/>
    <x v="0"/>
    <x v="0"/>
    <x v="0"/>
    <x v="0"/>
    <x v="2"/>
    <x v="319"/>
    <x v="199"/>
    <x v="35"/>
    <x v="11"/>
    <x v="0"/>
    <x v="3"/>
    <x v="53"/>
    <x v="88"/>
    <x v="0"/>
    <x v="43"/>
    <x v="43"/>
    <x v="328"/>
  </r>
  <r>
    <x v="368"/>
    <x v="76"/>
    <x v="8"/>
    <x v="87"/>
    <x v="115"/>
    <x v="3"/>
    <x v="9"/>
    <x v="0"/>
    <x v="1"/>
    <x v="1"/>
    <x v="258"/>
    <x v="0"/>
    <x v="0"/>
    <x v="0"/>
    <x v="0"/>
    <x v="0"/>
    <x v="258"/>
    <x v="67"/>
    <x v="64"/>
    <x v="7"/>
    <x v="368"/>
    <x v="76"/>
    <x v="8"/>
    <x v="87"/>
    <x v="115"/>
    <x v="3"/>
    <x v="9"/>
    <x v="0"/>
    <x v="1"/>
    <x v="301"/>
    <x v="0"/>
    <x v="1"/>
    <x v="1"/>
    <x v="1"/>
    <x v="0"/>
    <x v="0"/>
    <x v="0"/>
    <x v="0"/>
    <x v="0"/>
    <x v="0"/>
    <x v="0"/>
    <x v="0"/>
    <x v="0"/>
    <x v="0"/>
    <x v="0"/>
    <x v="0"/>
    <x v="0"/>
    <x v="0"/>
    <x v="1"/>
    <x v="0"/>
    <x v="1"/>
    <x v="0"/>
    <x v="1"/>
    <x v="320"/>
    <x v="199"/>
    <x v="139"/>
    <x v="2"/>
    <x v="0"/>
    <x v="3"/>
    <x v="3"/>
    <x v="4"/>
    <x v="0"/>
    <x v="64"/>
    <x v="59"/>
    <x v="329"/>
  </r>
  <r>
    <x v="369"/>
    <x v="22"/>
    <x v="152"/>
    <x v="8"/>
    <x v="0"/>
    <x v="3"/>
    <x v="1"/>
    <x v="1"/>
    <x v="1"/>
    <x v="1"/>
    <x v="259"/>
    <x v="63"/>
    <x v="16"/>
    <x v="70"/>
    <x v="1"/>
    <x v="0"/>
    <x v="259"/>
    <x v="68"/>
    <x v="132"/>
    <x v="6"/>
    <x v="369"/>
    <x v="22"/>
    <x v="152"/>
    <x v="8"/>
    <x v="0"/>
    <x v="3"/>
    <x v="1"/>
    <x v="1"/>
    <x v="1"/>
    <x v="302"/>
    <x v="0"/>
    <x v="0"/>
    <x v="0"/>
    <x v="0"/>
    <x v="1"/>
    <x v="0"/>
    <x v="0"/>
    <x v="0"/>
    <x v="0"/>
    <x v="1"/>
    <x v="0"/>
    <x v="0"/>
    <x v="1"/>
    <x v="0"/>
    <x v="0"/>
    <x v="1"/>
    <x v="0"/>
    <x v="1"/>
    <x v="1"/>
    <x v="0"/>
    <x v="1"/>
    <x v="0"/>
    <x v="2"/>
    <x v="321"/>
    <x v="200"/>
    <x v="20"/>
    <x v="3"/>
    <x v="0"/>
    <x v="10"/>
    <x v="16"/>
    <x v="22"/>
    <x v="0"/>
    <x v="0"/>
    <x v="0"/>
    <x v="330"/>
  </r>
  <r>
    <x v="370"/>
    <x v="22"/>
    <x v="153"/>
    <x v="8"/>
    <x v="3"/>
    <x v="3"/>
    <x v="1"/>
    <x v="1"/>
    <x v="1"/>
    <x v="1"/>
    <x v="260"/>
    <x v="64"/>
    <x v="16"/>
    <x v="71"/>
    <x v="1"/>
    <x v="3"/>
    <x v="260"/>
    <x v="69"/>
    <x v="167"/>
    <x v="6"/>
    <x v="370"/>
    <x v="22"/>
    <x v="153"/>
    <x v="8"/>
    <x v="3"/>
    <x v="3"/>
    <x v="1"/>
    <x v="1"/>
    <x v="1"/>
    <x v="303"/>
    <x v="0"/>
    <x v="0"/>
    <x v="1"/>
    <x v="0"/>
    <x v="0"/>
    <x v="0"/>
    <x v="0"/>
    <x v="0"/>
    <x v="0"/>
    <x v="0"/>
    <x v="0"/>
    <x v="0"/>
    <x v="1"/>
    <x v="0"/>
    <x v="0"/>
    <x v="0"/>
    <x v="0"/>
    <x v="1"/>
    <x v="1"/>
    <x v="0"/>
    <x v="1"/>
    <x v="0"/>
    <x v="1"/>
    <x v="322"/>
    <x v="200"/>
    <x v="20"/>
    <x v="3"/>
    <x v="0"/>
    <x v="3"/>
    <x v="15"/>
    <x v="20"/>
    <x v="0"/>
    <x v="12"/>
    <x v="12"/>
    <x v="331"/>
  </r>
  <r>
    <x v="371"/>
    <x v="117"/>
    <x v="154"/>
    <x v="88"/>
    <x v="2"/>
    <x v="2"/>
    <x v="1"/>
    <x v="5"/>
    <x v="3"/>
    <x v="3"/>
    <x v="261"/>
    <x v="0"/>
    <x v="0"/>
    <x v="0"/>
    <x v="0"/>
    <x v="0"/>
    <x v="261"/>
    <x v="0"/>
    <x v="36"/>
    <x v="6"/>
    <x v="371"/>
    <x v="117"/>
    <x v="154"/>
    <x v="88"/>
    <x v="2"/>
    <x v="2"/>
    <x v="1"/>
    <x v="5"/>
    <x v="3"/>
    <x v="304"/>
    <x v="0"/>
    <x v="0"/>
    <x v="1"/>
    <x v="0"/>
    <x v="0"/>
    <x v="0"/>
    <x v="0"/>
    <x v="0"/>
    <x v="0"/>
    <x v="0"/>
    <x v="0"/>
    <x v="0"/>
    <x v="0"/>
    <x v="0"/>
    <x v="0"/>
    <x v="1"/>
    <x v="0"/>
    <x v="0"/>
    <x v="0"/>
    <x v="0"/>
    <x v="0"/>
    <x v="0"/>
    <x v="0"/>
    <x v="323"/>
    <x v="201"/>
    <x v="143"/>
    <x v="14"/>
    <x v="0"/>
    <x v="0"/>
    <x v="2"/>
    <x v="3"/>
    <x v="0"/>
    <x v="8"/>
    <x v="8"/>
    <x v="332"/>
  </r>
  <r>
    <x v="372"/>
    <x v="2"/>
    <x v="8"/>
    <x v="8"/>
    <x v="3"/>
    <x v="5"/>
    <x v="1"/>
    <x v="2"/>
    <x v="2"/>
    <x v="2"/>
    <x v="262"/>
    <x v="65"/>
    <x v="42"/>
    <x v="72"/>
    <x v="1"/>
    <x v="0"/>
    <x v="262"/>
    <x v="70"/>
    <x v="12"/>
    <x v="8"/>
    <x v="372"/>
    <x v="2"/>
    <x v="8"/>
    <x v="8"/>
    <x v="3"/>
    <x v="5"/>
    <x v="1"/>
    <x v="2"/>
    <x v="2"/>
    <x v="305"/>
    <x v="0"/>
    <x v="0"/>
    <x v="1"/>
    <x v="0"/>
    <x v="0"/>
    <x v="0"/>
    <x v="0"/>
    <x v="0"/>
    <x v="0"/>
    <x v="0"/>
    <x v="0"/>
    <x v="0"/>
    <x v="0"/>
    <x v="0"/>
    <x v="0"/>
    <x v="0"/>
    <x v="0"/>
    <x v="0"/>
    <x v="1"/>
    <x v="0"/>
    <x v="1"/>
    <x v="0"/>
    <x v="0"/>
    <x v="324"/>
    <x v="202"/>
    <x v="144"/>
    <x v="61"/>
    <x v="0"/>
    <x v="3"/>
    <x v="26"/>
    <x v="35"/>
    <x v="0"/>
    <x v="86"/>
    <x v="9"/>
    <x v="13"/>
  </r>
  <r>
    <x v="373"/>
    <x v="118"/>
    <x v="8"/>
    <x v="8"/>
    <x v="3"/>
    <x v="5"/>
    <x v="1"/>
    <x v="1"/>
    <x v="2"/>
    <x v="2"/>
    <x v="263"/>
    <x v="0"/>
    <x v="0"/>
    <x v="0"/>
    <x v="0"/>
    <x v="0"/>
    <x v="263"/>
    <x v="0"/>
    <x v="12"/>
    <x v="8"/>
    <x v="373"/>
    <x v="118"/>
    <x v="8"/>
    <x v="8"/>
    <x v="3"/>
    <x v="5"/>
    <x v="1"/>
    <x v="1"/>
    <x v="2"/>
    <x v="306"/>
    <x v="0"/>
    <x v="0"/>
    <x v="1"/>
    <x v="0"/>
    <x v="0"/>
    <x v="0"/>
    <x v="0"/>
    <x v="0"/>
    <x v="0"/>
    <x v="0"/>
    <x v="0"/>
    <x v="0"/>
    <x v="1"/>
    <x v="0"/>
    <x v="0"/>
    <x v="0"/>
    <x v="0"/>
    <x v="1"/>
    <x v="0"/>
    <x v="0"/>
    <x v="0"/>
    <x v="0"/>
    <x v="1"/>
    <x v="13"/>
    <x v="203"/>
    <x v="145"/>
    <x v="4"/>
    <x v="0"/>
    <x v="0"/>
    <x v="2"/>
    <x v="3"/>
    <x v="0"/>
    <x v="8"/>
    <x v="8"/>
    <x v="13"/>
  </r>
  <r>
    <x v="374"/>
    <x v="119"/>
    <x v="8"/>
    <x v="8"/>
    <x v="6"/>
    <x v="5"/>
    <x v="1"/>
    <x v="1"/>
    <x v="2"/>
    <x v="2"/>
    <x v="264"/>
    <x v="0"/>
    <x v="0"/>
    <x v="0"/>
    <x v="0"/>
    <x v="2"/>
    <x v="264"/>
    <x v="0"/>
    <x v="12"/>
    <x v="8"/>
    <x v="374"/>
    <x v="119"/>
    <x v="8"/>
    <x v="8"/>
    <x v="6"/>
    <x v="5"/>
    <x v="1"/>
    <x v="1"/>
    <x v="2"/>
    <x v="307"/>
    <x v="0"/>
    <x v="0"/>
    <x v="1"/>
    <x v="0"/>
    <x v="0"/>
    <x v="0"/>
    <x v="0"/>
    <x v="0"/>
    <x v="0"/>
    <x v="0"/>
    <x v="0"/>
    <x v="0"/>
    <x v="0"/>
    <x v="0"/>
    <x v="0"/>
    <x v="0"/>
    <x v="0"/>
    <x v="1"/>
    <x v="0"/>
    <x v="0"/>
    <x v="0"/>
    <x v="0"/>
    <x v="0"/>
    <x v="325"/>
    <x v="203"/>
    <x v="145"/>
    <x v="62"/>
    <x v="0"/>
    <x v="25"/>
    <x v="2"/>
    <x v="89"/>
    <x v="0"/>
    <x v="41"/>
    <x v="41"/>
    <x v="13"/>
  </r>
  <r>
    <x v="375"/>
    <x v="120"/>
    <x v="8"/>
    <x v="8"/>
    <x v="14"/>
    <x v="5"/>
    <x v="1"/>
    <x v="1"/>
    <x v="2"/>
    <x v="2"/>
    <x v="136"/>
    <x v="0"/>
    <x v="0"/>
    <x v="0"/>
    <x v="0"/>
    <x v="1"/>
    <x v="136"/>
    <x v="0"/>
    <x v="12"/>
    <x v="8"/>
    <x v="375"/>
    <x v="120"/>
    <x v="8"/>
    <x v="8"/>
    <x v="14"/>
    <x v="5"/>
    <x v="1"/>
    <x v="1"/>
    <x v="2"/>
    <x v="100"/>
    <x v="0"/>
    <x v="0"/>
    <x v="1"/>
    <x v="0"/>
    <x v="0"/>
    <x v="0"/>
    <x v="0"/>
    <x v="0"/>
    <x v="0"/>
    <x v="0"/>
    <x v="0"/>
    <x v="0"/>
    <x v="0"/>
    <x v="0"/>
    <x v="0"/>
    <x v="0"/>
    <x v="0"/>
    <x v="0"/>
    <x v="0"/>
    <x v="0"/>
    <x v="0"/>
    <x v="0"/>
    <x v="0"/>
    <x v="326"/>
    <x v="204"/>
    <x v="146"/>
    <x v="63"/>
    <x v="0"/>
    <x v="0"/>
    <x v="2"/>
    <x v="3"/>
    <x v="0"/>
    <x v="87"/>
    <x v="79"/>
    <x v="13"/>
  </r>
  <r>
    <x v="376"/>
    <x v="121"/>
    <x v="8"/>
    <x v="8"/>
    <x v="116"/>
    <x v="5"/>
    <x v="1"/>
    <x v="1"/>
    <x v="1"/>
    <x v="1"/>
    <x v="131"/>
    <x v="0"/>
    <x v="0"/>
    <x v="0"/>
    <x v="0"/>
    <x v="3"/>
    <x v="131"/>
    <x v="0"/>
    <x v="12"/>
    <x v="11"/>
    <x v="376"/>
    <x v="121"/>
    <x v="8"/>
    <x v="8"/>
    <x v="116"/>
    <x v="5"/>
    <x v="1"/>
    <x v="1"/>
    <x v="1"/>
    <x v="230"/>
    <x v="0"/>
    <x v="0"/>
    <x v="1"/>
    <x v="0"/>
    <x v="0"/>
    <x v="0"/>
    <x v="0"/>
    <x v="0"/>
    <x v="0"/>
    <x v="0"/>
    <x v="0"/>
    <x v="0"/>
    <x v="0"/>
    <x v="0"/>
    <x v="0"/>
    <x v="0"/>
    <x v="0"/>
    <x v="0"/>
    <x v="0"/>
    <x v="0"/>
    <x v="0"/>
    <x v="0"/>
    <x v="0"/>
    <x v="13"/>
    <x v="205"/>
    <x v="147"/>
    <x v="11"/>
    <x v="0"/>
    <x v="3"/>
    <x v="18"/>
    <x v="24"/>
    <x v="0"/>
    <x v="8"/>
    <x v="8"/>
    <x v="13"/>
  </r>
  <r>
    <x v="377"/>
    <x v="19"/>
    <x v="155"/>
    <x v="89"/>
    <x v="7"/>
    <x v="3"/>
    <x v="6"/>
    <x v="3"/>
    <x v="1"/>
    <x v="1"/>
    <x v="265"/>
    <x v="0"/>
    <x v="0"/>
    <x v="0"/>
    <x v="0"/>
    <x v="0"/>
    <x v="265"/>
    <x v="0"/>
    <x v="64"/>
    <x v="19"/>
    <x v="377"/>
    <x v="19"/>
    <x v="155"/>
    <x v="89"/>
    <x v="7"/>
    <x v="3"/>
    <x v="6"/>
    <x v="3"/>
    <x v="1"/>
    <x v="308"/>
    <x v="1"/>
    <x v="0"/>
    <x v="1"/>
    <x v="1"/>
    <x v="0"/>
    <x v="0"/>
    <x v="0"/>
    <x v="0"/>
    <x v="0"/>
    <x v="0"/>
    <x v="0"/>
    <x v="1"/>
    <x v="0"/>
    <x v="0"/>
    <x v="0"/>
    <x v="0"/>
    <x v="0"/>
    <x v="0"/>
    <x v="1"/>
    <x v="0"/>
    <x v="0"/>
    <x v="4"/>
    <x v="2"/>
    <x v="233"/>
    <x v="206"/>
    <x v="148"/>
    <x v="9"/>
    <x v="0"/>
    <x v="0"/>
    <x v="2"/>
    <x v="3"/>
    <x v="0"/>
    <x v="0"/>
    <x v="0"/>
    <x v="333"/>
  </r>
  <r>
    <x v="378"/>
    <x v="4"/>
    <x v="8"/>
    <x v="90"/>
    <x v="14"/>
    <x v="3"/>
    <x v="1"/>
    <x v="1"/>
    <x v="1"/>
    <x v="1"/>
    <x v="198"/>
    <x v="0"/>
    <x v="0"/>
    <x v="0"/>
    <x v="0"/>
    <x v="0"/>
    <x v="198"/>
    <x v="0"/>
    <x v="71"/>
    <x v="11"/>
    <x v="378"/>
    <x v="4"/>
    <x v="8"/>
    <x v="90"/>
    <x v="14"/>
    <x v="3"/>
    <x v="1"/>
    <x v="1"/>
    <x v="1"/>
    <x v="309"/>
    <x v="0"/>
    <x v="0"/>
    <x v="1"/>
    <x v="0"/>
    <x v="0"/>
    <x v="0"/>
    <x v="0"/>
    <x v="0"/>
    <x v="0"/>
    <x v="0"/>
    <x v="0"/>
    <x v="0"/>
    <x v="0"/>
    <x v="0"/>
    <x v="0"/>
    <x v="0"/>
    <x v="1"/>
    <x v="0"/>
    <x v="1"/>
    <x v="0"/>
    <x v="0"/>
    <x v="0"/>
    <x v="0"/>
    <x v="327"/>
    <x v="206"/>
    <x v="148"/>
    <x v="55"/>
    <x v="0"/>
    <x v="0"/>
    <x v="2"/>
    <x v="3"/>
    <x v="0"/>
    <x v="26"/>
    <x v="26"/>
    <x v="334"/>
  </r>
  <r>
    <x v="379"/>
    <x v="2"/>
    <x v="8"/>
    <x v="8"/>
    <x v="117"/>
    <x v="1"/>
    <x v="1"/>
    <x v="2"/>
    <x v="1"/>
    <x v="1"/>
    <x v="266"/>
    <x v="0"/>
    <x v="0"/>
    <x v="0"/>
    <x v="0"/>
    <x v="1"/>
    <x v="266"/>
    <x v="0"/>
    <x v="168"/>
    <x v="30"/>
    <x v="379"/>
    <x v="2"/>
    <x v="8"/>
    <x v="8"/>
    <x v="117"/>
    <x v="1"/>
    <x v="1"/>
    <x v="2"/>
    <x v="1"/>
    <x v="310"/>
    <x v="0"/>
    <x v="0"/>
    <x v="1"/>
    <x v="1"/>
    <x v="0"/>
    <x v="0"/>
    <x v="0"/>
    <x v="0"/>
    <x v="0"/>
    <x v="0"/>
    <x v="0"/>
    <x v="0"/>
    <x v="0"/>
    <x v="0"/>
    <x v="0"/>
    <x v="0"/>
    <x v="0"/>
    <x v="0"/>
    <x v="0"/>
    <x v="0"/>
    <x v="0"/>
    <x v="0"/>
    <x v="1"/>
    <x v="328"/>
    <x v="207"/>
    <x v="73"/>
    <x v="55"/>
    <x v="0"/>
    <x v="16"/>
    <x v="2"/>
    <x v="39"/>
    <x v="0"/>
    <x v="88"/>
    <x v="80"/>
    <x v="335"/>
  </r>
  <r>
    <x v="380"/>
    <x v="2"/>
    <x v="156"/>
    <x v="8"/>
    <x v="118"/>
    <x v="1"/>
    <x v="1"/>
    <x v="2"/>
    <x v="1"/>
    <x v="1"/>
    <x v="137"/>
    <x v="0"/>
    <x v="0"/>
    <x v="0"/>
    <x v="0"/>
    <x v="1"/>
    <x v="137"/>
    <x v="0"/>
    <x v="169"/>
    <x v="6"/>
    <x v="380"/>
    <x v="2"/>
    <x v="156"/>
    <x v="8"/>
    <x v="118"/>
    <x v="1"/>
    <x v="1"/>
    <x v="2"/>
    <x v="1"/>
    <x v="157"/>
    <x v="0"/>
    <x v="0"/>
    <x v="1"/>
    <x v="0"/>
    <x v="0"/>
    <x v="0"/>
    <x v="0"/>
    <x v="0"/>
    <x v="0"/>
    <x v="0"/>
    <x v="0"/>
    <x v="0"/>
    <x v="0"/>
    <x v="0"/>
    <x v="0"/>
    <x v="0"/>
    <x v="0"/>
    <x v="0"/>
    <x v="0"/>
    <x v="0"/>
    <x v="0"/>
    <x v="0"/>
    <x v="0"/>
    <x v="329"/>
    <x v="208"/>
    <x v="149"/>
    <x v="15"/>
    <x v="0"/>
    <x v="16"/>
    <x v="2"/>
    <x v="39"/>
    <x v="0"/>
    <x v="89"/>
    <x v="81"/>
    <x v="336"/>
  </r>
  <r>
    <x v="381"/>
    <x v="2"/>
    <x v="156"/>
    <x v="8"/>
    <x v="118"/>
    <x v="1"/>
    <x v="1"/>
    <x v="2"/>
    <x v="1"/>
    <x v="1"/>
    <x v="22"/>
    <x v="0"/>
    <x v="0"/>
    <x v="0"/>
    <x v="0"/>
    <x v="3"/>
    <x v="22"/>
    <x v="0"/>
    <x v="1"/>
    <x v="6"/>
    <x v="381"/>
    <x v="2"/>
    <x v="156"/>
    <x v="8"/>
    <x v="118"/>
    <x v="1"/>
    <x v="1"/>
    <x v="2"/>
    <x v="1"/>
    <x v="22"/>
    <x v="0"/>
    <x v="0"/>
    <x v="1"/>
    <x v="0"/>
    <x v="0"/>
    <x v="0"/>
    <x v="0"/>
    <x v="0"/>
    <x v="0"/>
    <x v="0"/>
    <x v="0"/>
    <x v="0"/>
    <x v="0"/>
    <x v="0"/>
    <x v="0"/>
    <x v="0"/>
    <x v="0"/>
    <x v="0"/>
    <x v="1"/>
    <x v="0"/>
    <x v="0"/>
    <x v="2"/>
    <x v="0"/>
    <x v="206"/>
    <x v="208"/>
    <x v="149"/>
    <x v="16"/>
    <x v="0"/>
    <x v="17"/>
    <x v="2"/>
    <x v="40"/>
    <x v="0"/>
    <x v="8"/>
    <x v="8"/>
    <x v="337"/>
  </r>
  <r>
    <x v="382"/>
    <x v="122"/>
    <x v="8"/>
    <x v="8"/>
    <x v="4"/>
    <x v="5"/>
    <x v="1"/>
    <x v="1"/>
    <x v="2"/>
    <x v="2"/>
    <x v="267"/>
    <x v="0"/>
    <x v="0"/>
    <x v="0"/>
    <x v="0"/>
    <x v="0"/>
    <x v="267"/>
    <x v="51"/>
    <x v="12"/>
    <x v="8"/>
    <x v="382"/>
    <x v="122"/>
    <x v="8"/>
    <x v="8"/>
    <x v="4"/>
    <x v="5"/>
    <x v="1"/>
    <x v="1"/>
    <x v="2"/>
    <x v="311"/>
    <x v="0"/>
    <x v="0"/>
    <x v="1"/>
    <x v="0"/>
    <x v="0"/>
    <x v="0"/>
    <x v="0"/>
    <x v="0"/>
    <x v="0"/>
    <x v="0"/>
    <x v="0"/>
    <x v="0"/>
    <x v="1"/>
    <x v="0"/>
    <x v="0"/>
    <x v="0"/>
    <x v="0"/>
    <x v="1"/>
    <x v="1"/>
    <x v="0"/>
    <x v="3"/>
    <x v="0"/>
    <x v="1"/>
    <x v="330"/>
    <x v="209"/>
    <x v="14"/>
    <x v="12"/>
    <x v="0"/>
    <x v="0"/>
    <x v="2"/>
    <x v="3"/>
    <x v="0"/>
    <x v="90"/>
    <x v="82"/>
    <x v="13"/>
  </r>
  <r>
    <x v="383"/>
    <x v="0"/>
    <x v="157"/>
    <x v="91"/>
    <x v="2"/>
    <x v="0"/>
    <x v="0"/>
    <x v="0"/>
    <x v="3"/>
    <x v="3"/>
    <x v="268"/>
    <x v="0"/>
    <x v="0"/>
    <x v="0"/>
    <x v="0"/>
    <x v="0"/>
    <x v="268"/>
    <x v="0"/>
    <x v="12"/>
    <x v="8"/>
    <x v="383"/>
    <x v="0"/>
    <x v="157"/>
    <x v="91"/>
    <x v="2"/>
    <x v="0"/>
    <x v="0"/>
    <x v="0"/>
    <x v="3"/>
    <x v="312"/>
    <x v="0"/>
    <x v="0"/>
    <x v="0"/>
    <x v="0"/>
    <x v="1"/>
    <x v="0"/>
    <x v="0"/>
    <x v="0"/>
    <x v="0"/>
    <x v="0"/>
    <x v="0"/>
    <x v="0"/>
    <x v="0"/>
    <x v="0"/>
    <x v="0"/>
    <x v="0"/>
    <x v="0"/>
    <x v="0"/>
    <x v="0"/>
    <x v="0"/>
    <x v="0"/>
    <x v="0"/>
    <x v="0"/>
    <x v="13"/>
    <x v="210"/>
    <x v="150"/>
    <x v="64"/>
    <x v="0"/>
    <x v="0"/>
    <x v="2"/>
    <x v="3"/>
    <x v="0"/>
    <x v="8"/>
    <x v="8"/>
    <x v="13"/>
  </r>
  <r>
    <x v="384"/>
    <x v="21"/>
    <x v="158"/>
    <x v="8"/>
    <x v="43"/>
    <x v="0"/>
    <x v="1"/>
    <x v="1"/>
    <x v="1"/>
    <x v="1"/>
    <x v="103"/>
    <x v="0"/>
    <x v="0"/>
    <x v="0"/>
    <x v="0"/>
    <x v="3"/>
    <x v="103"/>
    <x v="0"/>
    <x v="170"/>
    <x v="31"/>
    <x v="384"/>
    <x v="21"/>
    <x v="158"/>
    <x v="8"/>
    <x v="119"/>
    <x v="0"/>
    <x v="1"/>
    <x v="1"/>
    <x v="1"/>
    <x v="313"/>
    <x v="0"/>
    <x v="0"/>
    <x v="1"/>
    <x v="0"/>
    <x v="0"/>
    <x v="0"/>
    <x v="0"/>
    <x v="0"/>
    <x v="0"/>
    <x v="0"/>
    <x v="0"/>
    <x v="0"/>
    <x v="0"/>
    <x v="0"/>
    <x v="0"/>
    <x v="1"/>
    <x v="0"/>
    <x v="0"/>
    <x v="1"/>
    <x v="0"/>
    <x v="0"/>
    <x v="0"/>
    <x v="1"/>
    <x v="331"/>
    <x v="211"/>
    <x v="20"/>
    <x v="2"/>
    <x v="0"/>
    <x v="3"/>
    <x v="15"/>
    <x v="20"/>
    <x v="0"/>
    <x v="44"/>
    <x v="44"/>
    <x v="338"/>
  </r>
  <r>
    <x v="385"/>
    <x v="21"/>
    <x v="159"/>
    <x v="8"/>
    <x v="119"/>
    <x v="3"/>
    <x v="1"/>
    <x v="1"/>
    <x v="1"/>
    <x v="1"/>
    <x v="269"/>
    <x v="0"/>
    <x v="0"/>
    <x v="0"/>
    <x v="0"/>
    <x v="0"/>
    <x v="269"/>
    <x v="0"/>
    <x v="28"/>
    <x v="2"/>
    <x v="385"/>
    <x v="21"/>
    <x v="159"/>
    <x v="8"/>
    <x v="120"/>
    <x v="3"/>
    <x v="1"/>
    <x v="1"/>
    <x v="1"/>
    <x v="314"/>
    <x v="1"/>
    <x v="1"/>
    <x v="1"/>
    <x v="1"/>
    <x v="0"/>
    <x v="0"/>
    <x v="0"/>
    <x v="0"/>
    <x v="0"/>
    <x v="1"/>
    <x v="0"/>
    <x v="0"/>
    <x v="0"/>
    <x v="0"/>
    <x v="0"/>
    <x v="0"/>
    <x v="0"/>
    <x v="0"/>
    <x v="1"/>
    <x v="0"/>
    <x v="0"/>
    <x v="0"/>
    <x v="3"/>
    <x v="332"/>
    <x v="211"/>
    <x v="20"/>
    <x v="2"/>
    <x v="0"/>
    <x v="3"/>
    <x v="15"/>
    <x v="20"/>
    <x v="0"/>
    <x v="29"/>
    <x v="29"/>
    <x v="339"/>
  </r>
  <r>
    <x v="386"/>
    <x v="22"/>
    <x v="160"/>
    <x v="8"/>
    <x v="0"/>
    <x v="3"/>
    <x v="1"/>
    <x v="1"/>
    <x v="1"/>
    <x v="1"/>
    <x v="270"/>
    <x v="0"/>
    <x v="0"/>
    <x v="0"/>
    <x v="0"/>
    <x v="0"/>
    <x v="270"/>
    <x v="71"/>
    <x v="171"/>
    <x v="31"/>
    <x v="386"/>
    <x v="22"/>
    <x v="160"/>
    <x v="8"/>
    <x v="0"/>
    <x v="3"/>
    <x v="1"/>
    <x v="1"/>
    <x v="1"/>
    <x v="315"/>
    <x v="0"/>
    <x v="0"/>
    <x v="1"/>
    <x v="0"/>
    <x v="0"/>
    <x v="0"/>
    <x v="0"/>
    <x v="0"/>
    <x v="0"/>
    <x v="0"/>
    <x v="0"/>
    <x v="0"/>
    <x v="1"/>
    <x v="0"/>
    <x v="0"/>
    <x v="1"/>
    <x v="0"/>
    <x v="1"/>
    <x v="1"/>
    <x v="0"/>
    <x v="2"/>
    <x v="0"/>
    <x v="2"/>
    <x v="333"/>
    <x v="211"/>
    <x v="20"/>
    <x v="2"/>
    <x v="0"/>
    <x v="3"/>
    <x v="15"/>
    <x v="20"/>
    <x v="0"/>
    <x v="44"/>
    <x v="44"/>
    <x v="340"/>
  </r>
  <r>
    <x v="387"/>
    <x v="22"/>
    <x v="161"/>
    <x v="8"/>
    <x v="2"/>
    <x v="3"/>
    <x v="1"/>
    <x v="1"/>
    <x v="1"/>
    <x v="1"/>
    <x v="271"/>
    <x v="0"/>
    <x v="0"/>
    <x v="0"/>
    <x v="0"/>
    <x v="0"/>
    <x v="271"/>
    <x v="0"/>
    <x v="36"/>
    <x v="32"/>
    <x v="387"/>
    <x v="22"/>
    <x v="161"/>
    <x v="8"/>
    <x v="2"/>
    <x v="3"/>
    <x v="1"/>
    <x v="1"/>
    <x v="1"/>
    <x v="316"/>
    <x v="0"/>
    <x v="0"/>
    <x v="0"/>
    <x v="0"/>
    <x v="1"/>
    <x v="0"/>
    <x v="1"/>
    <x v="0"/>
    <x v="0"/>
    <x v="1"/>
    <x v="0"/>
    <x v="0"/>
    <x v="0"/>
    <x v="0"/>
    <x v="0"/>
    <x v="0"/>
    <x v="0"/>
    <x v="0"/>
    <x v="0"/>
    <x v="0"/>
    <x v="0"/>
    <x v="0"/>
    <x v="4"/>
    <x v="334"/>
    <x v="211"/>
    <x v="20"/>
    <x v="2"/>
    <x v="0"/>
    <x v="3"/>
    <x v="15"/>
    <x v="20"/>
    <x v="0"/>
    <x v="1"/>
    <x v="1"/>
    <x v="341"/>
  </r>
  <r>
    <x v="388"/>
    <x v="22"/>
    <x v="162"/>
    <x v="8"/>
    <x v="3"/>
    <x v="3"/>
    <x v="1"/>
    <x v="1"/>
    <x v="1"/>
    <x v="1"/>
    <x v="272"/>
    <x v="0"/>
    <x v="0"/>
    <x v="0"/>
    <x v="0"/>
    <x v="3"/>
    <x v="272"/>
    <x v="72"/>
    <x v="172"/>
    <x v="31"/>
    <x v="388"/>
    <x v="22"/>
    <x v="162"/>
    <x v="8"/>
    <x v="3"/>
    <x v="3"/>
    <x v="1"/>
    <x v="1"/>
    <x v="1"/>
    <x v="317"/>
    <x v="0"/>
    <x v="0"/>
    <x v="1"/>
    <x v="0"/>
    <x v="0"/>
    <x v="0"/>
    <x v="0"/>
    <x v="0"/>
    <x v="0"/>
    <x v="0"/>
    <x v="0"/>
    <x v="0"/>
    <x v="1"/>
    <x v="0"/>
    <x v="0"/>
    <x v="0"/>
    <x v="0"/>
    <x v="1"/>
    <x v="1"/>
    <x v="0"/>
    <x v="1"/>
    <x v="0"/>
    <x v="1"/>
    <x v="335"/>
    <x v="211"/>
    <x v="20"/>
    <x v="2"/>
    <x v="0"/>
    <x v="3"/>
    <x v="15"/>
    <x v="20"/>
    <x v="0"/>
    <x v="0"/>
    <x v="0"/>
    <x v="342"/>
  </r>
  <r>
    <x v="389"/>
    <x v="21"/>
    <x v="163"/>
    <x v="8"/>
    <x v="43"/>
    <x v="3"/>
    <x v="1"/>
    <x v="1"/>
    <x v="1"/>
    <x v="1"/>
    <x v="273"/>
    <x v="0"/>
    <x v="0"/>
    <x v="0"/>
    <x v="0"/>
    <x v="0"/>
    <x v="273"/>
    <x v="73"/>
    <x v="79"/>
    <x v="31"/>
    <x v="389"/>
    <x v="21"/>
    <x v="163"/>
    <x v="8"/>
    <x v="43"/>
    <x v="3"/>
    <x v="1"/>
    <x v="1"/>
    <x v="1"/>
    <x v="318"/>
    <x v="0"/>
    <x v="0"/>
    <x v="1"/>
    <x v="0"/>
    <x v="0"/>
    <x v="0"/>
    <x v="0"/>
    <x v="0"/>
    <x v="0"/>
    <x v="0"/>
    <x v="0"/>
    <x v="0"/>
    <x v="1"/>
    <x v="0"/>
    <x v="0"/>
    <x v="1"/>
    <x v="0"/>
    <x v="1"/>
    <x v="1"/>
    <x v="0"/>
    <x v="1"/>
    <x v="0"/>
    <x v="1"/>
    <x v="285"/>
    <x v="211"/>
    <x v="20"/>
    <x v="3"/>
    <x v="0"/>
    <x v="10"/>
    <x v="16"/>
    <x v="22"/>
    <x v="0"/>
    <x v="29"/>
    <x v="29"/>
    <x v="343"/>
  </r>
  <r>
    <x v="390"/>
    <x v="21"/>
    <x v="164"/>
    <x v="8"/>
    <x v="43"/>
    <x v="3"/>
    <x v="1"/>
    <x v="1"/>
    <x v="1"/>
    <x v="1"/>
    <x v="274"/>
    <x v="0"/>
    <x v="0"/>
    <x v="0"/>
    <x v="0"/>
    <x v="0"/>
    <x v="274"/>
    <x v="0"/>
    <x v="173"/>
    <x v="31"/>
    <x v="390"/>
    <x v="21"/>
    <x v="164"/>
    <x v="8"/>
    <x v="121"/>
    <x v="3"/>
    <x v="1"/>
    <x v="1"/>
    <x v="1"/>
    <x v="319"/>
    <x v="0"/>
    <x v="0"/>
    <x v="0"/>
    <x v="0"/>
    <x v="1"/>
    <x v="0"/>
    <x v="0"/>
    <x v="0"/>
    <x v="0"/>
    <x v="1"/>
    <x v="0"/>
    <x v="0"/>
    <x v="0"/>
    <x v="0"/>
    <x v="0"/>
    <x v="1"/>
    <x v="0"/>
    <x v="0"/>
    <x v="0"/>
    <x v="0"/>
    <x v="0"/>
    <x v="0"/>
    <x v="1"/>
    <x v="4"/>
    <x v="211"/>
    <x v="20"/>
    <x v="3"/>
    <x v="0"/>
    <x v="3"/>
    <x v="15"/>
    <x v="20"/>
    <x v="0"/>
    <x v="26"/>
    <x v="26"/>
    <x v="344"/>
  </r>
  <r>
    <x v="391"/>
    <x v="21"/>
    <x v="165"/>
    <x v="8"/>
    <x v="0"/>
    <x v="3"/>
    <x v="1"/>
    <x v="1"/>
    <x v="1"/>
    <x v="1"/>
    <x v="275"/>
    <x v="0"/>
    <x v="0"/>
    <x v="0"/>
    <x v="0"/>
    <x v="4"/>
    <x v="275"/>
    <x v="74"/>
    <x v="71"/>
    <x v="2"/>
    <x v="391"/>
    <x v="21"/>
    <x v="165"/>
    <x v="8"/>
    <x v="0"/>
    <x v="3"/>
    <x v="1"/>
    <x v="1"/>
    <x v="1"/>
    <x v="320"/>
    <x v="0"/>
    <x v="0"/>
    <x v="0"/>
    <x v="0"/>
    <x v="1"/>
    <x v="0"/>
    <x v="0"/>
    <x v="0"/>
    <x v="0"/>
    <x v="0"/>
    <x v="0"/>
    <x v="0"/>
    <x v="1"/>
    <x v="0"/>
    <x v="0"/>
    <x v="0"/>
    <x v="0"/>
    <x v="1"/>
    <x v="1"/>
    <x v="0"/>
    <x v="9"/>
    <x v="0"/>
    <x v="3"/>
    <x v="336"/>
    <x v="211"/>
    <x v="20"/>
    <x v="3"/>
    <x v="0"/>
    <x v="10"/>
    <x v="16"/>
    <x v="22"/>
    <x v="0"/>
    <x v="32"/>
    <x v="32"/>
    <x v="345"/>
  </r>
  <r>
    <x v="392"/>
    <x v="21"/>
    <x v="166"/>
    <x v="8"/>
    <x v="0"/>
    <x v="3"/>
    <x v="1"/>
    <x v="1"/>
    <x v="1"/>
    <x v="1"/>
    <x v="276"/>
    <x v="0"/>
    <x v="0"/>
    <x v="0"/>
    <x v="0"/>
    <x v="2"/>
    <x v="276"/>
    <x v="75"/>
    <x v="174"/>
    <x v="32"/>
    <x v="392"/>
    <x v="21"/>
    <x v="166"/>
    <x v="8"/>
    <x v="0"/>
    <x v="3"/>
    <x v="1"/>
    <x v="1"/>
    <x v="1"/>
    <x v="321"/>
    <x v="0"/>
    <x v="0"/>
    <x v="0"/>
    <x v="0"/>
    <x v="1"/>
    <x v="0"/>
    <x v="0"/>
    <x v="0"/>
    <x v="0"/>
    <x v="0"/>
    <x v="0"/>
    <x v="0"/>
    <x v="1"/>
    <x v="0"/>
    <x v="0"/>
    <x v="0"/>
    <x v="0"/>
    <x v="1"/>
    <x v="1"/>
    <x v="0"/>
    <x v="1"/>
    <x v="0"/>
    <x v="3"/>
    <x v="337"/>
    <x v="211"/>
    <x v="20"/>
    <x v="3"/>
    <x v="0"/>
    <x v="10"/>
    <x v="16"/>
    <x v="22"/>
    <x v="0"/>
    <x v="91"/>
    <x v="83"/>
    <x v="346"/>
  </r>
  <r>
    <x v="393"/>
    <x v="21"/>
    <x v="167"/>
    <x v="8"/>
    <x v="0"/>
    <x v="3"/>
    <x v="1"/>
    <x v="1"/>
    <x v="1"/>
    <x v="1"/>
    <x v="277"/>
    <x v="0"/>
    <x v="0"/>
    <x v="0"/>
    <x v="0"/>
    <x v="0"/>
    <x v="277"/>
    <x v="76"/>
    <x v="175"/>
    <x v="31"/>
    <x v="393"/>
    <x v="21"/>
    <x v="167"/>
    <x v="8"/>
    <x v="0"/>
    <x v="3"/>
    <x v="1"/>
    <x v="1"/>
    <x v="1"/>
    <x v="322"/>
    <x v="0"/>
    <x v="0"/>
    <x v="1"/>
    <x v="1"/>
    <x v="0"/>
    <x v="0"/>
    <x v="0"/>
    <x v="0"/>
    <x v="0"/>
    <x v="1"/>
    <x v="0"/>
    <x v="0"/>
    <x v="1"/>
    <x v="0"/>
    <x v="0"/>
    <x v="0"/>
    <x v="0"/>
    <x v="1"/>
    <x v="1"/>
    <x v="0"/>
    <x v="3"/>
    <x v="0"/>
    <x v="3"/>
    <x v="338"/>
    <x v="211"/>
    <x v="20"/>
    <x v="3"/>
    <x v="0"/>
    <x v="3"/>
    <x v="15"/>
    <x v="20"/>
    <x v="0"/>
    <x v="26"/>
    <x v="26"/>
    <x v="347"/>
  </r>
  <r>
    <x v="394"/>
    <x v="21"/>
    <x v="168"/>
    <x v="8"/>
    <x v="0"/>
    <x v="3"/>
    <x v="1"/>
    <x v="1"/>
    <x v="1"/>
    <x v="1"/>
    <x v="278"/>
    <x v="0"/>
    <x v="0"/>
    <x v="0"/>
    <x v="0"/>
    <x v="0"/>
    <x v="278"/>
    <x v="77"/>
    <x v="123"/>
    <x v="31"/>
    <x v="394"/>
    <x v="21"/>
    <x v="168"/>
    <x v="8"/>
    <x v="0"/>
    <x v="3"/>
    <x v="1"/>
    <x v="1"/>
    <x v="1"/>
    <x v="323"/>
    <x v="0"/>
    <x v="0"/>
    <x v="1"/>
    <x v="0"/>
    <x v="0"/>
    <x v="0"/>
    <x v="0"/>
    <x v="0"/>
    <x v="0"/>
    <x v="0"/>
    <x v="0"/>
    <x v="0"/>
    <x v="1"/>
    <x v="0"/>
    <x v="0"/>
    <x v="1"/>
    <x v="0"/>
    <x v="1"/>
    <x v="1"/>
    <x v="0"/>
    <x v="1"/>
    <x v="0"/>
    <x v="2"/>
    <x v="339"/>
    <x v="211"/>
    <x v="20"/>
    <x v="3"/>
    <x v="0"/>
    <x v="10"/>
    <x v="16"/>
    <x v="22"/>
    <x v="0"/>
    <x v="1"/>
    <x v="1"/>
    <x v="348"/>
  </r>
  <r>
    <x v="395"/>
    <x v="21"/>
    <x v="169"/>
    <x v="8"/>
    <x v="0"/>
    <x v="3"/>
    <x v="1"/>
    <x v="1"/>
    <x v="1"/>
    <x v="1"/>
    <x v="279"/>
    <x v="0"/>
    <x v="0"/>
    <x v="0"/>
    <x v="0"/>
    <x v="0"/>
    <x v="279"/>
    <x v="78"/>
    <x v="176"/>
    <x v="33"/>
    <x v="395"/>
    <x v="21"/>
    <x v="169"/>
    <x v="8"/>
    <x v="0"/>
    <x v="3"/>
    <x v="1"/>
    <x v="1"/>
    <x v="1"/>
    <x v="324"/>
    <x v="0"/>
    <x v="0"/>
    <x v="1"/>
    <x v="0"/>
    <x v="0"/>
    <x v="0"/>
    <x v="0"/>
    <x v="0"/>
    <x v="0"/>
    <x v="0"/>
    <x v="0"/>
    <x v="0"/>
    <x v="1"/>
    <x v="0"/>
    <x v="0"/>
    <x v="1"/>
    <x v="0"/>
    <x v="1"/>
    <x v="1"/>
    <x v="0"/>
    <x v="1"/>
    <x v="0"/>
    <x v="1"/>
    <x v="340"/>
    <x v="211"/>
    <x v="20"/>
    <x v="3"/>
    <x v="0"/>
    <x v="10"/>
    <x v="16"/>
    <x v="22"/>
    <x v="0"/>
    <x v="26"/>
    <x v="26"/>
    <x v="349"/>
  </r>
  <r>
    <x v="396"/>
    <x v="21"/>
    <x v="170"/>
    <x v="8"/>
    <x v="0"/>
    <x v="3"/>
    <x v="1"/>
    <x v="1"/>
    <x v="1"/>
    <x v="1"/>
    <x v="280"/>
    <x v="0"/>
    <x v="0"/>
    <x v="0"/>
    <x v="0"/>
    <x v="1"/>
    <x v="280"/>
    <x v="0"/>
    <x v="177"/>
    <x v="31"/>
    <x v="396"/>
    <x v="21"/>
    <x v="170"/>
    <x v="8"/>
    <x v="0"/>
    <x v="3"/>
    <x v="1"/>
    <x v="1"/>
    <x v="1"/>
    <x v="270"/>
    <x v="0"/>
    <x v="0"/>
    <x v="1"/>
    <x v="0"/>
    <x v="0"/>
    <x v="0"/>
    <x v="0"/>
    <x v="0"/>
    <x v="0"/>
    <x v="0"/>
    <x v="0"/>
    <x v="0"/>
    <x v="1"/>
    <x v="0"/>
    <x v="0"/>
    <x v="1"/>
    <x v="0"/>
    <x v="1"/>
    <x v="0"/>
    <x v="0"/>
    <x v="0"/>
    <x v="0"/>
    <x v="1"/>
    <x v="341"/>
    <x v="211"/>
    <x v="20"/>
    <x v="3"/>
    <x v="0"/>
    <x v="3"/>
    <x v="15"/>
    <x v="20"/>
    <x v="0"/>
    <x v="12"/>
    <x v="12"/>
    <x v="350"/>
  </r>
  <r>
    <x v="397"/>
    <x v="21"/>
    <x v="171"/>
    <x v="8"/>
    <x v="0"/>
    <x v="3"/>
    <x v="1"/>
    <x v="1"/>
    <x v="1"/>
    <x v="1"/>
    <x v="164"/>
    <x v="66"/>
    <x v="43"/>
    <x v="73"/>
    <x v="1"/>
    <x v="3"/>
    <x v="164"/>
    <x v="0"/>
    <x v="178"/>
    <x v="34"/>
    <x v="397"/>
    <x v="21"/>
    <x v="171"/>
    <x v="8"/>
    <x v="0"/>
    <x v="3"/>
    <x v="1"/>
    <x v="1"/>
    <x v="1"/>
    <x v="325"/>
    <x v="0"/>
    <x v="0"/>
    <x v="0"/>
    <x v="0"/>
    <x v="1"/>
    <x v="0"/>
    <x v="0"/>
    <x v="0"/>
    <x v="0"/>
    <x v="1"/>
    <x v="0"/>
    <x v="0"/>
    <x v="0"/>
    <x v="0"/>
    <x v="0"/>
    <x v="1"/>
    <x v="0"/>
    <x v="0"/>
    <x v="0"/>
    <x v="0"/>
    <x v="0"/>
    <x v="0"/>
    <x v="3"/>
    <x v="342"/>
    <x v="211"/>
    <x v="20"/>
    <x v="3"/>
    <x v="0"/>
    <x v="3"/>
    <x v="15"/>
    <x v="20"/>
    <x v="0"/>
    <x v="5"/>
    <x v="5"/>
    <x v="351"/>
  </r>
  <r>
    <x v="398"/>
    <x v="21"/>
    <x v="172"/>
    <x v="8"/>
    <x v="0"/>
    <x v="3"/>
    <x v="1"/>
    <x v="1"/>
    <x v="1"/>
    <x v="1"/>
    <x v="281"/>
    <x v="0"/>
    <x v="0"/>
    <x v="0"/>
    <x v="0"/>
    <x v="0"/>
    <x v="281"/>
    <x v="79"/>
    <x v="179"/>
    <x v="31"/>
    <x v="398"/>
    <x v="21"/>
    <x v="172"/>
    <x v="8"/>
    <x v="0"/>
    <x v="3"/>
    <x v="1"/>
    <x v="1"/>
    <x v="1"/>
    <x v="326"/>
    <x v="0"/>
    <x v="0"/>
    <x v="1"/>
    <x v="0"/>
    <x v="0"/>
    <x v="0"/>
    <x v="0"/>
    <x v="0"/>
    <x v="0"/>
    <x v="0"/>
    <x v="0"/>
    <x v="0"/>
    <x v="1"/>
    <x v="0"/>
    <x v="0"/>
    <x v="1"/>
    <x v="0"/>
    <x v="1"/>
    <x v="1"/>
    <x v="0"/>
    <x v="1"/>
    <x v="0"/>
    <x v="1"/>
    <x v="343"/>
    <x v="211"/>
    <x v="20"/>
    <x v="3"/>
    <x v="0"/>
    <x v="10"/>
    <x v="16"/>
    <x v="22"/>
    <x v="0"/>
    <x v="92"/>
    <x v="84"/>
    <x v="352"/>
  </r>
  <r>
    <x v="399"/>
    <x v="21"/>
    <x v="173"/>
    <x v="8"/>
    <x v="120"/>
    <x v="3"/>
    <x v="1"/>
    <x v="1"/>
    <x v="1"/>
    <x v="1"/>
    <x v="32"/>
    <x v="0"/>
    <x v="0"/>
    <x v="0"/>
    <x v="0"/>
    <x v="3"/>
    <x v="32"/>
    <x v="0"/>
    <x v="146"/>
    <x v="34"/>
    <x v="399"/>
    <x v="21"/>
    <x v="173"/>
    <x v="8"/>
    <x v="122"/>
    <x v="3"/>
    <x v="1"/>
    <x v="1"/>
    <x v="1"/>
    <x v="34"/>
    <x v="0"/>
    <x v="0"/>
    <x v="0"/>
    <x v="0"/>
    <x v="1"/>
    <x v="0"/>
    <x v="0"/>
    <x v="0"/>
    <x v="0"/>
    <x v="0"/>
    <x v="0"/>
    <x v="0"/>
    <x v="0"/>
    <x v="0"/>
    <x v="0"/>
    <x v="1"/>
    <x v="0"/>
    <x v="0"/>
    <x v="0"/>
    <x v="0"/>
    <x v="0"/>
    <x v="0"/>
    <x v="2"/>
    <x v="32"/>
    <x v="211"/>
    <x v="20"/>
    <x v="3"/>
    <x v="0"/>
    <x v="3"/>
    <x v="15"/>
    <x v="20"/>
    <x v="0"/>
    <x v="1"/>
    <x v="1"/>
    <x v="353"/>
  </r>
  <r>
    <x v="400"/>
    <x v="21"/>
    <x v="174"/>
    <x v="8"/>
    <x v="18"/>
    <x v="1"/>
    <x v="1"/>
    <x v="1"/>
    <x v="1"/>
    <x v="1"/>
    <x v="41"/>
    <x v="0"/>
    <x v="0"/>
    <x v="0"/>
    <x v="0"/>
    <x v="1"/>
    <x v="41"/>
    <x v="0"/>
    <x v="180"/>
    <x v="31"/>
    <x v="400"/>
    <x v="21"/>
    <x v="174"/>
    <x v="8"/>
    <x v="18"/>
    <x v="1"/>
    <x v="1"/>
    <x v="1"/>
    <x v="1"/>
    <x v="327"/>
    <x v="0"/>
    <x v="0"/>
    <x v="1"/>
    <x v="0"/>
    <x v="0"/>
    <x v="0"/>
    <x v="0"/>
    <x v="0"/>
    <x v="0"/>
    <x v="0"/>
    <x v="0"/>
    <x v="0"/>
    <x v="0"/>
    <x v="0"/>
    <x v="0"/>
    <x v="0"/>
    <x v="0"/>
    <x v="0"/>
    <x v="1"/>
    <x v="0"/>
    <x v="0"/>
    <x v="1"/>
    <x v="0"/>
    <x v="344"/>
    <x v="211"/>
    <x v="20"/>
    <x v="3"/>
    <x v="0"/>
    <x v="3"/>
    <x v="15"/>
    <x v="20"/>
    <x v="0"/>
    <x v="1"/>
    <x v="1"/>
    <x v="354"/>
  </r>
  <r>
    <x v="401"/>
    <x v="21"/>
    <x v="71"/>
    <x v="8"/>
    <x v="18"/>
    <x v="1"/>
    <x v="1"/>
    <x v="1"/>
    <x v="1"/>
    <x v="1"/>
    <x v="41"/>
    <x v="0"/>
    <x v="0"/>
    <x v="0"/>
    <x v="0"/>
    <x v="1"/>
    <x v="41"/>
    <x v="0"/>
    <x v="181"/>
    <x v="6"/>
    <x v="401"/>
    <x v="21"/>
    <x v="71"/>
    <x v="8"/>
    <x v="18"/>
    <x v="1"/>
    <x v="1"/>
    <x v="1"/>
    <x v="1"/>
    <x v="327"/>
    <x v="0"/>
    <x v="0"/>
    <x v="1"/>
    <x v="0"/>
    <x v="0"/>
    <x v="0"/>
    <x v="0"/>
    <x v="0"/>
    <x v="0"/>
    <x v="0"/>
    <x v="0"/>
    <x v="0"/>
    <x v="0"/>
    <x v="0"/>
    <x v="0"/>
    <x v="0"/>
    <x v="0"/>
    <x v="0"/>
    <x v="1"/>
    <x v="0"/>
    <x v="0"/>
    <x v="0"/>
    <x v="0"/>
    <x v="345"/>
    <x v="211"/>
    <x v="20"/>
    <x v="3"/>
    <x v="0"/>
    <x v="3"/>
    <x v="15"/>
    <x v="20"/>
    <x v="0"/>
    <x v="12"/>
    <x v="12"/>
    <x v="355"/>
  </r>
  <r>
    <x v="402"/>
    <x v="21"/>
    <x v="175"/>
    <x v="8"/>
    <x v="7"/>
    <x v="3"/>
    <x v="1"/>
    <x v="1"/>
    <x v="1"/>
    <x v="1"/>
    <x v="282"/>
    <x v="67"/>
    <x v="9"/>
    <x v="74"/>
    <x v="1"/>
    <x v="0"/>
    <x v="282"/>
    <x v="0"/>
    <x v="0"/>
    <x v="35"/>
    <x v="402"/>
    <x v="21"/>
    <x v="175"/>
    <x v="8"/>
    <x v="7"/>
    <x v="3"/>
    <x v="1"/>
    <x v="1"/>
    <x v="1"/>
    <x v="328"/>
    <x v="1"/>
    <x v="1"/>
    <x v="1"/>
    <x v="1"/>
    <x v="0"/>
    <x v="0"/>
    <x v="0"/>
    <x v="0"/>
    <x v="0"/>
    <x v="0"/>
    <x v="0"/>
    <x v="0"/>
    <x v="0"/>
    <x v="0"/>
    <x v="0"/>
    <x v="1"/>
    <x v="0"/>
    <x v="0"/>
    <x v="1"/>
    <x v="0"/>
    <x v="0"/>
    <x v="0"/>
    <x v="2"/>
    <x v="346"/>
    <x v="211"/>
    <x v="20"/>
    <x v="3"/>
    <x v="0"/>
    <x v="3"/>
    <x v="15"/>
    <x v="20"/>
    <x v="0"/>
    <x v="26"/>
    <x v="26"/>
    <x v="356"/>
  </r>
  <r>
    <x v="403"/>
    <x v="21"/>
    <x v="176"/>
    <x v="8"/>
    <x v="82"/>
    <x v="3"/>
    <x v="1"/>
    <x v="1"/>
    <x v="1"/>
    <x v="1"/>
    <x v="283"/>
    <x v="0"/>
    <x v="0"/>
    <x v="0"/>
    <x v="0"/>
    <x v="3"/>
    <x v="283"/>
    <x v="80"/>
    <x v="58"/>
    <x v="31"/>
    <x v="403"/>
    <x v="21"/>
    <x v="176"/>
    <x v="8"/>
    <x v="82"/>
    <x v="3"/>
    <x v="1"/>
    <x v="1"/>
    <x v="1"/>
    <x v="329"/>
    <x v="0"/>
    <x v="0"/>
    <x v="1"/>
    <x v="0"/>
    <x v="0"/>
    <x v="0"/>
    <x v="0"/>
    <x v="0"/>
    <x v="1"/>
    <x v="0"/>
    <x v="0"/>
    <x v="0"/>
    <x v="1"/>
    <x v="0"/>
    <x v="0"/>
    <x v="0"/>
    <x v="0"/>
    <x v="1"/>
    <x v="1"/>
    <x v="0"/>
    <x v="1"/>
    <x v="0"/>
    <x v="2"/>
    <x v="347"/>
    <x v="211"/>
    <x v="20"/>
    <x v="3"/>
    <x v="0"/>
    <x v="10"/>
    <x v="16"/>
    <x v="22"/>
    <x v="0"/>
    <x v="29"/>
    <x v="29"/>
    <x v="357"/>
  </r>
  <r>
    <x v="404"/>
    <x v="21"/>
    <x v="177"/>
    <x v="8"/>
    <x v="82"/>
    <x v="3"/>
    <x v="1"/>
    <x v="1"/>
    <x v="1"/>
    <x v="1"/>
    <x v="284"/>
    <x v="0"/>
    <x v="0"/>
    <x v="0"/>
    <x v="0"/>
    <x v="0"/>
    <x v="284"/>
    <x v="0"/>
    <x v="182"/>
    <x v="6"/>
    <x v="404"/>
    <x v="21"/>
    <x v="177"/>
    <x v="8"/>
    <x v="82"/>
    <x v="3"/>
    <x v="1"/>
    <x v="1"/>
    <x v="1"/>
    <x v="330"/>
    <x v="0"/>
    <x v="0"/>
    <x v="1"/>
    <x v="0"/>
    <x v="0"/>
    <x v="0"/>
    <x v="0"/>
    <x v="0"/>
    <x v="0"/>
    <x v="0"/>
    <x v="0"/>
    <x v="0"/>
    <x v="1"/>
    <x v="0"/>
    <x v="0"/>
    <x v="1"/>
    <x v="0"/>
    <x v="1"/>
    <x v="1"/>
    <x v="0"/>
    <x v="0"/>
    <x v="1"/>
    <x v="3"/>
    <x v="348"/>
    <x v="211"/>
    <x v="20"/>
    <x v="3"/>
    <x v="0"/>
    <x v="10"/>
    <x v="16"/>
    <x v="22"/>
    <x v="0"/>
    <x v="26"/>
    <x v="26"/>
    <x v="358"/>
  </r>
  <r>
    <x v="405"/>
    <x v="21"/>
    <x v="8"/>
    <x v="8"/>
    <x v="14"/>
    <x v="3"/>
    <x v="1"/>
    <x v="1"/>
    <x v="1"/>
    <x v="1"/>
    <x v="107"/>
    <x v="0"/>
    <x v="0"/>
    <x v="0"/>
    <x v="0"/>
    <x v="0"/>
    <x v="107"/>
    <x v="38"/>
    <x v="23"/>
    <x v="2"/>
    <x v="405"/>
    <x v="21"/>
    <x v="8"/>
    <x v="8"/>
    <x v="14"/>
    <x v="3"/>
    <x v="1"/>
    <x v="1"/>
    <x v="1"/>
    <x v="331"/>
    <x v="0"/>
    <x v="0"/>
    <x v="1"/>
    <x v="0"/>
    <x v="0"/>
    <x v="0"/>
    <x v="0"/>
    <x v="0"/>
    <x v="0"/>
    <x v="0"/>
    <x v="0"/>
    <x v="0"/>
    <x v="1"/>
    <x v="0"/>
    <x v="0"/>
    <x v="1"/>
    <x v="0"/>
    <x v="1"/>
    <x v="1"/>
    <x v="0"/>
    <x v="1"/>
    <x v="0"/>
    <x v="3"/>
    <x v="349"/>
    <x v="211"/>
    <x v="20"/>
    <x v="3"/>
    <x v="0"/>
    <x v="10"/>
    <x v="16"/>
    <x v="22"/>
    <x v="0"/>
    <x v="93"/>
    <x v="85"/>
    <x v="359"/>
  </r>
  <r>
    <x v="406"/>
    <x v="21"/>
    <x v="178"/>
    <x v="8"/>
    <x v="2"/>
    <x v="0"/>
    <x v="1"/>
    <x v="1"/>
    <x v="1"/>
    <x v="1"/>
    <x v="285"/>
    <x v="0"/>
    <x v="0"/>
    <x v="0"/>
    <x v="0"/>
    <x v="3"/>
    <x v="285"/>
    <x v="0"/>
    <x v="165"/>
    <x v="36"/>
    <x v="406"/>
    <x v="21"/>
    <x v="178"/>
    <x v="8"/>
    <x v="2"/>
    <x v="0"/>
    <x v="1"/>
    <x v="1"/>
    <x v="1"/>
    <x v="332"/>
    <x v="0"/>
    <x v="0"/>
    <x v="0"/>
    <x v="0"/>
    <x v="1"/>
    <x v="0"/>
    <x v="0"/>
    <x v="0"/>
    <x v="0"/>
    <x v="1"/>
    <x v="0"/>
    <x v="0"/>
    <x v="0"/>
    <x v="0"/>
    <x v="0"/>
    <x v="1"/>
    <x v="0"/>
    <x v="0"/>
    <x v="0"/>
    <x v="0"/>
    <x v="0"/>
    <x v="0"/>
    <x v="3"/>
    <x v="350"/>
    <x v="211"/>
    <x v="20"/>
    <x v="3"/>
    <x v="0"/>
    <x v="3"/>
    <x v="15"/>
    <x v="20"/>
    <x v="0"/>
    <x v="2"/>
    <x v="2"/>
    <x v="360"/>
  </r>
  <r>
    <x v="407"/>
    <x v="21"/>
    <x v="179"/>
    <x v="8"/>
    <x v="2"/>
    <x v="3"/>
    <x v="1"/>
    <x v="1"/>
    <x v="1"/>
    <x v="1"/>
    <x v="286"/>
    <x v="0"/>
    <x v="0"/>
    <x v="0"/>
    <x v="0"/>
    <x v="3"/>
    <x v="286"/>
    <x v="0"/>
    <x v="105"/>
    <x v="31"/>
    <x v="407"/>
    <x v="21"/>
    <x v="179"/>
    <x v="8"/>
    <x v="2"/>
    <x v="3"/>
    <x v="1"/>
    <x v="1"/>
    <x v="1"/>
    <x v="333"/>
    <x v="0"/>
    <x v="0"/>
    <x v="1"/>
    <x v="0"/>
    <x v="0"/>
    <x v="0"/>
    <x v="0"/>
    <x v="0"/>
    <x v="0"/>
    <x v="0"/>
    <x v="0"/>
    <x v="0"/>
    <x v="0"/>
    <x v="0"/>
    <x v="0"/>
    <x v="1"/>
    <x v="0"/>
    <x v="0"/>
    <x v="0"/>
    <x v="0"/>
    <x v="0"/>
    <x v="0"/>
    <x v="2"/>
    <x v="351"/>
    <x v="211"/>
    <x v="20"/>
    <x v="3"/>
    <x v="0"/>
    <x v="3"/>
    <x v="15"/>
    <x v="20"/>
    <x v="0"/>
    <x v="1"/>
    <x v="1"/>
    <x v="361"/>
  </r>
  <r>
    <x v="408"/>
    <x v="21"/>
    <x v="180"/>
    <x v="8"/>
    <x v="2"/>
    <x v="3"/>
    <x v="1"/>
    <x v="1"/>
    <x v="1"/>
    <x v="1"/>
    <x v="287"/>
    <x v="0"/>
    <x v="0"/>
    <x v="0"/>
    <x v="0"/>
    <x v="3"/>
    <x v="287"/>
    <x v="0"/>
    <x v="183"/>
    <x v="26"/>
    <x v="408"/>
    <x v="21"/>
    <x v="180"/>
    <x v="8"/>
    <x v="2"/>
    <x v="3"/>
    <x v="1"/>
    <x v="1"/>
    <x v="1"/>
    <x v="334"/>
    <x v="0"/>
    <x v="0"/>
    <x v="1"/>
    <x v="1"/>
    <x v="0"/>
    <x v="0"/>
    <x v="1"/>
    <x v="0"/>
    <x v="0"/>
    <x v="1"/>
    <x v="0"/>
    <x v="0"/>
    <x v="0"/>
    <x v="0"/>
    <x v="0"/>
    <x v="0"/>
    <x v="0"/>
    <x v="0"/>
    <x v="0"/>
    <x v="0"/>
    <x v="0"/>
    <x v="0"/>
    <x v="5"/>
    <x v="352"/>
    <x v="211"/>
    <x v="20"/>
    <x v="3"/>
    <x v="0"/>
    <x v="3"/>
    <x v="15"/>
    <x v="20"/>
    <x v="0"/>
    <x v="29"/>
    <x v="29"/>
    <x v="362"/>
  </r>
  <r>
    <x v="409"/>
    <x v="21"/>
    <x v="8"/>
    <x v="8"/>
    <x v="3"/>
    <x v="3"/>
    <x v="1"/>
    <x v="1"/>
    <x v="1"/>
    <x v="1"/>
    <x v="288"/>
    <x v="0"/>
    <x v="0"/>
    <x v="0"/>
    <x v="0"/>
    <x v="0"/>
    <x v="288"/>
    <x v="81"/>
    <x v="84"/>
    <x v="31"/>
    <x v="409"/>
    <x v="21"/>
    <x v="8"/>
    <x v="8"/>
    <x v="3"/>
    <x v="3"/>
    <x v="1"/>
    <x v="1"/>
    <x v="1"/>
    <x v="335"/>
    <x v="0"/>
    <x v="0"/>
    <x v="1"/>
    <x v="0"/>
    <x v="0"/>
    <x v="0"/>
    <x v="0"/>
    <x v="0"/>
    <x v="0"/>
    <x v="0"/>
    <x v="0"/>
    <x v="0"/>
    <x v="1"/>
    <x v="0"/>
    <x v="0"/>
    <x v="0"/>
    <x v="0"/>
    <x v="1"/>
    <x v="0"/>
    <x v="0"/>
    <x v="2"/>
    <x v="0"/>
    <x v="1"/>
    <x v="353"/>
    <x v="211"/>
    <x v="20"/>
    <x v="3"/>
    <x v="0"/>
    <x v="3"/>
    <x v="15"/>
    <x v="20"/>
    <x v="0"/>
    <x v="12"/>
    <x v="12"/>
    <x v="363"/>
  </r>
  <r>
    <x v="410"/>
    <x v="21"/>
    <x v="75"/>
    <x v="8"/>
    <x v="3"/>
    <x v="3"/>
    <x v="1"/>
    <x v="1"/>
    <x v="1"/>
    <x v="1"/>
    <x v="289"/>
    <x v="0"/>
    <x v="0"/>
    <x v="0"/>
    <x v="0"/>
    <x v="0"/>
    <x v="289"/>
    <x v="82"/>
    <x v="184"/>
    <x v="31"/>
    <x v="410"/>
    <x v="21"/>
    <x v="75"/>
    <x v="8"/>
    <x v="3"/>
    <x v="3"/>
    <x v="1"/>
    <x v="1"/>
    <x v="1"/>
    <x v="336"/>
    <x v="0"/>
    <x v="0"/>
    <x v="1"/>
    <x v="0"/>
    <x v="0"/>
    <x v="0"/>
    <x v="0"/>
    <x v="0"/>
    <x v="0"/>
    <x v="0"/>
    <x v="0"/>
    <x v="0"/>
    <x v="1"/>
    <x v="0"/>
    <x v="0"/>
    <x v="0"/>
    <x v="0"/>
    <x v="1"/>
    <x v="1"/>
    <x v="0"/>
    <x v="1"/>
    <x v="0"/>
    <x v="1"/>
    <x v="354"/>
    <x v="211"/>
    <x v="20"/>
    <x v="3"/>
    <x v="0"/>
    <x v="10"/>
    <x v="16"/>
    <x v="22"/>
    <x v="0"/>
    <x v="1"/>
    <x v="1"/>
    <x v="364"/>
  </r>
  <r>
    <x v="411"/>
    <x v="21"/>
    <x v="181"/>
    <x v="8"/>
    <x v="6"/>
    <x v="3"/>
    <x v="1"/>
    <x v="1"/>
    <x v="1"/>
    <x v="1"/>
    <x v="290"/>
    <x v="68"/>
    <x v="10"/>
    <x v="75"/>
    <x v="1"/>
    <x v="2"/>
    <x v="290"/>
    <x v="83"/>
    <x v="185"/>
    <x v="31"/>
    <x v="411"/>
    <x v="21"/>
    <x v="181"/>
    <x v="8"/>
    <x v="6"/>
    <x v="3"/>
    <x v="1"/>
    <x v="1"/>
    <x v="1"/>
    <x v="337"/>
    <x v="0"/>
    <x v="0"/>
    <x v="0"/>
    <x v="0"/>
    <x v="1"/>
    <x v="0"/>
    <x v="0"/>
    <x v="0"/>
    <x v="0"/>
    <x v="0"/>
    <x v="0"/>
    <x v="0"/>
    <x v="1"/>
    <x v="0"/>
    <x v="0"/>
    <x v="0"/>
    <x v="0"/>
    <x v="1"/>
    <x v="1"/>
    <x v="0"/>
    <x v="1"/>
    <x v="0"/>
    <x v="1"/>
    <x v="355"/>
    <x v="211"/>
    <x v="20"/>
    <x v="3"/>
    <x v="0"/>
    <x v="10"/>
    <x v="16"/>
    <x v="22"/>
    <x v="0"/>
    <x v="2"/>
    <x v="2"/>
    <x v="365"/>
  </r>
  <r>
    <x v="412"/>
    <x v="21"/>
    <x v="182"/>
    <x v="8"/>
    <x v="44"/>
    <x v="3"/>
    <x v="1"/>
    <x v="1"/>
    <x v="1"/>
    <x v="1"/>
    <x v="291"/>
    <x v="0"/>
    <x v="0"/>
    <x v="0"/>
    <x v="0"/>
    <x v="0"/>
    <x v="291"/>
    <x v="84"/>
    <x v="186"/>
    <x v="31"/>
    <x v="412"/>
    <x v="21"/>
    <x v="182"/>
    <x v="8"/>
    <x v="44"/>
    <x v="3"/>
    <x v="1"/>
    <x v="1"/>
    <x v="1"/>
    <x v="338"/>
    <x v="0"/>
    <x v="0"/>
    <x v="0"/>
    <x v="0"/>
    <x v="1"/>
    <x v="0"/>
    <x v="0"/>
    <x v="0"/>
    <x v="0"/>
    <x v="1"/>
    <x v="0"/>
    <x v="0"/>
    <x v="1"/>
    <x v="0"/>
    <x v="0"/>
    <x v="1"/>
    <x v="0"/>
    <x v="1"/>
    <x v="1"/>
    <x v="0"/>
    <x v="1"/>
    <x v="0"/>
    <x v="2"/>
    <x v="356"/>
    <x v="211"/>
    <x v="20"/>
    <x v="3"/>
    <x v="0"/>
    <x v="10"/>
    <x v="16"/>
    <x v="22"/>
    <x v="0"/>
    <x v="2"/>
    <x v="2"/>
    <x v="366"/>
  </r>
  <r>
    <x v="413"/>
    <x v="21"/>
    <x v="183"/>
    <x v="8"/>
    <x v="44"/>
    <x v="3"/>
    <x v="1"/>
    <x v="1"/>
    <x v="1"/>
    <x v="1"/>
    <x v="292"/>
    <x v="0"/>
    <x v="0"/>
    <x v="0"/>
    <x v="0"/>
    <x v="2"/>
    <x v="292"/>
    <x v="85"/>
    <x v="187"/>
    <x v="2"/>
    <x v="413"/>
    <x v="21"/>
    <x v="183"/>
    <x v="8"/>
    <x v="44"/>
    <x v="3"/>
    <x v="1"/>
    <x v="1"/>
    <x v="1"/>
    <x v="339"/>
    <x v="0"/>
    <x v="0"/>
    <x v="0"/>
    <x v="0"/>
    <x v="1"/>
    <x v="0"/>
    <x v="0"/>
    <x v="0"/>
    <x v="0"/>
    <x v="0"/>
    <x v="0"/>
    <x v="0"/>
    <x v="1"/>
    <x v="0"/>
    <x v="0"/>
    <x v="1"/>
    <x v="0"/>
    <x v="1"/>
    <x v="1"/>
    <x v="0"/>
    <x v="2"/>
    <x v="0"/>
    <x v="3"/>
    <x v="202"/>
    <x v="211"/>
    <x v="20"/>
    <x v="3"/>
    <x v="0"/>
    <x v="10"/>
    <x v="16"/>
    <x v="22"/>
    <x v="0"/>
    <x v="1"/>
    <x v="1"/>
    <x v="367"/>
  </r>
  <r>
    <x v="414"/>
    <x v="21"/>
    <x v="182"/>
    <x v="8"/>
    <x v="44"/>
    <x v="3"/>
    <x v="1"/>
    <x v="1"/>
    <x v="1"/>
    <x v="1"/>
    <x v="293"/>
    <x v="0"/>
    <x v="0"/>
    <x v="0"/>
    <x v="0"/>
    <x v="0"/>
    <x v="293"/>
    <x v="86"/>
    <x v="188"/>
    <x v="31"/>
    <x v="414"/>
    <x v="21"/>
    <x v="182"/>
    <x v="8"/>
    <x v="44"/>
    <x v="3"/>
    <x v="1"/>
    <x v="1"/>
    <x v="1"/>
    <x v="340"/>
    <x v="0"/>
    <x v="0"/>
    <x v="0"/>
    <x v="0"/>
    <x v="1"/>
    <x v="0"/>
    <x v="0"/>
    <x v="0"/>
    <x v="0"/>
    <x v="1"/>
    <x v="0"/>
    <x v="0"/>
    <x v="1"/>
    <x v="0"/>
    <x v="0"/>
    <x v="1"/>
    <x v="0"/>
    <x v="1"/>
    <x v="1"/>
    <x v="0"/>
    <x v="1"/>
    <x v="0"/>
    <x v="2"/>
    <x v="357"/>
    <x v="211"/>
    <x v="20"/>
    <x v="3"/>
    <x v="0"/>
    <x v="10"/>
    <x v="16"/>
    <x v="22"/>
    <x v="0"/>
    <x v="2"/>
    <x v="2"/>
    <x v="368"/>
  </r>
  <r>
    <x v="415"/>
    <x v="21"/>
    <x v="80"/>
    <x v="8"/>
    <x v="44"/>
    <x v="3"/>
    <x v="1"/>
    <x v="1"/>
    <x v="1"/>
    <x v="1"/>
    <x v="294"/>
    <x v="0"/>
    <x v="0"/>
    <x v="0"/>
    <x v="0"/>
    <x v="0"/>
    <x v="294"/>
    <x v="0"/>
    <x v="189"/>
    <x v="31"/>
    <x v="415"/>
    <x v="21"/>
    <x v="80"/>
    <x v="8"/>
    <x v="44"/>
    <x v="3"/>
    <x v="1"/>
    <x v="1"/>
    <x v="1"/>
    <x v="341"/>
    <x v="0"/>
    <x v="0"/>
    <x v="0"/>
    <x v="0"/>
    <x v="1"/>
    <x v="0"/>
    <x v="0"/>
    <x v="1"/>
    <x v="1"/>
    <x v="0"/>
    <x v="0"/>
    <x v="0"/>
    <x v="0"/>
    <x v="0"/>
    <x v="0"/>
    <x v="1"/>
    <x v="0"/>
    <x v="0"/>
    <x v="0"/>
    <x v="0"/>
    <x v="0"/>
    <x v="0"/>
    <x v="3"/>
    <x v="358"/>
    <x v="211"/>
    <x v="20"/>
    <x v="3"/>
    <x v="0"/>
    <x v="3"/>
    <x v="15"/>
    <x v="20"/>
    <x v="0"/>
    <x v="12"/>
    <x v="12"/>
    <x v="369"/>
  </r>
  <r>
    <x v="416"/>
    <x v="21"/>
    <x v="184"/>
    <x v="8"/>
    <x v="44"/>
    <x v="3"/>
    <x v="1"/>
    <x v="1"/>
    <x v="1"/>
    <x v="1"/>
    <x v="38"/>
    <x v="0"/>
    <x v="0"/>
    <x v="0"/>
    <x v="0"/>
    <x v="3"/>
    <x v="38"/>
    <x v="0"/>
    <x v="190"/>
    <x v="37"/>
    <x v="416"/>
    <x v="21"/>
    <x v="184"/>
    <x v="8"/>
    <x v="44"/>
    <x v="3"/>
    <x v="1"/>
    <x v="1"/>
    <x v="1"/>
    <x v="40"/>
    <x v="0"/>
    <x v="0"/>
    <x v="0"/>
    <x v="0"/>
    <x v="1"/>
    <x v="0"/>
    <x v="0"/>
    <x v="1"/>
    <x v="1"/>
    <x v="0"/>
    <x v="0"/>
    <x v="0"/>
    <x v="0"/>
    <x v="0"/>
    <x v="0"/>
    <x v="1"/>
    <x v="0"/>
    <x v="0"/>
    <x v="0"/>
    <x v="0"/>
    <x v="0"/>
    <x v="0"/>
    <x v="3"/>
    <x v="359"/>
    <x v="211"/>
    <x v="20"/>
    <x v="3"/>
    <x v="0"/>
    <x v="3"/>
    <x v="15"/>
    <x v="20"/>
    <x v="0"/>
    <x v="5"/>
    <x v="5"/>
    <x v="370"/>
  </r>
  <r>
    <x v="417"/>
    <x v="21"/>
    <x v="185"/>
    <x v="8"/>
    <x v="44"/>
    <x v="3"/>
    <x v="1"/>
    <x v="1"/>
    <x v="1"/>
    <x v="1"/>
    <x v="270"/>
    <x v="0"/>
    <x v="0"/>
    <x v="0"/>
    <x v="0"/>
    <x v="0"/>
    <x v="270"/>
    <x v="87"/>
    <x v="151"/>
    <x v="31"/>
    <x v="417"/>
    <x v="21"/>
    <x v="185"/>
    <x v="8"/>
    <x v="44"/>
    <x v="3"/>
    <x v="1"/>
    <x v="1"/>
    <x v="1"/>
    <x v="315"/>
    <x v="0"/>
    <x v="0"/>
    <x v="0"/>
    <x v="0"/>
    <x v="1"/>
    <x v="0"/>
    <x v="0"/>
    <x v="0"/>
    <x v="0"/>
    <x v="1"/>
    <x v="0"/>
    <x v="0"/>
    <x v="1"/>
    <x v="0"/>
    <x v="0"/>
    <x v="0"/>
    <x v="0"/>
    <x v="1"/>
    <x v="1"/>
    <x v="0"/>
    <x v="1"/>
    <x v="0"/>
    <x v="4"/>
    <x v="360"/>
    <x v="211"/>
    <x v="20"/>
    <x v="3"/>
    <x v="0"/>
    <x v="10"/>
    <x v="16"/>
    <x v="22"/>
    <x v="0"/>
    <x v="0"/>
    <x v="0"/>
    <x v="371"/>
  </r>
  <r>
    <x v="418"/>
    <x v="21"/>
    <x v="186"/>
    <x v="8"/>
    <x v="121"/>
    <x v="3"/>
    <x v="1"/>
    <x v="1"/>
    <x v="1"/>
    <x v="1"/>
    <x v="295"/>
    <x v="0"/>
    <x v="0"/>
    <x v="0"/>
    <x v="0"/>
    <x v="2"/>
    <x v="295"/>
    <x v="88"/>
    <x v="191"/>
    <x v="31"/>
    <x v="418"/>
    <x v="21"/>
    <x v="186"/>
    <x v="8"/>
    <x v="123"/>
    <x v="3"/>
    <x v="1"/>
    <x v="1"/>
    <x v="1"/>
    <x v="342"/>
    <x v="0"/>
    <x v="0"/>
    <x v="0"/>
    <x v="0"/>
    <x v="1"/>
    <x v="0"/>
    <x v="0"/>
    <x v="0"/>
    <x v="0"/>
    <x v="0"/>
    <x v="0"/>
    <x v="0"/>
    <x v="1"/>
    <x v="0"/>
    <x v="0"/>
    <x v="0"/>
    <x v="0"/>
    <x v="1"/>
    <x v="1"/>
    <x v="0"/>
    <x v="1"/>
    <x v="0"/>
    <x v="1"/>
    <x v="361"/>
    <x v="211"/>
    <x v="20"/>
    <x v="3"/>
    <x v="0"/>
    <x v="10"/>
    <x v="16"/>
    <x v="22"/>
    <x v="0"/>
    <x v="12"/>
    <x v="12"/>
    <x v="372"/>
  </r>
  <r>
    <x v="419"/>
    <x v="22"/>
    <x v="33"/>
    <x v="8"/>
    <x v="0"/>
    <x v="3"/>
    <x v="1"/>
    <x v="1"/>
    <x v="1"/>
    <x v="1"/>
    <x v="52"/>
    <x v="0"/>
    <x v="0"/>
    <x v="0"/>
    <x v="0"/>
    <x v="0"/>
    <x v="52"/>
    <x v="16"/>
    <x v="186"/>
    <x v="31"/>
    <x v="419"/>
    <x v="22"/>
    <x v="33"/>
    <x v="8"/>
    <x v="0"/>
    <x v="3"/>
    <x v="1"/>
    <x v="1"/>
    <x v="1"/>
    <x v="343"/>
    <x v="0"/>
    <x v="0"/>
    <x v="0"/>
    <x v="0"/>
    <x v="1"/>
    <x v="0"/>
    <x v="0"/>
    <x v="1"/>
    <x v="1"/>
    <x v="1"/>
    <x v="0"/>
    <x v="0"/>
    <x v="1"/>
    <x v="0"/>
    <x v="0"/>
    <x v="0"/>
    <x v="0"/>
    <x v="1"/>
    <x v="1"/>
    <x v="0"/>
    <x v="1"/>
    <x v="0"/>
    <x v="3"/>
    <x v="362"/>
    <x v="211"/>
    <x v="20"/>
    <x v="3"/>
    <x v="0"/>
    <x v="10"/>
    <x v="16"/>
    <x v="22"/>
    <x v="0"/>
    <x v="12"/>
    <x v="12"/>
    <x v="373"/>
  </r>
  <r>
    <x v="420"/>
    <x v="22"/>
    <x v="187"/>
    <x v="8"/>
    <x v="0"/>
    <x v="3"/>
    <x v="1"/>
    <x v="1"/>
    <x v="1"/>
    <x v="1"/>
    <x v="51"/>
    <x v="0"/>
    <x v="0"/>
    <x v="0"/>
    <x v="0"/>
    <x v="3"/>
    <x v="51"/>
    <x v="14"/>
    <x v="177"/>
    <x v="31"/>
    <x v="420"/>
    <x v="22"/>
    <x v="187"/>
    <x v="8"/>
    <x v="0"/>
    <x v="3"/>
    <x v="1"/>
    <x v="1"/>
    <x v="1"/>
    <x v="344"/>
    <x v="0"/>
    <x v="0"/>
    <x v="1"/>
    <x v="0"/>
    <x v="0"/>
    <x v="0"/>
    <x v="0"/>
    <x v="0"/>
    <x v="0"/>
    <x v="0"/>
    <x v="0"/>
    <x v="0"/>
    <x v="1"/>
    <x v="0"/>
    <x v="0"/>
    <x v="0"/>
    <x v="0"/>
    <x v="1"/>
    <x v="1"/>
    <x v="0"/>
    <x v="1"/>
    <x v="0"/>
    <x v="2"/>
    <x v="363"/>
    <x v="211"/>
    <x v="20"/>
    <x v="3"/>
    <x v="0"/>
    <x v="10"/>
    <x v="16"/>
    <x v="22"/>
    <x v="0"/>
    <x v="1"/>
    <x v="1"/>
    <x v="374"/>
  </r>
  <r>
    <x v="421"/>
    <x v="22"/>
    <x v="188"/>
    <x v="8"/>
    <x v="0"/>
    <x v="3"/>
    <x v="1"/>
    <x v="1"/>
    <x v="1"/>
    <x v="1"/>
    <x v="49"/>
    <x v="0"/>
    <x v="0"/>
    <x v="0"/>
    <x v="0"/>
    <x v="0"/>
    <x v="49"/>
    <x v="5"/>
    <x v="192"/>
    <x v="31"/>
    <x v="421"/>
    <x v="22"/>
    <x v="188"/>
    <x v="8"/>
    <x v="0"/>
    <x v="3"/>
    <x v="1"/>
    <x v="1"/>
    <x v="1"/>
    <x v="345"/>
    <x v="0"/>
    <x v="0"/>
    <x v="1"/>
    <x v="1"/>
    <x v="0"/>
    <x v="0"/>
    <x v="0"/>
    <x v="0"/>
    <x v="0"/>
    <x v="1"/>
    <x v="0"/>
    <x v="0"/>
    <x v="1"/>
    <x v="0"/>
    <x v="0"/>
    <x v="1"/>
    <x v="0"/>
    <x v="1"/>
    <x v="1"/>
    <x v="0"/>
    <x v="2"/>
    <x v="0"/>
    <x v="3"/>
    <x v="364"/>
    <x v="211"/>
    <x v="20"/>
    <x v="3"/>
    <x v="0"/>
    <x v="3"/>
    <x v="15"/>
    <x v="20"/>
    <x v="0"/>
    <x v="29"/>
    <x v="29"/>
    <x v="375"/>
  </r>
  <r>
    <x v="422"/>
    <x v="22"/>
    <x v="189"/>
    <x v="8"/>
    <x v="0"/>
    <x v="3"/>
    <x v="1"/>
    <x v="1"/>
    <x v="1"/>
    <x v="1"/>
    <x v="94"/>
    <x v="0"/>
    <x v="0"/>
    <x v="0"/>
    <x v="0"/>
    <x v="0"/>
    <x v="94"/>
    <x v="26"/>
    <x v="193"/>
    <x v="31"/>
    <x v="422"/>
    <x v="22"/>
    <x v="189"/>
    <x v="8"/>
    <x v="0"/>
    <x v="3"/>
    <x v="1"/>
    <x v="1"/>
    <x v="1"/>
    <x v="346"/>
    <x v="0"/>
    <x v="0"/>
    <x v="0"/>
    <x v="0"/>
    <x v="1"/>
    <x v="0"/>
    <x v="0"/>
    <x v="0"/>
    <x v="1"/>
    <x v="0"/>
    <x v="0"/>
    <x v="0"/>
    <x v="1"/>
    <x v="0"/>
    <x v="0"/>
    <x v="1"/>
    <x v="0"/>
    <x v="1"/>
    <x v="1"/>
    <x v="0"/>
    <x v="1"/>
    <x v="0"/>
    <x v="2"/>
    <x v="365"/>
    <x v="211"/>
    <x v="20"/>
    <x v="3"/>
    <x v="0"/>
    <x v="10"/>
    <x v="16"/>
    <x v="22"/>
    <x v="0"/>
    <x v="12"/>
    <x v="12"/>
    <x v="376"/>
  </r>
  <r>
    <x v="423"/>
    <x v="22"/>
    <x v="190"/>
    <x v="8"/>
    <x v="7"/>
    <x v="3"/>
    <x v="1"/>
    <x v="1"/>
    <x v="1"/>
    <x v="1"/>
    <x v="51"/>
    <x v="0"/>
    <x v="0"/>
    <x v="0"/>
    <x v="0"/>
    <x v="3"/>
    <x v="51"/>
    <x v="89"/>
    <x v="194"/>
    <x v="31"/>
    <x v="423"/>
    <x v="22"/>
    <x v="190"/>
    <x v="8"/>
    <x v="7"/>
    <x v="3"/>
    <x v="1"/>
    <x v="1"/>
    <x v="1"/>
    <x v="344"/>
    <x v="0"/>
    <x v="0"/>
    <x v="1"/>
    <x v="0"/>
    <x v="0"/>
    <x v="0"/>
    <x v="0"/>
    <x v="0"/>
    <x v="0"/>
    <x v="0"/>
    <x v="0"/>
    <x v="0"/>
    <x v="1"/>
    <x v="0"/>
    <x v="0"/>
    <x v="1"/>
    <x v="0"/>
    <x v="1"/>
    <x v="1"/>
    <x v="0"/>
    <x v="3"/>
    <x v="0"/>
    <x v="2"/>
    <x v="366"/>
    <x v="211"/>
    <x v="20"/>
    <x v="3"/>
    <x v="0"/>
    <x v="10"/>
    <x v="16"/>
    <x v="22"/>
    <x v="0"/>
    <x v="29"/>
    <x v="29"/>
    <x v="377"/>
  </r>
  <r>
    <x v="424"/>
    <x v="22"/>
    <x v="191"/>
    <x v="8"/>
    <x v="122"/>
    <x v="3"/>
    <x v="1"/>
    <x v="1"/>
    <x v="1"/>
    <x v="1"/>
    <x v="189"/>
    <x v="0"/>
    <x v="0"/>
    <x v="0"/>
    <x v="0"/>
    <x v="3"/>
    <x v="189"/>
    <x v="90"/>
    <x v="195"/>
    <x v="31"/>
    <x v="424"/>
    <x v="22"/>
    <x v="191"/>
    <x v="8"/>
    <x v="124"/>
    <x v="3"/>
    <x v="1"/>
    <x v="1"/>
    <x v="1"/>
    <x v="214"/>
    <x v="0"/>
    <x v="0"/>
    <x v="1"/>
    <x v="1"/>
    <x v="0"/>
    <x v="0"/>
    <x v="0"/>
    <x v="0"/>
    <x v="0"/>
    <x v="1"/>
    <x v="0"/>
    <x v="0"/>
    <x v="1"/>
    <x v="0"/>
    <x v="0"/>
    <x v="0"/>
    <x v="0"/>
    <x v="1"/>
    <x v="1"/>
    <x v="0"/>
    <x v="2"/>
    <x v="0"/>
    <x v="3"/>
    <x v="367"/>
    <x v="211"/>
    <x v="20"/>
    <x v="3"/>
    <x v="0"/>
    <x v="10"/>
    <x v="16"/>
    <x v="22"/>
    <x v="0"/>
    <x v="44"/>
    <x v="44"/>
    <x v="378"/>
  </r>
  <r>
    <x v="425"/>
    <x v="22"/>
    <x v="192"/>
    <x v="8"/>
    <x v="123"/>
    <x v="3"/>
    <x v="1"/>
    <x v="1"/>
    <x v="1"/>
    <x v="1"/>
    <x v="1"/>
    <x v="0"/>
    <x v="0"/>
    <x v="0"/>
    <x v="0"/>
    <x v="0"/>
    <x v="1"/>
    <x v="2"/>
    <x v="15"/>
    <x v="38"/>
    <x v="425"/>
    <x v="22"/>
    <x v="192"/>
    <x v="8"/>
    <x v="125"/>
    <x v="3"/>
    <x v="1"/>
    <x v="1"/>
    <x v="1"/>
    <x v="1"/>
    <x v="0"/>
    <x v="0"/>
    <x v="1"/>
    <x v="0"/>
    <x v="0"/>
    <x v="0"/>
    <x v="0"/>
    <x v="0"/>
    <x v="0"/>
    <x v="0"/>
    <x v="0"/>
    <x v="0"/>
    <x v="1"/>
    <x v="0"/>
    <x v="0"/>
    <x v="0"/>
    <x v="0"/>
    <x v="1"/>
    <x v="1"/>
    <x v="0"/>
    <x v="3"/>
    <x v="0"/>
    <x v="1"/>
    <x v="368"/>
    <x v="211"/>
    <x v="20"/>
    <x v="3"/>
    <x v="0"/>
    <x v="10"/>
    <x v="16"/>
    <x v="22"/>
    <x v="0"/>
    <x v="1"/>
    <x v="1"/>
    <x v="379"/>
  </r>
  <r>
    <x v="426"/>
    <x v="22"/>
    <x v="193"/>
    <x v="8"/>
    <x v="11"/>
    <x v="3"/>
    <x v="1"/>
    <x v="1"/>
    <x v="1"/>
    <x v="1"/>
    <x v="296"/>
    <x v="0"/>
    <x v="0"/>
    <x v="0"/>
    <x v="0"/>
    <x v="2"/>
    <x v="296"/>
    <x v="91"/>
    <x v="196"/>
    <x v="31"/>
    <x v="426"/>
    <x v="22"/>
    <x v="193"/>
    <x v="8"/>
    <x v="11"/>
    <x v="3"/>
    <x v="1"/>
    <x v="1"/>
    <x v="1"/>
    <x v="347"/>
    <x v="0"/>
    <x v="0"/>
    <x v="0"/>
    <x v="0"/>
    <x v="1"/>
    <x v="0"/>
    <x v="0"/>
    <x v="0"/>
    <x v="0"/>
    <x v="0"/>
    <x v="0"/>
    <x v="0"/>
    <x v="1"/>
    <x v="0"/>
    <x v="0"/>
    <x v="0"/>
    <x v="0"/>
    <x v="1"/>
    <x v="1"/>
    <x v="0"/>
    <x v="1"/>
    <x v="0"/>
    <x v="1"/>
    <x v="369"/>
    <x v="211"/>
    <x v="20"/>
    <x v="3"/>
    <x v="0"/>
    <x v="3"/>
    <x v="15"/>
    <x v="20"/>
    <x v="0"/>
    <x v="1"/>
    <x v="1"/>
    <x v="380"/>
  </r>
  <r>
    <x v="427"/>
    <x v="21"/>
    <x v="194"/>
    <x v="8"/>
    <x v="0"/>
    <x v="3"/>
    <x v="1"/>
    <x v="1"/>
    <x v="1"/>
    <x v="1"/>
    <x v="173"/>
    <x v="0"/>
    <x v="0"/>
    <x v="0"/>
    <x v="0"/>
    <x v="0"/>
    <x v="173"/>
    <x v="92"/>
    <x v="24"/>
    <x v="31"/>
    <x v="427"/>
    <x v="21"/>
    <x v="194"/>
    <x v="8"/>
    <x v="0"/>
    <x v="3"/>
    <x v="1"/>
    <x v="1"/>
    <x v="1"/>
    <x v="348"/>
    <x v="0"/>
    <x v="0"/>
    <x v="1"/>
    <x v="0"/>
    <x v="0"/>
    <x v="0"/>
    <x v="0"/>
    <x v="0"/>
    <x v="1"/>
    <x v="0"/>
    <x v="0"/>
    <x v="0"/>
    <x v="1"/>
    <x v="0"/>
    <x v="0"/>
    <x v="0"/>
    <x v="0"/>
    <x v="1"/>
    <x v="1"/>
    <x v="0"/>
    <x v="1"/>
    <x v="0"/>
    <x v="2"/>
    <x v="370"/>
    <x v="211"/>
    <x v="19"/>
    <x v="18"/>
    <x v="0"/>
    <x v="10"/>
    <x v="16"/>
    <x v="22"/>
    <x v="0"/>
    <x v="26"/>
    <x v="26"/>
    <x v="381"/>
  </r>
  <r>
    <x v="428"/>
    <x v="21"/>
    <x v="195"/>
    <x v="8"/>
    <x v="7"/>
    <x v="3"/>
    <x v="1"/>
    <x v="1"/>
    <x v="1"/>
    <x v="1"/>
    <x v="98"/>
    <x v="0"/>
    <x v="0"/>
    <x v="0"/>
    <x v="0"/>
    <x v="0"/>
    <x v="98"/>
    <x v="0"/>
    <x v="158"/>
    <x v="31"/>
    <x v="428"/>
    <x v="21"/>
    <x v="195"/>
    <x v="8"/>
    <x v="7"/>
    <x v="3"/>
    <x v="1"/>
    <x v="1"/>
    <x v="1"/>
    <x v="349"/>
    <x v="1"/>
    <x v="1"/>
    <x v="1"/>
    <x v="1"/>
    <x v="0"/>
    <x v="0"/>
    <x v="0"/>
    <x v="0"/>
    <x v="0"/>
    <x v="0"/>
    <x v="0"/>
    <x v="0"/>
    <x v="0"/>
    <x v="0"/>
    <x v="0"/>
    <x v="0"/>
    <x v="0"/>
    <x v="0"/>
    <x v="1"/>
    <x v="0"/>
    <x v="0"/>
    <x v="0"/>
    <x v="2"/>
    <x v="371"/>
    <x v="211"/>
    <x v="19"/>
    <x v="18"/>
    <x v="0"/>
    <x v="3"/>
    <x v="15"/>
    <x v="20"/>
    <x v="0"/>
    <x v="2"/>
    <x v="2"/>
    <x v="382"/>
  </r>
  <r>
    <x v="429"/>
    <x v="21"/>
    <x v="196"/>
    <x v="8"/>
    <x v="2"/>
    <x v="3"/>
    <x v="1"/>
    <x v="1"/>
    <x v="1"/>
    <x v="1"/>
    <x v="271"/>
    <x v="69"/>
    <x v="44"/>
    <x v="76"/>
    <x v="1"/>
    <x v="0"/>
    <x v="271"/>
    <x v="93"/>
    <x v="59"/>
    <x v="39"/>
    <x v="429"/>
    <x v="21"/>
    <x v="196"/>
    <x v="8"/>
    <x v="2"/>
    <x v="3"/>
    <x v="1"/>
    <x v="1"/>
    <x v="1"/>
    <x v="350"/>
    <x v="0"/>
    <x v="0"/>
    <x v="0"/>
    <x v="0"/>
    <x v="1"/>
    <x v="0"/>
    <x v="0"/>
    <x v="0"/>
    <x v="1"/>
    <x v="0"/>
    <x v="0"/>
    <x v="0"/>
    <x v="1"/>
    <x v="0"/>
    <x v="0"/>
    <x v="0"/>
    <x v="0"/>
    <x v="1"/>
    <x v="1"/>
    <x v="0"/>
    <x v="1"/>
    <x v="0"/>
    <x v="2"/>
    <x v="372"/>
    <x v="211"/>
    <x v="19"/>
    <x v="18"/>
    <x v="0"/>
    <x v="10"/>
    <x v="16"/>
    <x v="22"/>
    <x v="0"/>
    <x v="94"/>
    <x v="86"/>
    <x v="383"/>
  </r>
  <r>
    <x v="430"/>
    <x v="21"/>
    <x v="197"/>
    <x v="8"/>
    <x v="2"/>
    <x v="3"/>
    <x v="1"/>
    <x v="1"/>
    <x v="1"/>
    <x v="1"/>
    <x v="297"/>
    <x v="0"/>
    <x v="0"/>
    <x v="0"/>
    <x v="0"/>
    <x v="2"/>
    <x v="297"/>
    <x v="94"/>
    <x v="87"/>
    <x v="4"/>
    <x v="430"/>
    <x v="21"/>
    <x v="197"/>
    <x v="8"/>
    <x v="2"/>
    <x v="3"/>
    <x v="1"/>
    <x v="1"/>
    <x v="1"/>
    <x v="351"/>
    <x v="0"/>
    <x v="0"/>
    <x v="1"/>
    <x v="0"/>
    <x v="0"/>
    <x v="0"/>
    <x v="0"/>
    <x v="0"/>
    <x v="0"/>
    <x v="0"/>
    <x v="0"/>
    <x v="0"/>
    <x v="1"/>
    <x v="0"/>
    <x v="0"/>
    <x v="0"/>
    <x v="0"/>
    <x v="1"/>
    <x v="1"/>
    <x v="0"/>
    <x v="1"/>
    <x v="0"/>
    <x v="1"/>
    <x v="373"/>
    <x v="211"/>
    <x v="19"/>
    <x v="18"/>
    <x v="0"/>
    <x v="10"/>
    <x v="16"/>
    <x v="22"/>
    <x v="0"/>
    <x v="26"/>
    <x v="26"/>
    <x v="384"/>
  </r>
  <r>
    <x v="431"/>
    <x v="21"/>
    <x v="87"/>
    <x v="8"/>
    <x v="46"/>
    <x v="3"/>
    <x v="1"/>
    <x v="1"/>
    <x v="1"/>
    <x v="1"/>
    <x v="298"/>
    <x v="0"/>
    <x v="0"/>
    <x v="0"/>
    <x v="0"/>
    <x v="0"/>
    <x v="298"/>
    <x v="95"/>
    <x v="183"/>
    <x v="31"/>
    <x v="431"/>
    <x v="21"/>
    <x v="87"/>
    <x v="8"/>
    <x v="46"/>
    <x v="3"/>
    <x v="1"/>
    <x v="1"/>
    <x v="1"/>
    <x v="352"/>
    <x v="0"/>
    <x v="0"/>
    <x v="1"/>
    <x v="0"/>
    <x v="0"/>
    <x v="0"/>
    <x v="0"/>
    <x v="0"/>
    <x v="0"/>
    <x v="0"/>
    <x v="0"/>
    <x v="0"/>
    <x v="1"/>
    <x v="0"/>
    <x v="0"/>
    <x v="0"/>
    <x v="0"/>
    <x v="1"/>
    <x v="0"/>
    <x v="0"/>
    <x v="2"/>
    <x v="0"/>
    <x v="1"/>
    <x v="374"/>
    <x v="211"/>
    <x v="19"/>
    <x v="18"/>
    <x v="0"/>
    <x v="3"/>
    <x v="15"/>
    <x v="20"/>
    <x v="0"/>
    <x v="1"/>
    <x v="1"/>
    <x v="385"/>
  </r>
  <r>
    <x v="432"/>
    <x v="21"/>
    <x v="198"/>
    <x v="8"/>
    <x v="2"/>
    <x v="3"/>
    <x v="1"/>
    <x v="1"/>
    <x v="1"/>
    <x v="1"/>
    <x v="299"/>
    <x v="0"/>
    <x v="0"/>
    <x v="0"/>
    <x v="0"/>
    <x v="2"/>
    <x v="299"/>
    <x v="0"/>
    <x v="28"/>
    <x v="31"/>
    <x v="432"/>
    <x v="21"/>
    <x v="198"/>
    <x v="8"/>
    <x v="2"/>
    <x v="3"/>
    <x v="1"/>
    <x v="1"/>
    <x v="1"/>
    <x v="353"/>
    <x v="0"/>
    <x v="0"/>
    <x v="0"/>
    <x v="0"/>
    <x v="1"/>
    <x v="0"/>
    <x v="0"/>
    <x v="0"/>
    <x v="0"/>
    <x v="0"/>
    <x v="0"/>
    <x v="0"/>
    <x v="0"/>
    <x v="0"/>
    <x v="0"/>
    <x v="1"/>
    <x v="0"/>
    <x v="0"/>
    <x v="0"/>
    <x v="0"/>
    <x v="0"/>
    <x v="0"/>
    <x v="2"/>
    <x v="375"/>
    <x v="211"/>
    <x v="45"/>
    <x v="13"/>
    <x v="0"/>
    <x v="3"/>
    <x v="15"/>
    <x v="20"/>
    <x v="0"/>
    <x v="2"/>
    <x v="2"/>
    <x v="386"/>
  </r>
  <r>
    <x v="433"/>
    <x v="21"/>
    <x v="199"/>
    <x v="8"/>
    <x v="0"/>
    <x v="3"/>
    <x v="1"/>
    <x v="1"/>
    <x v="1"/>
    <x v="1"/>
    <x v="300"/>
    <x v="0"/>
    <x v="0"/>
    <x v="0"/>
    <x v="0"/>
    <x v="0"/>
    <x v="300"/>
    <x v="96"/>
    <x v="197"/>
    <x v="31"/>
    <x v="433"/>
    <x v="21"/>
    <x v="199"/>
    <x v="8"/>
    <x v="0"/>
    <x v="3"/>
    <x v="1"/>
    <x v="1"/>
    <x v="1"/>
    <x v="354"/>
    <x v="0"/>
    <x v="0"/>
    <x v="1"/>
    <x v="1"/>
    <x v="0"/>
    <x v="0"/>
    <x v="0"/>
    <x v="0"/>
    <x v="0"/>
    <x v="1"/>
    <x v="0"/>
    <x v="0"/>
    <x v="1"/>
    <x v="0"/>
    <x v="0"/>
    <x v="1"/>
    <x v="0"/>
    <x v="1"/>
    <x v="1"/>
    <x v="0"/>
    <x v="1"/>
    <x v="0"/>
    <x v="3"/>
    <x v="376"/>
    <x v="211"/>
    <x v="6"/>
    <x v="7"/>
    <x v="1"/>
    <x v="4"/>
    <x v="4"/>
    <x v="5"/>
    <x v="0"/>
    <x v="2"/>
    <x v="2"/>
    <x v="387"/>
  </r>
  <r>
    <x v="434"/>
    <x v="21"/>
    <x v="200"/>
    <x v="8"/>
    <x v="7"/>
    <x v="3"/>
    <x v="1"/>
    <x v="1"/>
    <x v="1"/>
    <x v="1"/>
    <x v="301"/>
    <x v="0"/>
    <x v="0"/>
    <x v="0"/>
    <x v="0"/>
    <x v="0"/>
    <x v="301"/>
    <x v="97"/>
    <x v="4"/>
    <x v="4"/>
    <x v="434"/>
    <x v="21"/>
    <x v="200"/>
    <x v="8"/>
    <x v="7"/>
    <x v="3"/>
    <x v="1"/>
    <x v="1"/>
    <x v="1"/>
    <x v="355"/>
    <x v="0"/>
    <x v="0"/>
    <x v="0"/>
    <x v="0"/>
    <x v="1"/>
    <x v="0"/>
    <x v="0"/>
    <x v="0"/>
    <x v="0"/>
    <x v="1"/>
    <x v="0"/>
    <x v="0"/>
    <x v="1"/>
    <x v="0"/>
    <x v="0"/>
    <x v="0"/>
    <x v="0"/>
    <x v="1"/>
    <x v="1"/>
    <x v="0"/>
    <x v="1"/>
    <x v="0"/>
    <x v="2"/>
    <x v="377"/>
    <x v="211"/>
    <x v="6"/>
    <x v="7"/>
    <x v="1"/>
    <x v="4"/>
    <x v="4"/>
    <x v="5"/>
    <x v="0"/>
    <x v="95"/>
    <x v="87"/>
    <x v="388"/>
  </r>
  <r>
    <x v="435"/>
    <x v="21"/>
    <x v="201"/>
    <x v="8"/>
    <x v="2"/>
    <x v="3"/>
    <x v="1"/>
    <x v="1"/>
    <x v="1"/>
    <x v="1"/>
    <x v="302"/>
    <x v="0"/>
    <x v="0"/>
    <x v="0"/>
    <x v="0"/>
    <x v="0"/>
    <x v="302"/>
    <x v="98"/>
    <x v="198"/>
    <x v="32"/>
    <x v="435"/>
    <x v="21"/>
    <x v="201"/>
    <x v="8"/>
    <x v="2"/>
    <x v="3"/>
    <x v="1"/>
    <x v="1"/>
    <x v="1"/>
    <x v="356"/>
    <x v="0"/>
    <x v="0"/>
    <x v="1"/>
    <x v="0"/>
    <x v="0"/>
    <x v="0"/>
    <x v="0"/>
    <x v="0"/>
    <x v="0"/>
    <x v="0"/>
    <x v="0"/>
    <x v="0"/>
    <x v="1"/>
    <x v="0"/>
    <x v="0"/>
    <x v="1"/>
    <x v="0"/>
    <x v="1"/>
    <x v="1"/>
    <x v="0"/>
    <x v="2"/>
    <x v="0"/>
    <x v="3"/>
    <x v="143"/>
    <x v="211"/>
    <x v="6"/>
    <x v="7"/>
    <x v="1"/>
    <x v="4"/>
    <x v="4"/>
    <x v="5"/>
    <x v="0"/>
    <x v="5"/>
    <x v="5"/>
    <x v="389"/>
  </r>
  <r>
    <x v="436"/>
    <x v="21"/>
    <x v="202"/>
    <x v="8"/>
    <x v="3"/>
    <x v="3"/>
    <x v="1"/>
    <x v="1"/>
    <x v="1"/>
    <x v="1"/>
    <x v="303"/>
    <x v="0"/>
    <x v="0"/>
    <x v="0"/>
    <x v="0"/>
    <x v="3"/>
    <x v="303"/>
    <x v="99"/>
    <x v="199"/>
    <x v="40"/>
    <x v="436"/>
    <x v="21"/>
    <x v="202"/>
    <x v="8"/>
    <x v="3"/>
    <x v="3"/>
    <x v="1"/>
    <x v="1"/>
    <x v="1"/>
    <x v="357"/>
    <x v="0"/>
    <x v="0"/>
    <x v="1"/>
    <x v="0"/>
    <x v="0"/>
    <x v="0"/>
    <x v="0"/>
    <x v="0"/>
    <x v="0"/>
    <x v="0"/>
    <x v="0"/>
    <x v="0"/>
    <x v="1"/>
    <x v="0"/>
    <x v="0"/>
    <x v="0"/>
    <x v="0"/>
    <x v="1"/>
    <x v="0"/>
    <x v="0"/>
    <x v="9"/>
    <x v="0"/>
    <x v="1"/>
    <x v="378"/>
    <x v="211"/>
    <x v="6"/>
    <x v="7"/>
    <x v="1"/>
    <x v="4"/>
    <x v="4"/>
    <x v="5"/>
    <x v="0"/>
    <x v="25"/>
    <x v="25"/>
    <x v="390"/>
  </r>
  <r>
    <x v="437"/>
    <x v="22"/>
    <x v="203"/>
    <x v="8"/>
    <x v="2"/>
    <x v="3"/>
    <x v="1"/>
    <x v="1"/>
    <x v="1"/>
    <x v="1"/>
    <x v="304"/>
    <x v="0"/>
    <x v="0"/>
    <x v="0"/>
    <x v="0"/>
    <x v="2"/>
    <x v="304"/>
    <x v="100"/>
    <x v="79"/>
    <x v="2"/>
    <x v="437"/>
    <x v="22"/>
    <x v="203"/>
    <x v="8"/>
    <x v="2"/>
    <x v="3"/>
    <x v="1"/>
    <x v="1"/>
    <x v="1"/>
    <x v="358"/>
    <x v="0"/>
    <x v="0"/>
    <x v="0"/>
    <x v="0"/>
    <x v="1"/>
    <x v="0"/>
    <x v="0"/>
    <x v="0"/>
    <x v="0"/>
    <x v="1"/>
    <x v="0"/>
    <x v="0"/>
    <x v="1"/>
    <x v="0"/>
    <x v="0"/>
    <x v="0"/>
    <x v="0"/>
    <x v="1"/>
    <x v="1"/>
    <x v="0"/>
    <x v="2"/>
    <x v="0"/>
    <x v="2"/>
    <x v="379"/>
    <x v="211"/>
    <x v="6"/>
    <x v="7"/>
    <x v="1"/>
    <x v="4"/>
    <x v="4"/>
    <x v="5"/>
    <x v="0"/>
    <x v="2"/>
    <x v="2"/>
    <x v="391"/>
  </r>
  <r>
    <x v="438"/>
    <x v="123"/>
    <x v="8"/>
    <x v="8"/>
    <x v="124"/>
    <x v="0"/>
    <x v="1"/>
    <x v="1"/>
    <x v="1"/>
    <x v="1"/>
    <x v="305"/>
    <x v="0"/>
    <x v="0"/>
    <x v="0"/>
    <x v="0"/>
    <x v="2"/>
    <x v="305"/>
    <x v="0"/>
    <x v="12"/>
    <x v="11"/>
    <x v="438"/>
    <x v="123"/>
    <x v="8"/>
    <x v="8"/>
    <x v="126"/>
    <x v="0"/>
    <x v="1"/>
    <x v="1"/>
    <x v="1"/>
    <x v="359"/>
    <x v="0"/>
    <x v="0"/>
    <x v="1"/>
    <x v="0"/>
    <x v="0"/>
    <x v="0"/>
    <x v="0"/>
    <x v="0"/>
    <x v="0"/>
    <x v="0"/>
    <x v="0"/>
    <x v="0"/>
    <x v="0"/>
    <x v="0"/>
    <x v="0"/>
    <x v="0"/>
    <x v="0"/>
    <x v="0"/>
    <x v="1"/>
    <x v="0"/>
    <x v="0"/>
    <x v="0"/>
    <x v="0"/>
    <x v="13"/>
    <x v="212"/>
    <x v="151"/>
    <x v="11"/>
    <x v="0"/>
    <x v="26"/>
    <x v="54"/>
    <x v="90"/>
    <x v="0"/>
    <x v="8"/>
    <x v="8"/>
    <x v="13"/>
  </r>
  <r>
    <x v="439"/>
    <x v="0"/>
    <x v="204"/>
    <x v="8"/>
    <x v="0"/>
    <x v="0"/>
    <x v="0"/>
    <x v="0"/>
    <x v="2"/>
    <x v="2"/>
    <x v="306"/>
    <x v="37"/>
    <x v="33"/>
    <x v="71"/>
    <x v="1"/>
    <x v="3"/>
    <x v="306"/>
    <x v="0"/>
    <x v="4"/>
    <x v="27"/>
    <x v="439"/>
    <x v="0"/>
    <x v="204"/>
    <x v="8"/>
    <x v="0"/>
    <x v="0"/>
    <x v="0"/>
    <x v="0"/>
    <x v="2"/>
    <x v="360"/>
    <x v="0"/>
    <x v="0"/>
    <x v="1"/>
    <x v="0"/>
    <x v="0"/>
    <x v="0"/>
    <x v="0"/>
    <x v="0"/>
    <x v="0"/>
    <x v="0"/>
    <x v="0"/>
    <x v="0"/>
    <x v="0"/>
    <x v="0"/>
    <x v="0"/>
    <x v="0"/>
    <x v="0"/>
    <x v="0"/>
    <x v="0"/>
    <x v="0"/>
    <x v="0"/>
    <x v="0"/>
    <x v="1"/>
    <x v="380"/>
    <x v="213"/>
    <x v="152"/>
    <x v="65"/>
    <x v="0"/>
    <x v="3"/>
    <x v="42"/>
    <x v="66"/>
    <x v="0"/>
    <x v="8"/>
    <x v="8"/>
    <x v="392"/>
  </r>
  <r>
    <x v="440"/>
    <x v="124"/>
    <x v="8"/>
    <x v="92"/>
    <x v="1"/>
    <x v="0"/>
    <x v="1"/>
    <x v="1"/>
    <x v="1"/>
    <x v="1"/>
    <x v="307"/>
    <x v="0"/>
    <x v="0"/>
    <x v="0"/>
    <x v="0"/>
    <x v="3"/>
    <x v="307"/>
    <x v="0"/>
    <x v="36"/>
    <x v="11"/>
    <x v="440"/>
    <x v="124"/>
    <x v="8"/>
    <x v="92"/>
    <x v="1"/>
    <x v="0"/>
    <x v="1"/>
    <x v="1"/>
    <x v="1"/>
    <x v="361"/>
    <x v="0"/>
    <x v="0"/>
    <x v="1"/>
    <x v="1"/>
    <x v="0"/>
    <x v="0"/>
    <x v="0"/>
    <x v="0"/>
    <x v="0"/>
    <x v="0"/>
    <x v="0"/>
    <x v="0"/>
    <x v="0"/>
    <x v="0"/>
    <x v="0"/>
    <x v="0"/>
    <x v="0"/>
    <x v="0"/>
    <x v="0"/>
    <x v="0"/>
    <x v="0"/>
    <x v="0"/>
    <x v="1"/>
    <x v="381"/>
    <x v="214"/>
    <x v="153"/>
    <x v="29"/>
    <x v="0"/>
    <x v="5"/>
    <x v="14"/>
    <x v="19"/>
    <x v="1"/>
    <x v="0"/>
    <x v="0"/>
    <x v="393"/>
  </r>
  <r>
    <x v="441"/>
    <x v="19"/>
    <x v="205"/>
    <x v="93"/>
    <x v="18"/>
    <x v="1"/>
    <x v="6"/>
    <x v="3"/>
    <x v="1"/>
    <x v="1"/>
    <x v="22"/>
    <x v="0"/>
    <x v="0"/>
    <x v="0"/>
    <x v="0"/>
    <x v="3"/>
    <x v="22"/>
    <x v="0"/>
    <x v="87"/>
    <x v="22"/>
    <x v="441"/>
    <x v="19"/>
    <x v="205"/>
    <x v="93"/>
    <x v="18"/>
    <x v="1"/>
    <x v="6"/>
    <x v="3"/>
    <x v="1"/>
    <x v="22"/>
    <x v="0"/>
    <x v="1"/>
    <x v="1"/>
    <x v="0"/>
    <x v="0"/>
    <x v="0"/>
    <x v="0"/>
    <x v="0"/>
    <x v="0"/>
    <x v="0"/>
    <x v="0"/>
    <x v="0"/>
    <x v="0"/>
    <x v="0"/>
    <x v="0"/>
    <x v="0"/>
    <x v="0"/>
    <x v="0"/>
    <x v="0"/>
    <x v="0"/>
    <x v="0"/>
    <x v="0"/>
    <x v="0"/>
    <x v="382"/>
    <x v="215"/>
    <x v="154"/>
    <x v="65"/>
    <x v="0"/>
    <x v="5"/>
    <x v="2"/>
    <x v="25"/>
    <x v="1"/>
    <x v="96"/>
    <x v="88"/>
    <x v="394"/>
  </r>
  <r>
    <x v="442"/>
    <x v="65"/>
    <x v="206"/>
    <x v="8"/>
    <x v="7"/>
    <x v="3"/>
    <x v="8"/>
    <x v="3"/>
    <x v="2"/>
    <x v="2"/>
    <x v="308"/>
    <x v="70"/>
    <x v="14"/>
    <x v="77"/>
    <x v="1"/>
    <x v="0"/>
    <x v="308"/>
    <x v="0"/>
    <x v="63"/>
    <x v="6"/>
    <x v="442"/>
    <x v="65"/>
    <x v="206"/>
    <x v="8"/>
    <x v="7"/>
    <x v="3"/>
    <x v="8"/>
    <x v="3"/>
    <x v="2"/>
    <x v="362"/>
    <x v="0"/>
    <x v="0"/>
    <x v="1"/>
    <x v="0"/>
    <x v="0"/>
    <x v="0"/>
    <x v="0"/>
    <x v="0"/>
    <x v="0"/>
    <x v="0"/>
    <x v="0"/>
    <x v="0"/>
    <x v="0"/>
    <x v="0"/>
    <x v="0"/>
    <x v="1"/>
    <x v="0"/>
    <x v="0"/>
    <x v="0"/>
    <x v="0"/>
    <x v="0"/>
    <x v="0"/>
    <x v="0"/>
    <x v="383"/>
    <x v="216"/>
    <x v="155"/>
    <x v="0"/>
    <x v="0"/>
    <x v="3"/>
    <x v="15"/>
    <x v="20"/>
    <x v="0"/>
    <x v="8"/>
    <x v="8"/>
    <x v="395"/>
  </r>
  <r>
    <x v="443"/>
    <x v="65"/>
    <x v="8"/>
    <x v="8"/>
    <x v="7"/>
    <x v="3"/>
    <x v="8"/>
    <x v="3"/>
    <x v="1"/>
    <x v="1"/>
    <x v="309"/>
    <x v="71"/>
    <x v="14"/>
    <x v="78"/>
    <x v="1"/>
    <x v="3"/>
    <x v="309"/>
    <x v="0"/>
    <x v="200"/>
    <x v="6"/>
    <x v="443"/>
    <x v="65"/>
    <x v="8"/>
    <x v="8"/>
    <x v="7"/>
    <x v="3"/>
    <x v="8"/>
    <x v="3"/>
    <x v="1"/>
    <x v="363"/>
    <x v="0"/>
    <x v="0"/>
    <x v="1"/>
    <x v="0"/>
    <x v="0"/>
    <x v="0"/>
    <x v="0"/>
    <x v="0"/>
    <x v="0"/>
    <x v="0"/>
    <x v="0"/>
    <x v="0"/>
    <x v="0"/>
    <x v="0"/>
    <x v="0"/>
    <x v="0"/>
    <x v="1"/>
    <x v="0"/>
    <x v="0"/>
    <x v="0"/>
    <x v="0"/>
    <x v="0"/>
    <x v="0"/>
    <x v="384"/>
    <x v="216"/>
    <x v="155"/>
    <x v="1"/>
    <x v="0"/>
    <x v="3"/>
    <x v="15"/>
    <x v="20"/>
    <x v="0"/>
    <x v="97"/>
    <x v="89"/>
    <x v="396"/>
  </r>
  <r>
    <x v="444"/>
    <x v="4"/>
    <x v="8"/>
    <x v="8"/>
    <x v="9"/>
    <x v="4"/>
    <x v="1"/>
    <x v="1"/>
    <x v="1"/>
    <x v="1"/>
    <x v="310"/>
    <x v="0"/>
    <x v="0"/>
    <x v="0"/>
    <x v="0"/>
    <x v="1"/>
    <x v="310"/>
    <x v="0"/>
    <x v="201"/>
    <x v="6"/>
    <x v="444"/>
    <x v="4"/>
    <x v="8"/>
    <x v="8"/>
    <x v="9"/>
    <x v="4"/>
    <x v="1"/>
    <x v="1"/>
    <x v="1"/>
    <x v="364"/>
    <x v="0"/>
    <x v="0"/>
    <x v="1"/>
    <x v="0"/>
    <x v="0"/>
    <x v="0"/>
    <x v="0"/>
    <x v="0"/>
    <x v="0"/>
    <x v="0"/>
    <x v="0"/>
    <x v="0"/>
    <x v="0"/>
    <x v="0"/>
    <x v="0"/>
    <x v="0"/>
    <x v="0"/>
    <x v="0"/>
    <x v="0"/>
    <x v="0"/>
    <x v="0"/>
    <x v="0"/>
    <x v="0"/>
    <x v="385"/>
    <x v="217"/>
    <x v="156"/>
    <x v="2"/>
    <x v="0"/>
    <x v="3"/>
    <x v="26"/>
    <x v="35"/>
    <x v="0"/>
    <x v="1"/>
    <x v="1"/>
    <x v="397"/>
  </r>
  <r>
    <x v="445"/>
    <x v="125"/>
    <x v="8"/>
    <x v="8"/>
    <x v="7"/>
    <x v="0"/>
    <x v="1"/>
    <x v="1"/>
    <x v="1"/>
    <x v="1"/>
    <x v="311"/>
    <x v="0"/>
    <x v="0"/>
    <x v="0"/>
    <x v="0"/>
    <x v="1"/>
    <x v="311"/>
    <x v="0"/>
    <x v="24"/>
    <x v="6"/>
    <x v="445"/>
    <x v="125"/>
    <x v="8"/>
    <x v="8"/>
    <x v="7"/>
    <x v="0"/>
    <x v="1"/>
    <x v="1"/>
    <x v="1"/>
    <x v="365"/>
    <x v="0"/>
    <x v="0"/>
    <x v="1"/>
    <x v="1"/>
    <x v="0"/>
    <x v="0"/>
    <x v="0"/>
    <x v="1"/>
    <x v="0"/>
    <x v="0"/>
    <x v="0"/>
    <x v="0"/>
    <x v="0"/>
    <x v="0"/>
    <x v="0"/>
    <x v="0"/>
    <x v="0"/>
    <x v="0"/>
    <x v="0"/>
    <x v="0"/>
    <x v="0"/>
    <x v="0"/>
    <x v="1"/>
    <x v="386"/>
    <x v="218"/>
    <x v="22"/>
    <x v="13"/>
    <x v="0"/>
    <x v="0"/>
    <x v="2"/>
    <x v="3"/>
    <x v="0"/>
    <x v="4"/>
    <x v="4"/>
    <x v="398"/>
  </r>
  <r>
    <x v="446"/>
    <x v="125"/>
    <x v="8"/>
    <x v="8"/>
    <x v="7"/>
    <x v="0"/>
    <x v="1"/>
    <x v="1"/>
    <x v="1"/>
    <x v="1"/>
    <x v="312"/>
    <x v="72"/>
    <x v="45"/>
    <x v="79"/>
    <x v="1"/>
    <x v="3"/>
    <x v="312"/>
    <x v="0"/>
    <x v="106"/>
    <x v="6"/>
    <x v="446"/>
    <x v="125"/>
    <x v="8"/>
    <x v="8"/>
    <x v="7"/>
    <x v="0"/>
    <x v="1"/>
    <x v="1"/>
    <x v="1"/>
    <x v="366"/>
    <x v="0"/>
    <x v="0"/>
    <x v="1"/>
    <x v="1"/>
    <x v="0"/>
    <x v="0"/>
    <x v="0"/>
    <x v="1"/>
    <x v="0"/>
    <x v="0"/>
    <x v="0"/>
    <x v="0"/>
    <x v="0"/>
    <x v="0"/>
    <x v="0"/>
    <x v="0"/>
    <x v="0"/>
    <x v="0"/>
    <x v="0"/>
    <x v="0"/>
    <x v="0"/>
    <x v="0"/>
    <x v="1"/>
    <x v="387"/>
    <x v="218"/>
    <x v="22"/>
    <x v="13"/>
    <x v="0"/>
    <x v="0"/>
    <x v="2"/>
    <x v="3"/>
    <x v="0"/>
    <x v="98"/>
    <x v="90"/>
    <x v="399"/>
  </r>
  <r>
    <x v="447"/>
    <x v="126"/>
    <x v="8"/>
    <x v="8"/>
    <x v="125"/>
    <x v="5"/>
    <x v="1"/>
    <x v="1"/>
    <x v="2"/>
    <x v="2"/>
    <x v="240"/>
    <x v="0"/>
    <x v="0"/>
    <x v="0"/>
    <x v="0"/>
    <x v="3"/>
    <x v="240"/>
    <x v="0"/>
    <x v="12"/>
    <x v="8"/>
    <x v="447"/>
    <x v="126"/>
    <x v="8"/>
    <x v="8"/>
    <x v="127"/>
    <x v="5"/>
    <x v="1"/>
    <x v="1"/>
    <x v="2"/>
    <x v="278"/>
    <x v="0"/>
    <x v="0"/>
    <x v="1"/>
    <x v="0"/>
    <x v="0"/>
    <x v="0"/>
    <x v="0"/>
    <x v="0"/>
    <x v="0"/>
    <x v="0"/>
    <x v="0"/>
    <x v="0"/>
    <x v="0"/>
    <x v="0"/>
    <x v="0"/>
    <x v="0"/>
    <x v="0"/>
    <x v="1"/>
    <x v="0"/>
    <x v="0"/>
    <x v="0"/>
    <x v="0"/>
    <x v="0"/>
    <x v="388"/>
    <x v="219"/>
    <x v="157"/>
    <x v="45"/>
    <x v="0"/>
    <x v="0"/>
    <x v="2"/>
    <x v="3"/>
    <x v="0"/>
    <x v="48"/>
    <x v="48"/>
    <x v="13"/>
  </r>
  <r>
    <x v="448"/>
    <x v="2"/>
    <x v="8"/>
    <x v="8"/>
    <x v="7"/>
    <x v="0"/>
    <x v="1"/>
    <x v="2"/>
    <x v="1"/>
    <x v="1"/>
    <x v="225"/>
    <x v="0"/>
    <x v="0"/>
    <x v="0"/>
    <x v="0"/>
    <x v="1"/>
    <x v="225"/>
    <x v="0"/>
    <x v="202"/>
    <x v="6"/>
    <x v="448"/>
    <x v="2"/>
    <x v="8"/>
    <x v="8"/>
    <x v="7"/>
    <x v="0"/>
    <x v="1"/>
    <x v="2"/>
    <x v="1"/>
    <x v="261"/>
    <x v="0"/>
    <x v="0"/>
    <x v="1"/>
    <x v="1"/>
    <x v="0"/>
    <x v="0"/>
    <x v="0"/>
    <x v="0"/>
    <x v="0"/>
    <x v="0"/>
    <x v="0"/>
    <x v="0"/>
    <x v="1"/>
    <x v="0"/>
    <x v="0"/>
    <x v="0"/>
    <x v="0"/>
    <x v="1"/>
    <x v="0"/>
    <x v="0"/>
    <x v="0"/>
    <x v="0"/>
    <x v="3"/>
    <x v="389"/>
    <x v="220"/>
    <x v="19"/>
    <x v="18"/>
    <x v="0"/>
    <x v="0"/>
    <x v="0"/>
    <x v="0"/>
    <x v="0"/>
    <x v="1"/>
    <x v="1"/>
    <x v="400"/>
  </r>
  <r>
    <x v="449"/>
    <x v="127"/>
    <x v="8"/>
    <x v="8"/>
    <x v="126"/>
    <x v="3"/>
    <x v="1"/>
    <x v="1"/>
    <x v="1"/>
    <x v="1"/>
    <x v="313"/>
    <x v="0"/>
    <x v="0"/>
    <x v="0"/>
    <x v="0"/>
    <x v="1"/>
    <x v="313"/>
    <x v="0"/>
    <x v="71"/>
    <x v="6"/>
    <x v="449"/>
    <x v="127"/>
    <x v="8"/>
    <x v="8"/>
    <x v="128"/>
    <x v="3"/>
    <x v="1"/>
    <x v="1"/>
    <x v="1"/>
    <x v="367"/>
    <x v="0"/>
    <x v="0"/>
    <x v="1"/>
    <x v="0"/>
    <x v="0"/>
    <x v="0"/>
    <x v="0"/>
    <x v="0"/>
    <x v="0"/>
    <x v="0"/>
    <x v="0"/>
    <x v="0"/>
    <x v="0"/>
    <x v="0"/>
    <x v="0"/>
    <x v="0"/>
    <x v="0"/>
    <x v="0"/>
    <x v="0"/>
    <x v="0"/>
    <x v="0"/>
    <x v="0"/>
    <x v="0"/>
    <x v="390"/>
    <x v="221"/>
    <x v="158"/>
    <x v="32"/>
    <x v="0"/>
    <x v="0"/>
    <x v="2"/>
    <x v="3"/>
    <x v="0"/>
    <x v="8"/>
    <x v="8"/>
    <x v="401"/>
  </r>
  <r>
    <x v="450"/>
    <x v="85"/>
    <x v="207"/>
    <x v="8"/>
    <x v="127"/>
    <x v="0"/>
    <x v="10"/>
    <x v="0"/>
    <x v="4"/>
    <x v="0"/>
    <x v="314"/>
    <x v="57"/>
    <x v="11"/>
    <x v="80"/>
    <x v="1"/>
    <x v="0"/>
    <x v="314"/>
    <x v="0"/>
    <x v="203"/>
    <x v="4"/>
    <x v="450"/>
    <x v="85"/>
    <x v="207"/>
    <x v="8"/>
    <x v="129"/>
    <x v="0"/>
    <x v="10"/>
    <x v="0"/>
    <x v="4"/>
    <x v="368"/>
    <x v="1"/>
    <x v="1"/>
    <x v="1"/>
    <x v="0"/>
    <x v="0"/>
    <x v="1"/>
    <x v="1"/>
    <x v="0"/>
    <x v="0"/>
    <x v="0"/>
    <x v="0"/>
    <x v="0"/>
    <x v="0"/>
    <x v="0"/>
    <x v="0"/>
    <x v="1"/>
    <x v="0"/>
    <x v="0"/>
    <x v="0"/>
    <x v="0"/>
    <x v="0"/>
    <x v="0"/>
    <x v="2"/>
    <x v="391"/>
    <x v="222"/>
    <x v="60"/>
    <x v="0"/>
    <x v="0"/>
    <x v="5"/>
    <x v="22"/>
    <x v="30"/>
    <x v="1"/>
    <x v="1"/>
    <x v="1"/>
    <x v="402"/>
  </r>
  <r>
    <x v="451"/>
    <x v="85"/>
    <x v="8"/>
    <x v="8"/>
    <x v="128"/>
    <x v="1"/>
    <x v="10"/>
    <x v="0"/>
    <x v="1"/>
    <x v="1"/>
    <x v="130"/>
    <x v="0"/>
    <x v="0"/>
    <x v="0"/>
    <x v="0"/>
    <x v="3"/>
    <x v="130"/>
    <x v="0"/>
    <x v="106"/>
    <x v="6"/>
    <x v="451"/>
    <x v="85"/>
    <x v="8"/>
    <x v="8"/>
    <x v="130"/>
    <x v="1"/>
    <x v="10"/>
    <x v="0"/>
    <x v="1"/>
    <x v="150"/>
    <x v="0"/>
    <x v="0"/>
    <x v="1"/>
    <x v="0"/>
    <x v="0"/>
    <x v="0"/>
    <x v="0"/>
    <x v="0"/>
    <x v="0"/>
    <x v="0"/>
    <x v="0"/>
    <x v="0"/>
    <x v="1"/>
    <x v="0"/>
    <x v="0"/>
    <x v="0"/>
    <x v="0"/>
    <x v="0"/>
    <x v="0"/>
    <x v="0"/>
    <x v="0"/>
    <x v="0"/>
    <x v="1"/>
    <x v="392"/>
    <x v="222"/>
    <x v="60"/>
    <x v="0"/>
    <x v="0"/>
    <x v="5"/>
    <x v="22"/>
    <x v="30"/>
    <x v="1"/>
    <x v="2"/>
    <x v="2"/>
    <x v="403"/>
  </r>
  <r>
    <x v="452"/>
    <x v="85"/>
    <x v="8"/>
    <x v="8"/>
    <x v="128"/>
    <x v="1"/>
    <x v="10"/>
    <x v="0"/>
    <x v="1"/>
    <x v="1"/>
    <x v="174"/>
    <x v="0"/>
    <x v="0"/>
    <x v="0"/>
    <x v="0"/>
    <x v="3"/>
    <x v="174"/>
    <x v="0"/>
    <x v="1"/>
    <x v="6"/>
    <x v="452"/>
    <x v="85"/>
    <x v="8"/>
    <x v="8"/>
    <x v="130"/>
    <x v="1"/>
    <x v="10"/>
    <x v="0"/>
    <x v="1"/>
    <x v="198"/>
    <x v="1"/>
    <x v="1"/>
    <x v="1"/>
    <x v="0"/>
    <x v="0"/>
    <x v="0"/>
    <x v="0"/>
    <x v="0"/>
    <x v="0"/>
    <x v="0"/>
    <x v="0"/>
    <x v="0"/>
    <x v="0"/>
    <x v="0"/>
    <x v="0"/>
    <x v="0"/>
    <x v="0"/>
    <x v="0"/>
    <x v="0"/>
    <x v="0"/>
    <x v="0"/>
    <x v="0"/>
    <x v="1"/>
    <x v="393"/>
    <x v="222"/>
    <x v="60"/>
    <x v="0"/>
    <x v="0"/>
    <x v="5"/>
    <x v="22"/>
    <x v="30"/>
    <x v="1"/>
    <x v="1"/>
    <x v="1"/>
    <x v="404"/>
  </r>
  <r>
    <x v="453"/>
    <x v="85"/>
    <x v="8"/>
    <x v="8"/>
    <x v="0"/>
    <x v="3"/>
    <x v="10"/>
    <x v="0"/>
    <x v="4"/>
    <x v="0"/>
    <x v="315"/>
    <x v="0"/>
    <x v="0"/>
    <x v="0"/>
    <x v="0"/>
    <x v="4"/>
    <x v="315"/>
    <x v="101"/>
    <x v="111"/>
    <x v="6"/>
    <x v="453"/>
    <x v="85"/>
    <x v="8"/>
    <x v="8"/>
    <x v="0"/>
    <x v="3"/>
    <x v="10"/>
    <x v="0"/>
    <x v="4"/>
    <x v="369"/>
    <x v="0"/>
    <x v="0"/>
    <x v="0"/>
    <x v="0"/>
    <x v="1"/>
    <x v="0"/>
    <x v="0"/>
    <x v="0"/>
    <x v="1"/>
    <x v="0"/>
    <x v="0"/>
    <x v="0"/>
    <x v="1"/>
    <x v="0"/>
    <x v="0"/>
    <x v="0"/>
    <x v="0"/>
    <x v="1"/>
    <x v="1"/>
    <x v="0"/>
    <x v="1"/>
    <x v="0"/>
    <x v="2"/>
    <x v="394"/>
    <x v="222"/>
    <x v="60"/>
    <x v="0"/>
    <x v="0"/>
    <x v="5"/>
    <x v="22"/>
    <x v="30"/>
    <x v="1"/>
    <x v="5"/>
    <x v="5"/>
    <x v="405"/>
  </r>
  <r>
    <x v="454"/>
    <x v="85"/>
    <x v="8"/>
    <x v="8"/>
    <x v="0"/>
    <x v="0"/>
    <x v="10"/>
    <x v="0"/>
    <x v="1"/>
    <x v="1"/>
    <x v="30"/>
    <x v="0"/>
    <x v="0"/>
    <x v="0"/>
    <x v="0"/>
    <x v="0"/>
    <x v="30"/>
    <x v="0"/>
    <x v="39"/>
    <x v="2"/>
    <x v="454"/>
    <x v="85"/>
    <x v="8"/>
    <x v="8"/>
    <x v="0"/>
    <x v="0"/>
    <x v="10"/>
    <x v="0"/>
    <x v="1"/>
    <x v="32"/>
    <x v="0"/>
    <x v="0"/>
    <x v="0"/>
    <x v="0"/>
    <x v="1"/>
    <x v="0"/>
    <x v="0"/>
    <x v="0"/>
    <x v="0"/>
    <x v="0"/>
    <x v="0"/>
    <x v="0"/>
    <x v="0"/>
    <x v="0"/>
    <x v="0"/>
    <x v="1"/>
    <x v="0"/>
    <x v="0"/>
    <x v="1"/>
    <x v="0"/>
    <x v="0"/>
    <x v="0"/>
    <x v="0"/>
    <x v="395"/>
    <x v="222"/>
    <x v="60"/>
    <x v="0"/>
    <x v="0"/>
    <x v="5"/>
    <x v="22"/>
    <x v="30"/>
    <x v="1"/>
    <x v="2"/>
    <x v="2"/>
    <x v="406"/>
  </r>
  <r>
    <x v="455"/>
    <x v="85"/>
    <x v="8"/>
    <x v="8"/>
    <x v="0"/>
    <x v="0"/>
    <x v="10"/>
    <x v="0"/>
    <x v="1"/>
    <x v="1"/>
    <x v="236"/>
    <x v="0"/>
    <x v="0"/>
    <x v="0"/>
    <x v="0"/>
    <x v="2"/>
    <x v="236"/>
    <x v="0"/>
    <x v="92"/>
    <x v="2"/>
    <x v="455"/>
    <x v="85"/>
    <x v="8"/>
    <x v="8"/>
    <x v="0"/>
    <x v="0"/>
    <x v="10"/>
    <x v="0"/>
    <x v="1"/>
    <x v="370"/>
    <x v="0"/>
    <x v="0"/>
    <x v="0"/>
    <x v="0"/>
    <x v="1"/>
    <x v="0"/>
    <x v="0"/>
    <x v="0"/>
    <x v="1"/>
    <x v="0"/>
    <x v="0"/>
    <x v="0"/>
    <x v="0"/>
    <x v="0"/>
    <x v="0"/>
    <x v="1"/>
    <x v="0"/>
    <x v="0"/>
    <x v="0"/>
    <x v="0"/>
    <x v="0"/>
    <x v="1"/>
    <x v="1"/>
    <x v="396"/>
    <x v="222"/>
    <x v="60"/>
    <x v="0"/>
    <x v="0"/>
    <x v="5"/>
    <x v="22"/>
    <x v="30"/>
    <x v="1"/>
    <x v="1"/>
    <x v="1"/>
    <x v="407"/>
  </r>
  <r>
    <x v="456"/>
    <x v="85"/>
    <x v="208"/>
    <x v="8"/>
    <x v="0"/>
    <x v="0"/>
    <x v="10"/>
    <x v="0"/>
    <x v="1"/>
    <x v="1"/>
    <x v="1"/>
    <x v="0"/>
    <x v="0"/>
    <x v="0"/>
    <x v="0"/>
    <x v="0"/>
    <x v="1"/>
    <x v="0"/>
    <x v="204"/>
    <x v="2"/>
    <x v="456"/>
    <x v="85"/>
    <x v="208"/>
    <x v="8"/>
    <x v="0"/>
    <x v="0"/>
    <x v="10"/>
    <x v="0"/>
    <x v="1"/>
    <x v="1"/>
    <x v="0"/>
    <x v="0"/>
    <x v="0"/>
    <x v="0"/>
    <x v="1"/>
    <x v="0"/>
    <x v="0"/>
    <x v="0"/>
    <x v="0"/>
    <x v="1"/>
    <x v="0"/>
    <x v="0"/>
    <x v="0"/>
    <x v="0"/>
    <x v="0"/>
    <x v="0"/>
    <x v="0"/>
    <x v="0"/>
    <x v="0"/>
    <x v="0"/>
    <x v="0"/>
    <x v="0"/>
    <x v="3"/>
    <x v="397"/>
    <x v="222"/>
    <x v="60"/>
    <x v="0"/>
    <x v="0"/>
    <x v="5"/>
    <x v="22"/>
    <x v="30"/>
    <x v="1"/>
    <x v="12"/>
    <x v="12"/>
    <x v="408"/>
  </r>
  <r>
    <x v="457"/>
    <x v="85"/>
    <x v="8"/>
    <x v="8"/>
    <x v="0"/>
    <x v="0"/>
    <x v="10"/>
    <x v="0"/>
    <x v="1"/>
    <x v="1"/>
    <x v="149"/>
    <x v="0"/>
    <x v="0"/>
    <x v="0"/>
    <x v="0"/>
    <x v="0"/>
    <x v="149"/>
    <x v="0"/>
    <x v="47"/>
    <x v="2"/>
    <x v="457"/>
    <x v="85"/>
    <x v="8"/>
    <x v="8"/>
    <x v="0"/>
    <x v="0"/>
    <x v="10"/>
    <x v="0"/>
    <x v="1"/>
    <x v="371"/>
    <x v="1"/>
    <x v="0"/>
    <x v="1"/>
    <x v="0"/>
    <x v="0"/>
    <x v="0"/>
    <x v="0"/>
    <x v="0"/>
    <x v="0"/>
    <x v="0"/>
    <x v="0"/>
    <x v="0"/>
    <x v="0"/>
    <x v="0"/>
    <x v="0"/>
    <x v="0"/>
    <x v="0"/>
    <x v="0"/>
    <x v="0"/>
    <x v="0"/>
    <x v="0"/>
    <x v="0"/>
    <x v="1"/>
    <x v="398"/>
    <x v="222"/>
    <x v="60"/>
    <x v="0"/>
    <x v="0"/>
    <x v="5"/>
    <x v="22"/>
    <x v="30"/>
    <x v="1"/>
    <x v="5"/>
    <x v="5"/>
    <x v="409"/>
  </r>
  <r>
    <x v="458"/>
    <x v="85"/>
    <x v="8"/>
    <x v="94"/>
    <x v="14"/>
    <x v="3"/>
    <x v="10"/>
    <x v="0"/>
    <x v="1"/>
    <x v="1"/>
    <x v="69"/>
    <x v="0"/>
    <x v="0"/>
    <x v="0"/>
    <x v="0"/>
    <x v="2"/>
    <x v="69"/>
    <x v="102"/>
    <x v="28"/>
    <x v="32"/>
    <x v="458"/>
    <x v="85"/>
    <x v="8"/>
    <x v="94"/>
    <x v="14"/>
    <x v="3"/>
    <x v="10"/>
    <x v="0"/>
    <x v="1"/>
    <x v="73"/>
    <x v="0"/>
    <x v="0"/>
    <x v="0"/>
    <x v="0"/>
    <x v="1"/>
    <x v="0"/>
    <x v="0"/>
    <x v="0"/>
    <x v="0"/>
    <x v="0"/>
    <x v="0"/>
    <x v="0"/>
    <x v="1"/>
    <x v="0"/>
    <x v="0"/>
    <x v="0"/>
    <x v="0"/>
    <x v="1"/>
    <x v="1"/>
    <x v="0"/>
    <x v="1"/>
    <x v="0"/>
    <x v="1"/>
    <x v="399"/>
    <x v="222"/>
    <x v="60"/>
    <x v="0"/>
    <x v="0"/>
    <x v="5"/>
    <x v="22"/>
    <x v="30"/>
    <x v="1"/>
    <x v="1"/>
    <x v="1"/>
    <x v="410"/>
  </r>
  <r>
    <x v="459"/>
    <x v="85"/>
    <x v="8"/>
    <x v="8"/>
    <x v="2"/>
    <x v="3"/>
    <x v="10"/>
    <x v="0"/>
    <x v="1"/>
    <x v="1"/>
    <x v="316"/>
    <x v="0"/>
    <x v="0"/>
    <x v="0"/>
    <x v="0"/>
    <x v="4"/>
    <x v="316"/>
    <x v="103"/>
    <x v="153"/>
    <x v="19"/>
    <x v="459"/>
    <x v="85"/>
    <x v="8"/>
    <x v="8"/>
    <x v="2"/>
    <x v="3"/>
    <x v="10"/>
    <x v="0"/>
    <x v="1"/>
    <x v="372"/>
    <x v="0"/>
    <x v="0"/>
    <x v="0"/>
    <x v="0"/>
    <x v="1"/>
    <x v="0"/>
    <x v="0"/>
    <x v="0"/>
    <x v="0"/>
    <x v="0"/>
    <x v="0"/>
    <x v="0"/>
    <x v="1"/>
    <x v="0"/>
    <x v="0"/>
    <x v="1"/>
    <x v="0"/>
    <x v="1"/>
    <x v="1"/>
    <x v="0"/>
    <x v="2"/>
    <x v="0"/>
    <x v="1"/>
    <x v="400"/>
    <x v="222"/>
    <x v="60"/>
    <x v="0"/>
    <x v="0"/>
    <x v="5"/>
    <x v="22"/>
    <x v="30"/>
    <x v="1"/>
    <x v="1"/>
    <x v="1"/>
    <x v="411"/>
  </r>
  <r>
    <x v="460"/>
    <x v="85"/>
    <x v="8"/>
    <x v="8"/>
    <x v="129"/>
    <x v="0"/>
    <x v="10"/>
    <x v="0"/>
    <x v="1"/>
    <x v="1"/>
    <x v="188"/>
    <x v="0"/>
    <x v="0"/>
    <x v="0"/>
    <x v="0"/>
    <x v="0"/>
    <x v="188"/>
    <x v="0"/>
    <x v="155"/>
    <x v="18"/>
    <x v="460"/>
    <x v="85"/>
    <x v="8"/>
    <x v="8"/>
    <x v="131"/>
    <x v="0"/>
    <x v="10"/>
    <x v="0"/>
    <x v="1"/>
    <x v="213"/>
    <x v="0"/>
    <x v="0"/>
    <x v="0"/>
    <x v="1"/>
    <x v="0"/>
    <x v="0"/>
    <x v="0"/>
    <x v="0"/>
    <x v="0"/>
    <x v="0"/>
    <x v="0"/>
    <x v="0"/>
    <x v="0"/>
    <x v="0"/>
    <x v="0"/>
    <x v="0"/>
    <x v="0"/>
    <x v="0"/>
    <x v="0"/>
    <x v="0"/>
    <x v="0"/>
    <x v="0"/>
    <x v="3"/>
    <x v="401"/>
    <x v="222"/>
    <x v="60"/>
    <x v="0"/>
    <x v="0"/>
    <x v="5"/>
    <x v="22"/>
    <x v="30"/>
    <x v="1"/>
    <x v="1"/>
    <x v="1"/>
    <x v="412"/>
  </r>
  <r>
    <x v="461"/>
    <x v="85"/>
    <x v="8"/>
    <x v="8"/>
    <x v="130"/>
    <x v="0"/>
    <x v="10"/>
    <x v="0"/>
    <x v="1"/>
    <x v="1"/>
    <x v="20"/>
    <x v="0"/>
    <x v="0"/>
    <x v="0"/>
    <x v="0"/>
    <x v="3"/>
    <x v="20"/>
    <x v="0"/>
    <x v="205"/>
    <x v="27"/>
    <x v="461"/>
    <x v="85"/>
    <x v="8"/>
    <x v="8"/>
    <x v="132"/>
    <x v="0"/>
    <x v="10"/>
    <x v="0"/>
    <x v="1"/>
    <x v="46"/>
    <x v="0"/>
    <x v="0"/>
    <x v="1"/>
    <x v="1"/>
    <x v="0"/>
    <x v="0"/>
    <x v="1"/>
    <x v="0"/>
    <x v="0"/>
    <x v="0"/>
    <x v="0"/>
    <x v="0"/>
    <x v="0"/>
    <x v="0"/>
    <x v="0"/>
    <x v="0"/>
    <x v="1"/>
    <x v="0"/>
    <x v="0"/>
    <x v="0"/>
    <x v="0"/>
    <x v="0"/>
    <x v="2"/>
    <x v="402"/>
    <x v="222"/>
    <x v="60"/>
    <x v="0"/>
    <x v="0"/>
    <x v="5"/>
    <x v="22"/>
    <x v="30"/>
    <x v="1"/>
    <x v="2"/>
    <x v="2"/>
    <x v="413"/>
  </r>
  <r>
    <x v="462"/>
    <x v="85"/>
    <x v="8"/>
    <x v="8"/>
    <x v="6"/>
    <x v="3"/>
    <x v="10"/>
    <x v="0"/>
    <x v="4"/>
    <x v="0"/>
    <x v="29"/>
    <x v="73"/>
    <x v="11"/>
    <x v="81"/>
    <x v="1"/>
    <x v="2"/>
    <x v="29"/>
    <x v="16"/>
    <x v="206"/>
    <x v="4"/>
    <x v="462"/>
    <x v="85"/>
    <x v="8"/>
    <x v="8"/>
    <x v="6"/>
    <x v="3"/>
    <x v="10"/>
    <x v="0"/>
    <x v="4"/>
    <x v="373"/>
    <x v="0"/>
    <x v="0"/>
    <x v="1"/>
    <x v="0"/>
    <x v="0"/>
    <x v="0"/>
    <x v="0"/>
    <x v="0"/>
    <x v="0"/>
    <x v="0"/>
    <x v="0"/>
    <x v="0"/>
    <x v="1"/>
    <x v="0"/>
    <x v="0"/>
    <x v="0"/>
    <x v="0"/>
    <x v="1"/>
    <x v="1"/>
    <x v="0"/>
    <x v="2"/>
    <x v="0"/>
    <x v="1"/>
    <x v="403"/>
    <x v="222"/>
    <x v="60"/>
    <x v="0"/>
    <x v="0"/>
    <x v="5"/>
    <x v="22"/>
    <x v="30"/>
    <x v="1"/>
    <x v="1"/>
    <x v="1"/>
    <x v="414"/>
  </r>
  <r>
    <x v="463"/>
    <x v="85"/>
    <x v="8"/>
    <x v="8"/>
    <x v="6"/>
    <x v="3"/>
    <x v="10"/>
    <x v="0"/>
    <x v="1"/>
    <x v="1"/>
    <x v="258"/>
    <x v="0"/>
    <x v="0"/>
    <x v="0"/>
    <x v="0"/>
    <x v="0"/>
    <x v="258"/>
    <x v="0"/>
    <x v="62"/>
    <x v="2"/>
    <x v="463"/>
    <x v="85"/>
    <x v="8"/>
    <x v="8"/>
    <x v="6"/>
    <x v="3"/>
    <x v="10"/>
    <x v="0"/>
    <x v="1"/>
    <x v="301"/>
    <x v="0"/>
    <x v="0"/>
    <x v="1"/>
    <x v="1"/>
    <x v="0"/>
    <x v="0"/>
    <x v="0"/>
    <x v="0"/>
    <x v="0"/>
    <x v="0"/>
    <x v="0"/>
    <x v="0"/>
    <x v="1"/>
    <x v="0"/>
    <x v="0"/>
    <x v="0"/>
    <x v="0"/>
    <x v="0"/>
    <x v="0"/>
    <x v="0"/>
    <x v="0"/>
    <x v="0"/>
    <x v="2"/>
    <x v="404"/>
    <x v="222"/>
    <x v="60"/>
    <x v="0"/>
    <x v="0"/>
    <x v="5"/>
    <x v="22"/>
    <x v="30"/>
    <x v="1"/>
    <x v="29"/>
    <x v="29"/>
    <x v="415"/>
  </r>
  <r>
    <x v="464"/>
    <x v="85"/>
    <x v="8"/>
    <x v="8"/>
    <x v="131"/>
    <x v="0"/>
    <x v="10"/>
    <x v="0"/>
    <x v="1"/>
    <x v="1"/>
    <x v="14"/>
    <x v="0"/>
    <x v="0"/>
    <x v="0"/>
    <x v="0"/>
    <x v="0"/>
    <x v="14"/>
    <x v="0"/>
    <x v="186"/>
    <x v="2"/>
    <x v="464"/>
    <x v="85"/>
    <x v="8"/>
    <x v="8"/>
    <x v="133"/>
    <x v="0"/>
    <x v="10"/>
    <x v="0"/>
    <x v="1"/>
    <x v="25"/>
    <x v="0"/>
    <x v="0"/>
    <x v="1"/>
    <x v="1"/>
    <x v="0"/>
    <x v="0"/>
    <x v="0"/>
    <x v="0"/>
    <x v="0"/>
    <x v="0"/>
    <x v="0"/>
    <x v="0"/>
    <x v="0"/>
    <x v="0"/>
    <x v="0"/>
    <x v="1"/>
    <x v="0"/>
    <x v="0"/>
    <x v="0"/>
    <x v="0"/>
    <x v="0"/>
    <x v="0"/>
    <x v="1"/>
    <x v="42"/>
    <x v="222"/>
    <x v="60"/>
    <x v="0"/>
    <x v="0"/>
    <x v="5"/>
    <x v="22"/>
    <x v="30"/>
    <x v="1"/>
    <x v="3"/>
    <x v="3"/>
    <x v="416"/>
  </r>
  <r>
    <x v="465"/>
    <x v="85"/>
    <x v="8"/>
    <x v="8"/>
    <x v="132"/>
    <x v="0"/>
    <x v="10"/>
    <x v="0"/>
    <x v="1"/>
    <x v="1"/>
    <x v="1"/>
    <x v="0"/>
    <x v="0"/>
    <x v="0"/>
    <x v="0"/>
    <x v="0"/>
    <x v="1"/>
    <x v="0"/>
    <x v="196"/>
    <x v="38"/>
    <x v="465"/>
    <x v="85"/>
    <x v="8"/>
    <x v="8"/>
    <x v="134"/>
    <x v="0"/>
    <x v="10"/>
    <x v="0"/>
    <x v="1"/>
    <x v="1"/>
    <x v="1"/>
    <x v="1"/>
    <x v="1"/>
    <x v="1"/>
    <x v="0"/>
    <x v="0"/>
    <x v="1"/>
    <x v="0"/>
    <x v="0"/>
    <x v="0"/>
    <x v="0"/>
    <x v="0"/>
    <x v="0"/>
    <x v="0"/>
    <x v="0"/>
    <x v="0"/>
    <x v="0"/>
    <x v="0"/>
    <x v="0"/>
    <x v="0"/>
    <x v="0"/>
    <x v="0"/>
    <x v="3"/>
    <x v="90"/>
    <x v="222"/>
    <x v="60"/>
    <x v="0"/>
    <x v="0"/>
    <x v="5"/>
    <x v="22"/>
    <x v="30"/>
    <x v="1"/>
    <x v="1"/>
    <x v="1"/>
    <x v="417"/>
  </r>
  <r>
    <x v="466"/>
    <x v="85"/>
    <x v="8"/>
    <x v="8"/>
    <x v="132"/>
    <x v="0"/>
    <x v="10"/>
    <x v="0"/>
    <x v="1"/>
    <x v="1"/>
    <x v="30"/>
    <x v="0"/>
    <x v="0"/>
    <x v="0"/>
    <x v="0"/>
    <x v="0"/>
    <x v="30"/>
    <x v="0"/>
    <x v="65"/>
    <x v="2"/>
    <x v="466"/>
    <x v="85"/>
    <x v="8"/>
    <x v="8"/>
    <x v="134"/>
    <x v="0"/>
    <x v="10"/>
    <x v="0"/>
    <x v="1"/>
    <x v="32"/>
    <x v="1"/>
    <x v="1"/>
    <x v="1"/>
    <x v="1"/>
    <x v="0"/>
    <x v="0"/>
    <x v="0"/>
    <x v="0"/>
    <x v="0"/>
    <x v="0"/>
    <x v="0"/>
    <x v="0"/>
    <x v="0"/>
    <x v="0"/>
    <x v="0"/>
    <x v="1"/>
    <x v="0"/>
    <x v="0"/>
    <x v="0"/>
    <x v="0"/>
    <x v="0"/>
    <x v="0"/>
    <x v="2"/>
    <x v="331"/>
    <x v="222"/>
    <x v="60"/>
    <x v="0"/>
    <x v="0"/>
    <x v="5"/>
    <x v="22"/>
    <x v="30"/>
    <x v="1"/>
    <x v="29"/>
    <x v="29"/>
    <x v="418"/>
  </r>
  <r>
    <x v="467"/>
    <x v="85"/>
    <x v="8"/>
    <x v="8"/>
    <x v="133"/>
    <x v="9"/>
    <x v="10"/>
    <x v="0"/>
    <x v="1"/>
    <x v="1"/>
    <x v="130"/>
    <x v="0"/>
    <x v="0"/>
    <x v="0"/>
    <x v="0"/>
    <x v="3"/>
    <x v="130"/>
    <x v="0"/>
    <x v="92"/>
    <x v="32"/>
    <x v="467"/>
    <x v="85"/>
    <x v="8"/>
    <x v="8"/>
    <x v="135"/>
    <x v="9"/>
    <x v="10"/>
    <x v="0"/>
    <x v="1"/>
    <x v="150"/>
    <x v="0"/>
    <x v="0"/>
    <x v="0"/>
    <x v="1"/>
    <x v="1"/>
    <x v="0"/>
    <x v="0"/>
    <x v="0"/>
    <x v="0"/>
    <x v="0"/>
    <x v="0"/>
    <x v="0"/>
    <x v="0"/>
    <x v="0"/>
    <x v="0"/>
    <x v="0"/>
    <x v="0"/>
    <x v="0"/>
    <x v="0"/>
    <x v="0"/>
    <x v="0"/>
    <x v="0"/>
    <x v="1"/>
    <x v="405"/>
    <x v="222"/>
    <x v="6"/>
    <x v="7"/>
    <x v="1"/>
    <x v="4"/>
    <x v="4"/>
    <x v="5"/>
    <x v="0"/>
    <x v="1"/>
    <x v="1"/>
    <x v="419"/>
  </r>
  <r>
    <x v="468"/>
    <x v="128"/>
    <x v="209"/>
    <x v="8"/>
    <x v="2"/>
    <x v="0"/>
    <x v="1"/>
    <x v="1"/>
    <x v="1"/>
    <x v="1"/>
    <x v="317"/>
    <x v="0"/>
    <x v="0"/>
    <x v="0"/>
    <x v="0"/>
    <x v="2"/>
    <x v="317"/>
    <x v="0"/>
    <x v="12"/>
    <x v="8"/>
    <x v="468"/>
    <x v="128"/>
    <x v="209"/>
    <x v="8"/>
    <x v="2"/>
    <x v="0"/>
    <x v="1"/>
    <x v="1"/>
    <x v="1"/>
    <x v="374"/>
    <x v="0"/>
    <x v="0"/>
    <x v="1"/>
    <x v="0"/>
    <x v="0"/>
    <x v="0"/>
    <x v="0"/>
    <x v="0"/>
    <x v="0"/>
    <x v="0"/>
    <x v="0"/>
    <x v="0"/>
    <x v="0"/>
    <x v="0"/>
    <x v="0"/>
    <x v="1"/>
    <x v="0"/>
    <x v="0"/>
    <x v="0"/>
    <x v="0"/>
    <x v="0"/>
    <x v="0"/>
    <x v="0"/>
    <x v="13"/>
    <x v="223"/>
    <x v="94"/>
    <x v="13"/>
    <x v="0"/>
    <x v="0"/>
    <x v="2"/>
    <x v="3"/>
    <x v="0"/>
    <x v="8"/>
    <x v="8"/>
    <x v="13"/>
  </r>
  <r>
    <x v="469"/>
    <x v="110"/>
    <x v="8"/>
    <x v="8"/>
    <x v="0"/>
    <x v="0"/>
    <x v="1"/>
    <x v="1"/>
    <x v="1"/>
    <x v="1"/>
    <x v="30"/>
    <x v="0"/>
    <x v="0"/>
    <x v="0"/>
    <x v="0"/>
    <x v="0"/>
    <x v="30"/>
    <x v="0"/>
    <x v="12"/>
    <x v="8"/>
    <x v="469"/>
    <x v="110"/>
    <x v="8"/>
    <x v="8"/>
    <x v="0"/>
    <x v="0"/>
    <x v="1"/>
    <x v="1"/>
    <x v="1"/>
    <x v="32"/>
    <x v="0"/>
    <x v="0"/>
    <x v="1"/>
    <x v="0"/>
    <x v="0"/>
    <x v="0"/>
    <x v="0"/>
    <x v="0"/>
    <x v="0"/>
    <x v="0"/>
    <x v="0"/>
    <x v="0"/>
    <x v="1"/>
    <x v="0"/>
    <x v="0"/>
    <x v="0"/>
    <x v="0"/>
    <x v="1"/>
    <x v="0"/>
    <x v="0"/>
    <x v="0"/>
    <x v="0"/>
    <x v="2"/>
    <x v="13"/>
    <x v="224"/>
    <x v="159"/>
    <x v="66"/>
    <x v="0"/>
    <x v="3"/>
    <x v="19"/>
    <x v="26"/>
    <x v="0"/>
    <x v="8"/>
    <x v="8"/>
    <x v="13"/>
  </r>
  <r>
    <x v="470"/>
    <x v="2"/>
    <x v="8"/>
    <x v="8"/>
    <x v="7"/>
    <x v="0"/>
    <x v="1"/>
    <x v="2"/>
    <x v="1"/>
    <x v="1"/>
    <x v="318"/>
    <x v="0"/>
    <x v="0"/>
    <x v="0"/>
    <x v="0"/>
    <x v="3"/>
    <x v="318"/>
    <x v="0"/>
    <x v="0"/>
    <x v="16"/>
    <x v="470"/>
    <x v="2"/>
    <x v="8"/>
    <x v="8"/>
    <x v="7"/>
    <x v="0"/>
    <x v="1"/>
    <x v="2"/>
    <x v="1"/>
    <x v="375"/>
    <x v="0"/>
    <x v="0"/>
    <x v="1"/>
    <x v="1"/>
    <x v="0"/>
    <x v="1"/>
    <x v="0"/>
    <x v="0"/>
    <x v="0"/>
    <x v="0"/>
    <x v="0"/>
    <x v="0"/>
    <x v="0"/>
    <x v="0"/>
    <x v="0"/>
    <x v="0"/>
    <x v="0"/>
    <x v="0"/>
    <x v="0"/>
    <x v="0"/>
    <x v="0"/>
    <x v="0"/>
    <x v="1"/>
    <x v="406"/>
    <x v="225"/>
    <x v="104"/>
    <x v="15"/>
    <x v="0"/>
    <x v="5"/>
    <x v="36"/>
    <x v="91"/>
    <x v="1"/>
    <x v="5"/>
    <x v="5"/>
    <x v="420"/>
  </r>
  <r>
    <x v="471"/>
    <x v="129"/>
    <x v="8"/>
    <x v="8"/>
    <x v="1"/>
    <x v="1"/>
    <x v="4"/>
    <x v="1"/>
    <x v="1"/>
    <x v="1"/>
    <x v="319"/>
    <x v="0"/>
    <x v="0"/>
    <x v="0"/>
    <x v="0"/>
    <x v="1"/>
    <x v="319"/>
    <x v="0"/>
    <x v="37"/>
    <x v="19"/>
    <x v="471"/>
    <x v="129"/>
    <x v="8"/>
    <x v="8"/>
    <x v="1"/>
    <x v="1"/>
    <x v="4"/>
    <x v="1"/>
    <x v="1"/>
    <x v="376"/>
    <x v="0"/>
    <x v="0"/>
    <x v="1"/>
    <x v="0"/>
    <x v="0"/>
    <x v="0"/>
    <x v="0"/>
    <x v="0"/>
    <x v="0"/>
    <x v="0"/>
    <x v="0"/>
    <x v="0"/>
    <x v="0"/>
    <x v="0"/>
    <x v="0"/>
    <x v="1"/>
    <x v="0"/>
    <x v="0"/>
    <x v="1"/>
    <x v="0"/>
    <x v="0"/>
    <x v="3"/>
    <x v="0"/>
    <x v="407"/>
    <x v="226"/>
    <x v="5"/>
    <x v="6"/>
    <x v="0"/>
    <x v="5"/>
    <x v="25"/>
    <x v="34"/>
    <x v="1"/>
    <x v="29"/>
    <x v="29"/>
    <x v="421"/>
  </r>
  <r>
    <x v="472"/>
    <x v="130"/>
    <x v="8"/>
    <x v="8"/>
    <x v="7"/>
    <x v="0"/>
    <x v="1"/>
    <x v="1"/>
    <x v="1"/>
    <x v="1"/>
    <x v="268"/>
    <x v="0"/>
    <x v="0"/>
    <x v="0"/>
    <x v="0"/>
    <x v="0"/>
    <x v="268"/>
    <x v="0"/>
    <x v="207"/>
    <x v="6"/>
    <x v="472"/>
    <x v="130"/>
    <x v="8"/>
    <x v="8"/>
    <x v="7"/>
    <x v="0"/>
    <x v="1"/>
    <x v="1"/>
    <x v="1"/>
    <x v="377"/>
    <x v="0"/>
    <x v="0"/>
    <x v="1"/>
    <x v="1"/>
    <x v="0"/>
    <x v="0"/>
    <x v="0"/>
    <x v="0"/>
    <x v="0"/>
    <x v="0"/>
    <x v="0"/>
    <x v="0"/>
    <x v="0"/>
    <x v="0"/>
    <x v="0"/>
    <x v="1"/>
    <x v="0"/>
    <x v="0"/>
    <x v="0"/>
    <x v="0"/>
    <x v="0"/>
    <x v="0"/>
    <x v="1"/>
    <x v="408"/>
    <x v="227"/>
    <x v="160"/>
    <x v="13"/>
    <x v="0"/>
    <x v="0"/>
    <x v="17"/>
    <x v="23"/>
    <x v="0"/>
    <x v="26"/>
    <x v="26"/>
    <x v="422"/>
  </r>
  <r>
    <x v="473"/>
    <x v="99"/>
    <x v="210"/>
    <x v="8"/>
    <x v="134"/>
    <x v="0"/>
    <x v="1"/>
    <x v="1"/>
    <x v="1"/>
    <x v="1"/>
    <x v="320"/>
    <x v="0"/>
    <x v="0"/>
    <x v="0"/>
    <x v="0"/>
    <x v="3"/>
    <x v="320"/>
    <x v="0"/>
    <x v="36"/>
    <x v="12"/>
    <x v="473"/>
    <x v="99"/>
    <x v="210"/>
    <x v="8"/>
    <x v="136"/>
    <x v="0"/>
    <x v="1"/>
    <x v="1"/>
    <x v="1"/>
    <x v="378"/>
    <x v="0"/>
    <x v="0"/>
    <x v="0"/>
    <x v="0"/>
    <x v="0"/>
    <x v="0"/>
    <x v="0"/>
    <x v="0"/>
    <x v="0"/>
    <x v="0"/>
    <x v="0"/>
    <x v="0"/>
    <x v="0"/>
    <x v="0"/>
    <x v="1"/>
    <x v="0"/>
    <x v="0"/>
    <x v="0"/>
    <x v="0"/>
    <x v="0"/>
    <x v="0"/>
    <x v="0"/>
    <x v="0"/>
    <x v="180"/>
    <x v="228"/>
    <x v="161"/>
    <x v="58"/>
    <x v="0"/>
    <x v="1"/>
    <x v="2"/>
    <x v="11"/>
    <x v="0"/>
    <x v="8"/>
    <x v="8"/>
    <x v="423"/>
  </r>
  <r>
    <x v="474"/>
    <x v="131"/>
    <x v="8"/>
    <x v="8"/>
    <x v="135"/>
    <x v="0"/>
    <x v="1"/>
    <x v="1"/>
    <x v="1"/>
    <x v="1"/>
    <x v="321"/>
    <x v="0"/>
    <x v="0"/>
    <x v="0"/>
    <x v="0"/>
    <x v="0"/>
    <x v="321"/>
    <x v="104"/>
    <x v="106"/>
    <x v="41"/>
    <x v="474"/>
    <x v="131"/>
    <x v="8"/>
    <x v="8"/>
    <x v="137"/>
    <x v="0"/>
    <x v="1"/>
    <x v="1"/>
    <x v="1"/>
    <x v="379"/>
    <x v="0"/>
    <x v="0"/>
    <x v="1"/>
    <x v="0"/>
    <x v="0"/>
    <x v="0"/>
    <x v="0"/>
    <x v="0"/>
    <x v="0"/>
    <x v="0"/>
    <x v="0"/>
    <x v="0"/>
    <x v="0"/>
    <x v="0"/>
    <x v="0"/>
    <x v="1"/>
    <x v="0"/>
    <x v="0"/>
    <x v="0"/>
    <x v="0"/>
    <x v="1"/>
    <x v="0"/>
    <x v="0"/>
    <x v="409"/>
    <x v="229"/>
    <x v="39"/>
    <x v="34"/>
    <x v="0"/>
    <x v="0"/>
    <x v="31"/>
    <x v="73"/>
    <x v="0"/>
    <x v="99"/>
    <x v="91"/>
    <x v="424"/>
  </r>
  <r>
    <x v="475"/>
    <x v="7"/>
    <x v="211"/>
    <x v="8"/>
    <x v="57"/>
    <x v="5"/>
    <x v="1"/>
    <x v="1"/>
    <x v="3"/>
    <x v="3"/>
    <x v="322"/>
    <x v="0"/>
    <x v="0"/>
    <x v="0"/>
    <x v="0"/>
    <x v="2"/>
    <x v="322"/>
    <x v="0"/>
    <x v="12"/>
    <x v="8"/>
    <x v="475"/>
    <x v="7"/>
    <x v="211"/>
    <x v="8"/>
    <x v="57"/>
    <x v="5"/>
    <x v="1"/>
    <x v="1"/>
    <x v="3"/>
    <x v="380"/>
    <x v="0"/>
    <x v="0"/>
    <x v="1"/>
    <x v="0"/>
    <x v="0"/>
    <x v="0"/>
    <x v="0"/>
    <x v="0"/>
    <x v="0"/>
    <x v="0"/>
    <x v="0"/>
    <x v="0"/>
    <x v="0"/>
    <x v="0"/>
    <x v="0"/>
    <x v="0"/>
    <x v="0"/>
    <x v="0"/>
    <x v="0"/>
    <x v="0"/>
    <x v="0"/>
    <x v="0"/>
    <x v="0"/>
    <x v="15"/>
    <x v="230"/>
    <x v="162"/>
    <x v="13"/>
    <x v="0"/>
    <x v="0"/>
    <x v="2"/>
    <x v="3"/>
    <x v="0"/>
    <x v="10"/>
    <x v="10"/>
    <x v="13"/>
  </r>
  <r>
    <x v="476"/>
    <x v="8"/>
    <x v="37"/>
    <x v="95"/>
    <x v="7"/>
    <x v="0"/>
    <x v="3"/>
    <x v="3"/>
    <x v="1"/>
    <x v="1"/>
    <x v="323"/>
    <x v="0"/>
    <x v="0"/>
    <x v="0"/>
    <x v="0"/>
    <x v="0"/>
    <x v="323"/>
    <x v="0"/>
    <x v="186"/>
    <x v="6"/>
    <x v="476"/>
    <x v="8"/>
    <x v="37"/>
    <x v="95"/>
    <x v="7"/>
    <x v="0"/>
    <x v="3"/>
    <x v="3"/>
    <x v="1"/>
    <x v="381"/>
    <x v="0"/>
    <x v="0"/>
    <x v="0"/>
    <x v="0"/>
    <x v="0"/>
    <x v="0"/>
    <x v="0"/>
    <x v="0"/>
    <x v="0"/>
    <x v="0"/>
    <x v="0"/>
    <x v="1"/>
    <x v="0"/>
    <x v="0"/>
    <x v="0"/>
    <x v="0"/>
    <x v="0"/>
    <x v="0"/>
    <x v="0"/>
    <x v="0"/>
    <x v="0"/>
    <x v="0"/>
    <x v="0"/>
    <x v="410"/>
    <x v="231"/>
    <x v="39"/>
    <x v="11"/>
    <x v="0"/>
    <x v="5"/>
    <x v="22"/>
    <x v="30"/>
    <x v="1"/>
    <x v="32"/>
    <x v="32"/>
    <x v="425"/>
  </r>
  <r>
    <x v="276"/>
    <x v="2"/>
    <x v="8"/>
    <x v="8"/>
    <x v="1"/>
    <x v="2"/>
    <x v="1"/>
    <x v="2"/>
    <x v="1"/>
    <x v="1"/>
    <x v="324"/>
    <x v="0"/>
    <x v="0"/>
    <x v="0"/>
    <x v="0"/>
    <x v="1"/>
    <x v="324"/>
    <x v="0"/>
    <x v="125"/>
    <x v="6"/>
    <x v="276"/>
    <x v="2"/>
    <x v="8"/>
    <x v="8"/>
    <x v="1"/>
    <x v="2"/>
    <x v="1"/>
    <x v="2"/>
    <x v="1"/>
    <x v="382"/>
    <x v="0"/>
    <x v="0"/>
    <x v="1"/>
    <x v="1"/>
    <x v="0"/>
    <x v="0"/>
    <x v="0"/>
    <x v="0"/>
    <x v="0"/>
    <x v="0"/>
    <x v="0"/>
    <x v="0"/>
    <x v="0"/>
    <x v="0"/>
    <x v="0"/>
    <x v="1"/>
    <x v="1"/>
    <x v="0"/>
    <x v="0"/>
    <x v="0"/>
    <x v="0"/>
    <x v="0"/>
    <x v="1"/>
    <x v="411"/>
    <x v="232"/>
    <x v="6"/>
    <x v="7"/>
    <x v="1"/>
    <x v="4"/>
    <x v="4"/>
    <x v="5"/>
    <x v="0"/>
    <x v="8"/>
    <x v="8"/>
    <x v="426"/>
  </r>
  <r>
    <x v="477"/>
    <x v="24"/>
    <x v="8"/>
    <x v="8"/>
    <x v="7"/>
    <x v="0"/>
    <x v="1"/>
    <x v="1"/>
    <x v="1"/>
    <x v="1"/>
    <x v="325"/>
    <x v="0"/>
    <x v="0"/>
    <x v="0"/>
    <x v="0"/>
    <x v="0"/>
    <x v="325"/>
    <x v="0"/>
    <x v="59"/>
    <x v="12"/>
    <x v="477"/>
    <x v="24"/>
    <x v="8"/>
    <x v="8"/>
    <x v="7"/>
    <x v="0"/>
    <x v="1"/>
    <x v="1"/>
    <x v="1"/>
    <x v="383"/>
    <x v="1"/>
    <x v="0"/>
    <x v="1"/>
    <x v="1"/>
    <x v="0"/>
    <x v="0"/>
    <x v="1"/>
    <x v="0"/>
    <x v="0"/>
    <x v="0"/>
    <x v="0"/>
    <x v="0"/>
    <x v="0"/>
    <x v="0"/>
    <x v="0"/>
    <x v="1"/>
    <x v="0"/>
    <x v="0"/>
    <x v="1"/>
    <x v="0"/>
    <x v="0"/>
    <x v="0"/>
    <x v="3"/>
    <x v="412"/>
    <x v="233"/>
    <x v="163"/>
    <x v="13"/>
    <x v="0"/>
    <x v="3"/>
    <x v="3"/>
    <x v="4"/>
    <x v="0"/>
    <x v="8"/>
    <x v="8"/>
    <x v="427"/>
  </r>
  <r>
    <x v="478"/>
    <x v="24"/>
    <x v="8"/>
    <x v="8"/>
    <x v="7"/>
    <x v="0"/>
    <x v="1"/>
    <x v="1"/>
    <x v="3"/>
    <x v="3"/>
    <x v="326"/>
    <x v="0"/>
    <x v="0"/>
    <x v="0"/>
    <x v="0"/>
    <x v="2"/>
    <x v="326"/>
    <x v="0"/>
    <x v="36"/>
    <x v="9"/>
    <x v="478"/>
    <x v="24"/>
    <x v="8"/>
    <x v="8"/>
    <x v="7"/>
    <x v="0"/>
    <x v="1"/>
    <x v="1"/>
    <x v="3"/>
    <x v="384"/>
    <x v="1"/>
    <x v="0"/>
    <x v="1"/>
    <x v="1"/>
    <x v="0"/>
    <x v="0"/>
    <x v="0"/>
    <x v="0"/>
    <x v="0"/>
    <x v="0"/>
    <x v="0"/>
    <x v="0"/>
    <x v="0"/>
    <x v="0"/>
    <x v="0"/>
    <x v="1"/>
    <x v="0"/>
    <x v="0"/>
    <x v="1"/>
    <x v="0"/>
    <x v="0"/>
    <x v="0"/>
    <x v="2"/>
    <x v="212"/>
    <x v="233"/>
    <x v="163"/>
    <x v="13"/>
    <x v="0"/>
    <x v="3"/>
    <x v="3"/>
    <x v="4"/>
    <x v="0"/>
    <x v="8"/>
    <x v="8"/>
    <x v="428"/>
  </r>
  <r>
    <x v="479"/>
    <x v="24"/>
    <x v="8"/>
    <x v="8"/>
    <x v="7"/>
    <x v="0"/>
    <x v="1"/>
    <x v="1"/>
    <x v="3"/>
    <x v="3"/>
    <x v="327"/>
    <x v="0"/>
    <x v="0"/>
    <x v="0"/>
    <x v="0"/>
    <x v="0"/>
    <x v="327"/>
    <x v="0"/>
    <x v="59"/>
    <x v="12"/>
    <x v="479"/>
    <x v="24"/>
    <x v="8"/>
    <x v="8"/>
    <x v="7"/>
    <x v="0"/>
    <x v="1"/>
    <x v="1"/>
    <x v="3"/>
    <x v="385"/>
    <x v="1"/>
    <x v="0"/>
    <x v="1"/>
    <x v="1"/>
    <x v="0"/>
    <x v="0"/>
    <x v="0"/>
    <x v="0"/>
    <x v="0"/>
    <x v="0"/>
    <x v="0"/>
    <x v="0"/>
    <x v="0"/>
    <x v="0"/>
    <x v="0"/>
    <x v="1"/>
    <x v="0"/>
    <x v="0"/>
    <x v="0"/>
    <x v="0"/>
    <x v="0"/>
    <x v="0"/>
    <x v="2"/>
    <x v="413"/>
    <x v="233"/>
    <x v="163"/>
    <x v="11"/>
    <x v="0"/>
    <x v="3"/>
    <x v="3"/>
    <x v="4"/>
    <x v="0"/>
    <x v="16"/>
    <x v="16"/>
    <x v="429"/>
  </r>
  <r>
    <x v="480"/>
    <x v="2"/>
    <x v="8"/>
    <x v="8"/>
    <x v="136"/>
    <x v="4"/>
    <x v="1"/>
    <x v="2"/>
    <x v="1"/>
    <x v="1"/>
    <x v="328"/>
    <x v="0"/>
    <x v="0"/>
    <x v="0"/>
    <x v="0"/>
    <x v="1"/>
    <x v="328"/>
    <x v="0"/>
    <x v="208"/>
    <x v="6"/>
    <x v="480"/>
    <x v="2"/>
    <x v="8"/>
    <x v="8"/>
    <x v="138"/>
    <x v="4"/>
    <x v="1"/>
    <x v="2"/>
    <x v="1"/>
    <x v="386"/>
    <x v="0"/>
    <x v="0"/>
    <x v="1"/>
    <x v="1"/>
    <x v="0"/>
    <x v="0"/>
    <x v="0"/>
    <x v="0"/>
    <x v="0"/>
    <x v="0"/>
    <x v="0"/>
    <x v="0"/>
    <x v="0"/>
    <x v="0"/>
    <x v="0"/>
    <x v="0"/>
    <x v="0"/>
    <x v="0"/>
    <x v="1"/>
    <x v="0"/>
    <x v="0"/>
    <x v="0"/>
    <x v="2"/>
    <x v="414"/>
    <x v="234"/>
    <x v="164"/>
    <x v="55"/>
    <x v="0"/>
    <x v="5"/>
    <x v="14"/>
    <x v="19"/>
    <x v="1"/>
    <x v="100"/>
    <x v="92"/>
    <x v="430"/>
  </r>
  <r>
    <x v="481"/>
    <x v="2"/>
    <x v="8"/>
    <x v="8"/>
    <x v="32"/>
    <x v="7"/>
    <x v="1"/>
    <x v="2"/>
    <x v="1"/>
    <x v="1"/>
    <x v="117"/>
    <x v="62"/>
    <x v="46"/>
    <x v="82"/>
    <x v="1"/>
    <x v="1"/>
    <x v="117"/>
    <x v="0"/>
    <x v="209"/>
    <x v="6"/>
    <x v="481"/>
    <x v="2"/>
    <x v="8"/>
    <x v="8"/>
    <x v="32"/>
    <x v="7"/>
    <x v="1"/>
    <x v="2"/>
    <x v="1"/>
    <x v="387"/>
    <x v="0"/>
    <x v="0"/>
    <x v="1"/>
    <x v="0"/>
    <x v="0"/>
    <x v="0"/>
    <x v="0"/>
    <x v="0"/>
    <x v="0"/>
    <x v="0"/>
    <x v="0"/>
    <x v="0"/>
    <x v="0"/>
    <x v="0"/>
    <x v="0"/>
    <x v="1"/>
    <x v="1"/>
    <x v="0"/>
    <x v="1"/>
    <x v="0"/>
    <x v="0"/>
    <x v="3"/>
    <x v="0"/>
    <x v="415"/>
    <x v="234"/>
    <x v="164"/>
    <x v="55"/>
    <x v="0"/>
    <x v="5"/>
    <x v="35"/>
    <x v="55"/>
    <x v="1"/>
    <x v="98"/>
    <x v="90"/>
    <x v="431"/>
  </r>
  <r>
    <x v="482"/>
    <x v="132"/>
    <x v="8"/>
    <x v="8"/>
    <x v="137"/>
    <x v="3"/>
    <x v="1"/>
    <x v="1"/>
    <x v="1"/>
    <x v="1"/>
    <x v="62"/>
    <x v="0"/>
    <x v="0"/>
    <x v="0"/>
    <x v="0"/>
    <x v="0"/>
    <x v="62"/>
    <x v="0"/>
    <x v="20"/>
    <x v="6"/>
    <x v="482"/>
    <x v="132"/>
    <x v="8"/>
    <x v="8"/>
    <x v="139"/>
    <x v="3"/>
    <x v="1"/>
    <x v="1"/>
    <x v="1"/>
    <x v="388"/>
    <x v="0"/>
    <x v="0"/>
    <x v="1"/>
    <x v="0"/>
    <x v="0"/>
    <x v="0"/>
    <x v="0"/>
    <x v="0"/>
    <x v="0"/>
    <x v="0"/>
    <x v="0"/>
    <x v="0"/>
    <x v="0"/>
    <x v="0"/>
    <x v="0"/>
    <x v="0"/>
    <x v="0"/>
    <x v="0"/>
    <x v="0"/>
    <x v="0"/>
    <x v="0"/>
    <x v="0"/>
    <x v="0"/>
    <x v="416"/>
    <x v="235"/>
    <x v="53"/>
    <x v="24"/>
    <x v="0"/>
    <x v="0"/>
    <x v="2"/>
    <x v="3"/>
    <x v="0"/>
    <x v="14"/>
    <x v="14"/>
    <x v="432"/>
  </r>
  <r>
    <x v="483"/>
    <x v="2"/>
    <x v="8"/>
    <x v="8"/>
    <x v="7"/>
    <x v="0"/>
    <x v="1"/>
    <x v="2"/>
    <x v="1"/>
    <x v="1"/>
    <x v="189"/>
    <x v="0"/>
    <x v="0"/>
    <x v="0"/>
    <x v="0"/>
    <x v="3"/>
    <x v="189"/>
    <x v="0"/>
    <x v="0"/>
    <x v="19"/>
    <x v="483"/>
    <x v="2"/>
    <x v="8"/>
    <x v="8"/>
    <x v="7"/>
    <x v="0"/>
    <x v="1"/>
    <x v="2"/>
    <x v="1"/>
    <x v="214"/>
    <x v="0"/>
    <x v="0"/>
    <x v="1"/>
    <x v="1"/>
    <x v="0"/>
    <x v="1"/>
    <x v="0"/>
    <x v="0"/>
    <x v="0"/>
    <x v="0"/>
    <x v="0"/>
    <x v="0"/>
    <x v="0"/>
    <x v="0"/>
    <x v="0"/>
    <x v="1"/>
    <x v="0"/>
    <x v="0"/>
    <x v="1"/>
    <x v="0"/>
    <x v="0"/>
    <x v="0"/>
    <x v="2"/>
    <x v="417"/>
    <x v="236"/>
    <x v="165"/>
    <x v="59"/>
    <x v="0"/>
    <x v="5"/>
    <x v="55"/>
    <x v="92"/>
    <x v="1"/>
    <x v="1"/>
    <x v="1"/>
    <x v="433"/>
  </r>
  <r>
    <x v="484"/>
    <x v="133"/>
    <x v="8"/>
    <x v="8"/>
    <x v="14"/>
    <x v="4"/>
    <x v="1"/>
    <x v="1"/>
    <x v="1"/>
    <x v="1"/>
    <x v="329"/>
    <x v="0"/>
    <x v="0"/>
    <x v="0"/>
    <x v="0"/>
    <x v="0"/>
    <x v="329"/>
    <x v="0"/>
    <x v="12"/>
    <x v="8"/>
    <x v="484"/>
    <x v="133"/>
    <x v="8"/>
    <x v="8"/>
    <x v="14"/>
    <x v="4"/>
    <x v="1"/>
    <x v="1"/>
    <x v="1"/>
    <x v="389"/>
    <x v="0"/>
    <x v="0"/>
    <x v="1"/>
    <x v="1"/>
    <x v="0"/>
    <x v="0"/>
    <x v="0"/>
    <x v="0"/>
    <x v="0"/>
    <x v="0"/>
    <x v="0"/>
    <x v="0"/>
    <x v="0"/>
    <x v="0"/>
    <x v="0"/>
    <x v="1"/>
    <x v="0"/>
    <x v="0"/>
    <x v="1"/>
    <x v="0"/>
    <x v="0"/>
    <x v="0"/>
    <x v="1"/>
    <x v="13"/>
    <x v="237"/>
    <x v="166"/>
    <x v="16"/>
    <x v="0"/>
    <x v="17"/>
    <x v="2"/>
    <x v="40"/>
    <x v="0"/>
    <x v="8"/>
    <x v="8"/>
    <x v="13"/>
  </r>
  <r>
    <x v="485"/>
    <x v="5"/>
    <x v="212"/>
    <x v="8"/>
    <x v="2"/>
    <x v="0"/>
    <x v="2"/>
    <x v="0"/>
    <x v="1"/>
    <x v="1"/>
    <x v="327"/>
    <x v="0"/>
    <x v="0"/>
    <x v="0"/>
    <x v="0"/>
    <x v="0"/>
    <x v="327"/>
    <x v="0"/>
    <x v="37"/>
    <x v="8"/>
    <x v="485"/>
    <x v="5"/>
    <x v="212"/>
    <x v="8"/>
    <x v="2"/>
    <x v="0"/>
    <x v="2"/>
    <x v="0"/>
    <x v="1"/>
    <x v="390"/>
    <x v="0"/>
    <x v="0"/>
    <x v="1"/>
    <x v="0"/>
    <x v="0"/>
    <x v="0"/>
    <x v="0"/>
    <x v="0"/>
    <x v="0"/>
    <x v="0"/>
    <x v="0"/>
    <x v="0"/>
    <x v="0"/>
    <x v="0"/>
    <x v="0"/>
    <x v="1"/>
    <x v="0"/>
    <x v="0"/>
    <x v="0"/>
    <x v="0"/>
    <x v="0"/>
    <x v="0"/>
    <x v="0"/>
    <x v="418"/>
    <x v="238"/>
    <x v="10"/>
    <x v="13"/>
    <x v="0"/>
    <x v="0"/>
    <x v="2"/>
    <x v="3"/>
    <x v="0"/>
    <x v="31"/>
    <x v="31"/>
    <x v="434"/>
  </r>
  <r>
    <x v="486"/>
    <x v="84"/>
    <x v="8"/>
    <x v="8"/>
    <x v="138"/>
    <x v="5"/>
    <x v="1"/>
    <x v="1"/>
    <x v="2"/>
    <x v="2"/>
    <x v="330"/>
    <x v="0"/>
    <x v="0"/>
    <x v="0"/>
    <x v="0"/>
    <x v="2"/>
    <x v="330"/>
    <x v="0"/>
    <x v="12"/>
    <x v="8"/>
    <x v="486"/>
    <x v="84"/>
    <x v="8"/>
    <x v="8"/>
    <x v="140"/>
    <x v="5"/>
    <x v="1"/>
    <x v="1"/>
    <x v="2"/>
    <x v="391"/>
    <x v="0"/>
    <x v="0"/>
    <x v="1"/>
    <x v="0"/>
    <x v="0"/>
    <x v="0"/>
    <x v="0"/>
    <x v="0"/>
    <x v="0"/>
    <x v="0"/>
    <x v="0"/>
    <x v="0"/>
    <x v="0"/>
    <x v="0"/>
    <x v="0"/>
    <x v="0"/>
    <x v="0"/>
    <x v="1"/>
    <x v="0"/>
    <x v="0"/>
    <x v="0"/>
    <x v="0"/>
    <x v="0"/>
    <x v="419"/>
    <x v="239"/>
    <x v="167"/>
    <x v="26"/>
    <x v="0"/>
    <x v="3"/>
    <x v="19"/>
    <x v="26"/>
    <x v="0"/>
    <x v="72"/>
    <x v="66"/>
    <x v="13"/>
  </r>
  <r>
    <x v="487"/>
    <x v="12"/>
    <x v="22"/>
    <x v="96"/>
    <x v="7"/>
    <x v="0"/>
    <x v="5"/>
    <x v="3"/>
    <x v="1"/>
    <x v="1"/>
    <x v="141"/>
    <x v="0"/>
    <x v="0"/>
    <x v="0"/>
    <x v="0"/>
    <x v="2"/>
    <x v="141"/>
    <x v="0"/>
    <x v="64"/>
    <x v="24"/>
    <x v="487"/>
    <x v="12"/>
    <x v="22"/>
    <x v="96"/>
    <x v="7"/>
    <x v="0"/>
    <x v="5"/>
    <x v="3"/>
    <x v="1"/>
    <x v="161"/>
    <x v="0"/>
    <x v="0"/>
    <x v="0"/>
    <x v="0"/>
    <x v="1"/>
    <x v="0"/>
    <x v="1"/>
    <x v="0"/>
    <x v="0"/>
    <x v="0"/>
    <x v="0"/>
    <x v="0"/>
    <x v="0"/>
    <x v="0"/>
    <x v="0"/>
    <x v="0"/>
    <x v="0"/>
    <x v="0"/>
    <x v="0"/>
    <x v="0"/>
    <x v="0"/>
    <x v="0"/>
    <x v="1"/>
    <x v="420"/>
    <x v="240"/>
    <x v="168"/>
    <x v="15"/>
    <x v="0"/>
    <x v="2"/>
    <x v="49"/>
    <x v="93"/>
    <x v="0"/>
    <x v="29"/>
    <x v="29"/>
    <x v="435"/>
  </r>
  <r>
    <x v="488"/>
    <x v="8"/>
    <x v="38"/>
    <x v="27"/>
    <x v="36"/>
    <x v="0"/>
    <x v="3"/>
    <x v="3"/>
    <x v="1"/>
    <x v="1"/>
    <x v="331"/>
    <x v="0"/>
    <x v="0"/>
    <x v="0"/>
    <x v="0"/>
    <x v="0"/>
    <x v="331"/>
    <x v="0"/>
    <x v="106"/>
    <x v="6"/>
    <x v="488"/>
    <x v="8"/>
    <x v="38"/>
    <x v="27"/>
    <x v="36"/>
    <x v="0"/>
    <x v="3"/>
    <x v="3"/>
    <x v="1"/>
    <x v="392"/>
    <x v="0"/>
    <x v="0"/>
    <x v="0"/>
    <x v="0"/>
    <x v="0"/>
    <x v="0"/>
    <x v="0"/>
    <x v="0"/>
    <x v="0"/>
    <x v="0"/>
    <x v="0"/>
    <x v="0"/>
    <x v="0"/>
    <x v="0"/>
    <x v="1"/>
    <x v="0"/>
    <x v="0"/>
    <x v="0"/>
    <x v="0"/>
    <x v="0"/>
    <x v="0"/>
    <x v="0"/>
    <x v="0"/>
    <x v="280"/>
    <x v="241"/>
    <x v="169"/>
    <x v="3"/>
    <x v="0"/>
    <x v="3"/>
    <x v="56"/>
    <x v="94"/>
    <x v="0"/>
    <x v="8"/>
    <x v="8"/>
    <x v="436"/>
  </r>
  <r>
    <x v="489"/>
    <x v="134"/>
    <x v="8"/>
    <x v="8"/>
    <x v="36"/>
    <x v="0"/>
    <x v="1"/>
    <x v="1"/>
    <x v="1"/>
    <x v="1"/>
    <x v="332"/>
    <x v="0"/>
    <x v="0"/>
    <x v="0"/>
    <x v="0"/>
    <x v="1"/>
    <x v="332"/>
    <x v="0"/>
    <x v="144"/>
    <x v="27"/>
    <x v="489"/>
    <x v="134"/>
    <x v="8"/>
    <x v="8"/>
    <x v="36"/>
    <x v="0"/>
    <x v="1"/>
    <x v="1"/>
    <x v="1"/>
    <x v="393"/>
    <x v="0"/>
    <x v="0"/>
    <x v="1"/>
    <x v="1"/>
    <x v="0"/>
    <x v="0"/>
    <x v="0"/>
    <x v="1"/>
    <x v="0"/>
    <x v="0"/>
    <x v="0"/>
    <x v="0"/>
    <x v="0"/>
    <x v="0"/>
    <x v="1"/>
    <x v="0"/>
    <x v="0"/>
    <x v="0"/>
    <x v="0"/>
    <x v="0"/>
    <x v="0"/>
    <x v="0"/>
    <x v="2"/>
    <x v="421"/>
    <x v="242"/>
    <x v="170"/>
    <x v="1"/>
    <x v="0"/>
    <x v="3"/>
    <x v="15"/>
    <x v="20"/>
    <x v="0"/>
    <x v="1"/>
    <x v="1"/>
    <x v="437"/>
  </r>
  <r>
    <x v="490"/>
    <x v="69"/>
    <x v="118"/>
    <x v="8"/>
    <x v="2"/>
    <x v="3"/>
    <x v="1"/>
    <x v="1"/>
    <x v="1"/>
    <x v="1"/>
    <x v="333"/>
    <x v="0"/>
    <x v="0"/>
    <x v="0"/>
    <x v="0"/>
    <x v="2"/>
    <x v="333"/>
    <x v="0"/>
    <x v="112"/>
    <x v="6"/>
    <x v="490"/>
    <x v="69"/>
    <x v="118"/>
    <x v="8"/>
    <x v="2"/>
    <x v="3"/>
    <x v="1"/>
    <x v="1"/>
    <x v="1"/>
    <x v="394"/>
    <x v="1"/>
    <x v="1"/>
    <x v="1"/>
    <x v="1"/>
    <x v="0"/>
    <x v="0"/>
    <x v="0"/>
    <x v="0"/>
    <x v="0"/>
    <x v="0"/>
    <x v="0"/>
    <x v="0"/>
    <x v="0"/>
    <x v="0"/>
    <x v="0"/>
    <x v="1"/>
    <x v="0"/>
    <x v="0"/>
    <x v="1"/>
    <x v="0"/>
    <x v="0"/>
    <x v="0"/>
    <x v="2"/>
    <x v="422"/>
    <x v="243"/>
    <x v="51"/>
    <x v="2"/>
    <x v="0"/>
    <x v="5"/>
    <x v="57"/>
    <x v="95"/>
    <x v="1"/>
    <x v="0"/>
    <x v="0"/>
    <x v="438"/>
  </r>
  <r>
    <x v="491"/>
    <x v="0"/>
    <x v="213"/>
    <x v="8"/>
    <x v="4"/>
    <x v="5"/>
    <x v="0"/>
    <x v="0"/>
    <x v="2"/>
    <x v="2"/>
    <x v="334"/>
    <x v="0"/>
    <x v="0"/>
    <x v="0"/>
    <x v="0"/>
    <x v="3"/>
    <x v="334"/>
    <x v="93"/>
    <x v="12"/>
    <x v="8"/>
    <x v="491"/>
    <x v="0"/>
    <x v="213"/>
    <x v="8"/>
    <x v="4"/>
    <x v="5"/>
    <x v="0"/>
    <x v="0"/>
    <x v="2"/>
    <x v="395"/>
    <x v="0"/>
    <x v="0"/>
    <x v="1"/>
    <x v="0"/>
    <x v="0"/>
    <x v="0"/>
    <x v="0"/>
    <x v="0"/>
    <x v="0"/>
    <x v="0"/>
    <x v="0"/>
    <x v="0"/>
    <x v="1"/>
    <x v="0"/>
    <x v="0"/>
    <x v="0"/>
    <x v="0"/>
    <x v="1"/>
    <x v="1"/>
    <x v="0"/>
    <x v="3"/>
    <x v="0"/>
    <x v="1"/>
    <x v="423"/>
    <x v="244"/>
    <x v="102"/>
    <x v="45"/>
    <x v="0"/>
    <x v="3"/>
    <x v="19"/>
    <x v="26"/>
    <x v="0"/>
    <x v="1"/>
    <x v="1"/>
    <x v="13"/>
  </r>
  <r>
    <x v="492"/>
    <x v="135"/>
    <x v="8"/>
    <x v="8"/>
    <x v="1"/>
    <x v="0"/>
    <x v="3"/>
    <x v="1"/>
    <x v="1"/>
    <x v="1"/>
    <x v="335"/>
    <x v="0"/>
    <x v="0"/>
    <x v="0"/>
    <x v="0"/>
    <x v="1"/>
    <x v="335"/>
    <x v="0"/>
    <x v="36"/>
    <x v="6"/>
    <x v="492"/>
    <x v="135"/>
    <x v="8"/>
    <x v="8"/>
    <x v="1"/>
    <x v="0"/>
    <x v="3"/>
    <x v="1"/>
    <x v="1"/>
    <x v="396"/>
    <x v="0"/>
    <x v="0"/>
    <x v="1"/>
    <x v="0"/>
    <x v="0"/>
    <x v="0"/>
    <x v="0"/>
    <x v="0"/>
    <x v="0"/>
    <x v="0"/>
    <x v="0"/>
    <x v="0"/>
    <x v="0"/>
    <x v="0"/>
    <x v="0"/>
    <x v="1"/>
    <x v="0"/>
    <x v="0"/>
    <x v="0"/>
    <x v="0"/>
    <x v="0"/>
    <x v="0"/>
    <x v="0"/>
    <x v="424"/>
    <x v="245"/>
    <x v="171"/>
    <x v="48"/>
    <x v="0"/>
    <x v="14"/>
    <x v="2"/>
    <x v="36"/>
    <x v="0"/>
    <x v="101"/>
    <x v="93"/>
    <x v="439"/>
  </r>
  <r>
    <x v="493"/>
    <x v="136"/>
    <x v="8"/>
    <x v="8"/>
    <x v="42"/>
    <x v="5"/>
    <x v="1"/>
    <x v="1"/>
    <x v="2"/>
    <x v="2"/>
    <x v="22"/>
    <x v="0"/>
    <x v="0"/>
    <x v="0"/>
    <x v="0"/>
    <x v="3"/>
    <x v="22"/>
    <x v="58"/>
    <x v="12"/>
    <x v="8"/>
    <x v="493"/>
    <x v="136"/>
    <x v="8"/>
    <x v="8"/>
    <x v="42"/>
    <x v="5"/>
    <x v="1"/>
    <x v="1"/>
    <x v="2"/>
    <x v="240"/>
    <x v="0"/>
    <x v="0"/>
    <x v="1"/>
    <x v="0"/>
    <x v="0"/>
    <x v="0"/>
    <x v="0"/>
    <x v="0"/>
    <x v="0"/>
    <x v="0"/>
    <x v="0"/>
    <x v="0"/>
    <x v="1"/>
    <x v="0"/>
    <x v="0"/>
    <x v="0"/>
    <x v="0"/>
    <x v="1"/>
    <x v="1"/>
    <x v="0"/>
    <x v="3"/>
    <x v="0"/>
    <x v="1"/>
    <x v="287"/>
    <x v="246"/>
    <x v="172"/>
    <x v="1"/>
    <x v="0"/>
    <x v="3"/>
    <x v="24"/>
    <x v="68"/>
    <x v="0"/>
    <x v="64"/>
    <x v="59"/>
    <x v="13"/>
  </r>
  <r>
    <x v="494"/>
    <x v="137"/>
    <x v="214"/>
    <x v="8"/>
    <x v="7"/>
    <x v="0"/>
    <x v="1"/>
    <x v="1"/>
    <x v="2"/>
    <x v="2"/>
    <x v="251"/>
    <x v="0"/>
    <x v="0"/>
    <x v="0"/>
    <x v="0"/>
    <x v="3"/>
    <x v="251"/>
    <x v="0"/>
    <x v="12"/>
    <x v="8"/>
    <x v="494"/>
    <x v="137"/>
    <x v="214"/>
    <x v="8"/>
    <x v="7"/>
    <x v="0"/>
    <x v="1"/>
    <x v="1"/>
    <x v="2"/>
    <x v="397"/>
    <x v="0"/>
    <x v="0"/>
    <x v="1"/>
    <x v="0"/>
    <x v="0"/>
    <x v="0"/>
    <x v="0"/>
    <x v="0"/>
    <x v="0"/>
    <x v="0"/>
    <x v="0"/>
    <x v="0"/>
    <x v="0"/>
    <x v="0"/>
    <x v="0"/>
    <x v="0"/>
    <x v="0"/>
    <x v="0"/>
    <x v="0"/>
    <x v="0"/>
    <x v="0"/>
    <x v="0"/>
    <x v="0"/>
    <x v="13"/>
    <x v="247"/>
    <x v="173"/>
    <x v="13"/>
    <x v="0"/>
    <x v="10"/>
    <x v="2"/>
    <x v="96"/>
    <x v="0"/>
    <x v="8"/>
    <x v="8"/>
    <x v="13"/>
  </r>
  <r>
    <x v="495"/>
    <x v="2"/>
    <x v="8"/>
    <x v="8"/>
    <x v="1"/>
    <x v="2"/>
    <x v="1"/>
    <x v="2"/>
    <x v="3"/>
    <x v="3"/>
    <x v="219"/>
    <x v="0"/>
    <x v="0"/>
    <x v="0"/>
    <x v="0"/>
    <x v="3"/>
    <x v="219"/>
    <x v="0"/>
    <x v="66"/>
    <x v="11"/>
    <x v="495"/>
    <x v="2"/>
    <x v="8"/>
    <x v="8"/>
    <x v="1"/>
    <x v="2"/>
    <x v="1"/>
    <x v="2"/>
    <x v="3"/>
    <x v="398"/>
    <x v="1"/>
    <x v="0"/>
    <x v="1"/>
    <x v="0"/>
    <x v="0"/>
    <x v="0"/>
    <x v="1"/>
    <x v="0"/>
    <x v="0"/>
    <x v="0"/>
    <x v="0"/>
    <x v="0"/>
    <x v="0"/>
    <x v="0"/>
    <x v="0"/>
    <x v="1"/>
    <x v="0"/>
    <x v="0"/>
    <x v="0"/>
    <x v="0"/>
    <x v="0"/>
    <x v="0"/>
    <x v="2"/>
    <x v="425"/>
    <x v="248"/>
    <x v="6"/>
    <x v="7"/>
    <x v="1"/>
    <x v="4"/>
    <x v="4"/>
    <x v="5"/>
    <x v="0"/>
    <x v="8"/>
    <x v="8"/>
    <x v="440"/>
  </r>
  <r>
    <x v="496"/>
    <x v="8"/>
    <x v="8"/>
    <x v="8"/>
    <x v="139"/>
    <x v="0"/>
    <x v="3"/>
    <x v="3"/>
    <x v="1"/>
    <x v="1"/>
    <x v="298"/>
    <x v="0"/>
    <x v="0"/>
    <x v="0"/>
    <x v="0"/>
    <x v="0"/>
    <x v="298"/>
    <x v="0"/>
    <x v="106"/>
    <x v="10"/>
    <x v="496"/>
    <x v="8"/>
    <x v="8"/>
    <x v="8"/>
    <x v="141"/>
    <x v="0"/>
    <x v="3"/>
    <x v="3"/>
    <x v="1"/>
    <x v="352"/>
    <x v="0"/>
    <x v="0"/>
    <x v="1"/>
    <x v="0"/>
    <x v="0"/>
    <x v="0"/>
    <x v="0"/>
    <x v="0"/>
    <x v="0"/>
    <x v="0"/>
    <x v="0"/>
    <x v="1"/>
    <x v="0"/>
    <x v="0"/>
    <x v="0"/>
    <x v="1"/>
    <x v="0"/>
    <x v="0"/>
    <x v="0"/>
    <x v="0"/>
    <x v="0"/>
    <x v="0"/>
    <x v="0"/>
    <x v="426"/>
    <x v="249"/>
    <x v="174"/>
    <x v="67"/>
    <x v="0"/>
    <x v="0"/>
    <x v="2"/>
    <x v="3"/>
    <x v="0"/>
    <x v="3"/>
    <x v="3"/>
    <x v="441"/>
  </r>
  <r>
    <x v="497"/>
    <x v="138"/>
    <x v="8"/>
    <x v="97"/>
    <x v="1"/>
    <x v="0"/>
    <x v="4"/>
    <x v="1"/>
    <x v="3"/>
    <x v="3"/>
    <x v="0"/>
    <x v="0"/>
    <x v="0"/>
    <x v="0"/>
    <x v="0"/>
    <x v="0"/>
    <x v="0"/>
    <x v="0"/>
    <x v="67"/>
    <x v="18"/>
    <x v="497"/>
    <x v="138"/>
    <x v="8"/>
    <x v="97"/>
    <x v="1"/>
    <x v="0"/>
    <x v="4"/>
    <x v="1"/>
    <x v="3"/>
    <x v="399"/>
    <x v="0"/>
    <x v="0"/>
    <x v="1"/>
    <x v="0"/>
    <x v="0"/>
    <x v="0"/>
    <x v="0"/>
    <x v="0"/>
    <x v="0"/>
    <x v="0"/>
    <x v="0"/>
    <x v="0"/>
    <x v="0"/>
    <x v="0"/>
    <x v="0"/>
    <x v="1"/>
    <x v="1"/>
    <x v="0"/>
    <x v="1"/>
    <x v="0"/>
    <x v="0"/>
    <x v="0"/>
    <x v="0"/>
    <x v="427"/>
    <x v="250"/>
    <x v="175"/>
    <x v="54"/>
    <x v="0"/>
    <x v="3"/>
    <x v="24"/>
    <x v="68"/>
    <x v="0"/>
    <x v="29"/>
    <x v="29"/>
    <x v="442"/>
  </r>
  <r>
    <x v="498"/>
    <x v="2"/>
    <x v="8"/>
    <x v="8"/>
    <x v="1"/>
    <x v="2"/>
    <x v="1"/>
    <x v="2"/>
    <x v="1"/>
    <x v="1"/>
    <x v="336"/>
    <x v="0"/>
    <x v="0"/>
    <x v="0"/>
    <x v="0"/>
    <x v="1"/>
    <x v="336"/>
    <x v="0"/>
    <x v="28"/>
    <x v="6"/>
    <x v="498"/>
    <x v="2"/>
    <x v="8"/>
    <x v="8"/>
    <x v="1"/>
    <x v="2"/>
    <x v="1"/>
    <x v="2"/>
    <x v="1"/>
    <x v="400"/>
    <x v="0"/>
    <x v="1"/>
    <x v="1"/>
    <x v="0"/>
    <x v="0"/>
    <x v="0"/>
    <x v="0"/>
    <x v="0"/>
    <x v="0"/>
    <x v="0"/>
    <x v="0"/>
    <x v="0"/>
    <x v="0"/>
    <x v="0"/>
    <x v="0"/>
    <x v="0"/>
    <x v="0"/>
    <x v="0"/>
    <x v="0"/>
    <x v="0"/>
    <x v="0"/>
    <x v="0"/>
    <x v="0"/>
    <x v="428"/>
    <x v="251"/>
    <x v="6"/>
    <x v="7"/>
    <x v="1"/>
    <x v="4"/>
    <x v="4"/>
    <x v="5"/>
    <x v="0"/>
    <x v="8"/>
    <x v="8"/>
    <x v="443"/>
  </r>
  <r>
    <x v="499"/>
    <x v="2"/>
    <x v="8"/>
    <x v="8"/>
    <x v="140"/>
    <x v="0"/>
    <x v="1"/>
    <x v="2"/>
    <x v="1"/>
    <x v="1"/>
    <x v="337"/>
    <x v="0"/>
    <x v="0"/>
    <x v="0"/>
    <x v="0"/>
    <x v="1"/>
    <x v="337"/>
    <x v="0"/>
    <x v="38"/>
    <x v="11"/>
    <x v="499"/>
    <x v="2"/>
    <x v="8"/>
    <x v="8"/>
    <x v="142"/>
    <x v="0"/>
    <x v="1"/>
    <x v="2"/>
    <x v="1"/>
    <x v="401"/>
    <x v="0"/>
    <x v="0"/>
    <x v="1"/>
    <x v="1"/>
    <x v="0"/>
    <x v="0"/>
    <x v="0"/>
    <x v="0"/>
    <x v="0"/>
    <x v="0"/>
    <x v="0"/>
    <x v="0"/>
    <x v="0"/>
    <x v="0"/>
    <x v="0"/>
    <x v="0"/>
    <x v="0"/>
    <x v="0"/>
    <x v="0"/>
    <x v="0"/>
    <x v="0"/>
    <x v="0"/>
    <x v="1"/>
    <x v="429"/>
    <x v="252"/>
    <x v="35"/>
    <x v="13"/>
    <x v="0"/>
    <x v="3"/>
    <x v="15"/>
    <x v="20"/>
    <x v="0"/>
    <x v="2"/>
    <x v="2"/>
    <x v="444"/>
  </r>
  <r>
    <x v="500"/>
    <x v="139"/>
    <x v="8"/>
    <x v="8"/>
    <x v="3"/>
    <x v="5"/>
    <x v="1"/>
    <x v="1"/>
    <x v="2"/>
    <x v="2"/>
    <x v="338"/>
    <x v="0"/>
    <x v="0"/>
    <x v="0"/>
    <x v="0"/>
    <x v="3"/>
    <x v="338"/>
    <x v="0"/>
    <x v="12"/>
    <x v="8"/>
    <x v="500"/>
    <x v="139"/>
    <x v="8"/>
    <x v="8"/>
    <x v="3"/>
    <x v="5"/>
    <x v="1"/>
    <x v="1"/>
    <x v="2"/>
    <x v="402"/>
    <x v="0"/>
    <x v="0"/>
    <x v="1"/>
    <x v="0"/>
    <x v="0"/>
    <x v="0"/>
    <x v="0"/>
    <x v="0"/>
    <x v="0"/>
    <x v="0"/>
    <x v="0"/>
    <x v="0"/>
    <x v="1"/>
    <x v="0"/>
    <x v="0"/>
    <x v="0"/>
    <x v="0"/>
    <x v="1"/>
    <x v="0"/>
    <x v="0"/>
    <x v="0"/>
    <x v="0"/>
    <x v="1"/>
    <x v="430"/>
    <x v="253"/>
    <x v="176"/>
    <x v="26"/>
    <x v="0"/>
    <x v="0"/>
    <x v="2"/>
    <x v="3"/>
    <x v="0"/>
    <x v="32"/>
    <x v="32"/>
    <x v="13"/>
  </r>
  <r>
    <x v="501"/>
    <x v="140"/>
    <x v="8"/>
    <x v="98"/>
    <x v="92"/>
    <x v="1"/>
    <x v="1"/>
    <x v="1"/>
    <x v="1"/>
    <x v="1"/>
    <x v="151"/>
    <x v="0"/>
    <x v="0"/>
    <x v="0"/>
    <x v="0"/>
    <x v="1"/>
    <x v="151"/>
    <x v="0"/>
    <x v="73"/>
    <x v="7"/>
    <x v="501"/>
    <x v="140"/>
    <x v="8"/>
    <x v="98"/>
    <x v="92"/>
    <x v="1"/>
    <x v="1"/>
    <x v="1"/>
    <x v="1"/>
    <x v="171"/>
    <x v="0"/>
    <x v="0"/>
    <x v="1"/>
    <x v="0"/>
    <x v="0"/>
    <x v="0"/>
    <x v="0"/>
    <x v="0"/>
    <x v="0"/>
    <x v="0"/>
    <x v="0"/>
    <x v="0"/>
    <x v="0"/>
    <x v="0"/>
    <x v="0"/>
    <x v="0"/>
    <x v="0"/>
    <x v="0"/>
    <x v="1"/>
    <x v="0"/>
    <x v="0"/>
    <x v="0"/>
    <x v="0"/>
    <x v="431"/>
    <x v="254"/>
    <x v="177"/>
    <x v="31"/>
    <x v="0"/>
    <x v="5"/>
    <x v="2"/>
    <x v="25"/>
    <x v="1"/>
    <x v="25"/>
    <x v="25"/>
    <x v="277"/>
  </r>
  <r>
    <x v="502"/>
    <x v="35"/>
    <x v="126"/>
    <x v="67"/>
    <x v="1"/>
    <x v="0"/>
    <x v="7"/>
    <x v="4"/>
    <x v="1"/>
    <x v="1"/>
    <x v="116"/>
    <x v="0"/>
    <x v="0"/>
    <x v="0"/>
    <x v="0"/>
    <x v="3"/>
    <x v="116"/>
    <x v="0"/>
    <x v="114"/>
    <x v="18"/>
    <x v="502"/>
    <x v="35"/>
    <x v="126"/>
    <x v="67"/>
    <x v="1"/>
    <x v="0"/>
    <x v="7"/>
    <x v="4"/>
    <x v="1"/>
    <x v="132"/>
    <x v="0"/>
    <x v="0"/>
    <x v="1"/>
    <x v="1"/>
    <x v="0"/>
    <x v="0"/>
    <x v="0"/>
    <x v="0"/>
    <x v="0"/>
    <x v="0"/>
    <x v="0"/>
    <x v="0"/>
    <x v="0"/>
    <x v="0"/>
    <x v="0"/>
    <x v="1"/>
    <x v="1"/>
    <x v="0"/>
    <x v="0"/>
    <x v="0"/>
    <x v="0"/>
    <x v="0"/>
    <x v="1"/>
    <x v="432"/>
    <x v="255"/>
    <x v="178"/>
    <x v="11"/>
    <x v="0"/>
    <x v="0"/>
    <x v="38"/>
    <x v="57"/>
    <x v="0"/>
    <x v="7"/>
    <x v="7"/>
    <x v="445"/>
  </r>
  <r>
    <x v="503"/>
    <x v="141"/>
    <x v="215"/>
    <x v="8"/>
    <x v="7"/>
    <x v="0"/>
    <x v="1"/>
    <x v="1"/>
    <x v="1"/>
    <x v="1"/>
    <x v="188"/>
    <x v="0"/>
    <x v="0"/>
    <x v="0"/>
    <x v="0"/>
    <x v="0"/>
    <x v="188"/>
    <x v="0"/>
    <x v="210"/>
    <x v="19"/>
    <x v="503"/>
    <x v="141"/>
    <x v="215"/>
    <x v="8"/>
    <x v="7"/>
    <x v="0"/>
    <x v="1"/>
    <x v="1"/>
    <x v="1"/>
    <x v="213"/>
    <x v="1"/>
    <x v="1"/>
    <x v="1"/>
    <x v="1"/>
    <x v="0"/>
    <x v="0"/>
    <x v="0"/>
    <x v="0"/>
    <x v="0"/>
    <x v="0"/>
    <x v="0"/>
    <x v="0"/>
    <x v="0"/>
    <x v="0"/>
    <x v="0"/>
    <x v="1"/>
    <x v="0"/>
    <x v="0"/>
    <x v="0"/>
    <x v="0"/>
    <x v="0"/>
    <x v="0"/>
    <x v="2"/>
    <x v="433"/>
    <x v="256"/>
    <x v="89"/>
    <x v="3"/>
    <x v="0"/>
    <x v="3"/>
    <x v="26"/>
    <x v="35"/>
    <x v="0"/>
    <x v="1"/>
    <x v="1"/>
    <x v="446"/>
  </r>
  <r>
    <x v="504"/>
    <x v="72"/>
    <x v="216"/>
    <x v="99"/>
    <x v="7"/>
    <x v="0"/>
    <x v="1"/>
    <x v="4"/>
    <x v="1"/>
    <x v="1"/>
    <x v="339"/>
    <x v="0"/>
    <x v="0"/>
    <x v="0"/>
    <x v="0"/>
    <x v="0"/>
    <x v="339"/>
    <x v="0"/>
    <x v="136"/>
    <x v="18"/>
    <x v="504"/>
    <x v="72"/>
    <x v="216"/>
    <x v="99"/>
    <x v="7"/>
    <x v="0"/>
    <x v="1"/>
    <x v="4"/>
    <x v="1"/>
    <x v="403"/>
    <x v="1"/>
    <x v="1"/>
    <x v="1"/>
    <x v="1"/>
    <x v="0"/>
    <x v="0"/>
    <x v="1"/>
    <x v="0"/>
    <x v="0"/>
    <x v="0"/>
    <x v="0"/>
    <x v="0"/>
    <x v="0"/>
    <x v="0"/>
    <x v="0"/>
    <x v="0"/>
    <x v="0"/>
    <x v="0"/>
    <x v="1"/>
    <x v="0"/>
    <x v="0"/>
    <x v="1"/>
    <x v="3"/>
    <x v="434"/>
    <x v="256"/>
    <x v="86"/>
    <x v="18"/>
    <x v="0"/>
    <x v="3"/>
    <x v="26"/>
    <x v="35"/>
    <x v="0"/>
    <x v="5"/>
    <x v="5"/>
    <x v="447"/>
  </r>
  <r>
    <x v="505"/>
    <x v="72"/>
    <x v="217"/>
    <x v="99"/>
    <x v="7"/>
    <x v="0"/>
    <x v="1"/>
    <x v="4"/>
    <x v="1"/>
    <x v="1"/>
    <x v="189"/>
    <x v="0"/>
    <x v="0"/>
    <x v="0"/>
    <x v="0"/>
    <x v="3"/>
    <x v="189"/>
    <x v="0"/>
    <x v="76"/>
    <x v="7"/>
    <x v="505"/>
    <x v="72"/>
    <x v="217"/>
    <x v="99"/>
    <x v="7"/>
    <x v="0"/>
    <x v="1"/>
    <x v="4"/>
    <x v="1"/>
    <x v="214"/>
    <x v="1"/>
    <x v="1"/>
    <x v="1"/>
    <x v="1"/>
    <x v="0"/>
    <x v="0"/>
    <x v="0"/>
    <x v="0"/>
    <x v="0"/>
    <x v="0"/>
    <x v="0"/>
    <x v="0"/>
    <x v="0"/>
    <x v="0"/>
    <x v="0"/>
    <x v="1"/>
    <x v="0"/>
    <x v="0"/>
    <x v="0"/>
    <x v="0"/>
    <x v="0"/>
    <x v="3"/>
    <x v="2"/>
    <x v="435"/>
    <x v="256"/>
    <x v="86"/>
    <x v="18"/>
    <x v="0"/>
    <x v="3"/>
    <x v="26"/>
    <x v="35"/>
    <x v="0"/>
    <x v="1"/>
    <x v="1"/>
    <x v="448"/>
  </r>
  <r>
    <x v="506"/>
    <x v="9"/>
    <x v="8"/>
    <x v="8"/>
    <x v="36"/>
    <x v="0"/>
    <x v="4"/>
    <x v="3"/>
    <x v="1"/>
    <x v="1"/>
    <x v="340"/>
    <x v="0"/>
    <x v="0"/>
    <x v="0"/>
    <x v="0"/>
    <x v="3"/>
    <x v="340"/>
    <x v="0"/>
    <x v="211"/>
    <x v="12"/>
    <x v="506"/>
    <x v="9"/>
    <x v="8"/>
    <x v="8"/>
    <x v="36"/>
    <x v="0"/>
    <x v="4"/>
    <x v="3"/>
    <x v="1"/>
    <x v="404"/>
    <x v="0"/>
    <x v="0"/>
    <x v="1"/>
    <x v="0"/>
    <x v="0"/>
    <x v="0"/>
    <x v="0"/>
    <x v="0"/>
    <x v="0"/>
    <x v="0"/>
    <x v="0"/>
    <x v="0"/>
    <x v="0"/>
    <x v="0"/>
    <x v="1"/>
    <x v="0"/>
    <x v="0"/>
    <x v="0"/>
    <x v="0"/>
    <x v="0"/>
    <x v="0"/>
    <x v="0"/>
    <x v="0"/>
    <x v="436"/>
    <x v="257"/>
    <x v="1"/>
    <x v="0"/>
    <x v="0"/>
    <x v="27"/>
    <x v="58"/>
    <x v="97"/>
    <x v="0"/>
    <x v="1"/>
    <x v="1"/>
    <x v="449"/>
  </r>
  <r>
    <x v="507"/>
    <x v="0"/>
    <x v="8"/>
    <x v="8"/>
    <x v="7"/>
    <x v="0"/>
    <x v="0"/>
    <x v="0"/>
    <x v="1"/>
    <x v="1"/>
    <x v="341"/>
    <x v="0"/>
    <x v="0"/>
    <x v="0"/>
    <x v="0"/>
    <x v="2"/>
    <x v="341"/>
    <x v="0"/>
    <x v="28"/>
    <x v="12"/>
    <x v="507"/>
    <x v="0"/>
    <x v="8"/>
    <x v="8"/>
    <x v="7"/>
    <x v="0"/>
    <x v="0"/>
    <x v="0"/>
    <x v="1"/>
    <x v="405"/>
    <x v="0"/>
    <x v="0"/>
    <x v="1"/>
    <x v="0"/>
    <x v="0"/>
    <x v="0"/>
    <x v="0"/>
    <x v="1"/>
    <x v="0"/>
    <x v="0"/>
    <x v="0"/>
    <x v="0"/>
    <x v="0"/>
    <x v="0"/>
    <x v="0"/>
    <x v="0"/>
    <x v="0"/>
    <x v="0"/>
    <x v="0"/>
    <x v="0"/>
    <x v="0"/>
    <x v="0"/>
    <x v="0"/>
    <x v="437"/>
    <x v="257"/>
    <x v="1"/>
    <x v="0"/>
    <x v="0"/>
    <x v="28"/>
    <x v="59"/>
    <x v="98"/>
    <x v="0"/>
    <x v="25"/>
    <x v="25"/>
    <x v="450"/>
  </r>
  <r>
    <x v="508"/>
    <x v="0"/>
    <x v="218"/>
    <x v="100"/>
    <x v="7"/>
    <x v="3"/>
    <x v="0"/>
    <x v="0"/>
    <x v="1"/>
    <x v="1"/>
    <x v="342"/>
    <x v="30"/>
    <x v="19"/>
    <x v="61"/>
    <x v="1"/>
    <x v="2"/>
    <x v="342"/>
    <x v="0"/>
    <x v="2"/>
    <x v="12"/>
    <x v="508"/>
    <x v="0"/>
    <x v="218"/>
    <x v="100"/>
    <x v="7"/>
    <x v="3"/>
    <x v="0"/>
    <x v="0"/>
    <x v="1"/>
    <x v="406"/>
    <x v="0"/>
    <x v="0"/>
    <x v="0"/>
    <x v="0"/>
    <x v="0"/>
    <x v="0"/>
    <x v="0"/>
    <x v="0"/>
    <x v="0"/>
    <x v="0"/>
    <x v="0"/>
    <x v="0"/>
    <x v="0"/>
    <x v="0"/>
    <x v="0"/>
    <x v="0"/>
    <x v="0"/>
    <x v="0"/>
    <x v="1"/>
    <x v="0"/>
    <x v="0"/>
    <x v="3"/>
    <x v="0"/>
    <x v="438"/>
    <x v="257"/>
    <x v="6"/>
    <x v="7"/>
    <x v="1"/>
    <x v="4"/>
    <x v="4"/>
    <x v="5"/>
    <x v="0"/>
    <x v="5"/>
    <x v="5"/>
    <x v="451"/>
  </r>
  <r>
    <x v="509"/>
    <x v="142"/>
    <x v="219"/>
    <x v="8"/>
    <x v="41"/>
    <x v="0"/>
    <x v="7"/>
    <x v="1"/>
    <x v="1"/>
    <x v="1"/>
    <x v="2"/>
    <x v="0"/>
    <x v="0"/>
    <x v="0"/>
    <x v="0"/>
    <x v="1"/>
    <x v="2"/>
    <x v="0"/>
    <x v="114"/>
    <x v="6"/>
    <x v="509"/>
    <x v="142"/>
    <x v="219"/>
    <x v="8"/>
    <x v="41"/>
    <x v="0"/>
    <x v="7"/>
    <x v="1"/>
    <x v="1"/>
    <x v="2"/>
    <x v="0"/>
    <x v="1"/>
    <x v="1"/>
    <x v="0"/>
    <x v="0"/>
    <x v="0"/>
    <x v="0"/>
    <x v="0"/>
    <x v="0"/>
    <x v="0"/>
    <x v="0"/>
    <x v="0"/>
    <x v="0"/>
    <x v="0"/>
    <x v="0"/>
    <x v="0"/>
    <x v="0"/>
    <x v="0"/>
    <x v="1"/>
    <x v="0"/>
    <x v="0"/>
    <x v="0"/>
    <x v="0"/>
    <x v="439"/>
    <x v="258"/>
    <x v="6"/>
    <x v="7"/>
    <x v="1"/>
    <x v="4"/>
    <x v="4"/>
    <x v="5"/>
    <x v="0"/>
    <x v="7"/>
    <x v="7"/>
    <x v="452"/>
  </r>
  <r>
    <x v="510"/>
    <x v="95"/>
    <x v="220"/>
    <x v="8"/>
    <x v="7"/>
    <x v="3"/>
    <x v="1"/>
    <x v="1"/>
    <x v="1"/>
    <x v="1"/>
    <x v="343"/>
    <x v="74"/>
    <x v="17"/>
    <x v="83"/>
    <x v="1"/>
    <x v="2"/>
    <x v="343"/>
    <x v="105"/>
    <x v="36"/>
    <x v="6"/>
    <x v="510"/>
    <x v="95"/>
    <x v="220"/>
    <x v="8"/>
    <x v="7"/>
    <x v="3"/>
    <x v="1"/>
    <x v="1"/>
    <x v="1"/>
    <x v="407"/>
    <x v="0"/>
    <x v="0"/>
    <x v="0"/>
    <x v="1"/>
    <x v="0"/>
    <x v="0"/>
    <x v="0"/>
    <x v="0"/>
    <x v="0"/>
    <x v="0"/>
    <x v="0"/>
    <x v="0"/>
    <x v="0"/>
    <x v="0"/>
    <x v="0"/>
    <x v="0"/>
    <x v="0"/>
    <x v="0"/>
    <x v="1"/>
    <x v="0"/>
    <x v="4"/>
    <x v="0"/>
    <x v="1"/>
    <x v="440"/>
    <x v="259"/>
    <x v="119"/>
    <x v="1"/>
    <x v="0"/>
    <x v="1"/>
    <x v="9"/>
    <x v="99"/>
    <x v="0"/>
    <x v="102"/>
    <x v="94"/>
    <x v="453"/>
  </r>
  <r>
    <x v="511"/>
    <x v="54"/>
    <x v="221"/>
    <x v="8"/>
    <x v="141"/>
    <x v="5"/>
    <x v="1"/>
    <x v="1"/>
    <x v="3"/>
    <x v="3"/>
    <x v="7"/>
    <x v="0"/>
    <x v="0"/>
    <x v="0"/>
    <x v="0"/>
    <x v="2"/>
    <x v="7"/>
    <x v="4"/>
    <x v="12"/>
    <x v="8"/>
    <x v="511"/>
    <x v="54"/>
    <x v="221"/>
    <x v="8"/>
    <x v="143"/>
    <x v="5"/>
    <x v="1"/>
    <x v="1"/>
    <x v="3"/>
    <x v="408"/>
    <x v="0"/>
    <x v="0"/>
    <x v="1"/>
    <x v="0"/>
    <x v="0"/>
    <x v="0"/>
    <x v="0"/>
    <x v="0"/>
    <x v="0"/>
    <x v="0"/>
    <x v="0"/>
    <x v="0"/>
    <x v="0"/>
    <x v="0"/>
    <x v="0"/>
    <x v="0"/>
    <x v="0"/>
    <x v="0"/>
    <x v="1"/>
    <x v="0"/>
    <x v="2"/>
    <x v="0"/>
    <x v="0"/>
    <x v="13"/>
    <x v="260"/>
    <x v="43"/>
    <x v="11"/>
    <x v="0"/>
    <x v="5"/>
    <x v="3"/>
    <x v="70"/>
    <x v="1"/>
    <x v="8"/>
    <x v="8"/>
    <x v="13"/>
  </r>
  <r>
    <x v="512"/>
    <x v="54"/>
    <x v="222"/>
    <x v="8"/>
    <x v="141"/>
    <x v="0"/>
    <x v="1"/>
    <x v="1"/>
    <x v="1"/>
    <x v="1"/>
    <x v="344"/>
    <x v="0"/>
    <x v="0"/>
    <x v="0"/>
    <x v="0"/>
    <x v="0"/>
    <x v="344"/>
    <x v="0"/>
    <x v="66"/>
    <x v="6"/>
    <x v="512"/>
    <x v="54"/>
    <x v="222"/>
    <x v="8"/>
    <x v="143"/>
    <x v="0"/>
    <x v="1"/>
    <x v="1"/>
    <x v="1"/>
    <x v="409"/>
    <x v="0"/>
    <x v="0"/>
    <x v="1"/>
    <x v="0"/>
    <x v="0"/>
    <x v="0"/>
    <x v="0"/>
    <x v="0"/>
    <x v="0"/>
    <x v="0"/>
    <x v="0"/>
    <x v="0"/>
    <x v="0"/>
    <x v="0"/>
    <x v="0"/>
    <x v="0"/>
    <x v="0"/>
    <x v="0"/>
    <x v="0"/>
    <x v="0"/>
    <x v="0"/>
    <x v="0"/>
    <x v="0"/>
    <x v="441"/>
    <x v="261"/>
    <x v="179"/>
    <x v="34"/>
    <x v="0"/>
    <x v="5"/>
    <x v="22"/>
    <x v="30"/>
    <x v="1"/>
    <x v="1"/>
    <x v="1"/>
    <x v="454"/>
  </r>
  <r>
    <x v="513"/>
    <x v="143"/>
    <x v="8"/>
    <x v="8"/>
    <x v="91"/>
    <x v="1"/>
    <x v="1"/>
    <x v="1"/>
    <x v="1"/>
    <x v="1"/>
    <x v="137"/>
    <x v="0"/>
    <x v="0"/>
    <x v="0"/>
    <x v="0"/>
    <x v="1"/>
    <x v="137"/>
    <x v="0"/>
    <x v="5"/>
    <x v="24"/>
    <x v="513"/>
    <x v="143"/>
    <x v="8"/>
    <x v="8"/>
    <x v="91"/>
    <x v="1"/>
    <x v="1"/>
    <x v="1"/>
    <x v="1"/>
    <x v="157"/>
    <x v="0"/>
    <x v="0"/>
    <x v="1"/>
    <x v="0"/>
    <x v="0"/>
    <x v="0"/>
    <x v="0"/>
    <x v="0"/>
    <x v="0"/>
    <x v="0"/>
    <x v="0"/>
    <x v="0"/>
    <x v="0"/>
    <x v="0"/>
    <x v="0"/>
    <x v="0"/>
    <x v="0"/>
    <x v="0"/>
    <x v="0"/>
    <x v="0"/>
    <x v="0"/>
    <x v="0"/>
    <x v="0"/>
    <x v="442"/>
    <x v="262"/>
    <x v="180"/>
    <x v="26"/>
    <x v="0"/>
    <x v="0"/>
    <x v="2"/>
    <x v="3"/>
    <x v="0"/>
    <x v="8"/>
    <x v="8"/>
    <x v="455"/>
  </r>
  <r>
    <x v="514"/>
    <x v="144"/>
    <x v="223"/>
    <x v="8"/>
    <x v="142"/>
    <x v="1"/>
    <x v="1"/>
    <x v="1"/>
    <x v="1"/>
    <x v="1"/>
    <x v="174"/>
    <x v="0"/>
    <x v="0"/>
    <x v="0"/>
    <x v="0"/>
    <x v="3"/>
    <x v="174"/>
    <x v="0"/>
    <x v="41"/>
    <x v="6"/>
    <x v="514"/>
    <x v="144"/>
    <x v="223"/>
    <x v="8"/>
    <x v="144"/>
    <x v="1"/>
    <x v="1"/>
    <x v="1"/>
    <x v="1"/>
    <x v="198"/>
    <x v="0"/>
    <x v="0"/>
    <x v="1"/>
    <x v="0"/>
    <x v="0"/>
    <x v="0"/>
    <x v="0"/>
    <x v="0"/>
    <x v="0"/>
    <x v="0"/>
    <x v="0"/>
    <x v="0"/>
    <x v="0"/>
    <x v="0"/>
    <x v="0"/>
    <x v="0"/>
    <x v="0"/>
    <x v="0"/>
    <x v="0"/>
    <x v="0"/>
    <x v="0"/>
    <x v="0"/>
    <x v="0"/>
    <x v="443"/>
    <x v="263"/>
    <x v="181"/>
    <x v="15"/>
    <x v="0"/>
    <x v="5"/>
    <x v="60"/>
    <x v="100"/>
    <x v="1"/>
    <x v="4"/>
    <x v="4"/>
    <x v="456"/>
  </r>
  <r>
    <x v="515"/>
    <x v="145"/>
    <x v="8"/>
    <x v="8"/>
    <x v="1"/>
    <x v="0"/>
    <x v="1"/>
    <x v="1"/>
    <x v="1"/>
    <x v="1"/>
    <x v="179"/>
    <x v="0"/>
    <x v="0"/>
    <x v="0"/>
    <x v="0"/>
    <x v="1"/>
    <x v="179"/>
    <x v="0"/>
    <x v="37"/>
    <x v="11"/>
    <x v="515"/>
    <x v="145"/>
    <x v="8"/>
    <x v="8"/>
    <x v="1"/>
    <x v="0"/>
    <x v="1"/>
    <x v="1"/>
    <x v="1"/>
    <x v="203"/>
    <x v="1"/>
    <x v="0"/>
    <x v="1"/>
    <x v="0"/>
    <x v="0"/>
    <x v="0"/>
    <x v="0"/>
    <x v="0"/>
    <x v="0"/>
    <x v="0"/>
    <x v="0"/>
    <x v="0"/>
    <x v="0"/>
    <x v="0"/>
    <x v="0"/>
    <x v="1"/>
    <x v="0"/>
    <x v="0"/>
    <x v="0"/>
    <x v="0"/>
    <x v="0"/>
    <x v="0"/>
    <x v="1"/>
    <x v="444"/>
    <x v="264"/>
    <x v="6"/>
    <x v="7"/>
    <x v="1"/>
    <x v="4"/>
    <x v="4"/>
    <x v="5"/>
    <x v="0"/>
    <x v="1"/>
    <x v="1"/>
    <x v="457"/>
  </r>
  <r>
    <x v="516"/>
    <x v="2"/>
    <x v="8"/>
    <x v="8"/>
    <x v="143"/>
    <x v="0"/>
    <x v="1"/>
    <x v="2"/>
    <x v="1"/>
    <x v="1"/>
    <x v="345"/>
    <x v="0"/>
    <x v="0"/>
    <x v="0"/>
    <x v="0"/>
    <x v="1"/>
    <x v="345"/>
    <x v="0"/>
    <x v="64"/>
    <x v="6"/>
    <x v="516"/>
    <x v="2"/>
    <x v="8"/>
    <x v="8"/>
    <x v="145"/>
    <x v="0"/>
    <x v="1"/>
    <x v="2"/>
    <x v="1"/>
    <x v="410"/>
    <x v="0"/>
    <x v="0"/>
    <x v="1"/>
    <x v="0"/>
    <x v="0"/>
    <x v="0"/>
    <x v="0"/>
    <x v="0"/>
    <x v="0"/>
    <x v="0"/>
    <x v="0"/>
    <x v="0"/>
    <x v="1"/>
    <x v="0"/>
    <x v="0"/>
    <x v="0"/>
    <x v="0"/>
    <x v="1"/>
    <x v="0"/>
    <x v="0"/>
    <x v="0"/>
    <x v="0"/>
    <x v="1"/>
    <x v="445"/>
    <x v="265"/>
    <x v="6"/>
    <x v="7"/>
    <x v="1"/>
    <x v="4"/>
    <x v="4"/>
    <x v="5"/>
    <x v="0"/>
    <x v="7"/>
    <x v="7"/>
    <x v="458"/>
  </r>
  <r>
    <x v="517"/>
    <x v="117"/>
    <x v="8"/>
    <x v="8"/>
    <x v="144"/>
    <x v="0"/>
    <x v="1"/>
    <x v="5"/>
    <x v="1"/>
    <x v="1"/>
    <x v="119"/>
    <x v="0"/>
    <x v="0"/>
    <x v="0"/>
    <x v="0"/>
    <x v="3"/>
    <x v="119"/>
    <x v="0"/>
    <x v="0"/>
    <x v="6"/>
    <x v="517"/>
    <x v="117"/>
    <x v="8"/>
    <x v="8"/>
    <x v="146"/>
    <x v="0"/>
    <x v="1"/>
    <x v="5"/>
    <x v="1"/>
    <x v="135"/>
    <x v="0"/>
    <x v="0"/>
    <x v="1"/>
    <x v="0"/>
    <x v="0"/>
    <x v="0"/>
    <x v="0"/>
    <x v="0"/>
    <x v="0"/>
    <x v="0"/>
    <x v="0"/>
    <x v="0"/>
    <x v="0"/>
    <x v="0"/>
    <x v="0"/>
    <x v="0"/>
    <x v="0"/>
    <x v="0"/>
    <x v="0"/>
    <x v="0"/>
    <x v="0"/>
    <x v="0"/>
    <x v="0"/>
    <x v="446"/>
    <x v="266"/>
    <x v="6"/>
    <x v="7"/>
    <x v="1"/>
    <x v="4"/>
    <x v="4"/>
    <x v="5"/>
    <x v="0"/>
    <x v="29"/>
    <x v="29"/>
    <x v="459"/>
  </r>
  <r>
    <x v="518"/>
    <x v="146"/>
    <x v="224"/>
    <x v="8"/>
    <x v="65"/>
    <x v="9"/>
    <x v="1"/>
    <x v="1"/>
    <x v="1"/>
    <x v="1"/>
    <x v="53"/>
    <x v="0"/>
    <x v="0"/>
    <x v="0"/>
    <x v="0"/>
    <x v="1"/>
    <x v="53"/>
    <x v="0"/>
    <x v="212"/>
    <x v="6"/>
    <x v="518"/>
    <x v="146"/>
    <x v="224"/>
    <x v="8"/>
    <x v="65"/>
    <x v="9"/>
    <x v="1"/>
    <x v="1"/>
    <x v="1"/>
    <x v="56"/>
    <x v="0"/>
    <x v="0"/>
    <x v="1"/>
    <x v="0"/>
    <x v="0"/>
    <x v="0"/>
    <x v="0"/>
    <x v="0"/>
    <x v="0"/>
    <x v="0"/>
    <x v="0"/>
    <x v="0"/>
    <x v="0"/>
    <x v="0"/>
    <x v="0"/>
    <x v="0"/>
    <x v="0"/>
    <x v="0"/>
    <x v="0"/>
    <x v="0"/>
    <x v="0"/>
    <x v="0"/>
    <x v="0"/>
    <x v="447"/>
    <x v="267"/>
    <x v="150"/>
    <x v="13"/>
    <x v="0"/>
    <x v="17"/>
    <x v="2"/>
    <x v="40"/>
    <x v="0"/>
    <x v="82"/>
    <x v="75"/>
    <x v="460"/>
  </r>
  <r>
    <x v="519"/>
    <x v="147"/>
    <x v="8"/>
    <x v="8"/>
    <x v="145"/>
    <x v="0"/>
    <x v="1"/>
    <x v="1"/>
    <x v="1"/>
    <x v="1"/>
    <x v="346"/>
    <x v="0"/>
    <x v="0"/>
    <x v="0"/>
    <x v="0"/>
    <x v="3"/>
    <x v="346"/>
    <x v="0"/>
    <x v="213"/>
    <x v="6"/>
    <x v="519"/>
    <x v="147"/>
    <x v="8"/>
    <x v="8"/>
    <x v="147"/>
    <x v="0"/>
    <x v="1"/>
    <x v="1"/>
    <x v="1"/>
    <x v="411"/>
    <x v="0"/>
    <x v="0"/>
    <x v="1"/>
    <x v="1"/>
    <x v="0"/>
    <x v="0"/>
    <x v="1"/>
    <x v="0"/>
    <x v="0"/>
    <x v="0"/>
    <x v="0"/>
    <x v="0"/>
    <x v="0"/>
    <x v="0"/>
    <x v="0"/>
    <x v="0"/>
    <x v="0"/>
    <x v="0"/>
    <x v="0"/>
    <x v="0"/>
    <x v="0"/>
    <x v="0"/>
    <x v="3"/>
    <x v="448"/>
    <x v="268"/>
    <x v="182"/>
    <x v="34"/>
    <x v="0"/>
    <x v="5"/>
    <x v="25"/>
    <x v="34"/>
    <x v="1"/>
    <x v="5"/>
    <x v="5"/>
    <x v="461"/>
  </r>
  <r>
    <x v="520"/>
    <x v="148"/>
    <x v="8"/>
    <x v="8"/>
    <x v="146"/>
    <x v="3"/>
    <x v="1"/>
    <x v="1"/>
    <x v="3"/>
    <x v="3"/>
    <x v="189"/>
    <x v="0"/>
    <x v="0"/>
    <x v="0"/>
    <x v="0"/>
    <x v="3"/>
    <x v="189"/>
    <x v="0"/>
    <x v="125"/>
    <x v="12"/>
    <x v="520"/>
    <x v="148"/>
    <x v="8"/>
    <x v="8"/>
    <x v="148"/>
    <x v="3"/>
    <x v="1"/>
    <x v="1"/>
    <x v="3"/>
    <x v="412"/>
    <x v="0"/>
    <x v="0"/>
    <x v="1"/>
    <x v="1"/>
    <x v="0"/>
    <x v="0"/>
    <x v="1"/>
    <x v="0"/>
    <x v="0"/>
    <x v="0"/>
    <x v="0"/>
    <x v="0"/>
    <x v="1"/>
    <x v="0"/>
    <x v="0"/>
    <x v="0"/>
    <x v="0"/>
    <x v="1"/>
    <x v="1"/>
    <x v="0"/>
    <x v="0"/>
    <x v="0"/>
    <x v="3"/>
    <x v="449"/>
    <x v="269"/>
    <x v="183"/>
    <x v="13"/>
    <x v="0"/>
    <x v="3"/>
    <x v="42"/>
    <x v="66"/>
    <x v="0"/>
    <x v="29"/>
    <x v="29"/>
    <x v="462"/>
  </r>
  <r>
    <x v="521"/>
    <x v="2"/>
    <x v="8"/>
    <x v="8"/>
    <x v="1"/>
    <x v="0"/>
    <x v="4"/>
    <x v="2"/>
    <x v="1"/>
    <x v="1"/>
    <x v="225"/>
    <x v="0"/>
    <x v="0"/>
    <x v="0"/>
    <x v="0"/>
    <x v="1"/>
    <x v="225"/>
    <x v="0"/>
    <x v="66"/>
    <x v="10"/>
    <x v="521"/>
    <x v="2"/>
    <x v="8"/>
    <x v="8"/>
    <x v="1"/>
    <x v="0"/>
    <x v="4"/>
    <x v="2"/>
    <x v="1"/>
    <x v="261"/>
    <x v="0"/>
    <x v="0"/>
    <x v="1"/>
    <x v="0"/>
    <x v="0"/>
    <x v="0"/>
    <x v="0"/>
    <x v="0"/>
    <x v="0"/>
    <x v="0"/>
    <x v="0"/>
    <x v="0"/>
    <x v="0"/>
    <x v="0"/>
    <x v="0"/>
    <x v="0"/>
    <x v="0"/>
    <x v="0"/>
    <x v="0"/>
    <x v="0"/>
    <x v="0"/>
    <x v="0"/>
    <x v="0"/>
    <x v="450"/>
    <x v="270"/>
    <x v="1"/>
    <x v="0"/>
    <x v="0"/>
    <x v="5"/>
    <x v="14"/>
    <x v="19"/>
    <x v="1"/>
    <x v="5"/>
    <x v="5"/>
    <x v="463"/>
  </r>
  <r>
    <x v="522"/>
    <x v="2"/>
    <x v="8"/>
    <x v="8"/>
    <x v="140"/>
    <x v="1"/>
    <x v="6"/>
    <x v="2"/>
    <x v="1"/>
    <x v="1"/>
    <x v="108"/>
    <x v="75"/>
    <x v="14"/>
    <x v="84"/>
    <x v="1"/>
    <x v="3"/>
    <x v="108"/>
    <x v="0"/>
    <x v="214"/>
    <x v="6"/>
    <x v="522"/>
    <x v="2"/>
    <x v="8"/>
    <x v="8"/>
    <x v="142"/>
    <x v="1"/>
    <x v="6"/>
    <x v="2"/>
    <x v="1"/>
    <x v="413"/>
    <x v="0"/>
    <x v="1"/>
    <x v="1"/>
    <x v="0"/>
    <x v="0"/>
    <x v="0"/>
    <x v="0"/>
    <x v="0"/>
    <x v="0"/>
    <x v="0"/>
    <x v="0"/>
    <x v="0"/>
    <x v="0"/>
    <x v="0"/>
    <x v="0"/>
    <x v="0"/>
    <x v="0"/>
    <x v="0"/>
    <x v="1"/>
    <x v="0"/>
    <x v="0"/>
    <x v="0"/>
    <x v="0"/>
    <x v="451"/>
    <x v="271"/>
    <x v="13"/>
    <x v="11"/>
    <x v="0"/>
    <x v="5"/>
    <x v="32"/>
    <x v="48"/>
    <x v="1"/>
    <x v="64"/>
    <x v="59"/>
    <x v="464"/>
  </r>
  <r>
    <x v="483"/>
    <x v="2"/>
    <x v="8"/>
    <x v="8"/>
    <x v="7"/>
    <x v="0"/>
    <x v="1"/>
    <x v="2"/>
    <x v="1"/>
    <x v="1"/>
    <x v="347"/>
    <x v="0"/>
    <x v="0"/>
    <x v="0"/>
    <x v="0"/>
    <x v="3"/>
    <x v="347"/>
    <x v="0"/>
    <x v="77"/>
    <x v="31"/>
    <x v="483"/>
    <x v="2"/>
    <x v="8"/>
    <x v="8"/>
    <x v="7"/>
    <x v="0"/>
    <x v="1"/>
    <x v="2"/>
    <x v="1"/>
    <x v="414"/>
    <x v="0"/>
    <x v="0"/>
    <x v="1"/>
    <x v="1"/>
    <x v="0"/>
    <x v="1"/>
    <x v="0"/>
    <x v="0"/>
    <x v="0"/>
    <x v="0"/>
    <x v="0"/>
    <x v="0"/>
    <x v="0"/>
    <x v="0"/>
    <x v="0"/>
    <x v="1"/>
    <x v="0"/>
    <x v="0"/>
    <x v="1"/>
    <x v="0"/>
    <x v="0"/>
    <x v="0"/>
    <x v="2"/>
    <x v="452"/>
    <x v="272"/>
    <x v="22"/>
    <x v="11"/>
    <x v="0"/>
    <x v="5"/>
    <x v="2"/>
    <x v="25"/>
    <x v="1"/>
    <x v="28"/>
    <x v="28"/>
    <x v="465"/>
  </r>
  <r>
    <x v="523"/>
    <x v="149"/>
    <x v="8"/>
    <x v="8"/>
    <x v="7"/>
    <x v="0"/>
    <x v="1"/>
    <x v="1"/>
    <x v="1"/>
    <x v="1"/>
    <x v="348"/>
    <x v="0"/>
    <x v="0"/>
    <x v="0"/>
    <x v="0"/>
    <x v="3"/>
    <x v="348"/>
    <x v="0"/>
    <x v="36"/>
    <x v="12"/>
    <x v="523"/>
    <x v="149"/>
    <x v="8"/>
    <x v="8"/>
    <x v="7"/>
    <x v="0"/>
    <x v="1"/>
    <x v="1"/>
    <x v="1"/>
    <x v="415"/>
    <x v="1"/>
    <x v="0"/>
    <x v="1"/>
    <x v="1"/>
    <x v="0"/>
    <x v="0"/>
    <x v="0"/>
    <x v="0"/>
    <x v="0"/>
    <x v="0"/>
    <x v="0"/>
    <x v="0"/>
    <x v="0"/>
    <x v="0"/>
    <x v="0"/>
    <x v="1"/>
    <x v="0"/>
    <x v="0"/>
    <x v="0"/>
    <x v="0"/>
    <x v="0"/>
    <x v="0"/>
    <x v="2"/>
    <x v="453"/>
    <x v="273"/>
    <x v="184"/>
    <x v="24"/>
    <x v="0"/>
    <x v="10"/>
    <x v="3"/>
    <x v="13"/>
    <x v="0"/>
    <x v="10"/>
    <x v="10"/>
    <x v="466"/>
  </r>
  <r>
    <x v="524"/>
    <x v="150"/>
    <x v="8"/>
    <x v="8"/>
    <x v="58"/>
    <x v="5"/>
    <x v="1"/>
    <x v="1"/>
    <x v="2"/>
    <x v="2"/>
    <x v="189"/>
    <x v="0"/>
    <x v="0"/>
    <x v="0"/>
    <x v="0"/>
    <x v="3"/>
    <x v="189"/>
    <x v="0"/>
    <x v="12"/>
    <x v="8"/>
    <x v="524"/>
    <x v="150"/>
    <x v="8"/>
    <x v="8"/>
    <x v="58"/>
    <x v="5"/>
    <x v="1"/>
    <x v="1"/>
    <x v="2"/>
    <x v="416"/>
    <x v="0"/>
    <x v="0"/>
    <x v="1"/>
    <x v="0"/>
    <x v="0"/>
    <x v="0"/>
    <x v="0"/>
    <x v="0"/>
    <x v="0"/>
    <x v="0"/>
    <x v="0"/>
    <x v="0"/>
    <x v="1"/>
    <x v="0"/>
    <x v="0"/>
    <x v="0"/>
    <x v="0"/>
    <x v="1"/>
    <x v="1"/>
    <x v="0"/>
    <x v="0"/>
    <x v="0"/>
    <x v="1"/>
    <x v="13"/>
    <x v="274"/>
    <x v="43"/>
    <x v="13"/>
    <x v="0"/>
    <x v="0"/>
    <x v="2"/>
    <x v="3"/>
    <x v="0"/>
    <x v="8"/>
    <x v="8"/>
    <x v="13"/>
  </r>
  <r>
    <x v="525"/>
    <x v="151"/>
    <x v="8"/>
    <x v="8"/>
    <x v="0"/>
    <x v="0"/>
    <x v="1"/>
    <x v="1"/>
    <x v="1"/>
    <x v="1"/>
    <x v="349"/>
    <x v="0"/>
    <x v="0"/>
    <x v="0"/>
    <x v="0"/>
    <x v="0"/>
    <x v="349"/>
    <x v="0"/>
    <x v="12"/>
    <x v="6"/>
    <x v="525"/>
    <x v="151"/>
    <x v="8"/>
    <x v="8"/>
    <x v="0"/>
    <x v="0"/>
    <x v="1"/>
    <x v="1"/>
    <x v="1"/>
    <x v="417"/>
    <x v="0"/>
    <x v="0"/>
    <x v="0"/>
    <x v="0"/>
    <x v="1"/>
    <x v="0"/>
    <x v="0"/>
    <x v="0"/>
    <x v="0"/>
    <x v="0"/>
    <x v="0"/>
    <x v="0"/>
    <x v="0"/>
    <x v="0"/>
    <x v="0"/>
    <x v="0"/>
    <x v="0"/>
    <x v="0"/>
    <x v="1"/>
    <x v="0"/>
    <x v="0"/>
    <x v="6"/>
    <x v="1"/>
    <x v="454"/>
    <x v="275"/>
    <x v="185"/>
    <x v="34"/>
    <x v="0"/>
    <x v="3"/>
    <x v="31"/>
    <x v="45"/>
    <x v="0"/>
    <x v="96"/>
    <x v="88"/>
    <x v="13"/>
  </r>
  <r>
    <x v="526"/>
    <x v="152"/>
    <x v="8"/>
    <x v="8"/>
    <x v="3"/>
    <x v="5"/>
    <x v="1"/>
    <x v="1"/>
    <x v="2"/>
    <x v="2"/>
    <x v="350"/>
    <x v="0"/>
    <x v="0"/>
    <x v="0"/>
    <x v="0"/>
    <x v="0"/>
    <x v="350"/>
    <x v="106"/>
    <x v="12"/>
    <x v="8"/>
    <x v="526"/>
    <x v="152"/>
    <x v="8"/>
    <x v="8"/>
    <x v="3"/>
    <x v="5"/>
    <x v="1"/>
    <x v="1"/>
    <x v="2"/>
    <x v="418"/>
    <x v="0"/>
    <x v="0"/>
    <x v="1"/>
    <x v="0"/>
    <x v="0"/>
    <x v="0"/>
    <x v="0"/>
    <x v="0"/>
    <x v="0"/>
    <x v="0"/>
    <x v="0"/>
    <x v="0"/>
    <x v="1"/>
    <x v="0"/>
    <x v="0"/>
    <x v="0"/>
    <x v="0"/>
    <x v="1"/>
    <x v="0"/>
    <x v="0"/>
    <x v="2"/>
    <x v="0"/>
    <x v="1"/>
    <x v="455"/>
    <x v="276"/>
    <x v="186"/>
    <x v="54"/>
    <x v="0"/>
    <x v="0"/>
    <x v="2"/>
    <x v="3"/>
    <x v="0"/>
    <x v="12"/>
    <x v="12"/>
    <x v="13"/>
  </r>
  <r>
    <x v="527"/>
    <x v="103"/>
    <x v="225"/>
    <x v="101"/>
    <x v="109"/>
    <x v="4"/>
    <x v="1"/>
    <x v="1"/>
    <x v="1"/>
    <x v="1"/>
    <x v="351"/>
    <x v="0"/>
    <x v="0"/>
    <x v="0"/>
    <x v="0"/>
    <x v="3"/>
    <x v="351"/>
    <x v="0"/>
    <x v="0"/>
    <x v="6"/>
    <x v="527"/>
    <x v="103"/>
    <x v="225"/>
    <x v="101"/>
    <x v="109"/>
    <x v="4"/>
    <x v="1"/>
    <x v="1"/>
    <x v="1"/>
    <x v="419"/>
    <x v="0"/>
    <x v="0"/>
    <x v="1"/>
    <x v="0"/>
    <x v="0"/>
    <x v="0"/>
    <x v="0"/>
    <x v="0"/>
    <x v="0"/>
    <x v="0"/>
    <x v="0"/>
    <x v="0"/>
    <x v="0"/>
    <x v="0"/>
    <x v="0"/>
    <x v="0"/>
    <x v="0"/>
    <x v="0"/>
    <x v="0"/>
    <x v="0"/>
    <x v="0"/>
    <x v="0"/>
    <x v="0"/>
    <x v="102"/>
    <x v="277"/>
    <x v="187"/>
    <x v="66"/>
    <x v="0"/>
    <x v="0"/>
    <x v="31"/>
    <x v="73"/>
    <x v="0"/>
    <x v="5"/>
    <x v="5"/>
    <x v="467"/>
  </r>
  <r>
    <x v="528"/>
    <x v="123"/>
    <x v="8"/>
    <x v="8"/>
    <x v="0"/>
    <x v="0"/>
    <x v="1"/>
    <x v="1"/>
    <x v="1"/>
    <x v="1"/>
    <x v="352"/>
    <x v="21"/>
    <x v="19"/>
    <x v="85"/>
    <x v="1"/>
    <x v="0"/>
    <x v="352"/>
    <x v="0"/>
    <x v="78"/>
    <x v="6"/>
    <x v="528"/>
    <x v="123"/>
    <x v="8"/>
    <x v="8"/>
    <x v="0"/>
    <x v="0"/>
    <x v="1"/>
    <x v="1"/>
    <x v="1"/>
    <x v="420"/>
    <x v="0"/>
    <x v="0"/>
    <x v="0"/>
    <x v="0"/>
    <x v="1"/>
    <x v="0"/>
    <x v="0"/>
    <x v="0"/>
    <x v="0"/>
    <x v="0"/>
    <x v="0"/>
    <x v="0"/>
    <x v="0"/>
    <x v="0"/>
    <x v="0"/>
    <x v="1"/>
    <x v="0"/>
    <x v="0"/>
    <x v="0"/>
    <x v="0"/>
    <x v="0"/>
    <x v="0"/>
    <x v="1"/>
    <x v="456"/>
    <x v="278"/>
    <x v="188"/>
    <x v="13"/>
    <x v="0"/>
    <x v="5"/>
    <x v="3"/>
    <x v="70"/>
    <x v="1"/>
    <x v="82"/>
    <x v="75"/>
    <x v="468"/>
  </r>
  <r>
    <x v="529"/>
    <x v="123"/>
    <x v="8"/>
    <x v="8"/>
    <x v="2"/>
    <x v="0"/>
    <x v="1"/>
    <x v="1"/>
    <x v="1"/>
    <x v="1"/>
    <x v="52"/>
    <x v="0"/>
    <x v="0"/>
    <x v="0"/>
    <x v="0"/>
    <x v="0"/>
    <x v="52"/>
    <x v="0"/>
    <x v="183"/>
    <x v="6"/>
    <x v="529"/>
    <x v="123"/>
    <x v="8"/>
    <x v="8"/>
    <x v="2"/>
    <x v="0"/>
    <x v="1"/>
    <x v="1"/>
    <x v="1"/>
    <x v="343"/>
    <x v="0"/>
    <x v="0"/>
    <x v="0"/>
    <x v="0"/>
    <x v="1"/>
    <x v="0"/>
    <x v="1"/>
    <x v="0"/>
    <x v="0"/>
    <x v="0"/>
    <x v="0"/>
    <x v="0"/>
    <x v="0"/>
    <x v="0"/>
    <x v="0"/>
    <x v="1"/>
    <x v="0"/>
    <x v="0"/>
    <x v="1"/>
    <x v="0"/>
    <x v="0"/>
    <x v="3"/>
    <x v="1"/>
    <x v="457"/>
    <x v="278"/>
    <x v="188"/>
    <x v="13"/>
    <x v="0"/>
    <x v="5"/>
    <x v="3"/>
    <x v="70"/>
    <x v="1"/>
    <x v="100"/>
    <x v="92"/>
    <x v="469"/>
  </r>
  <r>
    <x v="530"/>
    <x v="123"/>
    <x v="8"/>
    <x v="8"/>
    <x v="0"/>
    <x v="0"/>
    <x v="1"/>
    <x v="1"/>
    <x v="1"/>
    <x v="1"/>
    <x v="115"/>
    <x v="0"/>
    <x v="0"/>
    <x v="0"/>
    <x v="0"/>
    <x v="1"/>
    <x v="115"/>
    <x v="0"/>
    <x v="78"/>
    <x v="6"/>
    <x v="530"/>
    <x v="123"/>
    <x v="8"/>
    <x v="8"/>
    <x v="0"/>
    <x v="0"/>
    <x v="1"/>
    <x v="1"/>
    <x v="1"/>
    <x v="286"/>
    <x v="0"/>
    <x v="0"/>
    <x v="1"/>
    <x v="0"/>
    <x v="0"/>
    <x v="0"/>
    <x v="0"/>
    <x v="0"/>
    <x v="0"/>
    <x v="0"/>
    <x v="0"/>
    <x v="0"/>
    <x v="0"/>
    <x v="0"/>
    <x v="0"/>
    <x v="1"/>
    <x v="0"/>
    <x v="0"/>
    <x v="0"/>
    <x v="0"/>
    <x v="0"/>
    <x v="0"/>
    <x v="1"/>
    <x v="105"/>
    <x v="278"/>
    <x v="19"/>
    <x v="17"/>
    <x v="0"/>
    <x v="5"/>
    <x v="5"/>
    <x v="6"/>
    <x v="1"/>
    <x v="1"/>
    <x v="1"/>
    <x v="470"/>
  </r>
  <r>
    <x v="531"/>
    <x v="123"/>
    <x v="8"/>
    <x v="8"/>
    <x v="2"/>
    <x v="3"/>
    <x v="1"/>
    <x v="1"/>
    <x v="1"/>
    <x v="1"/>
    <x v="353"/>
    <x v="0"/>
    <x v="0"/>
    <x v="0"/>
    <x v="0"/>
    <x v="2"/>
    <x v="353"/>
    <x v="107"/>
    <x v="215"/>
    <x v="18"/>
    <x v="531"/>
    <x v="123"/>
    <x v="8"/>
    <x v="8"/>
    <x v="2"/>
    <x v="3"/>
    <x v="1"/>
    <x v="1"/>
    <x v="1"/>
    <x v="421"/>
    <x v="0"/>
    <x v="0"/>
    <x v="1"/>
    <x v="0"/>
    <x v="0"/>
    <x v="0"/>
    <x v="0"/>
    <x v="1"/>
    <x v="1"/>
    <x v="0"/>
    <x v="0"/>
    <x v="0"/>
    <x v="1"/>
    <x v="0"/>
    <x v="0"/>
    <x v="1"/>
    <x v="0"/>
    <x v="1"/>
    <x v="1"/>
    <x v="0"/>
    <x v="2"/>
    <x v="0"/>
    <x v="2"/>
    <x v="458"/>
    <x v="278"/>
    <x v="19"/>
    <x v="17"/>
    <x v="0"/>
    <x v="5"/>
    <x v="3"/>
    <x v="70"/>
    <x v="1"/>
    <x v="26"/>
    <x v="26"/>
    <x v="471"/>
  </r>
  <r>
    <x v="532"/>
    <x v="123"/>
    <x v="8"/>
    <x v="8"/>
    <x v="2"/>
    <x v="0"/>
    <x v="1"/>
    <x v="1"/>
    <x v="1"/>
    <x v="1"/>
    <x v="354"/>
    <x v="0"/>
    <x v="0"/>
    <x v="0"/>
    <x v="0"/>
    <x v="3"/>
    <x v="354"/>
    <x v="0"/>
    <x v="216"/>
    <x v="6"/>
    <x v="532"/>
    <x v="123"/>
    <x v="8"/>
    <x v="8"/>
    <x v="2"/>
    <x v="0"/>
    <x v="1"/>
    <x v="1"/>
    <x v="1"/>
    <x v="422"/>
    <x v="0"/>
    <x v="0"/>
    <x v="0"/>
    <x v="0"/>
    <x v="1"/>
    <x v="0"/>
    <x v="1"/>
    <x v="0"/>
    <x v="0"/>
    <x v="0"/>
    <x v="0"/>
    <x v="0"/>
    <x v="1"/>
    <x v="0"/>
    <x v="0"/>
    <x v="1"/>
    <x v="0"/>
    <x v="1"/>
    <x v="0"/>
    <x v="0"/>
    <x v="0"/>
    <x v="0"/>
    <x v="2"/>
    <x v="459"/>
    <x v="278"/>
    <x v="45"/>
    <x v="11"/>
    <x v="0"/>
    <x v="5"/>
    <x v="5"/>
    <x v="6"/>
    <x v="1"/>
    <x v="29"/>
    <x v="29"/>
    <x v="472"/>
  </r>
  <r>
    <x v="533"/>
    <x v="123"/>
    <x v="8"/>
    <x v="102"/>
    <x v="3"/>
    <x v="3"/>
    <x v="1"/>
    <x v="1"/>
    <x v="1"/>
    <x v="1"/>
    <x v="355"/>
    <x v="0"/>
    <x v="0"/>
    <x v="0"/>
    <x v="0"/>
    <x v="3"/>
    <x v="355"/>
    <x v="108"/>
    <x v="217"/>
    <x v="6"/>
    <x v="533"/>
    <x v="123"/>
    <x v="8"/>
    <x v="102"/>
    <x v="3"/>
    <x v="3"/>
    <x v="1"/>
    <x v="1"/>
    <x v="1"/>
    <x v="423"/>
    <x v="0"/>
    <x v="0"/>
    <x v="1"/>
    <x v="0"/>
    <x v="0"/>
    <x v="0"/>
    <x v="0"/>
    <x v="1"/>
    <x v="1"/>
    <x v="0"/>
    <x v="0"/>
    <x v="0"/>
    <x v="1"/>
    <x v="0"/>
    <x v="0"/>
    <x v="0"/>
    <x v="0"/>
    <x v="1"/>
    <x v="0"/>
    <x v="0"/>
    <x v="1"/>
    <x v="0"/>
    <x v="2"/>
    <x v="460"/>
    <x v="278"/>
    <x v="45"/>
    <x v="11"/>
    <x v="0"/>
    <x v="5"/>
    <x v="5"/>
    <x v="6"/>
    <x v="1"/>
    <x v="1"/>
    <x v="1"/>
    <x v="473"/>
  </r>
  <r>
    <x v="534"/>
    <x v="123"/>
    <x v="8"/>
    <x v="8"/>
    <x v="147"/>
    <x v="3"/>
    <x v="1"/>
    <x v="1"/>
    <x v="1"/>
    <x v="1"/>
    <x v="356"/>
    <x v="0"/>
    <x v="0"/>
    <x v="0"/>
    <x v="0"/>
    <x v="2"/>
    <x v="356"/>
    <x v="109"/>
    <x v="125"/>
    <x v="6"/>
    <x v="534"/>
    <x v="123"/>
    <x v="8"/>
    <x v="8"/>
    <x v="149"/>
    <x v="3"/>
    <x v="1"/>
    <x v="1"/>
    <x v="1"/>
    <x v="424"/>
    <x v="0"/>
    <x v="0"/>
    <x v="0"/>
    <x v="0"/>
    <x v="1"/>
    <x v="0"/>
    <x v="0"/>
    <x v="1"/>
    <x v="1"/>
    <x v="0"/>
    <x v="0"/>
    <x v="0"/>
    <x v="1"/>
    <x v="0"/>
    <x v="0"/>
    <x v="0"/>
    <x v="0"/>
    <x v="1"/>
    <x v="1"/>
    <x v="0"/>
    <x v="1"/>
    <x v="0"/>
    <x v="3"/>
    <x v="461"/>
    <x v="278"/>
    <x v="86"/>
    <x v="17"/>
    <x v="0"/>
    <x v="5"/>
    <x v="3"/>
    <x v="70"/>
    <x v="1"/>
    <x v="44"/>
    <x v="44"/>
    <x v="474"/>
  </r>
  <r>
    <x v="535"/>
    <x v="123"/>
    <x v="8"/>
    <x v="8"/>
    <x v="147"/>
    <x v="3"/>
    <x v="1"/>
    <x v="1"/>
    <x v="1"/>
    <x v="1"/>
    <x v="357"/>
    <x v="0"/>
    <x v="0"/>
    <x v="0"/>
    <x v="0"/>
    <x v="2"/>
    <x v="357"/>
    <x v="110"/>
    <x v="3"/>
    <x v="11"/>
    <x v="535"/>
    <x v="123"/>
    <x v="8"/>
    <x v="8"/>
    <x v="149"/>
    <x v="3"/>
    <x v="1"/>
    <x v="1"/>
    <x v="1"/>
    <x v="425"/>
    <x v="0"/>
    <x v="0"/>
    <x v="0"/>
    <x v="0"/>
    <x v="1"/>
    <x v="0"/>
    <x v="0"/>
    <x v="0"/>
    <x v="1"/>
    <x v="0"/>
    <x v="0"/>
    <x v="0"/>
    <x v="1"/>
    <x v="0"/>
    <x v="0"/>
    <x v="0"/>
    <x v="0"/>
    <x v="1"/>
    <x v="1"/>
    <x v="0"/>
    <x v="1"/>
    <x v="0"/>
    <x v="2"/>
    <x v="462"/>
    <x v="278"/>
    <x v="86"/>
    <x v="17"/>
    <x v="0"/>
    <x v="5"/>
    <x v="22"/>
    <x v="30"/>
    <x v="1"/>
    <x v="2"/>
    <x v="2"/>
    <x v="475"/>
  </r>
  <r>
    <x v="536"/>
    <x v="123"/>
    <x v="8"/>
    <x v="8"/>
    <x v="148"/>
    <x v="3"/>
    <x v="1"/>
    <x v="1"/>
    <x v="1"/>
    <x v="1"/>
    <x v="257"/>
    <x v="0"/>
    <x v="0"/>
    <x v="0"/>
    <x v="0"/>
    <x v="2"/>
    <x v="257"/>
    <x v="111"/>
    <x v="206"/>
    <x v="6"/>
    <x v="536"/>
    <x v="123"/>
    <x v="8"/>
    <x v="8"/>
    <x v="150"/>
    <x v="3"/>
    <x v="1"/>
    <x v="1"/>
    <x v="1"/>
    <x v="300"/>
    <x v="0"/>
    <x v="0"/>
    <x v="1"/>
    <x v="0"/>
    <x v="0"/>
    <x v="0"/>
    <x v="0"/>
    <x v="0"/>
    <x v="0"/>
    <x v="0"/>
    <x v="0"/>
    <x v="0"/>
    <x v="1"/>
    <x v="0"/>
    <x v="0"/>
    <x v="0"/>
    <x v="0"/>
    <x v="1"/>
    <x v="1"/>
    <x v="0"/>
    <x v="2"/>
    <x v="0"/>
    <x v="1"/>
    <x v="463"/>
    <x v="278"/>
    <x v="86"/>
    <x v="17"/>
    <x v="0"/>
    <x v="5"/>
    <x v="3"/>
    <x v="70"/>
    <x v="1"/>
    <x v="1"/>
    <x v="1"/>
    <x v="476"/>
  </r>
  <r>
    <x v="537"/>
    <x v="123"/>
    <x v="226"/>
    <x v="8"/>
    <x v="149"/>
    <x v="1"/>
    <x v="1"/>
    <x v="1"/>
    <x v="1"/>
    <x v="1"/>
    <x v="86"/>
    <x v="0"/>
    <x v="0"/>
    <x v="0"/>
    <x v="0"/>
    <x v="1"/>
    <x v="86"/>
    <x v="0"/>
    <x v="218"/>
    <x v="6"/>
    <x v="537"/>
    <x v="123"/>
    <x v="226"/>
    <x v="8"/>
    <x v="151"/>
    <x v="1"/>
    <x v="1"/>
    <x v="1"/>
    <x v="1"/>
    <x v="92"/>
    <x v="0"/>
    <x v="0"/>
    <x v="1"/>
    <x v="0"/>
    <x v="0"/>
    <x v="0"/>
    <x v="0"/>
    <x v="0"/>
    <x v="0"/>
    <x v="0"/>
    <x v="0"/>
    <x v="0"/>
    <x v="0"/>
    <x v="0"/>
    <x v="0"/>
    <x v="0"/>
    <x v="0"/>
    <x v="0"/>
    <x v="0"/>
    <x v="0"/>
    <x v="0"/>
    <x v="0"/>
    <x v="0"/>
    <x v="464"/>
    <x v="278"/>
    <x v="86"/>
    <x v="17"/>
    <x v="0"/>
    <x v="5"/>
    <x v="3"/>
    <x v="70"/>
    <x v="1"/>
    <x v="2"/>
    <x v="2"/>
    <x v="477"/>
  </r>
  <r>
    <x v="538"/>
    <x v="123"/>
    <x v="8"/>
    <x v="8"/>
    <x v="43"/>
    <x v="3"/>
    <x v="1"/>
    <x v="1"/>
    <x v="1"/>
    <x v="1"/>
    <x v="358"/>
    <x v="0"/>
    <x v="0"/>
    <x v="0"/>
    <x v="0"/>
    <x v="2"/>
    <x v="358"/>
    <x v="112"/>
    <x v="72"/>
    <x v="24"/>
    <x v="538"/>
    <x v="123"/>
    <x v="8"/>
    <x v="8"/>
    <x v="152"/>
    <x v="3"/>
    <x v="1"/>
    <x v="1"/>
    <x v="1"/>
    <x v="426"/>
    <x v="0"/>
    <x v="0"/>
    <x v="1"/>
    <x v="0"/>
    <x v="0"/>
    <x v="0"/>
    <x v="0"/>
    <x v="0"/>
    <x v="0"/>
    <x v="0"/>
    <x v="0"/>
    <x v="0"/>
    <x v="1"/>
    <x v="0"/>
    <x v="0"/>
    <x v="1"/>
    <x v="0"/>
    <x v="1"/>
    <x v="1"/>
    <x v="0"/>
    <x v="1"/>
    <x v="0"/>
    <x v="2"/>
    <x v="465"/>
    <x v="278"/>
    <x v="86"/>
    <x v="17"/>
    <x v="0"/>
    <x v="5"/>
    <x v="3"/>
    <x v="70"/>
    <x v="1"/>
    <x v="1"/>
    <x v="1"/>
    <x v="478"/>
  </r>
  <r>
    <x v="539"/>
    <x v="123"/>
    <x v="8"/>
    <x v="8"/>
    <x v="43"/>
    <x v="3"/>
    <x v="1"/>
    <x v="1"/>
    <x v="1"/>
    <x v="1"/>
    <x v="359"/>
    <x v="0"/>
    <x v="0"/>
    <x v="0"/>
    <x v="0"/>
    <x v="0"/>
    <x v="359"/>
    <x v="113"/>
    <x v="219"/>
    <x v="6"/>
    <x v="539"/>
    <x v="123"/>
    <x v="8"/>
    <x v="8"/>
    <x v="152"/>
    <x v="3"/>
    <x v="1"/>
    <x v="1"/>
    <x v="1"/>
    <x v="427"/>
    <x v="0"/>
    <x v="0"/>
    <x v="1"/>
    <x v="0"/>
    <x v="0"/>
    <x v="0"/>
    <x v="0"/>
    <x v="0"/>
    <x v="0"/>
    <x v="0"/>
    <x v="0"/>
    <x v="0"/>
    <x v="1"/>
    <x v="0"/>
    <x v="0"/>
    <x v="1"/>
    <x v="0"/>
    <x v="1"/>
    <x v="1"/>
    <x v="0"/>
    <x v="1"/>
    <x v="0"/>
    <x v="1"/>
    <x v="466"/>
    <x v="278"/>
    <x v="86"/>
    <x v="17"/>
    <x v="0"/>
    <x v="5"/>
    <x v="22"/>
    <x v="30"/>
    <x v="1"/>
    <x v="1"/>
    <x v="1"/>
    <x v="479"/>
  </r>
  <r>
    <x v="540"/>
    <x v="123"/>
    <x v="8"/>
    <x v="8"/>
    <x v="0"/>
    <x v="3"/>
    <x v="1"/>
    <x v="1"/>
    <x v="1"/>
    <x v="1"/>
    <x v="360"/>
    <x v="0"/>
    <x v="0"/>
    <x v="0"/>
    <x v="0"/>
    <x v="0"/>
    <x v="360"/>
    <x v="114"/>
    <x v="220"/>
    <x v="6"/>
    <x v="540"/>
    <x v="123"/>
    <x v="8"/>
    <x v="8"/>
    <x v="0"/>
    <x v="3"/>
    <x v="1"/>
    <x v="1"/>
    <x v="1"/>
    <x v="428"/>
    <x v="0"/>
    <x v="0"/>
    <x v="1"/>
    <x v="0"/>
    <x v="0"/>
    <x v="0"/>
    <x v="0"/>
    <x v="0"/>
    <x v="0"/>
    <x v="0"/>
    <x v="0"/>
    <x v="0"/>
    <x v="1"/>
    <x v="0"/>
    <x v="0"/>
    <x v="1"/>
    <x v="0"/>
    <x v="1"/>
    <x v="1"/>
    <x v="0"/>
    <x v="1"/>
    <x v="0"/>
    <x v="1"/>
    <x v="467"/>
    <x v="278"/>
    <x v="86"/>
    <x v="17"/>
    <x v="0"/>
    <x v="5"/>
    <x v="3"/>
    <x v="70"/>
    <x v="1"/>
    <x v="5"/>
    <x v="5"/>
    <x v="480"/>
  </r>
  <r>
    <x v="541"/>
    <x v="123"/>
    <x v="8"/>
    <x v="8"/>
    <x v="0"/>
    <x v="3"/>
    <x v="1"/>
    <x v="1"/>
    <x v="1"/>
    <x v="1"/>
    <x v="188"/>
    <x v="0"/>
    <x v="0"/>
    <x v="0"/>
    <x v="0"/>
    <x v="0"/>
    <x v="188"/>
    <x v="9"/>
    <x v="26"/>
    <x v="16"/>
    <x v="541"/>
    <x v="123"/>
    <x v="8"/>
    <x v="8"/>
    <x v="0"/>
    <x v="3"/>
    <x v="1"/>
    <x v="1"/>
    <x v="1"/>
    <x v="213"/>
    <x v="0"/>
    <x v="0"/>
    <x v="1"/>
    <x v="0"/>
    <x v="0"/>
    <x v="0"/>
    <x v="1"/>
    <x v="0"/>
    <x v="0"/>
    <x v="0"/>
    <x v="0"/>
    <x v="0"/>
    <x v="1"/>
    <x v="0"/>
    <x v="0"/>
    <x v="0"/>
    <x v="0"/>
    <x v="1"/>
    <x v="1"/>
    <x v="0"/>
    <x v="1"/>
    <x v="0"/>
    <x v="3"/>
    <x v="468"/>
    <x v="278"/>
    <x v="86"/>
    <x v="17"/>
    <x v="0"/>
    <x v="5"/>
    <x v="5"/>
    <x v="6"/>
    <x v="1"/>
    <x v="29"/>
    <x v="29"/>
    <x v="481"/>
  </r>
  <r>
    <x v="542"/>
    <x v="123"/>
    <x v="8"/>
    <x v="103"/>
    <x v="0"/>
    <x v="3"/>
    <x v="1"/>
    <x v="1"/>
    <x v="1"/>
    <x v="1"/>
    <x v="236"/>
    <x v="0"/>
    <x v="0"/>
    <x v="0"/>
    <x v="0"/>
    <x v="2"/>
    <x v="236"/>
    <x v="115"/>
    <x v="221"/>
    <x v="6"/>
    <x v="542"/>
    <x v="123"/>
    <x v="8"/>
    <x v="103"/>
    <x v="0"/>
    <x v="3"/>
    <x v="1"/>
    <x v="1"/>
    <x v="1"/>
    <x v="370"/>
    <x v="0"/>
    <x v="0"/>
    <x v="1"/>
    <x v="0"/>
    <x v="0"/>
    <x v="0"/>
    <x v="0"/>
    <x v="0"/>
    <x v="0"/>
    <x v="0"/>
    <x v="0"/>
    <x v="0"/>
    <x v="1"/>
    <x v="0"/>
    <x v="0"/>
    <x v="1"/>
    <x v="0"/>
    <x v="1"/>
    <x v="1"/>
    <x v="0"/>
    <x v="1"/>
    <x v="0"/>
    <x v="1"/>
    <x v="209"/>
    <x v="278"/>
    <x v="86"/>
    <x v="17"/>
    <x v="0"/>
    <x v="5"/>
    <x v="22"/>
    <x v="30"/>
    <x v="1"/>
    <x v="2"/>
    <x v="2"/>
    <x v="482"/>
  </r>
  <r>
    <x v="543"/>
    <x v="123"/>
    <x v="8"/>
    <x v="8"/>
    <x v="0"/>
    <x v="3"/>
    <x v="1"/>
    <x v="1"/>
    <x v="1"/>
    <x v="1"/>
    <x v="149"/>
    <x v="0"/>
    <x v="0"/>
    <x v="0"/>
    <x v="0"/>
    <x v="0"/>
    <x v="149"/>
    <x v="116"/>
    <x v="222"/>
    <x v="24"/>
    <x v="543"/>
    <x v="123"/>
    <x v="8"/>
    <x v="8"/>
    <x v="0"/>
    <x v="3"/>
    <x v="1"/>
    <x v="1"/>
    <x v="1"/>
    <x v="371"/>
    <x v="0"/>
    <x v="0"/>
    <x v="1"/>
    <x v="0"/>
    <x v="0"/>
    <x v="0"/>
    <x v="0"/>
    <x v="0"/>
    <x v="0"/>
    <x v="0"/>
    <x v="0"/>
    <x v="0"/>
    <x v="1"/>
    <x v="0"/>
    <x v="0"/>
    <x v="1"/>
    <x v="0"/>
    <x v="1"/>
    <x v="1"/>
    <x v="0"/>
    <x v="2"/>
    <x v="0"/>
    <x v="1"/>
    <x v="65"/>
    <x v="278"/>
    <x v="86"/>
    <x v="17"/>
    <x v="0"/>
    <x v="5"/>
    <x v="3"/>
    <x v="70"/>
    <x v="1"/>
    <x v="2"/>
    <x v="2"/>
    <x v="483"/>
  </r>
  <r>
    <x v="544"/>
    <x v="123"/>
    <x v="8"/>
    <x v="8"/>
    <x v="3"/>
    <x v="5"/>
    <x v="1"/>
    <x v="1"/>
    <x v="1"/>
    <x v="1"/>
    <x v="189"/>
    <x v="76"/>
    <x v="19"/>
    <x v="45"/>
    <x v="1"/>
    <x v="3"/>
    <x v="189"/>
    <x v="117"/>
    <x v="211"/>
    <x v="6"/>
    <x v="544"/>
    <x v="123"/>
    <x v="8"/>
    <x v="8"/>
    <x v="3"/>
    <x v="5"/>
    <x v="1"/>
    <x v="1"/>
    <x v="1"/>
    <x v="429"/>
    <x v="0"/>
    <x v="0"/>
    <x v="1"/>
    <x v="0"/>
    <x v="0"/>
    <x v="0"/>
    <x v="0"/>
    <x v="0"/>
    <x v="0"/>
    <x v="0"/>
    <x v="0"/>
    <x v="0"/>
    <x v="1"/>
    <x v="0"/>
    <x v="0"/>
    <x v="0"/>
    <x v="0"/>
    <x v="1"/>
    <x v="1"/>
    <x v="0"/>
    <x v="1"/>
    <x v="0"/>
    <x v="1"/>
    <x v="469"/>
    <x v="278"/>
    <x v="86"/>
    <x v="17"/>
    <x v="0"/>
    <x v="5"/>
    <x v="3"/>
    <x v="70"/>
    <x v="1"/>
    <x v="1"/>
    <x v="1"/>
    <x v="484"/>
  </r>
  <r>
    <x v="545"/>
    <x v="123"/>
    <x v="8"/>
    <x v="8"/>
    <x v="3"/>
    <x v="5"/>
    <x v="1"/>
    <x v="1"/>
    <x v="1"/>
    <x v="1"/>
    <x v="189"/>
    <x v="0"/>
    <x v="0"/>
    <x v="0"/>
    <x v="0"/>
    <x v="3"/>
    <x v="189"/>
    <x v="117"/>
    <x v="3"/>
    <x v="6"/>
    <x v="545"/>
    <x v="123"/>
    <x v="8"/>
    <x v="8"/>
    <x v="3"/>
    <x v="5"/>
    <x v="1"/>
    <x v="1"/>
    <x v="1"/>
    <x v="214"/>
    <x v="0"/>
    <x v="0"/>
    <x v="1"/>
    <x v="0"/>
    <x v="0"/>
    <x v="0"/>
    <x v="0"/>
    <x v="0"/>
    <x v="0"/>
    <x v="0"/>
    <x v="0"/>
    <x v="0"/>
    <x v="1"/>
    <x v="0"/>
    <x v="0"/>
    <x v="0"/>
    <x v="0"/>
    <x v="1"/>
    <x v="1"/>
    <x v="0"/>
    <x v="1"/>
    <x v="0"/>
    <x v="1"/>
    <x v="470"/>
    <x v="278"/>
    <x v="86"/>
    <x v="17"/>
    <x v="0"/>
    <x v="5"/>
    <x v="3"/>
    <x v="70"/>
    <x v="1"/>
    <x v="1"/>
    <x v="1"/>
    <x v="485"/>
  </r>
  <r>
    <x v="546"/>
    <x v="123"/>
    <x v="8"/>
    <x v="8"/>
    <x v="150"/>
    <x v="3"/>
    <x v="1"/>
    <x v="1"/>
    <x v="1"/>
    <x v="1"/>
    <x v="174"/>
    <x v="0"/>
    <x v="0"/>
    <x v="0"/>
    <x v="0"/>
    <x v="3"/>
    <x v="174"/>
    <x v="0"/>
    <x v="223"/>
    <x v="6"/>
    <x v="546"/>
    <x v="123"/>
    <x v="8"/>
    <x v="8"/>
    <x v="153"/>
    <x v="3"/>
    <x v="1"/>
    <x v="1"/>
    <x v="1"/>
    <x v="198"/>
    <x v="0"/>
    <x v="0"/>
    <x v="1"/>
    <x v="1"/>
    <x v="0"/>
    <x v="0"/>
    <x v="0"/>
    <x v="0"/>
    <x v="0"/>
    <x v="0"/>
    <x v="0"/>
    <x v="1"/>
    <x v="0"/>
    <x v="0"/>
    <x v="0"/>
    <x v="1"/>
    <x v="0"/>
    <x v="0"/>
    <x v="0"/>
    <x v="0"/>
    <x v="0"/>
    <x v="0"/>
    <x v="1"/>
    <x v="471"/>
    <x v="278"/>
    <x v="86"/>
    <x v="17"/>
    <x v="0"/>
    <x v="5"/>
    <x v="5"/>
    <x v="6"/>
    <x v="1"/>
    <x v="1"/>
    <x v="1"/>
    <x v="486"/>
  </r>
  <r>
    <x v="547"/>
    <x v="2"/>
    <x v="8"/>
    <x v="8"/>
    <x v="151"/>
    <x v="0"/>
    <x v="1"/>
    <x v="2"/>
    <x v="1"/>
    <x v="1"/>
    <x v="361"/>
    <x v="0"/>
    <x v="0"/>
    <x v="0"/>
    <x v="0"/>
    <x v="3"/>
    <x v="361"/>
    <x v="0"/>
    <x v="224"/>
    <x v="24"/>
    <x v="547"/>
    <x v="2"/>
    <x v="8"/>
    <x v="8"/>
    <x v="154"/>
    <x v="0"/>
    <x v="1"/>
    <x v="2"/>
    <x v="1"/>
    <x v="430"/>
    <x v="0"/>
    <x v="0"/>
    <x v="1"/>
    <x v="1"/>
    <x v="0"/>
    <x v="0"/>
    <x v="0"/>
    <x v="0"/>
    <x v="0"/>
    <x v="0"/>
    <x v="0"/>
    <x v="0"/>
    <x v="0"/>
    <x v="0"/>
    <x v="0"/>
    <x v="0"/>
    <x v="0"/>
    <x v="0"/>
    <x v="0"/>
    <x v="0"/>
    <x v="0"/>
    <x v="0"/>
    <x v="1"/>
    <x v="472"/>
    <x v="279"/>
    <x v="189"/>
    <x v="47"/>
    <x v="0"/>
    <x v="29"/>
    <x v="61"/>
    <x v="101"/>
    <x v="0"/>
    <x v="2"/>
    <x v="2"/>
    <x v="487"/>
  </r>
  <r>
    <x v="548"/>
    <x v="8"/>
    <x v="227"/>
    <x v="104"/>
    <x v="152"/>
    <x v="0"/>
    <x v="3"/>
    <x v="3"/>
    <x v="1"/>
    <x v="1"/>
    <x v="41"/>
    <x v="0"/>
    <x v="0"/>
    <x v="0"/>
    <x v="0"/>
    <x v="1"/>
    <x v="41"/>
    <x v="0"/>
    <x v="64"/>
    <x v="10"/>
    <x v="548"/>
    <x v="8"/>
    <x v="227"/>
    <x v="104"/>
    <x v="155"/>
    <x v="0"/>
    <x v="3"/>
    <x v="3"/>
    <x v="1"/>
    <x v="327"/>
    <x v="0"/>
    <x v="0"/>
    <x v="1"/>
    <x v="0"/>
    <x v="0"/>
    <x v="0"/>
    <x v="0"/>
    <x v="0"/>
    <x v="0"/>
    <x v="0"/>
    <x v="0"/>
    <x v="0"/>
    <x v="0"/>
    <x v="0"/>
    <x v="0"/>
    <x v="0"/>
    <x v="0"/>
    <x v="0"/>
    <x v="0"/>
    <x v="0"/>
    <x v="0"/>
    <x v="0"/>
    <x v="0"/>
    <x v="212"/>
    <x v="280"/>
    <x v="190"/>
    <x v="16"/>
    <x v="0"/>
    <x v="3"/>
    <x v="19"/>
    <x v="26"/>
    <x v="0"/>
    <x v="8"/>
    <x v="8"/>
    <x v="488"/>
  </r>
  <r>
    <x v="549"/>
    <x v="29"/>
    <x v="228"/>
    <x v="8"/>
    <x v="7"/>
    <x v="5"/>
    <x v="1"/>
    <x v="1"/>
    <x v="3"/>
    <x v="3"/>
    <x v="362"/>
    <x v="0"/>
    <x v="0"/>
    <x v="0"/>
    <x v="0"/>
    <x v="0"/>
    <x v="362"/>
    <x v="118"/>
    <x v="12"/>
    <x v="8"/>
    <x v="549"/>
    <x v="29"/>
    <x v="228"/>
    <x v="8"/>
    <x v="7"/>
    <x v="5"/>
    <x v="1"/>
    <x v="1"/>
    <x v="3"/>
    <x v="431"/>
    <x v="0"/>
    <x v="0"/>
    <x v="0"/>
    <x v="0"/>
    <x v="1"/>
    <x v="0"/>
    <x v="0"/>
    <x v="0"/>
    <x v="0"/>
    <x v="0"/>
    <x v="0"/>
    <x v="0"/>
    <x v="1"/>
    <x v="0"/>
    <x v="0"/>
    <x v="0"/>
    <x v="0"/>
    <x v="1"/>
    <x v="1"/>
    <x v="0"/>
    <x v="3"/>
    <x v="0"/>
    <x v="1"/>
    <x v="13"/>
    <x v="281"/>
    <x v="191"/>
    <x v="21"/>
    <x v="0"/>
    <x v="0"/>
    <x v="2"/>
    <x v="3"/>
    <x v="0"/>
    <x v="8"/>
    <x v="8"/>
    <x v="13"/>
  </r>
  <r>
    <x v="550"/>
    <x v="69"/>
    <x v="229"/>
    <x v="105"/>
    <x v="7"/>
    <x v="3"/>
    <x v="1"/>
    <x v="1"/>
    <x v="3"/>
    <x v="3"/>
    <x v="149"/>
    <x v="0"/>
    <x v="0"/>
    <x v="0"/>
    <x v="0"/>
    <x v="0"/>
    <x v="149"/>
    <x v="0"/>
    <x v="52"/>
    <x v="19"/>
    <x v="550"/>
    <x v="69"/>
    <x v="229"/>
    <x v="105"/>
    <x v="7"/>
    <x v="3"/>
    <x v="1"/>
    <x v="1"/>
    <x v="3"/>
    <x v="432"/>
    <x v="1"/>
    <x v="0"/>
    <x v="1"/>
    <x v="1"/>
    <x v="0"/>
    <x v="0"/>
    <x v="1"/>
    <x v="0"/>
    <x v="0"/>
    <x v="0"/>
    <x v="0"/>
    <x v="0"/>
    <x v="0"/>
    <x v="0"/>
    <x v="0"/>
    <x v="1"/>
    <x v="0"/>
    <x v="0"/>
    <x v="1"/>
    <x v="0"/>
    <x v="0"/>
    <x v="0"/>
    <x v="3"/>
    <x v="473"/>
    <x v="282"/>
    <x v="51"/>
    <x v="2"/>
    <x v="0"/>
    <x v="5"/>
    <x v="32"/>
    <x v="48"/>
    <x v="1"/>
    <x v="2"/>
    <x v="2"/>
    <x v="489"/>
  </r>
  <r>
    <x v="551"/>
    <x v="12"/>
    <x v="8"/>
    <x v="8"/>
    <x v="65"/>
    <x v="9"/>
    <x v="5"/>
    <x v="3"/>
    <x v="1"/>
    <x v="1"/>
    <x v="241"/>
    <x v="0"/>
    <x v="0"/>
    <x v="0"/>
    <x v="0"/>
    <x v="1"/>
    <x v="241"/>
    <x v="0"/>
    <x v="77"/>
    <x v="6"/>
    <x v="551"/>
    <x v="12"/>
    <x v="8"/>
    <x v="8"/>
    <x v="65"/>
    <x v="9"/>
    <x v="5"/>
    <x v="3"/>
    <x v="1"/>
    <x v="279"/>
    <x v="1"/>
    <x v="0"/>
    <x v="1"/>
    <x v="0"/>
    <x v="0"/>
    <x v="0"/>
    <x v="0"/>
    <x v="0"/>
    <x v="0"/>
    <x v="0"/>
    <x v="0"/>
    <x v="0"/>
    <x v="0"/>
    <x v="0"/>
    <x v="0"/>
    <x v="0"/>
    <x v="0"/>
    <x v="0"/>
    <x v="0"/>
    <x v="0"/>
    <x v="0"/>
    <x v="0"/>
    <x v="1"/>
    <x v="474"/>
    <x v="283"/>
    <x v="60"/>
    <x v="0"/>
    <x v="0"/>
    <x v="5"/>
    <x v="2"/>
    <x v="25"/>
    <x v="1"/>
    <x v="103"/>
    <x v="95"/>
    <x v="490"/>
  </r>
  <r>
    <x v="552"/>
    <x v="153"/>
    <x v="8"/>
    <x v="8"/>
    <x v="0"/>
    <x v="9"/>
    <x v="1"/>
    <x v="1"/>
    <x v="1"/>
    <x v="1"/>
    <x v="0"/>
    <x v="0"/>
    <x v="0"/>
    <x v="0"/>
    <x v="0"/>
    <x v="0"/>
    <x v="0"/>
    <x v="0"/>
    <x v="57"/>
    <x v="6"/>
    <x v="552"/>
    <x v="153"/>
    <x v="8"/>
    <x v="8"/>
    <x v="0"/>
    <x v="9"/>
    <x v="1"/>
    <x v="1"/>
    <x v="1"/>
    <x v="433"/>
    <x v="0"/>
    <x v="0"/>
    <x v="0"/>
    <x v="0"/>
    <x v="1"/>
    <x v="0"/>
    <x v="0"/>
    <x v="0"/>
    <x v="0"/>
    <x v="0"/>
    <x v="0"/>
    <x v="0"/>
    <x v="0"/>
    <x v="0"/>
    <x v="0"/>
    <x v="1"/>
    <x v="0"/>
    <x v="0"/>
    <x v="0"/>
    <x v="0"/>
    <x v="0"/>
    <x v="0"/>
    <x v="0"/>
    <x v="475"/>
    <x v="283"/>
    <x v="60"/>
    <x v="0"/>
    <x v="0"/>
    <x v="5"/>
    <x v="2"/>
    <x v="25"/>
    <x v="1"/>
    <x v="48"/>
    <x v="48"/>
    <x v="491"/>
  </r>
  <r>
    <x v="553"/>
    <x v="35"/>
    <x v="8"/>
    <x v="106"/>
    <x v="7"/>
    <x v="0"/>
    <x v="7"/>
    <x v="4"/>
    <x v="1"/>
    <x v="1"/>
    <x v="363"/>
    <x v="0"/>
    <x v="0"/>
    <x v="0"/>
    <x v="0"/>
    <x v="3"/>
    <x v="363"/>
    <x v="0"/>
    <x v="106"/>
    <x v="12"/>
    <x v="553"/>
    <x v="35"/>
    <x v="8"/>
    <x v="106"/>
    <x v="7"/>
    <x v="0"/>
    <x v="7"/>
    <x v="4"/>
    <x v="1"/>
    <x v="434"/>
    <x v="0"/>
    <x v="0"/>
    <x v="1"/>
    <x v="0"/>
    <x v="0"/>
    <x v="0"/>
    <x v="0"/>
    <x v="0"/>
    <x v="0"/>
    <x v="0"/>
    <x v="0"/>
    <x v="0"/>
    <x v="0"/>
    <x v="0"/>
    <x v="0"/>
    <x v="1"/>
    <x v="1"/>
    <x v="0"/>
    <x v="0"/>
    <x v="0"/>
    <x v="0"/>
    <x v="0"/>
    <x v="0"/>
    <x v="163"/>
    <x v="284"/>
    <x v="192"/>
    <x v="26"/>
    <x v="0"/>
    <x v="3"/>
    <x v="3"/>
    <x v="4"/>
    <x v="0"/>
    <x v="28"/>
    <x v="28"/>
    <x v="492"/>
  </r>
  <r>
    <x v="554"/>
    <x v="0"/>
    <x v="8"/>
    <x v="8"/>
    <x v="0"/>
    <x v="0"/>
    <x v="0"/>
    <x v="0"/>
    <x v="2"/>
    <x v="2"/>
    <x v="363"/>
    <x v="0"/>
    <x v="0"/>
    <x v="0"/>
    <x v="0"/>
    <x v="3"/>
    <x v="363"/>
    <x v="0"/>
    <x v="0"/>
    <x v="16"/>
    <x v="554"/>
    <x v="0"/>
    <x v="8"/>
    <x v="8"/>
    <x v="0"/>
    <x v="0"/>
    <x v="0"/>
    <x v="0"/>
    <x v="2"/>
    <x v="435"/>
    <x v="0"/>
    <x v="0"/>
    <x v="1"/>
    <x v="0"/>
    <x v="0"/>
    <x v="0"/>
    <x v="0"/>
    <x v="0"/>
    <x v="0"/>
    <x v="0"/>
    <x v="0"/>
    <x v="0"/>
    <x v="0"/>
    <x v="0"/>
    <x v="0"/>
    <x v="0"/>
    <x v="0"/>
    <x v="0"/>
    <x v="0"/>
    <x v="0"/>
    <x v="0"/>
    <x v="0"/>
    <x v="1"/>
    <x v="476"/>
    <x v="285"/>
    <x v="193"/>
    <x v="45"/>
    <x v="0"/>
    <x v="0"/>
    <x v="2"/>
    <x v="3"/>
    <x v="0"/>
    <x v="104"/>
    <x v="96"/>
    <x v="493"/>
  </r>
  <r>
    <x v="555"/>
    <x v="154"/>
    <x v="230"/>
    <x v="8"/>
    <x v="153"/>
    <x v="5"/>
    <x v="1"/>
    <x v="1"/>
    <x v="2"/>
    <x v="2"/>
    <x v="364"/>
    <x v="0"/>
    <x v="0"/>
    <x v="0"/>
    <x v="0"/>
    <x v="1"/>
    <x v="364"/>
    <x v="119"/>
    <x v="12"/>
    <x v="8"/>
    <x v="555"/>
    <x v="154"/>
    <x v="230"/>
    <x v="8"/>
    <x v="156"/>
    <x v="5"/>
    <x v="1"/>
    <x v="1"/>
    <x v="2"/>
    <x v="436"/>
    <x v="0"/>
    <x v="0"/>
    <x v="1"/>
    <x v="0"/>
    <x v="0"/>
    <x v="0"/>
    <x v="0"/>
    <x v="0"/>
    <x v="0"/>
    <x v="0"/>
    <x v="0"/>
    <x v="0"/>
    <x v="1"/>
    <x v="0"/>
    <x v="0"/>
    <x v="0"/>
    <x v="0"/>
    <x v="1"/>
    <x v="1"/>
    <x v="0"/>
    <x v="1"/>
    <x v="0"/>
    <x v="1"/>
    <x v="477"/>
    <x v="286"/>
    <x v="194"/>
    <x v="47"/>
    <x v="0"/>
    <x v="5"/>
    <x v="2"/>
    <x v="25"/>
    <x v="1"/>
    <x v="2"/>
    <x v="2"/>
    <x v="13"/>
  </r>
  <r>
    <x v="216"/>
    <x v="2"/>
    <x v="8"/>
    <x v="8"/>
    <x v="83"/>
    <x v="0"/>
    <x v="1"/>
    <x v="2"/>
    <x v="1"/>
    <x v="1"/>
    <x v="136"/>
    <x v="0"/>
    <x v="0"/>
    <x v="0"/>
    <x v="0"/>
    <x v="1"/>
    <x v="136"/>
    <x v="0"/>
    <x v="42"/>
    <x v="6"/>
    <x v="216"/>
    <x v="2"/>
    <x v="8"/>
    <x v="8"/>
    <x v="83"/>
    <x v="0"/>
    <x v="1"/>
    <x v="2"/>
    <x v="1"/>
    <x v="156"/>
    <x v="0"/>
    <x v="1"/>
    <x v="1"/>
    <x v="1"/>
    <x v="0"/>
    <x v="0"/>
    <x v="0"/>
    <x v="0"/>
    <x v="0"/>
    <x v="0"/>
    <x v="0"/>
    <x v="0"/>
    <x v="0"/>
    <x v="0"/>
    <x v="0"/>
    <x v="0"/>
    <x v="0"/>
    <x v="0"/>
    <x v="0"/>
    <x v="0"/>
    <x v="0"/>
    <x v="0"/>
    <x v="1"/>
    <x v="90"/>
    <x v="287"/>
    <x v="6"/>
    <x v="7"/>
    <x v="1"/>
    <x v="4"/>
    <x v="4"/>
    <x v="5"/>
    <x v="0"/>
    <x v="1"/>
    <x v="1"/>
    <x v="494"/>
  </r>
  <r>
    <x v="556"/>
    <x v="2"/>
    <x v="8"/>
    <x v="8"/>
    <x v="7"/>
    <x v="0"/>
    <x v="1"/>
    <x v="2"/>
    <x v="1"/>
    <x v="1"/>
    <x v="130"/>
    <x v="0"/>
    <x v="0"/>
    <x v="0"/>
    <x v="0"/>
    <x v="3"/>
    <x v="130"/>
    <x v="0"/>
    <x v="47"/>
    <x v="6"/>
    <x v="556"/>
    <x v="2"/>
    <x v="8"/>
    <x v="8"/>
    <x v="7"/>
    <x v="0"/>
    <x v="1"/>
    <x v="2"/>
    <x v="1"/>
    <x v="150"/>
    <x v="0"/>
    <x v="0"/>
    <x v="1"/>
    <x v="1"/>
    <x v="0"/>
    <x v="0"/>
    <x v="0"/>
    <x v="0"/>
    <x v="0"/>
    <x v="0"/>
    <x v="0"/>
    <x v="0"/>
    <x v="1"/>
    <x v="0"/>
    <x v="0"/>
    <x v="0"/>
    <x v="0"/>
    <x v="1"/>
    <x v="0"/>
    <x v="0"/>
    <x v="0"/>
    <x v="0"/>
    <x v="2"/>
    <x v="478"/>
    <x v="288"/>
    <x v="19"/>
    <x v="17"/>
    <x v="0"/>
    <x v="5"/>
    <x v="41"/>
    <x v="64"/>
    <x v="1"/>
    <x v="2"/>
    <x v="2"/>
    <x v="495"/>
  </r>
  <r>
    <x v="557"/>
    <x v="2"/>
    <x v="8"/>
    <x v="8"/>
    <x v="80"/>
    <x v="0"/>
    <x v="1"/>
    <x v="2"/>
    <x v="1"/>
    <x v="1"/>
    <x v="365"/>
    <x v="0"/>
    <x v="0"/>
    <x v="0"/>
    <x v="0"/>
    <x v="1"/>
    <x v="365"/>
    <x v="0"/>
    <x v="125"/>
    <x v="6"/>
    <x v="557"/>
    <x v="2"/>
    <x v="8"/>
    <x v="8"/>
    <x v="80"/>
    <x v="0"/>
    <x v="1"/>
    <x v="2"/>
    <x v="1"/>
    <x v="437"/>
    <x v="0"/>
    <x v="0"/>
    <x v="1"/>
    <x v="1"/>
    <x v="0"/>
    <x v="0"/>
    <x v="0"/>
    <x v="0"/>
    <x v="0"/>
    <x v="0"/>
    <x v="0"/>
    <x v="0"/>
    <x v="1"/>
    <x v="0"/>
    <x v="0"/>
    <x v="0"/>
    <x v="0"/>
    <x v="1"/>
    <x v="0"/>
    <x v="0"/>
    <x v="0"/>
    <x v="0"/>
    <x v="2"/>
    <x v="479"/>
    <x v="288"/>
    <x v="6"/>
    <x v="7"/>
    <x v="1"/>
    <x v="4"/>
    <x v="4"/>
    <x v="5"/>
    <x v="0"/>
    <x v="1"/>
    <x v="1"/>
    <x v="496"/>
  </r>
  <r>
    <x v="558"/>
    <x v="50"/>
    <x v="8"/>
    <x v="8"/>
    <x v="62"/>
    <x v="4"/>
    <x v="1"/>
    <x v="1"/>
    <x v="1"/>
    <x v="1"/>
    <x v="366"/>
    <x v="0"/>
    <x v="0"/>
    <x v="0"/>
    <x v="0"/>
    <x v="3"/>
    <x v="366"/>
    <x v="0"/>
    <x v="225"/>
    <x v="16"/>
    <x v="558"/>
    <x v="50"/>
    <x v="8"/>
    <x v="8"/>
    <x v="62"/>
    <x v="4"/>
    <x v="1"/>
    <x v="1"/>
    <x v="1"/>
    <x v="438"/>
    <x v="1"/>
    <x v="0"/>
    <x v="1"/>
    <x v="0"/>
    <x v="0"/>
    <x v="0"/>
    <x v="0"/>
    <x v="0"/>
    <x v="0"/>
    <x v="0"/>
    <x v="0"/>
    <x v="0"/>
    <x v="0"/>
    <x v="0"/>
    <x v="0"/>
    <x v="0"/>
    <x v="0"/>
    <x v="0"/>
    <x v="1"/>
    <x v="0"/>
    <x v="0"/>
    <x v="0"/>
    <x v="1"/>
    <x v="480"/>
    <x v="289"/>
    <x v="19"/>
    <x v="18"/>
    <x v="0"/>
    <x v="3"/>
    <x v="62"/>
    <x v="102"/>
    <x v="0"/>
    <x v="42"/>
    <x v="42"/>
    <x v="497"/>
  </r>
  <r>
    <x v="559"/>
    <x v="50"/>
    <x v="8"/>
    <x v="8"/>
    <x v="62"/>
    <x v="4"/>
    <x v="1"/>
    <x v="1"/>
    <x v="1"/>
    <x v="1"/>
    <x v="367"/>
    <x v="0"/>
    <x v="0"/>
    <x v="0"/>
    <x v="0"/>
    <x v="3"/>
    <x v="367"/>
    <x v="0"/>
    <x v="23"/>
    <x v="42"/>
    <x v="559"/>
    <x v="50"/>
    <x v="8"/>
    <x v="8"/>
    <x v="62"/>
    <x v="4"/>
    <x v="1"/>
    <x v="1"/>
    <x v="1"/>
    <x v="439"/>
    <x v="1"/>
    <x v="0"/>
    <x v="1"/>
    <x v="0"/>
    <x v="0"/>
    <x v="0"/>
    <x v="0"/>
    <x v="0"/>
    <x v="0"/>
    <x v="0"/>
    <x v="0"/>
    <x v="0"/>
    <x v="0"/>
    <x v="0"/>
    <x v="0"/>
    <x v="1"/>
    <x v="0"/>
    <x v="0"/>
    <x v="1"/>
    <x v="0"/>
    <x v="0"/>
    <x v="0"/>
    <x v="1"/>
    <x v="481"/>
    <x v="289"/>
    <x v="60"/>
    <x v="0"/>
    <x v="0"/>
    <x v="3"/>
    <x v="62"/>
    <x v="102"/>
    <x v="0"/>
    <x v="42"/>
    <x v="42"/>
    <x v="498"/>
  </r>
  <r>
    <x v="560"/>
    <x v="50"/>
    <x v="8"/>
    <x v="8"/>
    <x v="62"/>
    <x v="4"/>
    <x v="1"/>
    <x v="1"/>
    <x v="1"/>
    <x v="1"/>
    <x v="22"/>
    <x v="0"/>
    <x v="0"/>
    <x v="0"/>
    <x v="0"/>
    <x v="3"/>
    <x v="22"/>
    <x v="0"/>
    <x v="226"/>
    <x v="43"/>
    <x v="560"/>
    <x v="50"/>
    <x v="8"/>
    <x v="8"/>
    <x v="62"/>
    <x v="4"/>
    <x v="1"/>
    <x v="1"/>
    <x v="1"/>
    <x v="22"/>
    <x v="0"/>
    <x v="0"/>
    <x v="1"/>
    <x v="1"/>
    <x v="0"/>
    <x v="0"/>
    <x v="0"/>
    <x v="0"/>
    <x v="0"/>
    <x v="0"/>
    <x v="0"/>
    <x v="0"/>
    <x v="0"/>
    <x v="0"/>
    <x v="0"/>
    <x v="0"/>
    <x v="0"/>
    <x v="0"/>
    <x v="0"/>
    <x v="0"/>
    <x v="0"/>
    <x v="0"/>
    <x v="1"/>
    <x v="482"/>
    <x v="289"/>
    <x v="60"/>
    <x v="1"/>
    <x v="0"/>
    <x v="0"/>
    <x v="42"/>
    <x v="71"/>
    <x v="0"/>
    <x v="25"/>
    <x v="25"/>
    <x v="499"/>
  </r>
  <r>
    <x v="561"/>
    <x v="50"/>
    <x v="8"/>
    <x v="8"/>
    <x v="62"/>
    <x v="4"/>
    <x v="1"/>
    <x v="1"/>
    <x v="1"/>
    <x v="1"/>
    <x v="52"/>
    <x v="0"/>
    <x v="0"/>
    <x v="0"/>
    <x v="0"/>
    <x v="0"/>
    <x v="52"/>
    <x v="0"/>
    <x v="111"/>
    <x v="6"/>
    <x v="561"/>
    <x v="50"/>
    <x v="8"/>
    <x v="8"/>
    <x v="62"/>
    <x v="4"/>
    <x v="1"/>
    <x v="1"/>
    <x v="1"/>
    <x v="343"/>
    <x v="1"/>
    <x v="0"/>
    <x v="1"/>
    <x v="0"/>
    <x v="0"/>
    <x v="0"/>
    <x v="0"/>
    <x v="0"/>
    <x v="0"/>
    <x v="0"/>
    <x v="0"/>
    <x v="0"/>
    <x v="0"/>
    <x v="0"/>
    <x v="0"/>
    <x v="0"/>
    <x v="0"/>
    <x v="0"/>
    <x v="1"/>
    <x v="0"/>
    <x v="0"/>
    <x v="0"/>
    <x v="1"/>
    <x v="483"/>
    <x v="289"/>
    <x v="60"/>
    <x v="1"/>
    <x v="0"/>
    <x v="0"/>
    <x v="62"/>
    <x v="103"/>
    <x v="0"/>
    <x v="41"/>
    <x v="41"/>
    <x v="500"/>
  </r>
  <r>
    <x v="562"/>
    <x v="84"/>
    <x v="8"/>
    <x v="8"/>
    <x v="3"/>
    <x v="5"/>
    <x v="1"/>
    <x v="1"/>
    <x v="5"/>
    <x v="4"/>
    <x v="368"/>
    <x v="0"/>
    <x v="0"/>
    <x v="0"/>
    <x v="0"/>
    <x v="0"/>
    <x v="368"/>
    <x v="0"/>
    <x v="12"/>
    <x v="8"/>
    <x v="562"/>
    <x v="84"/>
    <x v="8"/>
    <x v="8"/>
    <x v="3"/>
    <x v="5"/>
    <x v="1"/>
    <x v="1"/>
    <x v="5"/>
    <x v="440"/>
    <x v="0"/>
    <x v="0"/>
    <x v="0"/>
    <x v="0"/>
    <x v="1"/>
    <x v="0"/>
    <x v="0"/>
    <x v="0"/>
    <x v="0"/>
    <x v="0"/>
    <x v="0"/>
    <x v="0"/>
    <x v="0"/>
    <x v="0"/>
    <x v="0"/>
    <x v="0"/>
    <x v="0"/>
    <x v="0"/>
    <x v="1"/>
    <x v="0"/>
    <x v="0"/>
    <x v="0"/>
    <x v="0"/>
    <x v="484"/>
    <x v="290"/>
    <x v="6"/>
    <x v="7"/>
    <x v="1"/>
    <x v="4"/>
    <x v="4"/>
    <x v="5"/>
    <x v="0"/>
    <x v="18"/>
    <x v="18"/>
    <x v="13"/>
  </r>
  <r>
    <x v="563"/>
    <x v="155"/>
    <x v="231"/>
    <x v="8"/>
    <x v="154"/>
    <x v="2"/>
    <x v="1"/>
    <x v="1"/>
    <x v="1"/>
    <x v="1"/>
    <x v="369"/>
    <x v="77"/>
    <x v="47"/>
    <x v="86"/>
    <x v="1"/>
    <x v="3"/>
    <x v="369"/>
    <x v="0"/>
    <x v="216"/>
    <x v="6"/>
    <x v="563"/>
    <x v="155"/>
    <x v="231"/>
    <x v="8"/>
    <x v="157"/>
    <x v="2"/>
    <x v="1"/>
    <x v="1"/>
    <x v="1"/>
    <x v="441"/>
    <x v="0"/>
    <x v="0"/>
    <x v="1"/>
    <x v="0"/>
    <x v="0"/>
    <x v="1"/>
    <x v="0"/>
    <x v="0"/>
    <x v="0"/>
    <x v="0"/>
    <x v="0"/>
    <x v="0"/>
    <x v="0"/>
    <x v="0"/>
    <x v="0"/>
    <x v="0"/>
    <x v="0"/>
    <x v="0"/>
    <x v="0"/>
    <x v="0"/>
    <x v="0"/>
    <x v="0"/>
    <x v="0"/>
    <x v="485"/>
    <x v="291"/>
    <x v="6"/>
    <x v="7"/>
    <x v="1"/>
    <x v="4"/>
    <x v="4"/>
    <x v="5"/>
    <x v="0"/>
    <x v="105"/>
    <x v="97"/>
    <x v="501"/>
  </r>
  <r>
    <x v="564"/>
    <x v="156"/>
    <x v="232"/>
    <x v="8"/>
    <x v="155"/>
    <x v="5"/>
    <x v="1"/>
    <x v="1"/>
    <x v="3"/>
    <x v="3"/>
    <x v="370"/>
    <x v="0"/>
    <x v="0"/>
    <x v="0"/>
    <x v="0"/>
    <x v="2"/>
    <x v="370"/>
    <x v="120"/>
    <x v="12"/>
    <x v="8"/>
    <x v="564"/>
    <x v="156"/>
    <x v="232"/>
    <x v="8"/>
    <x v="158"/>
    <x v="5"/>
    <x v="1"/>
    <x v="1"/>
    <x v="3"/>
    <x v="442"/>
    <x v="0"/>
    <x v="0"/>
    <x v="1"/>
    <x v="0"/>
    <x v="0"/>
    <x v="0"/>
    <x v="0"/>
    <x v="0"/>
    <x v="0"/>
    <x v="0"/>
    <x v="0"/>
    <x v="0"/>
    <x v="0"/>
    <x v="0"/>
    <x v="0"/>
    <x v="0"/>
    <x v="0"/>
    <x v="0"/>
    <x v="1"/>
    <x v="0"/>
    <x v="3"/>
    <x v="0"/>
    <x v="0"/>
    <x v="486"/>
    <x v="292"/>
    <x v="195"/>
    <x v="25"/>
    <x v="0"/>
    <x v="5"/>
    <x v="2"/>
    <x v="25"/>
    <x v="1"/>
    <x v="24"/>
    <x v="24"/>
    <x v="13"/>
  </r>
  <r>
    <x v="565"/>
    <x v="0"/>
    <x v="233"/>
    <x v="107"/>
    <x v="0"/>
    <x v="2"/>
    <x v="0"/>
    <x v="0"/>
    <x v="2"/>
    <x v="2"/>
    <x v="134"/>
    <x v="0"/>
    <x v="0"/>
    <x v="0"/>
    <x v="0"/>
    <x v="0"/>
    <x v="134"/>
    <x v="0"/>
    <x v="36"/>
    <x v="12"/>
    <x v="565"/>
    <x v="0"/>
    <x v="233"/>
    <x v="107"/>
    <x v="0"/>
    <x v="2"/>
    <x v="0"/>
    <x v="0"/>
    <x v="2"/>
    <x v="443"/>
    <x v="0"/>
    <x v="0"/>
    <x v="0"/>
    <x v="0"/>
    <x v="0"/>
    <x v="0"/>
    <x v="0"/>
    <x v="0"/>
    <x v="0"/>
    <x v="0"/>
    <x v="0"/>
    <x v="0"/>
    <x v="0"/>
    <x v="0"/>
    <x v="0"/>
    <x v="1"/>
    <x v="0"/>
    <x v="0"/>
    <x v="0"/>
    <x v="0"/>
    <x v="0"/>
    <x v="0"/>
    <x v="0"/>
    <x v="487"/>
    <x v="293"/>
    <x v="196"/>
    <x v="65"/>
    <x v="0"/>
    <x v="5"/>
    <x v="22"/>
    <x v="30"/>
    <x v="1"/>
    <x v="3"/>
    <x v="3"/>
    <x v="502"/>
  </r>
  <r>
    <x v="566"/>
    <x v="35"/>
    <x v="234"/>
    <x v="108"/>
    <x v="7"/>
    <x v="0"/>
    <x v="7"/>
    <x v="4"/>
    <x v="1"/>
    <x v="1"/>
    <x v="38"/>
    <x v="0"/>
    <x v="0"/>
    <x v="0"/>
    <x v="0"/>
    <x v="3"/>
    <x v="38"/>
    <x v="0"/>
    <x v="2"/>
    <x v="10"/>
    <x v="566"/>
    <x v="35"/>
    <x v="234"/>
    <x v="108"/>
    <x v="7"/>
    <x v="0"/>
    <x v="7"/>
    <x v="4"/>
    <x v="1"/>
    <x v="40"/>
    <x v="0"/>
    <x v="0"/>
    <x v="1"/>
    <x v="0"/>
    <x v="0"/>
    <x v="0"/>
    <x v="0"/>
    <x v="0"/>
    <x v="0"/>
    <x v="0"/>
    <x v="0"/>
    <x v="1"/>
    <x v="0"/>
    <x v="0"/>
    <x v="0"/>
    <x v="1"/>
    <x v="0"/>
    <x v="0"/>
    <x v="0"/>
    <x v="0"/>
    <x v="0"/>
    <x v="0"/>
    <x v="0"/>
    <x v="170"/>
    <x v="294"/>
    <x v="197"/>
    <x v="12"/>
    <x v="0"/>
    <x v="0"/>
    <x v="2"/>
    <x v="3"/>
    <x v="0"/>
    <x v="8"/>
    <x v="8"/>
    <x v="503"/>
  </r>
  <r>
    <x v="567"/>
    <x v="157"/>
    <x v="235"/>
    <x v="8"/>
    <x v="156"/>
    <x v="0"/>
    <x v="1"/>
    <x v="1"/>
    <x v="1"/>
    <x v="1"/>
    <x v="371"/>
    <x v="0"/>
    <x v="0"/>
    <x v="0"/>
    <x v="0"/>
    <x v="1"/>
    <x v="371"/>
    <x v="0"/>
    <x v="144"/>
    <x v="6"/>
    <x v="567"/>
    <x v="157"/>
    <x v="235"/>
    <x v="8"/>
    <x v="159"/>
    <x v="0"/>
    <x v="1"/>
    <x v="1"/>
    <x v="1"/>
    <x v="444"/>
    <x v="0"/>
    <x v="0"/>
    <x v="1"/>
    <x v="0"/>
    <x v="0"/>
    <x v="0"/>
    <x v="0"/>
    <x v="0"/>
    <x v="0"/>
    <x v="0"/>
    <x v="0"/>
    <x v="0"/>
    <x v="0"/>
    <x v="0"/>
    <x v="0"/>
    <x v="0"/>
    <x v="0"/>
    <x v="0"/>
    <x v="0"/>
    <x v="0"/>
    <x v="0"/>
    <x v="0"/>
    <x v="0"/>
    <x v="488"/>
    <x v="295"/>
    <x v="39"/>
    <x v="13"/>
    <x v="0"/>
    <x v="5"/>
    <x v="14"/>
    <x v="19"/>
    <x v="1"/>
    <x v="106"/>
    <x v="98"/>
    <x v="504"/>
  </r>
  <r>
    <x v="568"/>
    <x v="2"/>
    <x v="236"/>
    <x v="109"/>
    <x v="1"/>
    <x v="3"/>
    <x v="1"/>
    <x v="2"/>
    <x v="1"/>
    <x v="1"/>
    <x v="372"/>
    <x v="0"/>
    <x v="0"/>
    <x v="0"/>
    <x v="0"/>
    <x v="3"/>
    <x v="372"/>
    <x v="0"/>
    <x v="212"/>
    <x v="6"/>
    <x v="568"/>
    <x v="2"/>
    <x v="236"/>
    <x v="109"/>
    <x v="1"/>
    <x v="3"/>
    <x v="1"/>
    <x v="2"/>
    <x v="1"/>
    <x v="445"/>
    <x v="0"/>
    <x v="0"/>
    <x v="1"/>
    <x v="0"/>
    <x v="0"/>
    <x v="0"/>
    <x v="0"/>
    <x v="0"/>
    <x v="0"/>
    <x v="0"/>
    <x v="0"/>
    <x v="0"/>
    <x v="0"/>
    <x v="0"/>
    <x v="0"/>
    <x v="0"/>
    <x v="0"/>
    <x v="0"/>
    <x v="0"/>
    <x v="0"/>
    <x v="0"/>
    <x v="0"/>
    <x v="0"/>
    <x v="489"/>
    <x v="296"/>
    <x v="56"/>
    <x v="32"/>
    <x v="0"/>
    <x v="3"/>
    <x v="3"/>
    <x v="4"/>
    <x v="0"/>
    <x v="29"/>
    <x v="29"/>
    <x v="505"/>
  </r>
  <r>
    <x v="569"/>
    <x v="2"/>
    <x v="8"/>
    <x v="8"/>
    <x v="7"/>
    <x v="3"/>
    <x v="1"/>
    <x v="2"/>
    <x v="1"/>
    <x v="1"/>
    <x v="373"/>
    <x v="78"/>
    <x v="19"/>
    <x v="87"/>
    <x v="1"/>
    <x v="3"/>
    <x v="373"/>
    <x v="0"/>
    <x v="114"/>
    <x v="6"/>
    <x v="569"/>
    <x v="2"/>
    <x v="8"/>
    <x v="8"/>
    <x v="7"/>
    <x v="3"/>
    <x v="1"/>
    <x v="2"/>
    <x v="1"/>
    <x v="446"/>
    <x v="0"/>
    <x v="0"/>
    <x v="1"/>
    <x v="1"/>
    <x v="0"/>
    <x v="1"/>
    <x v="0"/>
    <x v="0"/>
    <x v="0"/>
    <x v="0"/>
    <x v="0"/>
    <x v="0"/>
    <x v="0"/>
    <x v="0"/>
    <x v="0"/>
    <x v="1"/>
    <x v="0"/>
    <x v="0"/>
    <x v="1"/>
    <x v="0"/>
    <x v="0"/>
    <x v="1"/>
    <x v="2"/>
    <x v="490"/>
    <x v="297"/>
    <x v="10"/>
    <x v="11"/>
    <x v="0"/>
    <x v="5"/>
    <x v="30"/>
    <x v="44"/>
    <x v="1"/>
    <x v="107"/>
    <x v="99"/>
    <x v="506"/>
  </r>
  <r>
    <x v="570"/>
    <x v="112"/>
    <x v="8"/>
    <x v="8"/>
    <x v="157"/>
    <x v="0"/>
    <x v="1"/>
    <x v="1"/>
    <x v="1"/>
    <x v="1"/>
    <x v="174"/>
    <x v="79"/>
    <x v="48"/>
    <x v="69"/>
    <x v="1"/>
    <x v="3"/>
    <x v="174"/>
    <x v="0"/>
    <x v="104"/>
    <x v="6"/>
    <x v="570"/>
    <x v="112"/>
    <x v="8"/>
    <x v="8"/>
    <x v="160"/>
    <x v="0"/>
    <x v="1"/>
    <x v="1"/>
    <x v="1"/>
    <x v="447"/>
    <x v="0"/>
    <x v="0"/>
    <x v="1"/>
    <x v="0"/>
    <x v="0"/>
    <x v="0"/>
    <x v="0"/>
    <x v="0"/>
    <x v="1"/>
    <x v="0"/>
    <x v="0"/>
    <x v="0"/>
    <x v="0"/>
    <x v="0"/>
    <x v="0"/>
    <x v="1"/>
    <x v="0"/>
    <x v="0"/>
    <x v="0"/>
    <x v="0"/>
    <x v="0"/>
    <x v="0"/>
    <x v="1"/>
    <x v="491"/>
    <x v="298"/>
    <x v="38"/>
    <x v="2"/>
    <x v="0"/>
    <x v="5"/>
    <x v="27"/>
    <x v="37"/>
    <x v="1"/>
    <x v="1"/>
    <x v="1"/>
    <x v="507"/>
  </r>
  <r>
    <x v="571"/>
    <x v="112"/>
    <x v="8"/>
    <x v="8"/>
    <x v="158"/>
    <x v="4"/>
    <x v="1"/>
    <x v="1"/>
    <x v="1"/>
    <x v="1"/>
    <x v="374"/>
    <x v="80"/>
    <x v="49"/>
    <x v="69"/>
    <x v="1"/>
    <x v="1"/>
    <x v="374"/>
    <x v="0"/>
    <x v="70"/>
    <x v="6"/>
    <x v="571"/>
    <x v="112"/>
    <x v="8"/>
    <x v="8"/>
    <x v="161"/>
    <x v="4"/>
    <x v="1"/>
    <x v="1"/>
    <x v="1"/>
    <x v="448"/>
    <x v="0"/>
    <x v="0"/>
    <x v="1"/>
    <x v="0"/>
    <x v="0"/>
    <x v="0"/>
    <x v="0"/>
    <x v="1"/>
    <x v="0"/>
    <x v="0"/>
    <x v="0"/>
    <x v="0"/>
    <x v="0"/>
    <x v="0"/>
    <x v="0"/>
    <x v="0"/>
    <x v="0"/>
    <x v="0"/>
    <x v="0"/>
    <x v="0"/>
    <x v="0"/>
    <x v="0"/>
    <x v="0"/>
    <x v="492"/>
    <x v="298"/>
    <x v="139"/>
    <x v="2"/>
    <x v="0"/>
    <x v="5"/>
    <x v="3"/>
    <x v="70"/>
    <x v="1"/>
    <x v="1"/>
    <x v="1"/>
    <x v="508"/>
  </r>
  <r>
    <x v="483"/>
    <x v="2"/>
    <x v="8"/>
    <x v="8"/>
    <x v="7"/>
    <x v="0"/>
    <x v="1"/>
    <x v="2"/>
    <x v="1"/>
    <x v="1"/>
    <x v="375"/>
    <x v="0"/>
    <x v="0"/>
    <x v="0"/>
    <x v="0"/>
    <x v="0"/>
    <x v="375"/>
    <x v="0"/>
    <x v="5"/>
    <x v="19"/>
    <x v="483"/>
    <x v="2"/>
    <x v="8"/>
    <x v="8"/>
    <x v="7"/>
    <x v="0"/>
    <x v="1"/>
    <x v="2"/>
    <x v="1"/>
    <x v="449"/>
    <x v="0"/>
    <x v="0"/>
    <x v="1"/>
    <x v="1"/>
    <x v="0"/>
    <x v="1"/>
    <x v="0"/>
    <x v="0"/>
    <x v="0"/>
    <x v="0"/>
    <x v="0"/>
    <x v="0"/>
    <x v="0"/>
    <x v="0"/>
    <x v="0"/>
    <x v="1"/>
    <x v="0"/>
    <x v="0"/>
    <x v="1"/>
    <x v="0"/>
    <x v="0"/>
    <x v="0"/>
    <x v="2"/>
    <x v="139"/>
    <x v="299"/>
    <x v="165"/>
    <x v="59"/>
    <x v="0"/>
    <x v="5"/>
    <x v="22"/>
    <x v="30"/>
    <x v="1"/>
    <x v="1"/>
    <x v="1"/>
    <x v="509"/>
  </r>
  <r>
    <x v="572"/>
    <x v="158"/>
    <x v="8"/>
    <x v="110"/>
    <x v="159"/>
    <x v="3"/>
    <x v="1"/>
    <x v="1"/>
    <x v="1"/>
    <x v="1"/>
    <x v="376"/>
    <x v="0"/>
    <x v="0"/>
    <x v="0"/>
    <x v="0"/>
    <x v="2"/>
    <x v="376"/>
    <x v="121"/>
    <x v="12"/>
    <x v="19"/>
    <x v="572"/>
    <x v="158"/>
    <x v="8"/>
    <x v="110"/>
    <x v="162"/>
    <x v="3"/>
    <x v="1"/>
    <x v="1"/>
    <x v="1"/>
    <x v="450"/>
    <x v="0"/>
    <x v="0"/>
    <x v="1"/>
    <x v="1"/>
    <x v="0"/>
    <x v="0"/>
    <x v="0"/>
    <x v="0"/>
    <x v="0"/>
    <x v="0"/>
    <x v="0"/>
    <x v="0"/>
    <x v="1"/>
    <x v="0"/>
    <x v="0"/>
    <x v="0"/>
    <x v="0"/>
    <x v="1"/>
    <x v="0"/>
    <x v="0"/>
    <x v="4"/>
    <x v="6"/>
    <x v="2"/>
    <x v="493"/>
    <x v="300"/>
    <x v="35"/>
    <x v="13"/>
    <x v="0"/>
    <x v="10"/>
    <x v="63"/>
    <x v="104"/>
    <x v="0"/>
    <x v="31"/>
    <x v="31"/>
    <x v="13"/>
  </r>
  <r>
    <x v="573"/>
    <x v="2"/>
    <x v="237"/>
    <x v="8"/>
    <x v="36"/>
    <x v="0"/>
    <x v="3"/>
    <x v="2"/>
    <x v="1"/>
    <x v="1"/>
    <x v="92"/>
    <x v="0"/>
    <x v="0"/>
    <x v="0"/>
    <x v="0"/>
    <x v="1"/>
    <x v="92"/>
    <x v="0"/>
    <x v="227"/>
    <x v="6"/>
    <x v="573"/>
    <x v="2"/>
    <x v="237"/>
    <x v="8"/>
    <x v="36"/>
    <x v="0"/>
    <x v="3"/>
    <x v="2"/>
    <x v="1"/>
    <x v="100"/>
    <x v="0"/>
    <x v="1"/>
    <x v="1"/>
    <x v="0"/>
    <x v="0"/>
    <x v="0"/>
    <x v="0"/>
    <x v="0"/>
    <x v="0"/>
    <x v="0"/>
    <x v="0"/>
    <x v="0"/>
    <x v="0"/>
    <x v="0"/>
    <x v="1"/>
    <x v="0"/>
    <x v="0"/>
    <x v="0"/>
    <x v="1"/>
    <x v="0"/>
    <x v="0"/>
    <x v="0"/>
    <x v="0"/>
    <x v="494"/>
    <x v="301"/>
    <x v="51"/>
    <x v="2"/>
    <x v="0"/>
    <x v="5"/>
    <x v="38"/>
    <x v="84"/>
    <x v="1"/>
    <x v="47"/>
    <x v="47"/>
    <x v="510"/>
  </r>
  <r>
    <x v="574"/>
    <x v="35"/>
    <x v="238"/>
    <x v="111"/>
    <x v="1"/>
    <x v="2"/>
    <x v="7"/>
    <x v="4"/>
    <x v="1"/>
    <x v="1"/>
    <x v="46"/>
    <x v="0"/>
    <x v="0"/>
    <x v="0"/>
    <x v="0"/>
    <x v="3"/>
    <x v="46"/>
    <x v="0"/>
    <x v="173"/>
    <x v="6"/>
    <x v="574"/>
    <x v="35"/>
    <x v="238"/>
    <x v="111"/>
    <x v="1"/>
    <x v="2"/>
    <x v="7"/>
    <x v="4"/>
    <x v="1"/>
    <x v="451"/>
    <x v="0"/>
    <x v="0"/>
    <x v="1"/>
    <x v="1"/>
    <x v="0"/>
    <x v="0"/>
    <x v="0"/>
    <x v="0"/>
    <x v="0"/>
    <x v="0"/>
    <x v="0"/>
    <x v="0"/>
    <x v="0"/>
    <x v="0"/>
    <x v="0"/>
    <x v="0"/>
    <x v="0"/>
    <x v="0"/>
    <x v="0"/>
    <x v="0"/>
    <x v="0"/>
    <x v="0"/>
    <x v="3"/>
    <x v="495"/>
    <x v="302"/>
    <x v="131"/>
    <x v="68"/>
    <x v="0"/>
    <x v="5"/>
    <x v="14"/>
    <x v="19"/>
    <x v="1"/>
    <x v="2"/>
    <x v="2"/>
    <x v="511"/>
  </r>
  <r>
    <x v="575"/>
    <x v="159"/>
    <x v="8"/>
    <x v="8"/>
    <x v="3"/>
    <x v="5"/>
    <x v="1"/>
    <x v="1"/>
    <x v="2"/>
    <x v="2"/>
    <x v="272"/>
    <x v="0"/>
    <x v="0"/>
    <x v="0"/>
    <x v="0"/>
    <x v="3"/>
    <x v="272"/>
    <x v="113"/>
    <x v="12"/>
    <x v="8"/>
    <x v="575"/>
    <x v="159"/>
    <x v="8"/>
    <x v="8"/>
    <x v="3"/>
    <x v="5"/>
    <x v="1"/>
    <x v="1"/>
    <x v="2"/>
    <x v="452"/>
    <x v="0"/>
    <x v="0"/>
    <x v="1"/>
    <x v="0"/>
    <x v="0"/>
    <x v="0"/>
    <x v="0"/>
    <x v="0"/>
    <x v="0"/>
    <x v="0"/>
    <x v="0"/>
    <x v="0"/>
    <x v="1"/>
    <x v="0"/>
    <x v="0"/>
    <x v="0"/>
    <x v="0"/>
    <x v="1"/>
    <x v="0"/>
    <x v="0"/>
    <x v="3"/>
    <x v="0"/>
    <x v="1"/>
    <x v="496"/>
    <x v="303"/>
    <x v="196"/>
    <x v="35"/>
    <x v="0"/>
    <x v="0"/>
    <x v="2"/>
    <x v="3"/>
    <x v="0"/>
    <x v="88"/>
    <x v="80"/>
    <x v="13"/>
  </r>
  <r>
    <x v="576"/>
    <x v="46"/>
    <x v="8"/>
    <x v="8"/>
    <x v="160"/>
    <x v="5"/>
    <x v="1"/>
    <x v="1"/>
    <x v="2"/>
    <x v="2"/>
    <x v="377"/>
    <x v="81"/>
    <x v="19"/>
    <x v="88"/>
    <x v="1"/>
    <x v="2"/>
    <x v="377"/>
    <x v="122"/>
    <x v="12"/>
    <x v="8"/>
    <x v="576"/>
    <x v="46"/>
    <x v="8"/>
    <x v="8"/>
    <x v="163"/>
    <x v="5"/>
    <x v="1"/>
    <x v="1"/>
    <x v="2"/>
    <x v="453"/>
    <x v="0"/>
    <x v="0"/>
    <x v="1"/>
    <x v="0"/>
    <x v="0"/>
    <x v="0"/>
    <x v="0"/>
    <x v="0"/>
    <x v="0"/>
    <x v="0"/>
    <x v="0"/>
    <x v="0"/>
    <x v="1"/>
    <x v="0"/>
    <x v="0"/>
    <x v="0"/>
    <x v="0"/>
    <x v="1"/>
    <x v="1"/>
    <x v="0"/>
    <x v="2"/>
    <x v="0"/>
    <x v="1"/>
    <x v="497"/>
    <x v="304"/>
    <x v="153"/>
    <x v="69"/>
    <x v="0"/>
    <x v="3"/>
    <x v="42"/>
    <x v="66"/>
    <x v="0"/>
    <x v="8"/>
    <x v="8"/>
    <x v="13"/>
  </r>
  <r>
    <x v="577"/>
    <x v="160"/>
    <x v="239"/>
    <x v="112"/>
    <x v="0"/>
    <x v="7"/>
    <x v="1"/>
    <x v="1"/>
    <x v="1"/>
    <x v="1"/>
    <x v="378"/>
    <x v="82"/>
    <x v="50"/>
    <x v="89"/>
    <x v="1"/>
    <x v="1"/>
    <x v="378"/>
    <x v="0"/>
    <x v="228"/>
    <x v="11"/>
    <x v="577"/>
    <x v="160"/>
    <x v="239"/>
    <x v="112"/>
    <x v="0"/>
    <x v="7"/>
    <x v="1"/>
    <x v="1"/>
    <x v="1"/>
    <x v="454"/>
    <x v="1"/>
    <x v="0"/>
    <x v="1"/>
    <x v="0"/>
    <x v="0"/>
    <x v="0"/>
    <x v="0"/>
    <x v="0"/>
    <x v="0"/>
    <x v="0"/>
    <x v="0"/>
    <x v="0"/>
    <x v="0"/>
    <x v="0"/>
    <x v="0"/>
    <x v="0"/>
    <x v="0"/>
    <x v="0"/>
    <x v="1"/>
    <x v="0"/>
    <x v="0"/>
    <x v="3"/>
    <x v="1"/>
    <x v="498"/>
    <x v="305"/>
    <x v="164"/>
    <x v="55"/>
    <x v="0"/>
    <x v="5"/>
    <x v="35"/>
    <x v="55"/>
    <x v="1"/>
    <x v="44"/>
    <x v="44"/>
    <x v="512"/>
  </r>
  <r>
    <x v="578"/>
    <x v="160"/>
    <x v="239"/>
    <x v="112"/>
    <x v="0"/>
    <x v="7"/>
    <x v="1"/>
    <x v="1"/>
    <x v="1"/>
    <x v="1"/>
    <x v="379"/>
    <x v="83"/>
    <x v="18"/>
    <x v="90"/>
    <x v="1"/>
    <x v="1"/>
    <x v="379"/>
    <x v="0"/>
    <x v="229"/>
    <x v="16"/>
    <x v="578"/>
    <x v="160"/>
    <x v="239"/>
    <x v="112"/>
    <x v="0"/>
    <x v="7"/>
    <x v="1"/>
    <x v="1"/>
    <x v="1"/>
    <x v="455"/>
    <x v="1"/>
    <x v="0"/>
    <x v="1"/>
    <x v="0"/>
    <x v="0"/>
    <x v="0"/>
    <x v="0"/>
    <x v="0"/>
    <x v="0"/>
    <x v="0"/>
    <x v="0"/>
    <x v="0"/>
    <x v="0"/>
    <x v="0"/>
    <x v="0"/>
    <x v="0"/>
    <x v="0"/>
    <x v="0"/>
    <x v="0"/>
    <x v="0"/>
    <x v="0"/>
    <x v="0"/>
    <x v="1"/>
    <x v="499"/>
    <x v="305"/>
    <x v="164"/>
    <x v="55"/>
    <x v="0"/>
    <x v="5"/>
    <x v="35"/>
    <x v="55"/>
    <x v="1"/>
    <x v="25"/>
    <x v="25"/>
    <x v="513"/>
  </r>
  <r>
    <x v="579"/>
    <x v="41"/>
    <x v="8"/>
    <x v="112"/>
    <x v="0"/>
    <x v="7"/>
    <x v="1"/>
    <x v="1"/>
    <x v="1"/>
    <x v="1"/>
    <x v="311"/>
    <x v="0"/>
    <x v="0"/>
    <x v="0"/>
    <x v="0"/>
    <x v="1"/>
    <x v="311"/>
    <x v="0"/>
    <x v="230"/>
    <x v="19"/>
    <x v="579"/>
    <x v="41"/>
    <x v="8"/>
    <x v="112"/>
    <x v="0"/>
    <x v="7"/>
    <x v="1"/>
    <x v="1"/>
    <x v="1"/>
    <x v="365"/>
    <x v="0"/>
    <x v="0"/>
    <x v="1"/>
    <x v="0"/>
    <x v="0"/>
    <x v="0"/>
    <x v="0"/>
    <x v="0"/>
    <x v="0"/>
    <x v="0"/>
    <x v="0"/>
    <x v="0"/>
    <x v="0"/>
    <x v="0"/>
    <x v="0"/>
    <x v="0"/>
    <x v="0"/>
    <x v="0"/>
    <x v="1"/>
    <x v="0"/>
    <x v="0"/>
    <x v="4"/>
    <x v="1"/>
    <x v="500"/>
    <x v="305"/>
    <x v="164"/>
    <x v="55"/>
    <x v="0"/>
    <x v="5"/>
    <x v="35"/>
    <x v="55"/>
    <x v="1"/>
    <x v="100"/>
    <x v="92"/>
    <x v="514"/>
  </r>
  <r>
    <x v="580"/>
    <x v="161"/>
    <x v="8"/>
    <x v="8"/>
    <x v="2"/>
    <x v="0"/>
    <x v="1"/>
    <x v="1"/>
    <x v="2"/>
    <x v="2"/>
    <x v="350"/>
    <x v="0"/>
    <x v="0"/>
    <x v="0"/>
    <x v="0"/>
    <x v="0"/>
    <x v="350"/>
    <x v="0"/>
    <x v="36"/>
    <x v="12"/>
    <x v="580"/>
    <x v="161"/>
    <x v="8"/>
    <x v="8"/>
    <x v="2"/>
    <x v="0"/>
    <x v="1"/>
    <x v="1"/>
    <x v="2"/>
    <x v="418"/>
    <x v="0"/>
    <x v="0"/>
    <x v="1"/>
    <x v="0"/>
    <x v="0"/>
    <x v="0"/>
    <x v="0"/>
    <x v="0"/>
    <x v="0"/>
    <x v="0"/>
    <x v="0"/>
    <x v="0"/>
    <x v="0"/>
    <x v="0"/>
    <x v="0"/>
    <x v="1"/>
    <x v="0"/>
    <x v="0"/>
    <x v="0"/>
    <x v="0"/>
    <x v="0"/>
    <x v="0"/>
    <x v="0"/>
    <x v="501"/>
    <x v="306"/>
    <x v="198"/>
    <x v="59"/>
    <x v="0"/>
    <x v="5"/>
    <x v="2"/>
    <x v="25"/>
    <x v="1"/>
    <x v="29"/>
    <x v="29"/>
    <x v="515"/>
  </r>
  <r>
    <x v="581"/>
    <x v="76"/>
    <x v="240"/>
    <x v="8"/>
    <x v="22"/>
    <x v="5"/>
    <x v="9"/>
    <x v="0"/>
    <x v="1"/>
    <x v="1"/>
    <x v="67"/>
    <x v="0"/>
    <x v="0"/>
    <x v="0"/>
    <x v="0"/>
    <x v="2"/>
    <x v="67"/>
    <x v="123"/>
    <x v="227"/>
    <x v="24"/>
    <x v="581"/>
    <x v="76"/>
    <x v="240"/>
    <x v="8"/>
    <x v="22"/>
    <x v="5"/>
    <x v="9"/>
    <x v="0"/>
    <x v="1"/>
    <x v="456"/>
    <x v="0"/>
    <x v="0"/>
    <x v="1"/>
    <x v="0"/>
    <x v="0"/>
    <x v="0"/>
    <x v="0"/>
    <x v="0"/>
    <x v="0"/>
    <x v="0"/>
    <x v="0"/>
    <x v="0"/>
    <x v="1"/>
    <x v="0"/>
    <x v="0"/>
    <x v="0"/>
    <x v="0"/>
    <x v="1"/>
    <x v="1"/>
    <x v="0"/>
    <x v="1"/>
    <x v="0"/>
    <x v="1"/>
    <x v="502"/>
    <x v="307"/>
    <x v="199"/>
    <x v="16"/>
    <x v="0"/>
    <x v="3"/>
    <x v="64"/>
    <x v="105"/>
    <x v="0"/>
    <x v="72"/>
    <x v="66"/>
    <x v="516"/>
  </r>
  <r>
    <x v="582"/>
    <x v="12"/>
    <x v="241"/>
    <x v="113"/>
    <x v="7"/>
    <x v="0"/>
    <x v="5"/>
    <x v="3"/>
    <x v="1"/>
    <x v="1"/>
    <x v="380"/>
    <x v="84"/>
    <x v="6"/>
    <x v="91"/>
    <x v="1"/>
    <x v="0"/>
    <x v="380"/>
    <x v="0"/>
    <x v="207"/>
    <x v="6"/>
    <x v="582"/>
    <x v="12"/>
    <x v="241"/>
    <x v="113"/>
    <x v="7"/>
    <x v="0"/>
    <x v="5"/>
    <x v="3"/>
    <x v="1"/>
    <x v="457"/>
    <x v="1"/>
    <x v="0"/>
    <x v="1"/>
    <x v="1"/>
    <x v="0"/>
    <x v="0"/>
    <x v="0"/>
    <x v="0"/>
    <x v="0"/>
    <x v="0"/>
    <x v="0"/>
    <x v="0"/>
    <x v="0"/>
    <x v="0"/>
    <x v="0"/>
    <x v="1"/>
    <x v="0"/>
    <x v="0"/>
    <x v="1"/>
    <x v="0"/>
    <x v="0"/>
    <x v="4"/>
    <x v="3"/>
    <x v="503"/>
    <x v="308"/>
    <x v="109"/>
    <x v="16"/>
    <x v="0"/>
    <x v="0"/>
    <x v="2"/>
    <x v="3"/>
    <x v="0"/>
    <x v="3"/>
    <x v="3"/>
    <x v="517"/>
  </r>
  <r>
    <x v="583"/>
    <x v="65"/>
    <x v="8"/>
    <x v="114"/>
    <x v="7"/>
    <x v="0"/>
    <x v="8"/>
    <x v="3"/>
    <x v="1"/>
    <x v="1"/>
    <x v="381"/>
    <x v="0"/>
    <x v="0"/>
    <x v="0"/>
    <x v="0"/>
    <x v="0"/>
    <x v="381"/>
    <x v="0"/>
    <x v="6"/>
    <x v="6"/>
    <x v="583"/>
    <x v="65"/>
    <x v="8"/>
    <x v="114"/>
    <x v="7"/>
    <x v="0"/>
    <x v="8"/>
    <x v="3"/>
    <x v="1"/>
    <x v="458"/>
    <x v="0"/>
    <x v="0"/>
    <x v="1"/>
    <x v="0"/>
    <x v="0"/>
    <x v="0"/>
    <x v="0"/>
    <x v="0"/>
    <x v="0"/>
    <x v="0"/>
    <x v="0"/>
    <x v="1"/>
    <x v="0"/>
    <x v="0"/>
    <x v="0"/>
    <x v="0"/>
    <x v="0"/>
    <x v="0"/>
    <x v="0"/>
    <x v="0"/>
    <x v="0"/>
    <x v="0"/>
    <x v="0"/>
    <x v="504"/>
    <x v="308"/>
    <x v="109"/>
    <x v="16"/>
    <x v="0"/>
    <x v="0"/>
    <x v="2"/>
    <x v="3"/>
    <x v="0"/>
    <x v="5"/>
    <x v="5"/>
    <x v="518"/>
  </r>
  <r>
    <x v="584"/>
    <x v="162"/>
    <x v="242"/>
    <x v="8"/>
    <x v="161"/>
    <x v="3"/>
    <x v="1"/>
    <x v="1"/>
    <x v="1"/>
    <x v="1"/>
    <x v="382"/>
    <x v="0"/>
    <x v="0"/>
    <x v="0"/>
    <x v="0"/>
    <x v="2"/>
    <x v="382"/>
    <x v="0"/>
    <x v="101"/>
    <x v="19"/>
    <x v="584"/>
    <x v="162"/>
    <x v="242"/>
    <x v="8"/>
    <x v="164"/>
    <x v="3"/>
    <x v="1"/>
    <x v="1"/>
    <x v="1"/>
    <x v="459"/>
    <x v="0"/>
    <x v="0"/>
    <x v="1"/>
    <x v="0"/>
    <x v="0"/>
    <x v="1"/>
    <x v="0"/>
    <x v="0"/>
    <x v="0"/>
    <x v="0"/>
    <x v="0"/>
    <x v="0"/>
    <x v="0"/>
    <x v="0"/>
    <x v="0"/>
    <x v="0"/>
    <x v="0"/>
    <x v="0"/>
    <x v="1"/>
    <x v="0"/>
    <x v="0"/>
    <x v="0"/>
    <x v="0"/>
    <x v="505"/>
    <x v="309"/>
    <x v="94"/>
    <x v="11"/>
    <x v="0"/>
    <x v="5"/>
    <x v="64"/>
    <x v="106"/>
    <x v="1"/>
    <x v="5"/>
    <x v="5"/>
    <x v="519"/>
  </r>
  <r>
    <x v="502"/>
    <x v="35"/>
    <x v="8"/>
    <x v="8"/>
    <x v="7"/>
    <x v="2"/>
    <x v="7"/>
    <x v="4"/>
    <x v="1"/>
    <x v="1"/>
    <x v="116"/>
    <x v="0"/>
    <x v="0"/>
    <x v="0"/>
    <x v="0"/>
    <x v="3"/>
    <x v="116"/>
    <x v="0"/>
    <x v="231"/>
    <x v="6"/>
    <x v="502"/>
    <x v="35"/>
    <x v="8"/>
    <x v="8"/>
    <x v="7"/>
    <x v="2"/>
    <x v="7"/>
    <x v="4"/>
    <x v="1"/>
    <x v="132"/>
    <x v="0"/>
    <x v="0"/>
    <x v="1"/>
    <x v="1"/>
    <x v="0"/>
    <x v="0"/>
    <x v="0"/>
    <x v="0"/>
    <x v="0"/>
    <x v="0"/>
    <x v="0"/>
    <x v="0"/>
    <x v="0"/>
    <x v="0"/>
    <x v="0"/>
    <x v="1"/>
    <x v="1"/>
    <x v="0"/>
    <x v="0"/>
    <x v="0"/>
    <x v="0"/>
    <x v="0"/>
    <x v="1"/>
    <x v="506"/>
    <x v="310"/>
    <x v="6"/>
    <x v="7"/>
    <x v="1"/>
    <x v="4"/>
    <x v="4"/>
    <x v="5"/>
    <x v="0"/>
    <x v="3"/>
    <x v="3"/>
    <x v="520"/>
  </r>
  <r>
    <x v="585"/>
    <x v="29"/>
    <x v="8"/>
    <x v="8"/>
    <x v="35"/>
    <x v="5"/>
    <x v="1"/>
    <x v="1"/>
    <x v="2"/>
    <x v="2"/>
    <x v="239"/>
    <x v="0"/>
    <x v="0"/>
    <x v="0"/>
    <x v="0"/>
    <x v="0"/>
    <x v="239"/>
    <x v="124"/>
    <x v="12"/>
    <x v="8"/>
    <x v="585"/>
    <x v="29"/>
    <x v="8"/>
    <x v="8"/>
    <x v="35"/>
    <x v="5"/>
    <x v="1"/>
    <x v="1"/>
    <x v="2"/>
    <x v="277"/>
    <x v="0"/>
    <x v="0"/>
    <x v="1"/>
    <x v="0"/>
    <x v="0"/>
    <x v="0"/>
    <x v="0"/>
    <x v="0"/>
    <x v="0"/>
    <x v="0"/>
    <x v="0"/>
    <x v="0"/>
    <x v="1"/>
    <x v="0"/>
    <x v="0"/>
    <x v="0"/>
    <x v="0"/>
    <x v="1"/>
    <x v="1"/>
    <x v="0"/>
    <x v="1"/>
    <x v="0"/>
    <x v="1"/>
    <x v="507"/>
    <x v="311"/>
    <x v="200"/>
    <x v="11"/>
    <x v="0"/>
    <x v="30"/>
    <x v="2"/>
    <x v="107"/>
    <x v="0"/>
    <x v="108"/>
    <x v="100"/>
    <x v="13"/>
  </r>
  <r>
    <x v="296"/>
    <x v="24"/>
    <x v="8"/>
    <x v="8"/>
    <x v="7"/>
    <x v="0"/>
    <x v="1"/>
    <x v="1"/>
    <x v="1"/>
    <x v="1"/>
    <x v="383"/>
    <x v="0"/>
    <x v="0"/>
    <x v="0"/>
    <x v="0"/>
    <x v="2"/>
    <x v="383"/>
    <x v="0"/>
    <x v="37"/>
    <x v="6"/>
    <x v="296"/>
    <x v="24"/>
    <x v="8"/>
    <x v="8"/>
    <x v="7"/>
    <x v="0"/>
    <x v="1"/>
    <x v="1"/>
    <x v="1"/>
    <x v="460"/>
    <x v="1"/>
    <x v="0"/>
    <x v="1"/>
    <x v="1"/>
    <x v="0"/>
    <x v="0"/>
    <x v="0"/>
    <x v="0"/>
    <x v="0"/>
    <x v="0"/>
    <x v="0"/>
    <x v="0"/>
    <x v="0"/>
    <x v="0"/>
    <x v="0"/>
    <x v="1"/>
    <x v="0"/>
    <x v="0"/>
    <x v="1"/>
    <x v="0"/>
    <x v="0"/>
    <x v="0"/>
    <x v="4"/>
    <x v="508"/>
    <x v="312"/>
    <x v="183"/>
    <x v="13"/>
    <x v="0"/>
    <x v="0"/>
    <x v="2"/>
    <x v="3"/>
    <x v="0"/>
    <x v="29"/>
    <x v="29"/>
    <x v="521"/>
  </r>
  <r>
    <x v="586"/>
    <x v="163"/>
    <x v="8"/>
    <x v="8"/>
    <x v="7"/>
    <x v="0"/>
    <x v="1"/>
    <x v="1"/>
    <x v="2"/>
    <x v="2"/>
    <x v="384"/>
    <x v="0"/>
    <x v="0"/>
    <x v="0"/>
    <x v="0"/>
    <x v="0"/>
    <x v="384"/>
    <x v="0"/>
    <x v="12"/>
    <x v="19"/>
    <x v="586"/>
    <x v="163"/>
    <x v="8"/>
    <x v="8"/>
    <x v="7"/>
    <x v="0"/>
    <x v="1"/>
    <x v="1"/>
    <x v="2"/>
    <x v="461"/>
    <x v="0"/>
    <x v="0"/>
    <x v="1"/>
    <x v="0"/>
    <x v="0"/>
    <x v="0"/>
    <x v="1"/>
    <x v="0"/>
    <x v="0"/>
    <x v="0"/>
    <x v="0"/>
    <x v="0"/>
    <x v="0"/>
    <x v="0"/>
    <x v="0"/>
    <x v="0"/>
    <x v="0"/>
    <x v="0"/>
    <x v="0"/>
    <x v="0"/>
    <x v="0"/>
    <x v="0"/>
    <x v="1"/>
    <x v="13"/>
    <x v="313"/>
    <x v="201"/>
    <x v="70"/>
    <x v="0"/>
    <x v="5"/>
    <x v="2"/>
    <x v="25"/>
    <x v="1"/>
    <x v="8"/>
    <x v="8"/>
    <x v="13"/>
  </r>
  <r>
    <x v="587"/>
    <x v="6"/>
    <x v="8"/>
    <x v="8"/>
    <x v="162"/>
    <x v="5"/>
    <x v="1"/>
    <x v="1"/>
    <x v="5"/>
    <x v="4"/>
    <x v="385"/>
    <x v="0"/>
    <x v="0"/>
    <x v="0"/>
    <x v="0"/>
    <x v="0"/>
    <x v="385"/>
    <x v="59"/>
    <x v="12"/>
    <x v="8"/>
    <x v="587"/>
    <x v="6"/>
    <x v="8"/>
    <x v="8"/>
    <x v="165"/>
    <x v="5"/>
    <x v="1"/>
    <x v="1"/>
    <x v="5"/>
    <x v="462"/>
    <x v="0"/>
    <x v="0"/>
    <x v="0"/>
    <x v="0"/>
    <x v="1"/>
    <x v="0"/>
    <x v="0"/>
    <x v="0"/>
    <x v="0"/>
    <x v="0"/>
    <x v="0"/>
    <x v="0"/>
    <x v="0"/>
    <x v="0"/>
    <x v="0"/>
    <x v="0"/>
    <x v="0"/>
    <x v="0"/>
    <x v="1"/>
    <x v="0"/>
    <x v="3"/>
    <x v="0"/>
    <x v="0"/>
    <x v="13"/>
    <x v="314"/>
    <x v="202"/>
    <x v="26"/>
    <x v="0"/>
    <x v="0"/>
    <x v="2"/>
    <x v="3"/>
    <x v="0"/>
    <x v="8"/>
    <x v="8"/>
    <x v="13"/>
  </r>
  <r>
    <x v="588"/>
    <x v="4"/>
    <x v="243"/>
    <x v="115"/>
    <x v="7"/>
    <x v="3"/>
    <x v="1"/>
    <x v="1"/>
    <x v="3"/>
    <x v="3"/>
    <x v="386"/>
    <x v="0"/>
    <x v="0"/>
    <x v="0"/>
    <x v="0"/>
    <x v="0"/>
    <x v="386"/>
    <x v="0"/>
    <x v="232"/>
    <x v="6"/>
    <x v="588"/>
    <x v="4"/>
    <x v="243"/>
    <x v="115"/>
    <x v="7"/>
    <x v="3"/>
    <x v="1"/>
    <x v="1"/>
    <x v="3"/>
    <x v="463"/>
    <x v="0"/>
    <x v="0"/>
    <x v="1"/>
    <x v="1"/>
    <x v="0"/>
    <x v="0"/>
    <x v="0"/>
    <x v="0"/>
    <x v="0"/>
    <x v="0"/>
    <x v="0"/>
    <x v="0"/>
    <x v="0"/>
    <x v="0"/>
    <x v="0"/>
    <x v="0"/>
    <x v="1"/>
    <x v="0"/>
    <x v="0"/>
    <x v="0"/>
    <x v="0"/>
    <x v="0"/>
    <x v="1"/>
    <x v="509"/>
    <x v="315"/>
    <x v="128"/>
    <x v="13"/>
    <x v="0"/>
    <x v="0"/>
    <x v="2"/>
    <x v="3"/>
    <x v="0"/>
    <x v="12"/>
    <x v="12"/>
    <x v="522"/>
  </r>
  <r>
    <x v="210"/>
    <x v="2"/>
    <x v="8"/>
    <x v="8"/>
    <x v="40"/>
    <x v="3"/>
    <x v="1"/>
    <x v="2"/>
    <x v="1"/>
    <x v="1"/>
    <x v="387"/>
    <x v="85"/>
    <x v="51"/>
    <x v="92"/>
    <x v="1"/>
    <x v="1"/>
    <x v="387"/>
    <x v="0"/>
    <x v="106"/>
    <x v="9"/>
    <x v="210"/>
    <x v="2"/>
    <x v="8"/>
    <x v="8"/>
    <x v="40"/>
    <x v="3"/>
    <x v="1"/>
    <x v="2"/>
    <x v="1"/>
    <x v="464"/>
    <x v="0"/>
    <x v="0"/>
    <x v="1"/>
    <x v="1"/>
    <x v="0"/>
    <x v="0"/>
    <x v="0"/>
    <x v="0"/>
    <x v="0"/>
    <x v="0"/>
    <x v="0"/>
    <x v="0"/>
    <x v="0"/>
    <x v="0"/>
    <x v="0"/>
    <x v="0"/>
    <x v="0"/>
    <x v="0"/>
    <x v="1"/>
    <x v="0"/>
    <x v="0"/>
    <x v="0"/>
    <x v="1"/>
    <x v="510"/>
    <x v="316"/>
    <x v="73"/>
    <x v="9"/>
    <x v="0"/>
    <x v="0"/>
    <x v="2"/>
    <x v="3"/>
    <x v="0"/>
    <x v="44"/>
    <x v="44"/>
    <x v="523"/>
  </r>
  <r>
    <x v="589"/>
    <x v="24"/>
    <x v="8"/>
    <x v="116"/>
    <x v="163"/>
    <x v="0"/>
    <x v="1"/>
    <x v="1"/>
    <x v="1"/>
    <x v="1"/>
    <x v="4"/>
    <x v="0"/>
    <x v="0"/>
    <x v="0"/>
    <x v="0"/>
    <x v="2"/>
    <x v="4"/>
    <x v="0"/>
    <x v="12"/>
    <x v="8"/>
    <x v="589"/>
    <x v="24"/>
    <x v="8"/>
    <x v="116"/>
    <x v="166"/>
    <x v="0"/>
    <x v="1"/>
    <x v="1"/>
    <x v="1"/>
    <x v="4"/>
    <x v="1"/>
    <x v="0"/>
    <x v="1"/>
    <x v="1"/>
    <x v="0"/>
    <x v="0"/>
    <x v="0"/>
    <x v="0"/>
    <x v="0"/>
    <x v="0"/>
    <x v="0"/>
    <x v="0"/>
    <x v="0"/>
    <x v="0"/>
    <x v="0"/>
    <x v="0"/>
    <x v="0"/>
    <x v="0"/>
    <x v="1"/>
    <x v="0"/>
    <x v="0"/>
    <x v="0"/>
    <x v="2"/>
    <x v="13"/>
    <x v="317"/>
    <x v="203"/>
    <x v="11"/>
    <x v="0"/>
    <x v="2"/>
    <x v="1"/>
    <x v="2"/>
    <x v="0"/>
    <x v="8"/>
    <x v="8"/>
    <x v="13"/>
  </r>
  <r>
    <x v="590"/>
    <x v="164"/>
    <x v="8"/>
    <x v="8"/>
    <x v="64"/>
    <x v="5"/>
    <x v="1"/>
    <x v="1"/>
    <x v="3"/>
    <x v="3"/>
    <x v="384"/>
    <x v="0"/>
    <x v="0"/>
    <x v="0"/>
    <x v="0"/>
    <x v="0"/>
    <x v="384"/>
    <x v="58"/>
    <x v="12"/>
    <x v="8"/>
    <x v="590"/>
    <x v="164"/>
    <x v="8"/>
    <x v="8"/>
    <x v="64"/>
    <x v="5"/>
    <x v="1"/>
    <x v="1"/>
    <x v="3"/>
    <x v="465"/>
    <x v="0"/>
    <x v="0"/>
    <x v="1"/>
    <x v="0"/>
    <x v="0"/>
    <x v="0"/>
    <x v="0"/>
    <x v="0"/>
    <x v="0"/>
    <x v="0"/>
    <x v="0"/>
    <x v="0"/>
    <x v="0"/>
    <x v="0"/>
    <x v="0"/>
    <x v="0"/>
    <x v="0"/>
    <x v="0"/>
    <x v="1"/>
    <x v="0"/>
    <x v="1"/>
    <x v="0"/>
    <x v="0"/>
    <x v="511"/>
    <x v="318"/>
    <x v="110"/>
    <x v="20"/>
    <x v="0"/>
    <x v="31"/>
    <x v="2"/>
    <x v="108"/>
    <x v="0"/>
    <x v="46"/>
    <x v="46"/>
    <x v="13"/>
  </r>
  <r>
    <x v="591"/>
    <x v="165"/>
    <x v="8"/>
    <x v="8"/>
    <x v="11"/>
    <x v="5"/>
    <x v="1"/>
    <x v="1"/>
    <x v="2"/>
    <x v="2"/>
    <x v="388"/>
    <x v="0"/>
    <x v="0"/>
    <x v="0"/>
    <x v="0"/>
    <x v="0"/>
    <x v="388"/>
    <x v="0"/>
    <x v="12"/>
    <x v="8"/>
    <x v="591"/>
    <x v="165"/>
    <x v="8"/>
    <x v="8"/>
    <x v="11"/>
    <x v="5"/>
    <x v="1"/>
    <x v="1"/>
    <x v="2"/>
    <x v="466"/>
    <x v="0"/>
    <x v="0"/>
    <x v="1"/>
    <x v="0"/>
    <x v="0"/>
    <x v="0"/>
    <x v="0"/>
    <x v="0"/>
    <x v="0"/>
    <x v="0"/>
    <x v="0"/>
    <x v="0"/>
    <x v="0"/>
    <x v="0"/>
    <x v="0"/>
    <x v="0"/>
    <x v="0"/>
    <x v="1"/>
    <x v="0"/>
    <x v="0"/>
    <x v="0"/>
    <x v="0"/>
    <x v="0"/>
    <x v="512"/>
    <x v="319"/>
    <x v="204"/>
    <x v="28"/>
    <x v="0"/>
    <x v="3"/>
    <x v="18"/>
    <x v="24"/>
    <x v="0"/>
    <x v="5"/>
    <x v="5"/>
    <x v="13"/>
  </r>
  <r>
    <x v="592"/>
    <x v="2"/>
    <x v="8"/>
    <x v="8"/>
    <x v="6"/>
    <x v="5"/>
    <x v="1"/>
    <x v="2"/>
    <x v="1"/>
    <x v="1"/>
    <x v="389"/>
    <x v="0"/>
    <x v="0"/>
    <x v="0"/>
    <x v="0"/>
    <x v="0"/>
    <x v="389"/>
    <x v="125"/>
    <x v="0"/>
    <x v="16"/>
    <x v="592"/>
    <x v="2"/>
    <x v="8"/>
    <x v="8"/>
    <x v="6"/>
    <x v="5"/>
    <x v="1"/>
    <x v="2"/>
    <x v="1"/>
    <x v="467"/>
    <x v="0"/>
    <x v="0"/>
    <x v="0"/>
    <x v="0"/>
    <x v="0"/>
    <x v="0"/>
    <x v="0"/>
    <x v="0"/>
    <x v="0"/>
    <x v="0"/>
    <x v="0"/>
    <x v="0"/>
    <x v="1"/>
    <x v="0"/>
    <x v="0"/>
    <x v="0"/>
    <x v="0"/>
    <x v="1"/>
    <x v="0"/>
    <x v="0"/>
    <x v="1"/>
    <x v="0"/>
    <x v="1"/>
    <x v="513"/>
    <x v="320"/>
    <x v="6"/>
    <x v="7"/>
    <x v="1"/>
    <x v="4"/>
    <x v="4"/>
    <x v="5"/>
    <x v="0"/>
    <x v="8"/>
    <x v="8"/>
    <x v="524"/>
  </r>
  <r>
    <x v="593"/>
    <x v="8"/>
    <x v="8"/>
    <x v="8"/>
    <x v="164"/>
    <x v="0"/>
    <x v="3"/>
    <x v="3"/>
    <x v="1"/>
    <x v="1"/>
    <x v="390"/>
    <x v="0"/>
    <x v="0"/>
    <x v="0"/>
    <x v="0"/>
    <x v="3"/>
    <x v="390"/>
    <x v="0"/>
    <x v="233"/>
    <x v="6"/>
    <x v="593"/>
    <x v="8"/>
    <x v="8"/>
    <x v="8"/>
    <x v="167"/>
    <x v="0"/>
    <x v="3"/>
    <x v="3"/>
    <x v="1"/>
    <x v="468"/>
    <x v="0"/>
    <x v="0"/>
    <x v="1"/>
    <x v="0"/>
    <x v="0"/>
    <x v="0"/>
    <x v="0"/>
    <x v="0"/>
    <x v="0"/>
    <x v="0"/>
    <x v="0"/>
    <x v="0"/>
    <x v="0"/>
    <x v="0"/>
    <x v="0"/>
    <x v="1"/>
    <x v="0"/>
    <x v="0"/>
    <x v="0"/>
    <x v="0"/>
    <x v="0"/>
    <x v="0"/>
    <x v="0"/>
    <x v="514"/>
    <x v="321"/>
    <x v="139"/>
    <x v="3"/>
    <x v="0"/>
    <x v="3"/>
    <x v="15"/>
    <x v="20"/>
    <x v="0"/>
    <x v="29"/>
    <x v="29"/>
    <x v="525"/>
  </r>
  <r>
    <x v="594"/>
    <x v="27"/>
    <x v="8"/>
    <x v="8"/>
    <x v="7"/>
    <x v="0"/>
    <x v="1"/>
    <x v="1"/>
    <x v="1"/>
    <x v="1"/>
    <x v="21"/>
    <x v="86"/>
    <x v="14"/>
    <x v="93"/>
    <x v="1"/>
    <x v="3"/>
    <x v="21"/>
    <x v="0"/>
    <x v="234"/>
    <x v="6"/>
    <x v="594"/>
    <x v="27"/>
    <x v="8"/>
    <x v="8"/>
    <x v="7"/>
    <x v="0"/>
    <x v="1"/>
    <x v="1"/>
    <x v="1"/>
    <x v="469"/>
    <x v="1"/>
    <x v="1"/>
    <x v="1"/>
    <x v="1"/>
    <x v="0"/>
    <x v="0"/>
    <x v="0"/>
    <x v="0"/>
    <x v="0"/>
    <x v="0"/>
    <x v="0"/>
    <x v="0"/>
    <x v="0"/>
    <x v="0"/>
    <x v="0"/>
    <x v="1"/>
    <x v="0"/>
    <x v="0"/>
    <x v="0"/>
    <x v="0"/>
    <x v="0"/>
    <x v="0"/>
    <x v="2"/>
    <x v="515"/>
    <x v="322"/>
    <x v="29"/>
    <x v="23"/>
    <x v="0"/>
    <x v="5"/>
    <x v="22"/>
    <x v="30"/>
    <x v="1"/>
    <x v="29"/>
    <x v="29"/>
    <x v="526"/>
  </r>
  <r>
    <x v="595"/>
    <x v="27"/>
    <x v="8"/>
    <x v="8"/>
    <x v="7"/>
    <x v="3"/>
    <x v="1"/>
    <x v="1"/>
    <x v="1"/>
    <x v="1"/>
    <x v="21"/>
    <x v="87"/>
    <x v="9"/>
    <x v="94"/>
    <x v="1"/>
    <x v="3"/>
    <x v="21"/>
    <x v="0"/>
    <x v="47"/>
    <x v="6"/>
    <x v="595"/>
    <x v="27"/>
    <x v="8"/>
    <x v="8"/>
    <x v="7"/>
    <x v="3"/>
    <x v="1"/>
    <x v="1"/>
    <x v="1"/>
    <x v="470"/>
    <x v="1"/>
    <x v="0"/>
    <x v="1"/>
    <x v="1"/>
    <x v="0"/>
    <x v="0"/>
    <x v="1"/>
    <x v="0"/>
    <x v="0"/>
    <x v="0"/>
    <x v="0"/>
    <x v="0"/>
    <x v="0"/>
    <x v="0"/>
    <x v="0"/>
    <x v="1"/>
    <x v="0"/>
    <x v="0"/>
    <x v="0"/>
    <x v="0"/>
    <x v="0"/>
    <x v="4"/>
    <x v="3"/>
    <x v="516"/>
    <x v="322"/>
    <x v="29"/>
    <x v="23"/>
    <x v="0"/>
    <x v="5"/>
    <x v="40"/>
    <x v="109"/>
    <x v="1"/>
    <x v="12"/>
    <x v="12"/>
    <x v="527"/>
  </r>
  <r>
    <x v="596"/>
    <x v="27"/>
    <x v="41"/>
    <x v="8"/>
    <x v="14"/>
    <x v="3"/>
    <x v="1"/>
    <x v="1"/>
    <x v="1"/>
    <x v="1"/>
    <x v="355"/>
    <x v="88"/>
    <x v="19"/>
    <x v="95"/>
    <x v="1"/>
    <x v="3"/>
    <x v="355"/>
    <x v="126"/>
    <x v="21"/>
    <x v="6"/>
    <x v="596"/>
    <x v="27"/>
    <x v="41"/>
    <x v="8"/>
    <x v="14"/>
    <x v="3"/>
    <x v="1"/>
    <x v="1"/>
    <x v="1"/>
    <x v="471"/>
    <x v="0"/>
    <x v="0"/>
    <x v="1"/>
    <x v="1"/>
    <x v="0"/>
    <x v="0"/>
    <x v="1"/>
    <x v="0"/>
    <x v="0"/>
    <x v="0"/>
    <x v="0"/>
    <x v="0"/>
    <x v="1"/>
    <x v="0"/>
    <x v="0"/>
    <x v="1"/>
    <x v="0"/>
    <x v="1"/>
    <x v="1"/>
    <x v="0"/>
    <x v="2"/>
    <x v="0"/>
    <x v="3"/>
    <x v="517"/>
    <x v="322"/>
    <x v="29"/>
    <x v="23"/>
    <x v="0"/>
    <x v="5"/>
    <x v="40"/>
    <x v="109"/>
    <x v="1"/>
    <x v="2"/>
    <x v="2"/>
    <x v="528"/>
  </r>
  <r>
    <x v="597"/>
    <x v="27"/>
    <x v="8"/>
    <x v="8"/>
    <x v="7"/>
    <x v="0"/>
    <x v="1"/>
    <x v="1"/>
    <x v="1"/>
    <x v="1"/>
    <x v="189"/>
    <x v="76"/>
    <x v="19"/>
    <x v="45"/>
    <x v="1"/>
    <x v="3"/>
    <x v="189"/>
    <x v="0"/>
    <x v="235"/>
    <x v="6"/>
    <x v="597"/>
    <x v="27"/>
    <x v="8"/>
    <x v="8"/>
    <x v="7"/>
    <x v="0"/>
    <x v="1"/>
    <x v="1"/>
    <x v="1"/>
    <x v="429"/>
    <x v="1"/>
    <x v="1"/>
    <x v="1"/>
    <x v="1"/>
    <x v="0"/>
    <x v="0"/>
    <x v="0"/>
    <x v="0"/>
    <x v="0"/>
    <x v="0"/>
    <x v="0"/>
    <x v="0"/>
    <x v="0"/>
    <x v="0"/>
    <x v="0"/>
    <x v="1"/>
    <x v="0"/>
    <x v="0"/>
    <x v="0"/>
    <x v="0"/>
    <x v="0"/>
    <x v="3"/>
    <x v="2"/>
    <x v="518"/>
    <x v="322"/>
    <x v="205"/>
    <x v="23"/>
    <x v="0"/>
    <x v="5"/>
    <x v="22"/>
    <x v="30"/>
    <x v="1"/>
    <x v="29"/>
    <x v="29"/>
    <x v="529"/>
  </r>
  <r>
    <x v="598"/>
    <x v="2"/>
    <x v="8"/>
    <x v="8"/>
    <x v="165"/>
    <x v="3"/>
    <x v="1"/>
    <x v="2"/>
    <x v="1"/>
    <x v="1"/>
    <x v="189"/>
    <x v="89"/>
    <x v="52"/>
    <x v="96"/>
    <x v="1"/>
    <x v="3"/>
    <x v="189"/>
    <x v="9"/>
    <x v="4"/>
    <x v="9"/>
    <x v="598"/>
    <x v="2"/>
    <x v="8"/>
    <x v="8"/>
    <x v="168"/>
    <x v="3"/>
    <x v="1"/>
    <x v="2"/>
    <x v="1"/>
    <x v="472"/>
    <x v="0"/>
    <x v="0"/>
    <x v="0"/>
    <x v="0"/>
    <x v="1"/>
    <x v="0"/>
    <x v="0"/>
    <x v="0"/>
    <x v="0"/>
    <x v="0"/>
    <x v="0"/>
    <x v="0"/>
    <x v="1"/>
    <x v="0"/>
    <x v="0"/>
    <x v="1"/>
    <x v="0"/>
    <x v="1"/>
    <x v="1"/>
    <x v="0"/>
    <x v="3"/>
    <x v="1"/>
    <x v="1"/>
    <x v="519"/>
    <x v="322"/>
    <x v="60"/>
    <x v="0"/>
    <x v="0"/>
    <x v="5"/>
    <x v="22"/>
    <x v="30"/>
    <x v="1"/>
    <x v="1"/>
    <x v="1"/>
    <x v="530"/>
  </r>
  <r>
    <x v="599"/>
    <x v="27"/>
    <x v="8"/>
    <x v="8"/>
    <x v="7"/>
    <x v="3"/>
    <x v="1"/>
    <x v="1"/>
    <x v="1"/>
    <x v="1"/>
    <x v="20"/>
    <x v="0"/>
    <x v="0"/>
    <x v="0"/>
    <x v="0"/>
    <x v="3"/>
    <x v="20"/>
    <x v="127"/>
    <x v="236"/>
    <x v="7"/>
    <x v="599"/>
    <x v="27"/>
    <x v="8"/>
    <x v="8"/>
    <x v="7"/>
    <x v="3"/>
    <x v="1"/>
    <x v="1"/>
    <x v="1"/>
    <x v="46"/>
    <x v="0"/>
    <x v="0"/>
    <x v="1"/>
    <x v="1"/>
    <x v="0"/>
    <x v="0"/>
    <x v="0"/>
    <x v="0"/>
    <x v="0"/>
    <x v="0"/>
    <x v="0"/>
    <x v="0"/>
    <x v="1"/>
    <x v="0"/>
    <x v="0"/>
    <x v="0"/>
    <x v="0"/>
    <x v="1"/>
    <x v="1"/>
    <x v="0"/>
    <x v="4"/>
    <x v="0"/>
    <x v="2"/>
    <x v="520"/>
    <x v="322"/>
    <x v="30"/>
    <x v="2"/>
    <x v="0"/>
    <x v="5"/>
    <x v="22"/>
    <x v="30"/>
    <x v="1"/>
    <x v="12"/>
    <x v="12"/>
    <x v="531"/>
  </r>
  <r>
    <x v="600"/>
    <x v="27"/>
    <x v="8"/>
    <x v="8"/>
    <x v="140"/>
    <x v="8"/>
    <x v="1"/>
    <x v="1"/>
    <x v="1"/>
    <x v="1"/>
    <x v="56"/>
    <x v="90"/>
    <x v="53"/>
    <x v="97"/>
    <x v="1"/>
    <x v="0"/>
    <x v="56"/>
    <x v="128"/>
    <x v="57"/>
    <x v="10"/>
    <x v="600"/>
    <x v="27"/>
    <x v="8"/>
    <x v="8"/>
    <x v="142"/>
    <x v="8"/>
    <x v="1"/>
    <x v="1"/>
    <x v="1"/>
    <x v="473"/>
    <x v="1"/>
    <x v="1"/>
    <x v="1"/>
    <x v="1"/>
    <x v="0"/>
    <x v="0"/>
    <x v="0"/>
    <x v="0"/>
    <x v="1"/>
    <x v="0"/>
    <x v="0"/>
    <x v="0"/>
    <x v="0"/>
    <x v="0"/>
    <x v="0"/>
    <x v="0"/>
    <x v="0"/>
    <x v="0"/>
    <x v="1"/>
    <x v="0"/>
    <x v="4"/>
    <x v="0"/>
    <x v="3"/>
    <x v="521"/>
    <x v="322"/>
    <x v="6"/>
    <x v="7"/>
    <x v="1"/>
    <x v="4"/>
    <x v="4"/>
    <x v="5"/>
    <x v="0"/>
    <x v="5"/>
    <x v="5"/>
    <x v="66"/>
  </r>
  <r>
    <x v="601"/>
    <x v="27"/>
    <x v="41"/>
    <x v="8"/>
    <x v="14"/>
    <x v="8"/>
    <x v="1"/>
    <x v="1"/>
    <x v="1"/>
    <x v="1"/>
    <x v="66"/>
    <x v="13"/>
    <x v="14"/>
    <x v="15"/>
    <x v="1"/>
    <x v="0"/>
    <x v="66"/>
    <x v="18"/>
    <x v="92"/>
    <x v="9"/>
    <x v="601"/>
    <x v="27"/>
    <x v="41"/>
    <x v="8"/>
    <x v="14"/>
    <x v="8"/>
    <x v="1"/>
    <x v="1"/>
    <x v="1"/>
    <x v="69"/>
    <x v="0"/>
    <x v="0"/>
    <x v="1"/>
    <x v="1"/>
    <x v="0"/>
    <x v="1"/>
    <x v="1"/>
    <x v="0"/>
    <x v="0"/>
    <x v="0"/>
    <x v="0"/>
    <x v="0"/>
    <x v="1"/>
    <x v="0"/>
    <x v="0"/>
    <x v="0"/>
    <x v="0"/>
    <x v="1"/>
    <x v="1"/>
    <x v="0"/>
    <x v="2"/>
    <x v="1"/>
    <x v="3"/>
    <x v="522"/>
    <x v="322"/>
    <x v="6"/>
    <x v="7"/>
    <x v="1"/>
    <x v="4"/>
    <x v="4"/>
    <x v="5"/>
    <x v="0"/>
    <x v="12"/>
    <x v="12"/>
    <x v="532"/>
  </r>
  <r>
    <x v="602"/>
    <x v="166"/>
    <x v="8"/>
    <x v="8"/>
    <x v="166"/>
    <x v="5"/>
    <x v="1"/>
    <x v="1"/>
    <x v="2"/>
    <x v="2"/>
    <x v="384"/>
    <x v="0"/>
    <x v="0"/>
    <x v="0"/>
    <x v="0"/>
    <x v="0"/>
    <x v="384"/>
    <x v="0"/>
    <x v="12"/>
    <x v="8"/>
    <x v="602"/>
    <x v="166"/>
    <x v="8"/>
    <x v="8"/>
    <x v="169"/>
    <x v="5"/>
    <x v="1"/>
    <x v="1"/>
    <x v="2"/>
    <x v="461"/>
    <x v="0"/>
    <x v="0"/>
    <x v="1"/>
    <x v="0"/>
    <x v="0"/>
    <x v="0"/>
    <x v="0"/>
    <x v="0"/>
    <x v="0"/>
    <x v="0"/>
    <x v="0"/>
    <x v="0"/>
    <x v="0"/>
    <x v="0"/>
    <x v="0"/>
    <x v="0"/>
    <x v="0"/>
    <x v="0"/>
    <x v="0"/>
    <x v="0"/>
    <x v="0"/>
    <x v="0"/>
    <x v="0"/>
    <x v="13"/>
    <x v="323"/>
    <x v="206"/>
    <x v="45"/>
    <x v="0"/>
    <x v="0"/>
    <x v="2"/>
    <x v="3"/>
    <x v="0"/>
    <x v="8"/>
    <x v="8"/>
    <x v="13"/>
  </r>
  <r>
    <x v="603"/>
    <x v="166"/>
    <x v="8"/>
    <x v="8"/>
    <x v="167"/>
    <x v="5"/>
    <x v="1"/>
    <x v="1"/>
    <x v="2"/>
    <x v="2"/>
    <x v="349"/>
    <x v="0"/>
    <x v="0"/>
    <x v="0"/>
    <x v="0"/>
    <x v="0"/>
    <x v="349"/>
    <x v="0"/>
    <x v="12"/>
    <x v="8"/>
    <x v="603"/>
    <x v="166"/>
    <x v="8"/>
    <x v="8"/>
    <x v="170"/>
    <x v="5"/>
    <x v="1"/>
    <x v="1"/>
    <x v="2"/>
    <x v="474"/>
    <x v="0"/>
    <x v="0"/>
    <x v="1"/>
    <x v="0"/>
    <x v="0"/>
    <x v="0"/>
    <x v="0"/>
    <x v="0"/>
    <x v="0"/>
    <x v="0"/>
    <x v="0"/>
    <x v="0"/>
    <x v="0"/>
    <x v="0"/>
    <x v="0"/>
    <x v="0"/>
    <x v="0"/>
    <x v="0"/>
    <x v="0"/>
    <x v="0"/>
    <x v="0"/>
    <x v="0"/>
    <x v="0"/>
    <x v="523"/>
    <x v="323"/>
    <x v="206"/>
    <x v="71"/>
    <x v="0"/>
    <x v="0"/>
    <x v="2"/>
    <x v="3"/>
    <x v="0"/>
    <x v="109"/>
    <x v="101"/>
    <x v="13"/>
  </r>
  <r>
    <x v="604"/>
    <x v="167"/>
    <x v="244"/>
    <x v="117"/>
    <x v="75"/>
    <x v="3"/>
    <x v="1"/>
    <x v="1"/>
    <x v="1"/>
    <x v="1"/>
    <x v="391"/>
    <x v="0"/>
    <x v="0"/>
    <x v="0"/>
    <x v="0"/>
    <x v="3"/>
    <x v="391"/>
    <x v="0"/>
    <x v="237"/>
    <x v="6"/>
    <x v="604"/>
    <x v="167"/>
    <x v="244"/>
    <x v="117"/>
    <x v="75"/>
    <x v="3"/>
    <x v="1"/>
    <x v="1"/>
    <x v="1"/>
    <x v="475"/>
    <x v="0"/>
    <x v="0"/>
    <x v="1"/>
    <x v="1"/>
    <x v="0"/>
    <x v="0"/>
    <x v="0"/>
    <x v="0"/>
    <x v="0"/>
    <x v="0"/>
    <x v="0"/>
    <x v="0"/>
    <x v="0"/>
    <x v="0"/>
    <x v="0"/>
    <x v="0"/>
    <x v="0"/>
    <x v="0"/>
    <x v="0"/>
    <x v="0"/>
    <x v="0"/>
    <x v="0"/>
    <x v="1"/>
    <x v="524"/>
    <x v="324"/>
    <x v="207"/>
    <x v="37"/>
    <x v="0"/>
    <x v="0"/>
    <x v="2"/>
    <x v="3"/>
    <x v="0"/>
    <x v="28"/>
    <x v="28"/>
    <x v="533"/>
  </r>
  <r>
    <x v="605"/>
    <x v="2"/>
    <x v="8"/>
    <x v="8"/>
    <x v="18"/>
    <x v="1"/>
    <x v="1"/>
    <x v="2"/>
    <x v="1"/>
    <x v="1"/>
    <x v="215"/>
    <x v="0"/>
    <x v="0"/>
    <x v="0"/>
    <x v="0"/>
    <x v="1"/>
    <x v="215"/>
    <x v="0"/>
    <x v="238"/>
    <x v="6"/>
    <x v="605"/>
    <x v="2"/>
    <x v="8"/>
    <x v="8"/>
    <x v="18"/>
    <x v="1"/>
    <x v="1"/>
    <x v="2"/>
    <x v="1"/>
    <x v="246"/>
    <x v="0"/>
    <x v="0"/>
    <x v="1"/>
    <x v="0"/>
    <x v="0"/>
    <x v="0"/>
    <x v="0"/>
    <x v="0"/>
    <x v="0"/>
    <x v="0"/>
    <x v="0"/>
    <x v="0"/>
    <x v="1"/>
    <x v="0"/>
    <x v="0"/>
    <x v="0"/>
    <x v="0"/>
    <x v="1"/>
    <x v="0"/>
    <x v="0"/>
    <x v="0"/>
    <x v="0"/>
    <x v="1"/>
    <x v="525"/>
    <x v="325"/>
    <x v="208"/>
    <x v="55"/>
    <x v="0"/>
    <x v="32"/>
    <x v="63"/>
    <x v="110"/>
    <x v="0"/>
    <x v="110"/>
    <x v="102"/>
    <x v="534"/>
  </r>
  <r>
    <x v="606"/>
    <x v="26"/>
    <x v="245"/>
    <x v="8"/>
    <x v="7"/>
    <x v="0"/>
    <x v="1"/>
    <x v="1"/>
    <x v="3"/>
    <x v="3"/>
    <x v="251"/>
    <x v="0"/>
    <x v="0"/>
    <x v="0"/>
    <x v="0"/>
    <x v="3"/>
    <x v="251"/>
    <x v="0"/>
    <x v="239"/>
    <x v="10"/>
    <x v="606"/>
    <x v="26"/>
    <x v="245"/>
    <x v="8"/>
    <x v="7"/>
    <x v="0"/>
    <x v="1"/>
    <x v="1"/>
    <x v="3"/>
    <x v="476"/>
    <x v="0"/>
    <x v="0"/>
    <x v="0"/>
    <x v="0"/>
    <x v="0"/>
    <x v="0"/>
    <x v="0"/>
    <x v="0"/>
    <x v="0"/>
    <x v="0"/>
    <x v="0"/>
    <x v="1"/>
    <x v="0"/>
    <x v="0"/>
    <x v="0"/>
    <x v="0"/>
    <x v="0"/>
    <x v="0"/>
    <x v="0"/>
    <x v="0"/>
    <x v="0"/>
    <x v="0"/>
    <x v="0"/>
    <x v="526"/>
    <x v="326"/>
    <x v="14"/>
    <x v="12"/>
    <x v="0"/>
    <x v="0"/>
    <x v="2"/>
    <x v="3"/>
    <x v="0"/>
    <x v="1"/>
    <x v="1"/>
    <x v="535"/>
  </r>
  <r>
    <x v="607"/>
    <x v="35"/>
    <x v="246"/>
    <x v="118"/>
    <x v="168"/>
    <x v="0"/>
    <x v="7"/>
    <x v="4"/>
    <x v="0"/>
    <x v="0"/>
    <x v="248"/>
    <x v="0"/>
    <x v="0"/>
    <x v="0"/>
    <x v="0"/>
    <x v="3"/>
    <x v="248"/>
    <x v="0"/>
    <x v="211"/>
    <x v="12"/>
    <x v="607"/>
    <x v="35"/>
    <x v="246"/>
    <x v="118"/>
    <x v="171"/>
    <x v="0"/>
    <x v="7"/>
    <x v="4"/>
    <x v="0"/>
    <x v="477"/>
    <x v="0"/>
    <x v="0"/>
    <x v="1"/>
    <x v="0"/>
    <x v="0"/>
    <x v="0"/>
    <x v="0"/>
    <x v="0"/>
    <x v="0"/>
    <x v="0"/>
    <x v="0"/>
    <x v="1"/>
    <x v="0"/>
    <x v="0"/>
    <x v="0"/>
    <x v="1"/>
    <x v="0"/>
    <x v="0"/>
    <x v="0"/>
    <x v="0"/>
    <x v="0"/>
    <x v="0"/>
    <x v="0"/>
    <x v="527"/>
    <x v="326"/>
    <x v="14"/>
    <x v="14"/>
    <x v="0"/>
    <x v="0"/>
    <x v="2"/>
    <x v="3"/>
    <x v="0"/>
    <x v="2"/>
    <x v="2"/>
    <x v="536"/>
  </r>
  <r>
    <x v="608"/>
    <x v="0"/>
    <x v="247"/>
    <x v="119"/>
    <x v="0"/>
    <x v="3"/>
    <x v="0"/>
    <x v="0"/>
    <x v="1"/>
    <x v="1"/>
    <x v="392"/>
    <x v="91"/>
    <x v="54"/>
    <x v="98"/>
    <x v="1"/>
    <x v="4"/>
    <x v="392"/>
    <x v="0"/>
    <x v="59"/>
    <x v="38"/>
    <x v="608"/>
    <x v="0"/>
    <x v="247"/>
    <x v="119"/>
    <x v="0"/>
    <x v="3"/>
    <x v="0"/>
    <x v="0"/>
    <x v="1"/>
    <x v="478"/>
    <x v="0"/>
    <x v="0"/>
    <x v="0"/>
    <x v="0"/>
    <x v="0"/>
    <x v="0"/>
    <x v="0"/>
    <x v="0"/>
    <x v="0"/>
    <x v="0"/>
    <x v="0"/>
    <x v="0"/>
    <x v="1"/>
    <x v="0"/>
    <x v="0"/>
    <x v="0"/>
    <x v="0"/>
    <x v="1"/>
    <x v="1"/>
    <x v="0"/>
    <x v="0"/>
    <x v="0"/>
    <x v="1"/>
    <x v="528"/>
    <x v="327"/>
    <x v="209"/>
    <x v="2"/>
    <x v="0"/>
    <x v="10"/>
    <x v="22"/>
    <x v="111"/>
    <x v="0"/>
    <x v="2"/>
    <x v="2"/>
    <x v="537"/>
  </r>
  <r>
    <x v="548"/>
    <x v="8"/>
    <x v="227"/>
    <x v="104"/>
    <x v="152"/>
    <x v="0"/>
    <x v="3"/>
    <x v="3"/>
    <x v="1"/>
    <x v="1"/>
    <x v="393"/>
    <x v="0"/>
    <x v="0"/>
    <x v="0"/>
    <x v="0"/>
    <x v="3"/>
    <x v="393"/>
    <x v="0"/>
    <x v="36"/>
    <x v="12"/>
    <x v="548"/>
    <x v="8"/>
    <x v="227"/>
    <x v="104"/>
    <x v="155"/>
    <x v="0"/>
    <x v="3"/>
    <x v="3"/>
    <x v="1"/>
    <x v="479"/>
    <x v="0"/>
    <x v="0"/>
    <x v="1"/>
    <x v="0"/>
    <x v="0"/>
    <x v="0"/>
    <x v="0"/>
    <x v="0"/>
    <x v="0"/>
    <x v="0"/>
    <x v="0"/>
    <x v="0"/>
    <x v="0"/>
    <x v="0"/>
    <x v="0"/>
    <x v="0"/>
    <x v="0"/>
    <x v="0"/>
    <x v="0"/>
    <x v="0"/>
    <x v="0"/>
    <x v="0"/>
    <x v="0"/>
    <x v="180"/>
    <x v="328"/>
    <x v="210"/>
    <x v="72"/>
    <x v="0"/>
    <x v="0"/>
    <x v="2"/>
    <x v="3"/>
    <x v="0"/>
    <x v="8"/>
    <x v="8"/>
    <x v="538"/>
  </r>
  <r>
    <x v="609"/>
    <x v="168"/>
    <x v="8"/>
    <x v="8"/>
    <x v="169"/>
    <x v="4"/>
    <x v="1"/>
    <x v="1"/>
    <x v="1"/>
    <x v="1"/>
    <x v="394"/>
    <x v="0"/>
    <x v="0"/>
    <x v="0"/>
    <x v="0"/>
    <x v="1"/>
    <x v="394"/>
    <x v="0"/>
    <x v="64"/>
    <x v="6"/>
    <x v="609"/>
    <x v="168"/>
    <x v="8"/>
    <x v="8"/>
    <x v="172"/>
    <x v="4"/>
    <x v="1"/>
    <x v="1"/>
    <x v="1"/>
    <x v="480"/>
    <x v="0"/>
    <x v="0"/>
    <x v="1"/>
    <x v="1"/>
    <x v="0"/>
    <x v="0"/>
    <x v="0"/>
    <x v="0"/>
    <x v="0"/>
    <x v="0"/>
    <x v="0"/>
    <x v="0"/>
    <x v="0"/>
    <x v="0"/>
    <x v="0"/>
    <x v="0"/>
    <x v="0"/>
    <x v="0"/>
    <x v="0"/>
    <x v="0"/>
    <x v="0"/>
    <x v="0"/>
    <x v="1"/>
    <x v="235"/>
    <x v="329"/>
    <x v="211"/>
    <x v="36"/>
    <x v="0"/>
    <x v="0"/>
    <x v="2"/>
    <x v="3"/>
    <x v="0"/>
    <x v="8"/>
    <x v="8"/>
    <x v="539"/>
  </r>
  <r>
    <x v="610"/>
    <x v="88"/>
    <x v="248"/>
    <x v="8"/>
    <x v="2"/>
    <x v="0"/>
    <x v="1"/>
    <x v="1"/>
    <x v="1"/>
    <x v="1"/>
    <x v="22"/>
    <x v="0"/>
    <x v="0"/>
    <x v="0"/>
    <x v="0"/>
    <x v="3"/>
    <x v="22"/>
    <x v="0"/>
    <x v="73"/>
    <x v="6"/>
    <x v="610"/>
    <x v="88"/>
    <x v="248"/>
    <x v="8"/>
    <x v="2"/>
    <x v="0"/>
    <x v="1"/>
    <x v="1"/>
    <x v="1"/>
    <x v="22"/>
    <x v="1"/>
    <x v="1"/>
    <x v="1"/>
    <x v="1"/>
    <x v="0"/>
    <x v="0"/>
    <x v="0"/>
    <x v="0"/>
    <x v="0"/>
    <x v="0"/>
    <x v="0"/>
    <x v="0"/>
    <x v="0"/>
    <x v="0"/>
    <x v="0"/>
    <x v="1"/>
    <x v="0"/>
    <x v="0"/>
    <x v="1"/>
    <x v="0"/>
    <x v="0"/>
    <x v="0"/>
    <x v="2"/>
    <x v="529"/>
    <x v="330"/>
    <x v="51"/>
    <x v="2"/>
    <x v="0"/>
    <x v="5"/>
    <x v="65"/>
    <x v="112"/>
    <x v="1"/>
    <x v="29"/>
    <x v="29"/>
    <x v="540"/>
  </r>
  <r>
    <x v="611"/>
    <x v="169"/>
    <x v="8"/>
    <x v="8"/>
    <x v="170"/>
    <x v="0"/>
    <x v="7"/>
    <x v="1"/>
    <x v="1"/>
    <x v="1"/>
    <x v="395"/>
    <x v="0"/>
    <x v="0"/>
    <x v="0"/>
    <x v="0"/>
    <x v="1"/>
    <x v="395"/>
    <x v="0"/>
    <x v="240"/>
    <x v="9"/>
    <x v="611"/>
    <x v="169"/>
    <x v="8"/>
    <x v="8"/>
    <x v="173"/>
    <x v="0"/>
    <x v="7"/>
    <x v="1"/>
    <x v="1"/>
    <x v="481"/>
    <x v="0"/>
    <x v="0"/>
    <x v="1"/>
    <x v="0"/>
    <x v="0"/>
    <x v="0"/>
    <x v="0"/>
    <x v="0"/>
    <x v="0"/>
    <x v="0"/>
    <x v="0"/>
    <x v="0"/>
    <x v="0"/>
    <x v="0"/>
    <x v="0"/>
    <x v="1"/>
    <x v="1"/>
    <x v="0"/>
    <x v="1"/>
    <x v="0"/>
    <x v="0"/>
    <x v="0"/>
    <x v="0"/>
    <x v="510"/>
    <x v="331"/>
    <x v="139"/>
    <x v="2"/>
    <x v="0"/>
    <x v="5"/>
    <x v="41"/>
    <x v="64"/>
    <x v="1"/>
    <x v="1"/>
    <x v="1"/>
    <x v="541"/>
  </r>
  <r>
    <x v="612"/>
    <x v="170"/>
    <x v="249"/>
    <x v="8"/>
    <x v="7"/>
    <x v="0"/>
    <x v="1"/>
    <x v="1"/>
    <x v="3"/>
    <x v="3"/>
    <x v="131"/>
    <x v="0"/>
    <x v="0"/>
    <x v="0"/>
    <x v="0"/>
    <x v="3"/>
    <x v="131"/>
    <x v="0"/>
    <x v="12"/>
    <x v="8"/>
    <x v="612"/>
    <x v="170"/>
    <x v="249"/>
    <x v="8"/>
    <x v="7"/>
    <x v="0"/>
    <x v="1"/>
    <x v="1"/>
    <x v="3"/>
    <x v="482"/>
    <x v="0"/>
    <x v="0"/>
    <x v="1"/>
    <x v="1"/>
    <x v="0"/>
    <x v="0"/>
    <x v="0"/>
    <x v="0"/>
    <x v="0"/>
    <x v="0"/>
    <x v="0"/>
    <x v="0"/>
    <x v="0"/>
    <x v="0"/>
    <x v="0"/>
    <x v="0"/>
    <x v="0"/>
    <x v="0"/>
    <x v="0"/>
    <x v="0"/>
    <x v="0"/>
    <x v="0"/>
    <x v="1"/>
    <x v="13"/>
    <x v="332"/>
    <x v="212"/>
    <x v="70"/>
    <x v="0"/>
    <x v="5"/>
    <x v="2"/>
    <x v="25"/>
    <x v="1"/>
    <x v="8"/>
    <x v="8"/>
    <x v="13"/>
  </r>
  <r>
    <x v="613"/>
    <x v="12"/>
    <x v="17"/>
    <x v="120"/>
    <x v="7"/>
    <x v="0"/>
    <x v="5"/>
    <x v="3"/>
    <x v="4"/>
    <x v="0"/>
    <x v="396"/>
    <x v="32"/>
    <x v="55"/>
    <x v="99"/>
    <x v="1"/>
    <x v="0"/>
    <x v="396"/>
    <x v="0"/>
    <x v="241"/>
    <x v="44"/>
    <x v="613"/>
    <x v="12"/>
    <x v="17"/>
    <x v="120"/>
    <x v="7"/>
    <x v="0"/>
    <x v="5"/>
    <x v="3"/>
    <x v="4"/>
    <x v="483"/>
    <x v="0"/>
    <x v="0"/>
    <x v="1"/>
    <x v="0"/>
    <x v="0"/>
    <x v="0"/>
    <x v="0"/>
    <x v="0"/>
    <x v="0"/>
    <x v="0"/>
    <x v="0"/>
    <x v="1"/>
    <x v="0"/>
    <x v="0"/>
    <x v="0"/>
    <x v="0"/>
    <x v="0"/>
    <x v="0"/>
    <x v="0"/>
    <x v="0"/>
    <x v="0"/>
    <x v="0"/>
    <x v="2"/>
    <x v="530"/>
    <x v="333"/>
    <x v="13"/>
    <x v="13"/>
    <x v="0"/>
    <x v="3"/>
    <x v="64"/>
    <x v="105"/>
    <x v="0"/>
    <x v="1"/>
    <x v="1"/>
    <x v="542"/>
  </r>
  <r>
    <x v="614"/>
    <x v="12"/>
    <x v="250"/>
    <x v="121"/>
    <x v="7"/>
    <x v="0"/>
    <x v="5"/>
    <x v="3"/>
    <x v="4"/>
    <x v="0"/>
    <x v="79"/>
    <x v="79"/>
    <x v="56"/>
    <x v="78"/>
    <x v="1"/>
    <x v="3"/>
    <x v="79"/>
    <x v="0"/>
    <x v="242"/>
    <x v="45"/>
    <x v="614"/>
    <x v="12"/>
    <x v="250"/>
    <x v="121"/>
    <x v="7"/>
    <x v="0"/>
    <x v="5"/>
    <x v="3"/>
    <x v="4"/>
    <x v="484"/>
    <x v="0"/>
    <x v="0"/>
    <x v="1"/>
    <x v="0"/>
    <x v="0"/>
    <x v="0"/>
    <x v="0"/>
    <x v="0"/>
    <x v="0"/>
    <x v="0"/>
    <x v="0"/>
    <x v="0"/>
    <x v="0"/>
    <x v="0"/>
    <x v="0"/>
    <x v="0"/>
    <x v="1"/>
    <x v="0"/>
    <x v="0"/>
    <x v="1"/>
    <x v="0"/>
    <x v="0"/>
    <x v="1"/>
    <x v="531"/>
    <x v="333"/>
    <x v="13"/>
    <x v="13"/>
    <x v="0"/>
    <x v="3"/>
    <x v="64"/>
    <x v="105"/>
    <x v="0"/>
    <x v="1"/>
    <x v="1"/>
    <x v="543"/>
  </r>
  <r>
    <x v="615"/>
    <x v="12"/>
    <x v="251"/>
    <x v="122"/>
    <x v="7"/>
    <x v="0"/>
    <x v="5"/>
    <x v="3"/>
    <x v="4"/>
    <x v="0"/>
    <x v="41"/>
    <x v="92"/>
    <x v="57"/>
    <x v="69"/>
    <x v="1"/>
    <x v="1"/>
    <x v="41"/>
    <x v="0"/>
    <x v="243"/>
    <x v="10"/>
    <x v="615"/>
    <x v="12"/>
    <x v="251"/>
    <x v="122"/>
    <x v="7"/>
    <x v="0"/>
    <x v="5"/>
    <x v="3"/>
    <x v="4"/>
    <x v="485"/>
    <x v="0"/>
    <x v="0"/>
    <x v="1"/>
    <x v="0"/>
    <x v="0"/>
    <x v="0"/>
    <x v="1"/>
    <x v="0"/>
    <x v="0"/>
    <x v="0"/>
    <x v="0"/>
    <x v="0"/>
    <x v="0"/>
    <x v="0"/>
    <x v="0"/>
    <x v="0"/>
    <x v="1"/>
    <x v="0"/>
    <x v="0"/>
    <x v="1"/>
    <x v="0"/>
    <x v="0"/>
    <x v="2"/>
    <x v="519"/>
    <x v="333"/>
    <x v="13"/>
    <x v="13"/>
    <x v="0"/>
    <x v="3"/>
    <x v="64"/>
    <x v="105"/>
    <x v="0"/>
    <x v="1"/>
    <x v="1"/>
    <x v="544"/>
  </r>
  <r>
    <x v="616"/>
    <x v="12"/>
    <x v="252"/>
    <x v="123"/>
    <x v="7"/>
    <x v="0"/>
    <x v="5"/>
    <x v="3"/>
    <x v="4"/>
    <x v="0"/>
    <x v="397"/>
    <x v="74"/>
    <x v="58"/>
    <x v="100"/>
    <x v="1"/>
    <x v="0"/>
    <x v="397"/>
    <x v="0"/>
    <x v="244"/>
    <x v="46"/>
    <x v="616"/>
    <x v="12"/>
    <x v="252"/>
    <x v="123"/>
    <x v="7"/>
    <x v="0"/>
    <x v="5"/>
    <x v="3"/>
    <x v="4"/>
    <x v="486"/>
    <x v="0"/>
    <x v="0"/>
    <x v="1"/>
    <x v="0"/>
    <x v="0"/>
    <x v="0"/>
    <x v="0"/>
    <x v="0"/>
    <x v="0"/>
    <x v="0"/>
    <x v="0"/>
    <x v="0"/>
    <x v="0"/>
    <x v="0"/>
    <x v="0"/>
    <x v="0"/>
    <x v="1"/>
    <x v="0"/>
    <x v="0"/>
    <x v="0"/>
    <x v="0"/>
    <x v="0"/>
    <x v="0"/>
    <x v="532"/>
    <x v="333"/>
    <x v="13"/>
    <x v="13"/>
    <x v="0"/>
    <x v="3"/>
    <x v="64"/>
    <x v="105"/>
    <x v="0"/>
    <x v="1"/>
    <x v="1"/>
    <x v="545"/>
  </r>
  <r>
    <x v="617"/>
    <x v="12"/>
    <x v="253"/>
    <x v="113"/>
    <x v="7"/>
    <x v="0"/>
    <x v="5"/>
    <x v="3"/>
    <x v="4"/>
    <x v="0"/>
    <x v="66"/>
    <x v="93"/>
    <x v="59"/>
    <x v="101"/>
    <x v="1"/>
    <x v="0"/>
    <x v="66"/>
    <x v="0"/>
    <x v="245"/>
    <x v="45"/>
    <x v="617"/>
    <x v="12"/>
    <x v="253"/>
    <x v="113"/>
    <x v="7"/>
    <x v="0"/>
    <x v="5"/>
    <x v="3"/>
    <x v="4"/>
    <x v="487"/>
    <x v="1"/>
    <x v="0"/>
    <x v="1"/>
    <x v="0"/>
    <x v="0"/>
    <x v="0"/>
    <x v="0"/>
    <x v="0"/>
    <x v="0"/>
    <x v="0"/>
    <x v="0"/>
    <x v="1"/>
    <x v="0"/>
    <x v="0"/>
    <x v="0"/>
    <x v="1"/>
    <x v="0"/>
    <x v="0"/>
    <x v="0"/>
    <x v="0"/>
    <x v="0"/>
    <x v="0"/>
    <x v="2"/>
    <x v="533"/>
    <x v="333"/>
    <x v="13"/>
    <x v="13"/>
    <x v="0"/>
    <x v="3"/>
    <x v="64"/>
    <x v="105"/>
    <x v="0"/>
    <x v="1"/>
    <x v="1"/>
    <x v="546"/>
  </r>
  <r>
    <x v="618"/>
    <x v="12"/>
    <x v="16"/>
    <x v="124"/>
    <x v="7"/>
    <x v="0"/>
    <x v="5"/>
    <x v="3"/>
    <x v="4"/>
    <x v="0"/>
    <x v="398"/>
    <x v="0"/>
    <x v="0"/>
    <x v="0"/>
    <x v="0"/>
    <x v="2"/>
    <x v="398"/>
    <x v="0"/>
    <x v="246"/>
    <x v="11"/>
    <x v="618"/>
    <x v="12"/>
    <x v="16"/>
    <x v="124"/>
    <x v="7"/>
    <x v="0"/>
    <x v="5"/>
    <x v="3"/>
    <x v="4"/>
    <x v="488"/>
    <x v="1"/>
    <x v="0"/>
    <x v="1"/>
    <x v="1"/>
    <x v="0"/>
    <x v="0"/>
    <x v="1"/>
    <x v="0"/>
    <x v="0"/>
    <x v="0"/>
    <x v="0"/>
    <x v="0"/>
    <x v="0"/>
    <x v="0"/>
    <x v="0"/>
    <x v="1"/>
    <x v="0"/>
    <x v="0"/>
    <x v="0"/>
    <x v="0"/>
    <x v="0"/>
    <x v="0"/>
    <x v="3"/>
    <x v="531"/>
    <x v="333"/>
    <x v="13"/>
    <x v="13"/>
    <x v="0"/>
    <x v="3"/>
    <x v="64"/>
    <x v="105"/>
    <x v="0"/>
    <x v="1"/>
    <x v="1"/>
    <x v="547"/>
  </r>
  <r>
    <x v="619"/>
    <x v="12"/>
    <x v="12"/>
    <x v="125"/>
    <x v="7"/>
    <x v="0"/>
    <x v="5"/>
    <x v="3"/>
    <x v="4"/>
    <x v="0"/>
    <x v="399"/>
    <x v="94"/>
    <x v="60"/>
    <x v="102"/>
    <x v="1"/>
    <x v="4"/>
    <x v="399"/>
    <x v="0"/>
    <x v="111"/>
    <x v="2"/>
    <x v="619"/>
    <x v="12"/>
    <x v="12"/>
    <x v="125"/>
    <x v="7"/>
    <x v="0"/>
    <x v="5"/>
    <x v="3"/>
    <x v="4"/>
    <x v="489"/>
    <x v="1"/>
    <x v="0"/>
    <x v="1"/>
    <x v="1"/>
    <x v="0"/>
    <x v="0"/>
    <x v="1"/>
    <x v="0"/>
    <x v="0"/>
    <x v="0"/>
    <x v="0"/>
    <x v="0"/>
    <x v="0"/>
    <x v="0"/>
    <x v="0"/>
    <x v="1"/>
    <x v="0"/>
    <x v="0"/>
    <x v="1"/>
    <x v="0"/>
    <x v="0"/>
    <x v="0"/>
    <x v="3"/>
    <x v="534"/>
    <x v="333"/>
    <x v="13"/>
    <x v="13"/>
    <x v="0"/>
    <x v="3"/>
    <x v="64"/>
    <x v="105"/>
    <x v="0"/>
    <x v="1"/>
    <x v="1"/>
    <x v="548"/>
  </r>
  <r>
    <x v="620"/>
    <x v="12"/>
    <x v="14"/>
    <x v="126"/>
    <x v="7"/>
    <x v="0"/>
    <x v="5"/>
    <x v="3"/>
    <x v="4"/>
    <x v="0"/>
    <x v="112"/>
    <x v="34"/>
    <x v="14"/>
    <x v="103"/>
    <x v="1"/>
    <x v="0"/>
    <x v="112"/>
    <x v="0"/>
    <x v="1"/>
    <x v="42"/>
    <x v="620"/>
    <x v="12"/>
    <x v="14"/>
    <x v="126"/>
    <x v="7"/>
    <x v="0"/>
    <x v="5"/>
    <x v="3"/>
    <x v="4"/>
    <x v="490"/>
    <x v="1"/>
    <x v="0"/>
    <x v="1"/>
    <x v="1"/>
    <x v="0"/>
    <x v="0"/>
    <x v="0"/>
    <x v="0"/>
    <x v="0"/>
    <x v="0"/>
    <x v="0"/>
    <x v="0"/>
    <x v="0"/>
    <x v="0"/>
    <x v="0"/>
    <x v="1"/>
    <x v="0"/>
    <x v="0"/>
    <x v="0"/>
    <x v="0"/>
    <x v="0"/>
    <x v="0"/>
    <x v="2"/>
    <x v="535"/>
    <x v="333"/>
    <x v="13"/>
    <x v="13"/>
    <x v="0"/>
    <x v="3"/>
    <x v="64"/>
    <x v="105"/>
    <x v="0"/>
    <x v="1"/>
    <x v="1"/>
    <x v="549"/>
  </r>
  <r>
    <x v="621"/>
    <x v="12"/>
    <x v="254"/>
    <x v="127"/>
    <x v="7"/>
    <x v="0"/>
    <x v="5"/>
    <x v="3"/>
    <x v="4"/>
    <x v="0"/>
    <x v="400"/>
    <x v="95"/>
    <x v="21"/>
    <x v="104"/>
    <x v="1"/>
    <x v="3"/>
    <x v="400"/>
    <x v="0"/>
    <x v="149"/>
    <x v="47"/>
    <x v="621"/>
    <x v="12"/>
    <x v="254"/>
    <x v="127"/>
    <x v="7"/>
    <x v="0"/>
    <x v="5"/>
    <x v="3"/>
    <x v="4"/>
    <x v="491"/>
    <x v="0"/>
    <x v="0"/>
    <x v="1"/>
    <x v="1"/>
    <x v="0"/>
    <x v="0"/>
    <x v="0"/>
    <x v="0"/>
    <x v="0"/>
    <x v="0"/>
    <x v="0"/>
    <x v="0"/>
    <x v="0"/>
    <x v="0"/>
    <x v="0"/>
    <x v="0"/>
    <x v="1"/>
    <x v="0"/>
    <x v="0"/>
    <x v="1"/>
    <x v="0"/>
    <x v="0"/>
    <x v="1"/>
    <x v="536"/>
    <x v="333"/>
    <x v="13"/>
    <x v="13"/>
    <x v="0"/>
    <x v="3"/>
    <x v="64"/>
    <x v="105"/>
    <x v="0"/>
    <x v="1"/>
    <x v="1"/>
    <x v="550"/>
  </r>
  <r>
    <x v="622"/>
    <x v="12"/>
    <x v="255"/>
    <x v="128"/>
    <x v="7"/>
    <x v="0"/>
    <x v="5"/>
    <x v="3"/>
    <x v="4"/>
    <x v="0"/>
    <x v="0"/>
    <x v="57"/>
    <x v="61"/>
    <x v="105"/>
    <x v="1"/>
    <x v="0"/>
    <x v="0"/>
    <x v="0"/>
    <x v="247"/>
    <x v="48"/>
    <x v="622"/>
    <x v="12"/>
    <x v="255"/>
    <x v="128"/>
    <x v="7"/>
    <x v="0"/>
    <x v="5"/>
    <x v="3"/>
    <x v="4"/>
    <x v="492"/>
    <x v="1"/>
    <x v="0"/>
    <x v="1"/>
    <x v="1"/>
    <x v="0"/>
    <x v="0"/>
    <x v="0"/>
    <x v="0"/>
    <x v="0"/>
    <x v="0"/>
    <x v="0"/>
    <x v="0"/>
    <x v="0"/>
    <x v="0"/>
    <x v="0"/>
    <x v="1"/>
    <x v="0"/>
    <x v="0"/>
    <x v="0"/>
    <x v="1"/>
    <x v="0"/>
    <x v="0"/>
    <x v="2"/>
    <x v="537"/>
    <x v="333"/>
    <x v="13"/>
    <x v="13"/>
    <x v="0"/>
    <x v="3"/>
    <x v="64"/>
    <x v="105"/>
    <x v="0"/>
    <x v="1"/>
    <x v="1"/>
    <x v="551"/>
  </r>
  <r>
    <x v="623"/>
    <x v="12"/>
    <x v="256"/>
    <x v="129"/>
    <x v="7"/>
    <x v="0"/>
    <x v="5"/>
    <x v="3"/>
    <x v="4"/>
    <x v="0"/>
    <x v="321"/>
    <x v="17"/>
    <x v="62"/>
    <x v="106"/>
    <x v="1"/>
    <x v="0"/>
    <x v="321"/>
    <x v="0"/>
    <x v="248"/>
    <x v="49"/>
    <x v="623"/>
    <x v="12"/>
    <x v="256"/>
    <x v="129"/>
    <x v="7"/>
    <x v="0"/>
    <x v="5"/>
    <x v="3"/>
    <x v="4"/>
    <x v="493"/>
    <x v="0"/>
    <x v="0"/>
    <x v="1"/>
    <x v="0"/>
    <x v="0"/>
    <x v="0"/>
    <x v="1"/>
    <x v="1"/>
    <x v="1"/>
    <x v="0"/>
    <x v="0"/>
    <x v="1"/>
    <x v="0"/>
    <x v="0"/>
    <x v="0"/>
    <x v="1"/>
    <x v="0"/>
    <x v="0"/>
    <x v="0"/>
    <x v="1"/>
    <x v="0"/>
    <x v="0"/>
    <x v="2"/>
    <x v="538"/>
    <x v="333"/>
    <x v="13"/>
    <x v="13"/>
    <x v="0"/>
    <x v="3"/>
    <x v="64"/>
    <x v="105"/>
    <x v="0"/>
    <x v="1"/>
    <x v="1"/>
    <x v="552"/>
  </r>
  <r>
    <x v="624"/>
    <x v="12"/>
    <x v="257"/>
    <x v="130"/>
    <x v="7"/>
    <x v="0"/>
    <x v="5"/>
    <x v="3"/>
    <x v="4"/>
    <x v="0"/>
    <x v="188"/>
    <x v="59"/>
    <x v="63"/>
    <x v="107"/>
    <x v="1"/>
    <x v="0"/>
    <x v="188"/>
    <x v="0"/>
    <x v="249"/>
    <x v="50"/>
    <x v="624"/>
    <x v="12"/>
    <x v="257"/>
    <x v="130"/>
    <x v="7"/>
    <x v="0"/>
    <x v="5"/>
    <x v="3"/>
    <x v="4"/>
    <x v="494"/>
    <x v="1"/>
    <x v="0"/>
    <x v="1"/>
    <x v="1"/>
    <x v="0"/>
    <x v="1"/>
    <x v="0"/>
    <x v="0"/>
    <x v="0"/>
    <x v="0"/>
    <x v="0"/>
    <x v="0"/>
    <x v="0"/>
    <x v="0"/>
    <x v="0"/>
    <x v="0"/>
    <x v="0"/>
    <x v="0"/>
    <x v="0"/>
    <x v="1"/>
    <x v="0"/>
    <x v="0"/>
    <x v="2"/>
    <x v="539"/>
    <x v="333"/>
    <x v="13"/>
    <x v="13"/>
    <x v="0"/>
    <x v="3"/>
    <x v="64"/>
    <x v="105"/>
    <x v="0"/>
    <x v="5"/>
    <x v="5"/>
    <x v="553"/>
  </r>
  <r>
    <x v="625"/>
    <x v="12"/>
    <x v="255"/>
    <x v="131"/>
    <x v="7"/>
    <x v="0"/>
    <x v="5"/>
    <x v="3"/>
    <x v="4"/>
    <x v="0"/>
    <x v="327"/>
    <x v="73"/>
    <x v="64"/>
    <x v="108"/>
    <x v="1"/>
    <x v="0"/>
    <x v="327"/>
    <x v="0"/>
    <x v="215"/>
    <x v="51"/>
    <x v="625"/>
    <x v="12"/>
    <x v="255"/>
    <x v="131"/>
    <x v="7"/>
    <x v="0"/>
    <x v="5"/>
    <x v="3"/>
    <x v="4"/>
    <x v="495"/>
    <x v="1"/>
    <x v="0"/>
    <x v="1"/>
    <x v="1"/>
    <x v="0"/>
    <x v="0"/>
    <x v="0"/>
    <x v="0"/>
    <x v="0"/>
    <x v="0"/>
    <x v="0"/>
    <x v="0"/>
    <x v="0"/>
    <x v="0"/>
    <x v="0"/>
    <x v="1"/>
    <x v="0"/>
    <x v="0"/>
    <x v="0"/>
    <x v="0"/>
    <x v="0"/>
    <x v="0"/>
    <x v="2"/>
    <x v="130"/>
    <x v="333"/>
    <x v="13"/>
    <x v="13"/>
    <x v="0"/>
    <x v="3"/>
    <x v="64"/>
    <x v="105"/>
    <x v="0"/>
    <x v="1"/>
    <x v="1"/>
    <x v="554"/>
  </r>
  <r>
    <x v="626"/>
    <x v="12"/>
    <x v="258"/>
    <x v="132"/>
    <x v="7"/>
    <x v="0"/>
    <x v="5"/>
    <x v="3"/>
    <x v="4"/>
    <x v="0"/>
    <x v="327"/>
    <x v="32"/>
    <x v="54"/>
    <x v="109"/>
    <x v="1"/>
    <x v="0"/>
    <x v="327"/>
    <x v="0"/>
    <x v="250"/>
    <x v="52"/>
    <x v="626"/>
    <x v="12"/>
    <x v="258"/>
    <x v="132"/>
    <x v="7"/>
    <x v="0"/>
    <x v="5"/>
    <x v="3"/>
    <x v="4"/>
    <x v="496"/>
    <x v="1"/>
    <x v="0"/>
    <x v="1"/>
    <x v="1"/>
    <x v="0"/>
    <x v="0"/>
    <x v="0"/>
    <x v="0"/>
    <x v="0"/>
    <x v="0"/>
    <x v="0"/>
    <x v="0"/>
    <x v="0"/>
    <x v="0"/>
    <x v="0"/>
    <x v="1"/>
    <x v="0"/>
    <x v="0"/>
    <x v="0"/>
    <x v="0"/>
    <x v="0"/>
    <x v="0"/>
    <x v="2"/>
    <x v="540"/>
    <x v="333"/>
    <x v="13"/>
    <x v="13"/>
    <x v="0"/>
    <x v="3"/>
    <x v="64"/>
    <x v="105"/>
    <x v="0"/>
    <x v="1"/>
    <x v="1"/>
    <x v="555"/>
  </r>
  <r>
    <x v="627"/>
    <x v="12"/>
    <x v="259"/>
    <x v="133"/>
    <x v="7"/>
    <x v="0"/>
    <x v="5"/>
    <x v="3"/>
    <x v="4"/>
    <x v="0"/>
    <x v="56"/>
    <x v="1"/>
    <x v="65"/>
    <x v="81"/>
    <x v="1"/>
    <x v="0"/>
    <x v="56"/>
    <x v="0"/>
    <x v="251"/>
    <x v="8"/>
    <x v="627"/>
    <x v="12"/>
    <x v="259"/>
    <x v="133"/>
    <x v="7"/>
    <x v="0"/>
    <x v="5"/>
    <x v="3"/>
    <x v="4"/>
    <x v="497"/>
    <x v="1"/>
    <x v="0"/>
    <x v="1"/>
    <x v="1"/>
    <x v="0"/>
    <x v="0"/>
    <x v="1"/>
    <x v="0"/>
    <x v="0"/>
    <x v="0"/>
    <x v="0"/>
    <x v="0"/>
    <x v="0"/>
    <x v="0"/>
    <x v="0"/>
    <x v="1"/>
    <x v="0"/>
    <x v="0"/>
    <x v="1"/>
    <x v="0"/>
    <x v="0"/>
    <x v="0"/>
    <x v="3"/>
    <x v="541"/>
    <x v="333"/>
    <x v="13"/>
    <x v="13"/>
    <x v="0"/>
    <x v="3"/>
    <x v="64"/>
    <x v="105"/>
    <x v="0"/>
    <x v="1"/>
    <x v="1"/>
    <x v="556"/>
  </r>
  <r>
    <x v="628"/>
    <x v="12"/>
    <x v="260"/>
    <x v="134"/>
    <x v="7"/>
    <x v="0"/>
    <x v="5"/>
    <x v="3"/>
    <x v="4"/>
    <x v="0"/>
    <x v="401"/>
    <x v="96"/>
    <x v="66"/>
    <x v="110"/>
    <x v="1"/>
    <x v="3"/>
    <x v="401"/>
    <x v="0"/>
    <x v="252"/>
    <x v="53"/>
    <x v="628"/>
    <x v="12"/>
    <x v="260"/>
    <x v="134"/>
    <x v="7"/>
    <x v="0"/>
    <x v="5"/>
    <x v="3"/>
    <x v="4"/>
    <x v="498"/>
    <x v="0"/>
    <x v="0"/>
    <x v="0"/>
    <x v="1"/>
    <x v="0"/>
    <x v="0"/>
    <x v="0"/>
    <x v="0"/>
    <x v="0"/>
    <x v="0"/>
    <x v="0"/>
    <x v="0"/>
    <x v="0"/>
    <x v="0"/>
    <x v="0"/>
    <x v="0"/>
    <x v="1"/>
    <x v="0"/>
    <x v="0"/>
    <x v="1"/>
    <x v="0"/>
    <x v="0"/>
    <x v="2"/>
    <x v="542"/>
    <x v="333"/>
    <x v="13"/>
    <x v="13"/>
    <x v="0"/>
    <x v="3"/>
    <x v="64"/>
    <x v="105"/>
    <x v="0"/>
    <x v="1"/>
    <x v="1"/>
    <x v="557"/>
  </r>
  <r>
    <x v="629"/>
    <x v="12"/>
    <x v="261"/>
    <x v="135"/>
    <x v="14"/>
    <x v="3"/>
    <x v="5"/>
    <x v="3"/>
    <x v="4"/>
    <x v="0"/>
    <x v="402"/>
    <x v="97"/>
    <x v="67"/>
    <x v="111"/>
    <x v="1"/>
    <x v="2"/>
    <x v="402"/>
    <x v="0"/>
    <x v="253"/>
    <x v="17"/>
    <x v="629"/>
    <x v="12"/>
    <x v="261"/>
    <x v="135"/>
    <x v="14"/>
    <x v="3"/>
    <x v="5"/>
    <x v="3"/>
    <x v="4"/>
    <x v="499"/>
    <x v="0"/>
    <x v="0"/>
    <x v="1"/>
    <x v="0"/>
    <x v="0"/>
    <x v="0"/>
    <x v="0"/>
    <x v="0"/>
    <x v="0"/>
    <x v="0"/>
    <x v="0"/>
    <x v="0"/>
    <x v="0"/>
    <x v="0"/>
    <x v="0"/>
    <x v="1"/>
    <x v="0"/>
    <x v="0"/>
    <x v="1"/>
    <x v="1"/>
    <x v="0"/>
    <x v="0"/>
    <x v="0"/>
    <x v="543"/>
    <x v="333"/>
    <x v="13"/>
    <x v="13"/>
    <x v="0"/>
    <x v="3"/>
    <x v="64"/>
    <x v="105"/>
    <x v="0"/>
    <x v="1"/>
    <x v="1"/>
    <x v="558"/>
  </r>
  <r>
    <x v="630"/>
    <x v="12"/>
    <x v="262"/>
    <x v="136"/>
    <x v="14"/>
    <x v="3"/>
    <x v="5"/>
    <x v="3"/>
    <x v="4"/>
    <x v="0"/>
    <x v="403"/>
    <x v="98"/>
    <x v="68"/>
    <x v="112"/>
    <x v="1"/>
    <x v="2"/>
    <x v="403"/>
    <x v="0"/>
    <x v="254"/>
    <x v="54"/>
    <x v="630"/>
    <x v="12"/>
    <x v="262"/>
    <x v="136"/>
    <x v="14"/>
    <x v="3"/>
    <x v="5"/>
    <x v="3"/>
    <x v="4"/>
    <x v="500"/>
    <x v="1"/>
    <x v="0"/>
    <x v="1"/>
    <x v="0"/>
    <x v="0"/>
    <x v="0"/>
    <x v="0"/>
    <x v="0"/>
    <x v="0"/>
    <x v="0"/>
    <x v="0"/>
    <x v="0"/>
    <x v="0"/>
    <x v="0"/>
    <x v="0"/>
    <x v="0"/>
    <x v="0"/>
    <x v="0"/>
    <x v="1"/>
    <x v="1"/>
    <x v="0"/>
    <x v="0"/>
    <x v="3"/>
    <x v="544"/>
    <x v="333"/>
    <x v="13"/>
    <x v="13"/>
    <x v="0"/>
    <x v="3"/>
    <x v="64"/>
    <x v="105"/>
    <x v="0"/>
    <x v="1"/>
    <x v="1"/>
    <x v="559"/>
  </r>
  <r>
    <x v="631"/>
    <x v="12"/>
    <x v="263"/>
    <x v="137"/>
    <x v="14"/>
    <x v="2"/>
    <x v="5"/>
    <x v="3"/>
    <x v="4"/>
    <x v="0"/>
    <x v="71"/>
    <x v="99"/>
    <x v="69"/>
    <x v="113"/>
    <x v="1"/>
    <x v="2"/>
    <x v="71"/>
    <x v="0"/>
    <x v="80"/>
    <x v="55"/>
    <x v="631"/>
    <x v="12"/>
    <x v="263"/>
    <x v="137"/>
    <x v="14"/>
    <x v="2"/>
    <x v="5"/>
    <x v="3"/>
    <x v="4"/>
    <x v="501"/>
    <x v="1"/>
    <x v="0"/>
    <x v="1"/>
    <x v="1"/>
    <x v="0"/>
    <x v="0"/>
    <x v="0"/>
    <x v="0"/>
    <x v="0"/>
    <x v="0"/>
    <x v="0"/>
    <x v="0"/>
    <x v="0"/>
    <x v="0"/>
    <x v="0"/>
    <x v="0"/>
    <x v="0"/>
    <x v="0"/>
    <x v="1"/>
    <x v="1"/>
    <x v="0"/>
    <x v="0"/>
    <x v="2"/>
    <x v="545"/>
    <x v="333"/>
    <x v="13"/>
    <x v="13"/>
    <x v="0"/>
    <x v="3"/>
    <x v="13"/>
    <x v="113"/>
    <x v="0"/>
    <x v="1"/>
    <x v="1"/>
    <x v="560"/>
  </r>
  <r>
    <x v="632"/>
    <x v="12"/>
    <x v="264"/>
    <x v="138"/>
    <x v="14"/>
    <x v="3"/>
    <x v="5"/>
    <x v="3"/>
    <x v="4"/>
    <x v="0"/>
    <x v="404"/>
    <x v="32"/>
    <x v="70"/>
    <x v="114"/>
    <x v="1"/>
    <x v="0"/>
    <x v="404"/>
    <x v="0"/>
    <x v="255"/>
    <x v="16"/>
    <x v="632"/>
    <x v="12"/>
    <x v="264"/>
    <x v="138"/>
    <x v="14"/>
    <x v="3"/>
    <x v="5"/>
    <x v="3"/>
    <x v="4"/>
    <x v="502"/>
    <x v="1"/>
    <x v="0"/>
    <x v="1"/>
    <x v="1"/>
    <x v="0"/>
    <x v="0"/>
    <x v="0"/>
    <x v="0"/>
    <x v="0"/>
    <x v="0"/>
    <x v="0"/>
    <x v="0"/>
    <x v="0"/>
    <x v="0"/>
    <x v="0"/>
    <x v="1"/>
    <x v="0"/>
    <x v="0"/>
    <x v="1"/>
    <x v="0"/>
    <x v="0"/>
    <x v="0"/>
    <x v="2"/>
    <x v="546"/>
    <x v="333"/>
    <x v="13"/>
    <x v="13"/>
    <x v="0"/>
    <x v="3"/>
    <x v="64"/>
    <x v="105"/>
    <x v="0"/>
    <x v="1"/>
    <x v="1"/>
    <x v="561"/>
  </r>
  <r>
    <x v="633"/>
    <x v="12"/>
    <x v="265"/>
    <x v="139"/>
    <x v="9"/>
    <x v="4"/>
    <x v="5"/>
    <x v="3"/>
    <x v="4"/>
    <x v="0"/>
    <x v="365"/>
    <x v="0"/>
    <x v="0"/>
    <x v="0"/>
    <x v="0"/>
    <x v="1"/>
    <x v="365"/>
    <x v="0"/>
    <x v="219"/>
    <x v="40"/>
    <x v="633"/>
    <x v="12"/>
    <x v="265"/>
    <x v="139"/>
    <x v="9"/>
    <x v="4"/>
    <x v="5"/>
    <x v="3"/>
    <x v="4"/>
    <x v="327"/>
    <x v="0"/>
    <x v="0"/>
    <x v="1"/>
    <x v="0"/>
    <x v="0"/>
    <x v="0"/>
    <x v="0"/>
    <x v="0"/>
    <x v="0"/>
    <x v="0"/>
    <x v="0"/>
    <x v="0"/>
    <x v="0"/>
    <x v="0"/>
    <x v="0"/>
    <x v="0"/>
    <x v="0"/>
    <x v="0"/>
    <x v="0"/>
    <x v="1"/>
    <x v="0"/>
    <x v="0"/>
    <x v="0"/>
    <x v="547"/>
    <x v="333"/>
    <x v="13"/>
    <x v="13"/>
    <x v="0"/>
    <x v="3"/>
    <x v="64"/>
    <x v="105"/>
    <x v="0"/>
    <x v="1"/>
    <x v="1"/>
    <x v="562"/>
  </r>
  <r>
    <x v="634"/>
    <x v="12"/>
    <x v="266"/>
    <x v="140"/>
    <x v="9"/>
    <x v="4"/>
    <x v="5"/>
    <x v="3"/>
    <x v="4"/>
    <x v="0"/>
    <x v="405"/>
    <x v="79"/>
    <x v="71"/>
    <x v="115"/>
    <x v="1"/>
    <x v="1"/>
    <x v="405"/>
    <x v="0"/>
    <x v="75"/>
    <x v="16"/>
    <x v="634"/>
    <x v="12"/>
    <x v="266"/>
    <x v="140"/>
    <x v="9"/>
    <x v="4"/>
    <x v="5"/>
    <x v="3"/>
    <x v="4"/>
    <x v="503"/>
    <x v="0"/>
    <x v="0"/>
    <x v="1"/>
    <x v="0"/>
    <x v="0"/>
    <x v="0"/>
    <x v="0"/>
    <x v="0"/>
    <x v="0"/>
    <x v="0"/>
    <x v="0"/>
    <x v="0"/>
    <x v="0"/>
    <x v="0"/>
    <x v="0"/>
    <x v="0"/>
    <x v="0"/>
    <x v="0"/>
    <x v="0"/>
    <x v="0"/>
    <x v="0"/>
    <x v="0"/>
    <x v="0"/>
    <x v="548"/>
    <x v="333"/>
    <x v="13"/>
    <x v="13"/>
    <x v="0"/>
    <x v="3"/>
    <x v="64"/>
    <x v="105"/>
    <x v="0"/>
    <x v="1"/>
    <x v="1"/>
    <x v="563"/>
  </r>
  <r>
    <x v="635"/>
    <x v="12"/>
    <x v="267"/>
    <x v="141"/>
    <x v="109"/>
    <x v="4"/>
    <x v="5"/>
    <x v="3"/>
    <x v="4"/>
    <x v="0"/>
    <x v="2"/>
    <x v="0"/>
    <x v="0"/>
    <x v="0"/>
    <x v="0"/>
    <x v="1"/>
    <x v="2"/>
    <x v="0"/>
    <x v="78"/>
    <x v="56"/>
    <x v="635"/>
    <x v="12"/>
    <x v="267"/>
    <x v="141"/>
    <x v="109"/>
    <x v="4"/>
    <x v="5"/>
    <x v="3"/>
    <x v="4"/>
    <x v="286"/>
    <x v="0"/>
    <x v="0"/>
    <x v="1"/>
    <x v="0"/>
    <x v="0"/>
    <x v="0"/>
    <x v="0"/>
    <x v="0"/>
    <x v="0"/>
    <x v="0"/>
    <x v="0"/>
    <x v="0"/>
    <x v="0"/>
    <x v="0"/>
    <x v="0"/>
    <x v="0"/>
    <x v="0"/>
    <x v="0"/>
    <x v="1"/>
    <x v="1"/>
    <x v="0"/>
    <x v="0"/>
    <x v="0"/>
    <x v="549"/>
    <x v="333"/>
    <x v="13"/>
    <x v="13"/>
    <x v="0"/>
    <x v="3"/>
    <x v="64"/>
    <x v="105"/>
    <x v="0"/>
    <x v="1"/>
    <x v="1"/>
    <x v="564"/>
  </r>
  <r>
    <x v="636"/>
    <x v="12"/>
    <x v="268"/>
    <x v="142"/>
    <x v="7"/>
    <x v="0"/>
    <x v="5"/>
    <x v="3"/>
    <x v="4"/>
    <x v="0"/>
    <x v="22"/>
    <x v="100"/>
    <x v="57"/>
    <x v="116"/>
    <x v="1"/>
    <x v="3"/>
    <x v="22"/>
    <x v="0"/>
    <x v="58"/>
    <x v="8"/>
    <x v="636"/>
    <x v="12"/>
    <x v="268"/>
    <x v="142"/>
    <x v="7"/>
    <x v="0"/>
    <x v="5"/>
    <x v="3"/>
    <x v="4"/>
    <x v="504"/>
    <x v="1"/>
    <x v="0"/>
    <x v="1"/>
    <x v="1"/>
    <x v="0"/>
    <x v="0"/>
    <x v="0"/>
    <x v="0"/>
    <x v="0"/>
    <x v="0"/>
    <x v="0"/>
    <x v="0"/>
    <x v="0"/>
    <x v="0"/>
    <x v="0"/>
    <x v="1"/>
    <x v="0"/>
    <x v="0"/>
    <x v="0"/>
    <x v="1"/>
    <x v="0"/>
    <x v="0"/>
    <x v="2"/>
    <x v="313"/>
    <x v="333"/>
    <x v="13"/>
    <x v="11"/>
    <x v="0"/>
    <x v="3"/>
    <x v="64"/>
    <x v="105"/>
    <x v="0"/>
    <x v="1"/>
    <x v="1"/>
    <x v="26"/>
  </r>
  <r>
    <x v="637"/>
    <x v="12"/>
    <x v="269"/>
    <x v="143"/>
    <x v="7"/>
    <x v="0"/>
    <x v="5"/>
    <x v="3"/>
    <x v="4"/>
    <x v="0"/>
    <x v="401"/>
    <x v="101"/>
    <x v="72"/>
    <x v="117"/>
    <x v="1"/>
    <x v="3"/>
    <x v="401"/>
    <x v="0"/>
    <x v="256"/>
    <x v="45"/>
    <x v="637"/>
    <x v="12"/>
    <x v="269"/>
    <x v="143"/>
    <x v="7"/>
    <x v="0"/>
    <x v="5"/>
    <x v="3"/>
    <x v="4"/>
    <x v="505"/>
    <x v="0"/>
    <x v="0"/>
    <x v="1"/>
    <x v="1"/>
    <x v="0"/>
    <x v="0"/>
    <x v="0"/>
    <x v="0"/>
    <x v="0"/>
    <x v="0"/>
    <x v="0"/>
    <x v="0"/>
    <x v="0"/>
    <x v="0"/>
    <x v="0"/>
    <x v="0"/>
    <x v="1"/>
    <x v="0"/>
    <x v="0"/>
    <x v="1"/>
    <x v="0"/>
    <x v="0"/>
    <x v="2"/>
    <x v="550"/>
    <x v="333"/>
    <x v="13"/>
    <x v="11"/>
    <x v="0"/>
    <x v="3"/>
    <x v="64"/>
    <x v="105"/>
    <x v="0"/>
    <x v="1"/>
    <x v="1"/>
    <x v="565"/>
  </r>
  <r>
    <x v="638"/>
    <x v="12"/>
    <x v="14"/>
    <x v="144"/>
    <x v="7"/>
    <x v="0"/>
    <x v="5"/>
    <x v="3"/>
    <x v="4"/>
    <x v="0"/>
    <x v="406"/>
    <x v="97"/>
    <x v="73"/>
    <x v="118"/>
    <x v="1"/>
    <x v="2"/>
    <x v="406"/>
    <x v="0"/>
    <x v="134"/>
    <x v="2"/>
    <x v="638"/>
    <x v="12"/>
    <x v="14"/>
    <x v="144"/>
    <x v="7"/>
    <x v="0"/>
    <x v="5"/>
    <x v="3"/>
    <x v="4"/>
    <x v="506"/>
    <x v="1"/>
    <x v="0"/>
    <x v="1"/>
    <x v="1"/>
    <x v="0"/>
    <x v="0"/>
    <x v="0"/>
    <x v="0"/>
    <x v="0"/>
    <x v="0"/>
    <x v="0"/>
    <x v="0"/>
    <x v="0"/>
    <x v="0"/>
    <x v="0"/>
    <x v="1"/>
    <x v="0"/>
    <x v="0"/>
    <x v="0"/>
    <x v="0"/>
    <x v="0"/>
    <x v="0"/>
    <x v="2"/>
    <x v="551"/>
    <x v="333"/>
    <x v="13"/>
    <x v="11"/>
    <x v="0"/>
    <x v="3"/>
    <x v="64"/>
    <x v="105"/>
    <x v="0"/>
    <x v="1"/>
    <x v="1"/>
    <x v="566"/>
  </r>
  <r>
    <x v="639"/>
    <x v="12"/>
    <x v="12"/>
    <x v="145"/>
    <x v="7"/>
    <x v="0"/>
    <x v="5"/>
    <x v="3"/>
    <x v="4"/>
    <x v="0"/>
    <x v="65"/>
    <x v="10"/>
    <x v="6"/>
    <x v="61"/>
    <x v="1"/>
    <x v="0"/>
    <x v="65"/>
    <x v="0"/>
    <x v="257"/>
    <x v="8"/>
    <x v="639"/>
    <x v="12"/>
    <x v="12"/>
    <x v="145"/>
    <x v="7"/>
    <x v="0"/>
    <x v="5"/>
    <x v="3"/>
    <x v="4"/>
    <x v="507"/>
    <x v="1"/>
    <x v="0"/>
    <x v="1"/>
    <x v="1"/>
    <x v="0"/>
    <x v="0"/>
    <x v="1"/>
    <x v="0"/>
    <x v="0"/>
    <x v="0"/>
    <x v="0"/>
    <x v="0"/>
    <x v="0"/>
    <x v="0"/>
    <x v="0"/>
    <x v="0"/>
    <x v="0"/>
    <x v="0"/>
    <x v="0"/>
    <x v="0"/>
    <x v="0"/>
    <x v="0"/>
    <x v="4"/>
    <x v="552"/>
    <x v="333"/>
    <x v="13"/>
    <x v="11"/>
    <x v="0"/>
    <x v="3"/>
    <x v="64"/>
    <x v="105"/>
    <x v="0"/>
    <x v="1"/>
    <x v="1"/>
    <x v="567"/>
  </r>
  <r>
    <x v="640"/>
    <x v="12"/>
    <x v="8"/>
    <x v="146"/>
    <x v="7"/>
    <x v="0"/>
    <x v="5"/>
    <x v="3"/>
    <x v="4"/>
    <x v="0"/>
    <x v="14"/>
    <x v="102"/>
    <x v="74"/>
    <x v="119"/>
    <x v="1"/>
    <x v="0"/>
    <x v="14"/>
    <x v="0"/>
    <x v="224"/>
    <x v="57"/>
    <x v="640"/>
    <x v="12"/>
    <x v="8"/>
    <x v="146"/>
    <x v="7"/>
    <x v="0"/>
    <x v="5"/>
    <x v="3"/>
    <x v="4"/>
    <x v="508"/>
    <x v="0"/>
    <x v="0"/>
    <x v="0"/>
    <x v="0"/>
    <x v="1"/>
    <x v="0"/>
    <x v="1"/>
    <x v="0"/>
    <x v="0"/>
    <x v="0"/>
    <x v="0"/>
    <x v="0"/>
    <x v="1"/>
    <x v="0"/>
    <x v="0"/>
    <x v="0"/>
    <x v="0"/>
    <x v="1"/>
    <x v="0"/>
    <x v="1"/>
    <x v="0"/>
    <x v="0"/>
    <x v="2"/>
    <x v="553"/>
    <x v="333"/>
    <x v="13"/>
    <x v="11"/>
    <x v="0"/>
    <x v="3"/>
    <x v="64"/>
    <x v="105"/>
    <x v="0"/>
    <x v="1"/>
    <x v="1"/>
    <x v="568"/>
  </r>
  <r>
    <x v="641"/>
    <x v="12"/>
    <x v="255"/>
    <x v="147"/>
    <x v="14"/>
    <x v="2"/>
    <x v="5"/>
    <x v="3"/>
    <x v="4"/>
    <x v="0"/>
    <x v="24"/>
    <x v="103"/>
    <x v="75"/>
    <x v="120"/>
    <x v="1"/>
    <x v="0"/>
    <x v="24"/>
    <x v="0"/>
    <x v="258"/>
    <x v="58"/>
    <x v="641"/>
    <x v="12"/>
    <x v="255"/>
    <x v="147"/>
    <x v="14"/>
    <x v="2"/>
    <x v="5"/>
    <x v="3"/>
    <x v="4"/>
    <x v="509"/>
    <x v="1"/>
    <x v="0"/>
    <x v="1"/>
    <x v="1"/>
    <x v="0"/>
    <x v="0"/>
    <x v="0"/>
    <x v="0"/>
    <x v="0"/>
    <x v="0"/>
    <x v="0"/>
    <x v="0"/>
    <x v="0"/>
    <x v="0"/>
    <x v="0"/>
    <x v="1"/>
    <x v="0"/>
    <x v="0"/>
    <x v="1"/>
    <x v="0"/>
    <x v="0"/>
    <x v="0"/>
    <x v="2"/>
    <x v="554"/>
    <x v="333"/>
    <x v="13"/>
    <x v="11"/>
    <x v="0"/>
    <x v="3"/>
    <x v="64"/>
    <x v="105"/>
    <x v="0"/>
    <x v="1"/>
    <x v="1"/>
    <x v="569"/>
  </r>
  <r>
    <x v="642"/>
    <x v="12"/>
    <x v="22"/>
    <x v="148"/>
    <x v="14"/>
    <x v="3"/>
    <x v="5"/>
    <x v="3"/>
    <x v="4"/>
    <x v="0"/>
    <x v="407"/>
    <x v="104"/>
    <x v="76"/>
    <x v="121"/>
    <x v="1"/>
    <x v="4"/>
    <x v="407"/>
    <x v="129"/>
    <x v="73"/>
    <x v="59"/>
    <x v="642"/>
    <x v="12"/>
    <x v="22"/>
    <x v="148"/>
    <x v="14"/>
    <x v="3"/>
    <x v="5"/>
    <x v="3"/>
    <x v="4"/>
    <x v="510"/>
    <x v="0"/>
    <x v="0"/>
    <x v="0"/>
    <x v="0"/>
    <x v="1"/>
    <x v="0"/>
    <x v="1"/>
    <x v="0"/>
    <x v="0"/>
    <x v="0"/>
    <x v="0"/>
    <x v="0"/>
    <x v="1"/>
    <x v="0"/>
    <x v="0"/>
    <x v="0"/>
    <x v="0"/>
    <x v="1"/>
    <x v="1"/>
    <x v="1"/>
    <x v="1"/>
    <x v="0"/>
    <x v="2"/>
    <x v="555"/>
    <x v="333"/>
    <x v="13"/>
    <x v="11"/>
    <x v="0"/>
    <x v="33"/>
    <x v="66"/>
    <x v="114"/>
    <x v="0"/>
    <x v="1"/>
    <x v="1"/>
    <x v="570"/>
  </r>
  <r>
    <x v="643"/>
    <x v="12"/>
    <x v="259"/>
    <x v="149"/>
    <x v="7"/>
    <x v="0"/>
    <x v="5"/>
    <x v="3"/>
    <x v="4"/>
    <x v="0"/>
    <x v="7"/>
    <x v="105"/>
    <x v="77"/>
    <x v="122"/>
    <x v="1"/>
    <x v="2"/>
    <x v="7"/>
    <x v="0"/>
    <x v="259"/>
    <x v="60"/>
    <x v="643"/>
    <x v="12"/>
    <x v="259"/>
    <x v="149"/>
    <x v="7"/>
    <x v="0"/>
    <x v="5"/>
    <x v="3"/>
    <x v="4"/>
    <x v="511"/>
    <x v="1"/>
    <x v="0"/>
    <x v="1"/>
    <x v="1"/>
    <x v="0"/>
    <x v="0"/>
    <x v="1"/>
    <x v="0"/>
    <x v="0"/>
    <x v="0"/>
    <x v="0"/>
    <x v="0"/>
    <x v="0"/>
    <x v="0"/>
    <x v="0"/>
    <x v="1"/>
    <x v="0"/>
    <x v="0"/>
    <x v="1"/>
    <x v="0"/>
    <x v="0"/>
    <x v="0"/>
    <x v="3"/>
    <x v="556"/>
    <x v="333"/>
    <x v="6"/>
    <x v="7"/>
    <x v="1"/>
    <x v="4"/>
    <x v="4"/>
    <x v="5"/>
    <x v="0"/>
    <x v="1"/>
    <x v="1"/>
    <x v="571"/>
  </r>
  <r>
    <x v="644"/>
    <x v="12"/>
    <x v="270"/>
    <x v="150"/>
    <x v="7"/>
    <x v="0"/>
    <x v="5"/>
    <x v="3"/>
    <x v="4"/>
    <x v="0"/>
    <x v="408"/>
    <x v="54"/>
    <x v="78"/>
    <x v="123"/>
    <x v="1"/>
    <x v="0"/>
    <x v="408"/>
    <x v="0"/>
    <x v="260"/>
    <x v="8"/>
    <x v="644"/>
    <x v="12"/>
    <x v="270"/>
    <x v="150"/>
    <x v="7"/>
    <x v="0"/>
    <x v="5"/>
    <x v="3"/>
    <x v="4"/>
    <x v="512"/>
    <x v="1"/>
    <x v="0"/>
    <x v="1"/>
    <x v="1"/>
    <x v="0"/>
    <x v="0"/>
    <x v="0"/>
    <x v="0"/>
    <x v="0"/>
    <x v="0"/>
    <x v="0"/>
    <x v="1"/>
    <x v="0"/>
    <x v="0"/>
    <x v="0"/>
    <x v="1"/>
    <x v="0"/>
    <x v="0"/>
    <x v="1"/>
    <x v="0"/>
    <x v="0"/>
    <x v="3"/>
    <x v="2"/>
    <x v="557"/>
    <x v="333"/>
    <x v="6"/>
    <x v="7"/>
    <x v="1"/>
    <x v="4"/>
    <x v="4"/>
    <x v="5"/>
    <x v="0"/>
    <x v="1"/>
    <x v="1"/>
    <x v="572"/>
  </r>
  <r>
    <x v="645"/>
    <x v="2"/>
    <x v="8"/>
    <x v="8"/>
    <x v="1"/>
    <x v="2"/>
    <x v="5"/>
    <x v="2"/>
    <x v="6"/>
    <x v="5"/>
    <x v="29"/>
    <x v="105"/>
    <x v="79"/>
    <x v="124"/>
    <x v="1"/>
    <x v="2"/>
    <x v="29"/>
    <x v="0"/>
    <x v="12"/>
    <x v="8"/>
    <x v="645"/>
    <x v="2"/>
    <x v="8"/>
    <x v="8"/>
    <x v="1"/>
    <x v="2"/>
    <x v="5"/>
    <x v="2"/>
    <x v="6"/>
    <x v="513"/>
    <x v="1"/>
    <x v="0"/>
    <x v="1"/>
    <x v="1"/>
    <x v="0"/>
    <x v="0"/>
    <x v="0"/>
    <x v="0"/>
    <x v="0"/>
    <x v="0"/>
    <x v="0"/>
    <x v="0"/>
    <x v="0"/>
    <x v="0"/>
    <x v="0"/>
    <x v="1"/>
    <x v="0"/>
    <x v="0"/>
    <x v="1"/>
    <x v="0"/>
    <x v="0"/>
    <x v="0"/>
    <x v="2"/>
    <x v="558"/>
    <x v="333"/>
    <x v="6"/>
    <x v="7"/>
    <x v="1"/>
    <x v="4"/>
    <x v="4"/>
    <x v="5"/>
    <x v="0"/>
    <x v="8"/>
    <x v="8"/>
    <x v="13"/>
  </r>
  <r>
    <x v="646"/>
    <x v="2"/>
    <x v="8"/>
    <x v="8"/>
    <x v="1"/>
    <x v="2"/>
    <x v="5"/>
    <x v="2"/>
    <x v="6"/>
    <x v="5"/>
    <x v="154"/>
    <x v="10"/>
    <x v="80"/>
    <x v="125"/>
    <x v="1"/>
    <x v="0"/>
    <x v="154"/>
    <x v="0"/>
    <x v="12"/>
    <x v="8"/>
    <x v="646"/>
    <x v="2"/>
    <x v="8"/>
    <x v="8"/>
    <x v="1"/>
    <x v="2"/>
    <x v="5"/>
    <x v="2"/>
    <x v="6"/>
    <x v="514"/>
    <x v="1"/>
    <x v="0"/>
    <x v="1"/>
    <x v="0"/>
    <x v="0"/>
    <x v="0"/>
    <x v="1"/>
    <x v="0"/>
    <x v="0"/>
    <x v="0"/>
    <x v="0"/>
    <x v="0"/>
    <x v="0"/>
    <x v="0"/>
    <x v="0"/>
    <x v="1"/>
    <x v="0"/>
    <x v="0"/>
    <x v="0"/>
    <x v="0"/>
    <x v="0"/>
    <x v="0"/>
    <x v="2"/>
    <x v="559"/>
    <x v="333"/>
    <x v="6"/>
    <x v="7"/>
    <x v="1"/>
    <x v="4"/>
    <x v="4"/>
    <x v="5"/>
    <x v="0"/>
    <x v="8"/>
    <x v="8"/>
    <x v="13"/>
  </r>
  <r>
    <x v="647"/>
    <x v="108"/>
    <x v="8"/>
    <x v="8"/>
    <x v="42"/>
    <x v="5"/>
    <x v="1"/>
    <x v="1"/>
    <x v="1"/>
    <x v="1"/>
    <x v="409"/>
    <x v="0"/>
    <x v="0"/>
    <x v="0"/>
    <x v="0"/>
    <x v="0"/>
    <x v="409"/>
    <x v="130"/>
    <x v="20"/>
    <x v="18"/>
    <x v="647"/>
    <x v="108"/>
    <x v="8"/>
    <x v="8"/>
    <x v="42"/>
    <x v="5"/>
    <x v="1"/>
    <x v="1"/>
    <x v="1"/>
    <x v="515"/>
    <x v="0"/>
    <x v="0"/>
    <x v="1"/>
    <x v="0"/>
    <x v="0"/>
    <x v="0"/>
    <x v="0"/>
    <x v="0"/>
    <x v="0"/>
    <x v="0"/>
    <x v="0"/>
    <x v="0"/>
    <x v="1"/>
    <x v="0"/>
    <x v="0"/>
    <x v="0"/>
    <x v="0"/>
    <x v="1"/>
    <x v="1"/>
    <x v="0"/>
    <x v="1"/>
    <x v="0"/>
    <x v="1"/>
    <x v="560"/>
    <x v="334"/>
    <x v="213"/>
    <x v="34"/>
    <x v="0"/>
    <x v="5"/>
    <x v="22"/>
    <x v="30"/>
    <x v="1"/>
    <x v="44"/>
    <x v="44"/>
    <x v="573"/>
  </r>
  <r>
    <x v="648"/>
    <x v="108"/>
    <x v="8"/>
    <x v="8"/>
    <x v="3"/>
    <x v="5"/>
    <x v="1"/>
    <x v="1"/>
    <x v="1"/>
    <x v="1"/>
    <x v="410"/>
    <x v="0"/>
    <x v="0"/>
    <x v="0"/>
    <x v="0"/>
    <x v="0"/>
    <x v="410"/>
    <x v="131"/>
    <x v="57"/>
    <x v="10"/>
    <x v="648"/>
    <x v="108"/>
    <x v="8"/>
    <x v="8"/>
    <x v="3"/>
    <x v="5"/>
    <x v="1"/>
    <x v="1"/>
    <x v="1"/>
    <x v="516"/>
    <x v="0"/>
    <x v="0"/>
    <x v="1"/>
    <x v="0"/>
    <x v="0"/>
    <x v="0"/>
    <x v="0"/>
    <x v="0"/>
    <x v="0"/>
    <x v="0"/>
    <x v="0"/>
    <x v="0"/>
    <x v="1"/>
    <x v="0"/>
    <x v="0"/>
    <x v="0"/>
    <x v="0"/>
    <x v="1"/>
    <x v="1"/>
    <x v="0"/>
    <x v="2"/>
    <x v="0"/>
    <x v="1"/>
    <x v="501"/>
    <x v="334"/>
    <x v="213"/>
    <x v="34"/>
    <x v="0"/>
    <x v="5"/>
    <x v="22"/>
    <x v="30"/>
    <x v="1"/>
    <x v="29"/>
    <x v="29"/>
    <x v="574"/>
  </r>
  <r>
    <x v="649"/>
    <x v="171"/>
    <x v="8"/>
    <x v="8"/>
    <x v="11"/>
    <x v="5"/>
    <x v="1"/>
    <x v="1"/>
    <x v="5"/>
    <x v="4"/>
    <x v="411"/>
    <x v="0"/>
    <x v="0"/>
    <x v="0"/>
    <x v="0"/>
    <x v="0"/>
    <x v="411"/>
    <x v="0"/>
    <x v="12"/>
    <x v="8"/>
    <x v="649"/>
    <x v="171"/>
    <x v="8"/>
    <x v="8"/>
    <x v="11"/>
    <x v="5"/>
    <x v="1"/>
    <x v="1"/>
    <x v="5"/>
    <x v="517"/>
    <x v="0"/>
    <x v="0"/>
    <x v="1"/>
    <x v="0"/>
    <x v="0"/>
    <x v="0"/>
    <x v="0"/>
    <x v="0"/>
    <x v="0"/>
    <x v="0"/>
    <x v="0"/>
    <x v="0"/>
    <x v="0"/>
    <x v="0"/>
    <x v="0"/>
    <x v="0"/>
    <x v="0"/>
    <x v="0"/>
    <x v="0"/>
    <x v="0"/>
    <x v="0"/>
    <x v="0"/>
    <x v="0"/>
    <x v="13"/>
    <x v="335"/>
    <x v="214"/>
    <x v="11"/>
    <x v="0"/>
    <x v="0"/>
    <x v="2"/>
    <x v="3"/>
    <x v="0"/>
    <x v="8"/>
    <x v="8"/>
    <x v="13"/>
  </r>
  <r>
    <x v="650"/>
    <x v="2"/>
    <x v="8"/>
    <x v="8"/>
    <x v="7"/>
    <x v="0"/>
    <x v="1"/>
    <x v="2"/>
    <x v="1"/>
    <x v="1"/>
    <x v="361"/>
    <x v="0"/>
    <x v="0"/>
    <x v="0"/>
    <x v="0"/>
    <x v="3"/>
    <x v="361"/>
    <x v="0"/>
    <x v="4"/>
    <x v="6"/>
    <x v="650"/>
    <x v="2"/>
    <x v="8"/>
    <x v="8"/>
    <x v="7"/>
    <x v="0"/>
    <x v="1"/>
    <x v="2"/>
    <x v="1"/>
    <x v="430"/>
    <x v="1"/>
    <x v="1"/>
    <x v="1"/>
    <x v="1"/>
    <x v="0"/>
    <x v="0"/>
    <x v="1"/>
    <x v="0"/>
    <x v="0"/>
    <x v="0"/>
    <x v="0"/>
    <x v="0"/>
    <x v="0"/>
    <x v="0"/>
    <x v="0"/>
    <x v="1"/>
    <x v="0"/>
    <x v="0"/>
    <x v="0"/>
    <x v="0"/>
    <x v="0"/>
    <x v="0"/>
    <x v="3"/>
    <x v="561"/>
    <x v="336"/>
    <x v="13"/>
    <x v="11"/>
    <x v="0"/>
    <x v="5"/>
    <x v="22"/>
    <x v="30"/>
    <x v="1"/>
    <x v="0"/>
    <x v="0"/>
    <x v="575"/>
  </r>
  <r>
    <x v="651"/>
    <x v="117"/>
    <x v="8"/>
    <x v="8"/>
    <x v="171"/>
    <x v="3"/>
    <x v="1"/>
    <x v="5"/>
    <x v="1"/>
    <x v="1"/>
    <x v="412"/>
    <x v="0"/>
    <x v="0"/>
    <x v="0"/>
    <x v="0"/>
    <x v="1"/>
    <x v="412"/>
    <x v="0"/>
    <x v="36"/>
    <x v="12"/>
    <x v="651"/>
    <x v="117"/>
    <x v="8"/>
    <x v="8"/>
    <x v="174"/>
    <x v="3"/>
    <x v="1"/>
    <x v="5"/>
    <x v="1"/>
    <x v="518"/>
    <x v="0"/>
    <x v="0"/>
    <x v="1"/>
    <x v="0"/>
    <x v="0"/>
    <x v="0"/>
    <x v="0"/>
    <x v="0"/>
    <x v="0"/>
    <x v="0"/>
    <x v="0"/>
    <x v="0"/>
    <x v="0"/>
    <x v="0"/>
    <x v="0"/>
    <x v="0"/>
    <x v="0"/>
    <x v="0"/>
    <x v="0"/>
    <x v="0"/>
    <x v="0"/>
    <x v="0"/>
    <x v="0"/>
    <x v="180"/>
    <x v="337"/>
    <x v="215"/>
    <x v="49"/>
    <x v="0"/>
    <x v="0"/>
    <x v="2"/>
    <x v="3"/>
    <x v="0"/>
    <x v="8"/>
    <x v="8"/>
    <x v="576"/>
  </r>
  <r>
    <x v="652"/>
    <x v="2"/>
    <x v="8"/>
    <x v="8"/>
    <x v="7"/>
    <x v="0"/>
    <x v="1"/>
    <x v="2"/>
    <x v="1"/>
    <x v="1"/>
    <x v="178"/>
    <x v="0"/>
    <x v="0"/>
    <x v="0"/>
    <x v="0"/>
    <x v="1"/>
    <x v="178"/>
    <x v="0"/>
    <x v="111"/>
    <x v="6"/>
    <x v="652"/>
    <x v="2"/>
    <x v="8"/>
    <x v="8"/>
    <x v="7"/>
    <x v="0"/>
    <x v="1"/>
    <x v="2"/>
    <x v="1"/>
    <x v="202"/>
    <x v="0"/>
    <x v="0"/>
    <x v="1"/>
    <x v="1"/>
    <x v="0"/>
    <x v="0"/>
    <x v="0"/>
    <x v="1"/>
    <x v="0"/>
    <x v="0"/>
    <x v="0"/>
    <x v="0"/>
    <x v="0"/>
    <x v="0"/>
    <x v="0"/>
    <x v="0"/>
    <x v="0"/>
    <x v="0"/>
    <x v="0"/>
    <x v="0"/>
    <x v="0"/>
    <x v="0"/>
    <x v="2"/>
    <x v="89"/>
    <x v="338"/>
    <x v="216"/>
    <x v="8"/>
    <x v="0"/>
    <x v="5"/>
    <x v="19"/>
    <x v="115"/>
    <x v="1"/>
    <x v="1"/>
    <x v="1"/>
    <x v="577"/>
  </r>
  <r>
    <x v="653"/>
    <x v="172"/>
    <x v="271"/>
    <x v="8"/>
    <x v="3"/>
    <x v="5"/>
    <x v="1"/>
    <x v="1"/>
    <x v="5"/>
    <x v="4"/>
    <x v="14"/>
    <x v="0"/>
    <x v="0"/>
    <x v="0"/>
    <x v="0"/>
    <x v="0"/>
    <x v="14"/>
    <x v="0"/>
    <x v="12"/>
    <x v="8"/>
    <x v="653"/>
    <x v="172"/>
    <x v="271"/>
    <x v="8"/>
    <x v="3"/>
    <x v="5"/>
    <x v="1"/>
    <x v="1"/>
    <x v="5"/>
    <x v="519"/>
    <x v="0"/>
    <x v="0"/>
    <x v="1"/>
    <x v="0"/>
    <x v="0"/>
    <x v="0"/>
    <x v="0"/>
    <x v="0"/>
    <x v="0"/>
    <x v="0"/>
    <x v="0"/>
    <x v="0"/>
    <x v="1"/>
    <x v="0"/>
    <x v="0"/>
    <x v="0"/>
    <x v="0"/>
    <x v="1"/>
    <x v="0"/>
    <x v="0"/>
    <x v="0"/>
    <x v="0"/>
    <x v="1"/>
    <x v="13"/>
    <x v="339"/>
    <x v="217"/>
    <x v="73"/>
    <x v="0"/>
    <x v="1"/>
    <x v="2"/>
    <x v="11"/>
    <x v="0"/>
    <x v="8"/>
    <x v="8"/>
    <x v="13"/>
  </r>
  <r>
    <x v="654"/>
    <x v="122"/>
    <x v="8"/>
    <x v="8"/>
    <x v="7"/>
    <x v="5"/>
    <x v="1"/>
    <x v="1"/>
    <x v="3"/>
    <x v="3"/>
    <x v="413"/>
    <x v="0"/>
    <x v="0"/>
    <x v="0"/>
    <x v="0"/>
    <x v="0"/>
    <x v="413"/>
    <x v="0"/>
    <x v="12"/>
    <x v="8"/>
    <x v="654"/>
    <x v="122"/>
    <x v="8"/>
    <x v="8"/>
    <x v="7"/>
    <x v="5"/>
    <x v="1"/>
    <x v="1"/>
    <x v="3"/>
    <x v="520"/>
    <x v="0"/>
    <x v="0"/>
    <x v="1"/>
    <x v="0"/>
    <x v="0"/>
    <x v="0"/>
    <x v="0"/>
    <x v="0"/>
    <x v="0"/>
    <x v="0"/>
    <x v="0"/>
    <x v="0"/>
    <x v="0"/>
    <x v="0"/>
    <x v="0"/>
    <x v="0"/>
    <x v="0"/>
    <x v="1"/>
    <x v="0"/>
    <x v="0"/>
    <x v="0"/>
    <x v="0"/>
    <x v="0"/>
    <x v="562"/>
    <x v="340"/>
    <x v="218"/>
    <x v="5"/>
    <x v="0"/>
    <x v="0"/>
    <x v="2"/>
    <x v="3"/>
    <x v="0"/>
    <x v="111"/>
    <x v="103"/>
    <x v="13"/>
  </r>
  <r>
    <x v="655"/>
    <x v="173"/>
    <x v="272"/>
    <x v="8"/>
    <x v="172"/>
    <x v="4"/>
    <x v="1"/>
    <x v="1"/>
    <x v="1"/>
    <x v="1"/>
    <x v="414"/>
    <x v="0"/>
    <x v="0"/>
    <x v="0"/>
    <x v="0"/>
    <x v="1"/>
    <x v="414"/>
    <x v="0"/>
    <x v="261"/>
    <x v="6"/>
    <x v="655"/>
    <x v="173"/>
    <x v="272"/>
    <x v="8"/>
    <x v="175"/>
    <x v="4"/>
    <x v="1"/>
    <x v="1"/>
    <x v="1"/>
    <x v="521"/>
    <x v="0"/>
    <x v="0"/>
    <x v="1"/>
    <x v="0"/>
    <x v="0"/>
    <x v="0"/>
    <x v="0"/>
    <x v="0"/>
    <x v="0"/>
    <x v="0"/>
    <x v="0"/>
    <x v="0"/>
    <x v="0"/>
    <x v="0"/>
    <x v="0"/>
    <x v="0"/>
    <x v="0"/>
    <x v="0"/>
    <x v="1"/>
    <x v="0"/>
    <x v="0"/>
    <x v="0"/>
    <x v="0"/>
    <x v="563"/>
    <x v="341"/>
    <x v="219"/>
    <x v="31"/>
    <x v="0"/>
    <x v="5"/>
    <x v="64"/>
    <x v="106"/>
    <x v="1"/>
    <x v="112"/>
    <x v="104"/>
    <x v="578"/>
  </r>
  <r>
    <x v="656"/>
    <x v="174"/>
    <x v="273"/>
    <x v="8"/>
    <x v="7"/>
    <x v="0"/>
    <x v="1"/>
    <x v="1"/>
    <x v="2"/>
    <x v="2"/>
    <x v="415"/>
    <x v="0"/>
    <x v="0"/>
    <x v="0"/>
    <x v="0"/>
    <x v="0"/>
    <x v="415"/>
    <x v="0"/>
    <x v="111"/>
    <x v="6"/>
    <x v="656"/>
    <x v="174"/>
    <x v="273"/>
    <x v="8"/>
    <x v="7"/>
    <x v="0"/>
    <x v="1"/>
    <x v="1"/>
    <x v="2"/>
    <x v="522"/>
    <x v="0"/>
    <x v="0"/>
    <x v="0"/>
    <x v="1"/>
    <x v="0"/>
    <x v="0"/>
    <x v="0"/>
    <x v="0"/>
    <x v="0"/>
    <x v="0"/>
    <x v="0"/>
    <x v="0"/>
    <x v="0"/>
    <x v="0"/>
    <x v="0"/>
    <x v="1"/>
    <x v="1"/>
    <x v="0"/>
    <x v="0"/>
    <x v="0"/>
    <x v="0"/>
    <x v="0"/>
    <x v="1"/>
    <x v="394"/>
    <x v="342"/>
    <x v="220"/>
    <x v="11"/>
    <x v="0"/>
    <x v="3"/>
    <x v="26"/>
    <x v="35"/>
    <x v="0"/>
    <x v="5"/>
    <x v="5"/>
    <x v="579"/>
  </r>
  <r>
    <x v="657"/>
    <x v="95"/>
    <x v="274"/>
    <x v="8"/>
    <x v="7"/>
    <x v="3"/>
    <x v="1"/>
    <x v="1"/>
    <x v="1"/>
    <x v="1"/>
    <x v="416"/>
    <x v="57"/>
    <x v="14"/>
    <x v="126"/>
    <x v="1"/>
    <x v="2"/>
    <x v="416"/>
    <x v="132"/>
    <x v="36"/>
    <x v="6"/>
    <x v="657"/>
    <x v="95"/>
    <x v="274"/>
    <x v="8"/>
    <x v="7"/>
    <x v="3"/>
    <x v="1"/>
    <x v="1"/>
    <x v="1"/>
    <x v="523"/>
    <x v="0"/>
    <x v="0"/>
    <x v="1"/>
    <x v="1"/>
    <x v="0"/>
    <x v="0"/>
    <x v="0"/>
    <x v="0"/>
    <x v="0"/>
    <x v="0"/>
    <x v="0"/>
    <x v="0"/>
    <x v="1"/>
    <x v="0"/>
    <x v="0"/>
    <x v="1"/>
    <x v="0"/>
    <x v="1"/>
    <x v="1"/>
    <x v="0"/>
    <x v="4"/>
    <x v="0"/>
    <x v="3"/>
    <x v="564"/>
    <x v="343"/>
    <x v="119"/>
    <x v="0"/>
    <x v="0"/>
    <x v="0"/>
    <x v="38"/>
    <x v="57"/>
    <x v="0"/>
    <x v="5"/>
    <x v="5"/>
    <x v="580"/>
  </r>
  <r>
    <x v="658"/>
    <x v="2"/>
    <x v="275"/>
    <x v="151"/>
    <x v="173"/>
    <x v="1"/>
    <x v="1"/>
    <x v="2"/>
    <x v="1"/>
    <x v="1"/>
    <x v="417"/>
    <x v="0"/>
    <x v="0"/>
    <x v="0"/>
    <x v="0"/>
    <x v="0"/>
    <x v="417"/>
    <x v="0"/>
    <x v="262"/>
    <x v="18"/>
    <x v="658"/>
    <x v="2"/>
    <x v="275"/>
    <x v="151"/>
    <x v="176"/>
    <x v="1"/>
    <x v="1"/>
    <x v="2"/>
    <x v="1"/>
    <x v="524"/>
    <x v="0"/>
    <x v="0"/>
    <x v="1"/>
    <x v="0"/>
    <x v="0"/>
    <x v="0"/>
    <x v="0"/>
    <x v="0"/>
    <x v="0"/>
    <x v="0"/>
    <x v="0"/>
    <x v="0"/>
    <x v="0"/>
    <x v="0"/>
    <x v="0"/>
    <x v="0"/>
    <x v="0"/>
    <x v="0"/>
    <x v="0"/>
    <x v="0"/>
    <x v="0"/>
    <x v="0"/>
    <x v="0"/>
    <x v="565"/>
    <x v="344"/>
    <x v="221"/>
    <x v="11"/>
    <x v="0"/>
    <x v="5"/>
    <x v="22"/>
    <x v="30"/>
    <x v="1"/>
    <x v="26"/>
    <x v="26"/>
    <x v="581"/>
  </r>
  <r>
    <x v="659"/>
    <x v="175"/>
    <x v="8"/>
    <x v="8"/>
    <x v="174"/>
    <x v="5"/>
    <x v="1"/>
    <x v="1"/>
    <x v="3"/>
    <x v="3"/>
    <x v="418"/>
    <x v="0"/>
    <x v="0"/>
    <x v="0"/>
    <x v="0"/>
    <x v="3"/>
    <x v="418"/>
    <x v="133"/>
    <x v="12"/>
    <x v="8"/>
    <x v="659"/>
    <x v="175"/>
    <x v="8"/>
    <x v="8"/>
    <x v="177"/>
    <x v="5"/>
    <x v="1"/>
    <x v="1"/>
    <x v="3"/>
    <x v="525"/>
    <x v="0"/>
    <x v="0"/>
    <x v="1"/>
    <x v="0"/>
    <x v="0"/>
    <x v="0"/>
    <x v="0"/>
    <x v="0"/>
    <x v="0"/>
    <x v="0"/>
    <x v="0"/>
    <x v="0"/>
    <x v="1"/>
    <x v="0"/>
    <x v="0"/>
    <x v="0"/>
    <x v="0"/>
    <x v="1"/>
    <x v="1"/>
    <x v="0"/>
    <x v="1"/>
    <x v="0"/>
    <x v="1"/>
    <x v="566"/>
    <x v="345"/>
    <x v="222"/>
    <x v="12"/>
    <x v="0"/>
    <x v="0"/>
    <x v="2"/>
    <x v="3"/>
    <x v="0"/>
    <x v="113"/>
    <x v="105"/>
    <x v="13"/>
  </r>
  <r>
    <x v="171"/>
    <x v="9"/>
    <x v="8"/>
    <x v="8"/>
    <x v="7"/>
    <x v="0"/>
    <x v="4"/>
    <x v="3"/>
    <x v="1"/>
    <x v="1"/>
    <x v="56"/>
    <x v="0"/>
    <x v="0"/>
    <x v="0"/>
    <x v="0"/>
    <x v="0"/>
    <x v="56"/>
    <x v="0"/>
    <x v="37"/>
    <x v="6"/>
    <x v="171"/>
    <x v="9"/>
    <x v="8"/>
    <x v="8"/>
    <x v="7"/>
    <x v="0"/>
    <x v="4"/>
    <x v="3"/>
    <x v="1"/>
    <x v="149"/>
    <x v="0"/>
    <x v="0"/>
    <x v="1"/>
    <x v="1"/>
    <x v="0"/>
    <x v="0"/>
    <x v="0"/>
    <x v="0"/>
    <x v="0"/>
    <x v="0"/>
    <x v="0"/>
    <x v="0"/>
    <x v="0"/>
    <x v="0"/>
    <x v="0"/>
    <x v="1"/>
    <x v="0"/>
    <x v="0"/>
    <x v="1"/>
    <x v="0"/>
    <x v="0"/>
    <x v="0"/>
    <x v="1"/>
    <x v="567"/>
    <x v="346"/>
    <x v="223"/>
    <x v="14"/>
    <x v="0"/>
    <x v="3"/>
    <x v="19"/>
    <x v="26"/>
    <x v="0"/>
    <x v="3"/>
    <x v="3"/>
    <x v="582"/>
  </r>
  <r>
    <x v="660"/>
    <x v="2"/>
    <x v="8"/>
    <x v="8"/>
    <x v="175"/>
    <x v="5"/>
    <x v="1"/>
    <x v="2"/>
    <x v="1"/>
    <x v="1"/>
    <x v="241"/>
    <x v="0"/>
    <x v="0"/>
    <x v="0"/>
    <x v="0"/>
    <x v="1"/>
    <x v="241"/>
    <x v="0"/>
    <x v="263"/>
    <x v="6"/>
    <x v="660"/>
    <x v="2"/>
    <x v="8"/>
    <x v="8"/>
    <x v="178"/>
    <x v="5"/>
    <x v="1"/>
    <x v="2"/>
    <x v="1"/>
    <x v="279"/>
    <x v="0"/>
    <x v="0"/>
    <x v="1"/>
    <x v="1"/>
    <x v="0"/>
    <x v="0"/>
    <x v="0"/>
    <x v="0"/>
    <x v="0"/>
    <x v="0"/>
    <x v="0"/>
    <x v="0"/>
    <x v="0"/>
    <x v="0"/>
    <x v="0"/>
    <x v="0"/>
    <x v="0"/>
    <x v="0"/>
    <x v="0"/>
    <x v="0"/>
    <x v="0"/>
    <x v="0"/>
    <x v="2"/>
    <x v="568"/>
    <x v="347"/>
    <x v="224"/>
    <x v="2"/>
    <x v="0"/>
    <x v="3"/>
    <x v="18"/>
    <x v="24"/>
    <x v="0"/>
    <x v="2"/>
    <x v="2"/>
    <x v="583"/>
  </r>
  <r>
    <x v="661"/>
    <x v="65"/>
    <x v="8"/>
    <x v="8"/>
    <x v="7"/>
    <x v="0"/>
    <x v="8"/>
    <x v="3"/>
    <x v="3"/>
    <x v="3"/>
    <x v="419"/>
    <x v="106"/>
    <x v="6"/>
    <x v="127"/>
    <x v="1"/>
    <x v="0"/>
    <x v="419"/>
    <x v="0"/>
    <x v="64"/>
    <x v="7"/>
    <x v="661"/>
    <x v="65"/>
    <x v="8"/>
    <x v="8"/>
    <x v="7"/>
    <x v="0"/>
    <x v="8"/>
    <x v="3"/>
    <x v="3"/>
    <x v="526"/>
    <x v="0"/>
    <x v="0"/>
    <x v="0"/>
    <x v="0"/>
    <x v="0"/>
    <x v="0"/>
    <x v="0"/>
    <x v="0"/>
    <x v="0"/>
    <x v="0"/>
    <x v="0"/>
    <x v="0"/>
    <x v="0"/>
    <x v="0"/>
    <x v="0"/>
    <x v="1"/>
    <x v="0"/>
    <x v="0"/>
    <x v="0"/>
    <x v="0"/>
    <x v="0"/>
    <x v="0"/>
    <x v="1"/>
    <x v="569"/>
    <x v="348"/>
    <x v="54"/>
    <x v="11"/>
    <x v="0"/>
    <x v="5"/>
    <x v="25"/>
    <x v="34"/>
    <x v="1"/>
    <x v="96"/>
    <x v="88"/>
    <x v="584"/>
  </r>
  <r>
    <x v="662"/>
    <x v="41"/>
    <x v="8"/>
    <x v="8"/>
    <x v="18"/>
    <x v="1"/>
    <x v="1"/>
    <x v="1"/>
    <x v="1"/>
    <x v="1"/>
    <x v="53"/>
    <x v="0"/>
    <x v="0"/>
    <x v="0"/>
    <x v="0"/>
    <x v="1"/>
    <x v="53"/>
    <x v="0"/>
    <x v="264"/>
    <x v="6"/>
    <x v="662"/>
    <x v="41"/>
    <x v="8"/>
    <x v="8"/>
    <x v="18"/>
    <x v="1"/>
    <x v="1"/>
    <x v="1"/>
    <x v="1"/>
    <x v="56"/>
    <x v="0"/>
    <x v="0"/>
    <x v="1"/>
    <x v="0"/>
    <x v="0"/>
    <x v="0"/>
    <x v="0"/>
    <x v="0"/>
    <x v="0"/>
    <x v="0"/>
    <x v="0"/>
    <x v="0"/>
    <x v="1"/>
    <x v="0"/>
    <x v="0"/>
    <x v="0"/>
    <x v="0"/>
    <x v="1"/>
    <x v="0"/>
    <x v="0"/>
    <x v="0"/>
    <x v="0"/>
    <x v="1"/>
    <x v="570"/>
    <x v="349"/>
    <x v="38"/>
    <x v="2"/>
    <x v="0"/>
    <x v="3"/>
    <x v="26"/>
    <x v="35"/>
    <x v="0"/>
    <x v="2"/>
    <x v="2"/>
    <x v="585"/>
  </r>
  <r>
    <x v="663"/>
    <x v="19"/>
    <x v="276"/>
    <x v="152"/>
    <x v="1"/>
    <x v="0"/>
    <x v="6"/>
    <x v="3"/>
    <x v="3"/>
    <x v="3"/>
    <x v="67"/>
    <x v="73"/>
    <x v="24"/>
    <x v="61"/>
    <x v="1"/>
    <x v="2"/>
    <x v="67"/>
    <x v="0"/>
    <x v="36"/>
    <x v="6"/>
    <x v="663"/>
    <x v="19"/>
    <x v="276"/>
    <x v="152"/>
    <x v="1"/>
    <x v="0"/>
    <x v="6"/>
    <x v="3"/>
    <x v="3"/>
    <x v="527"/>
    <x v="1"/>
    <x v="0"/>
    <x v="1"/>
    <x v="0"/>
    <x v="0"/>
    <x v="0"/>
    <x v="0"/>
    <x v="0"/>
    <x v="0"/>
    <x v="0"/>
    <x v="0"/>
    <x v="0"/>
    <x v="0"/>
    <x v="0"/>
    <x v="0"/>
    <x v="1"/>
    <x v="0"/>
    <x v="0"/>
    <x v="1"/>
    <x v="0"/>
    <x v="0"/>
    <x v="0"/>
    <x v="1"/>
    <x v="571"/>
    <x v="350"/>
    <x v="225"/>
    <x v="14"/>
    <x v="0"/>
    <x v="3"/>
    <x v="15"/>
    <x v="20"/>
    <x v="0"/>
    <x v="2"/>
    <x v="2"/>
    <x v="76"/>
  </r>
  <r>
    <x v="664"/>
    <x v="118"/>
    <x v="277"/>
    <x v="8"/>
    <x v="3"/>
    <x v="5"/>
    <x v="1"/>
    <x v="1"/>
    <x v="3"/>
    <x v="3"/>
    <x v="420"/>
    <x v="0"/>
    <x v="0"/>
    <x v="0"/>
    <x v="0"/>
    <x v="4"/>
    <x v="420"/>
    <x v="134"/>
    <x v="12"/>
    <x v="8"/>
    <x v="664"/>
    <x v="118"/>
    <x v="277"/>
    <x v="8"/>
    <x v="3"/>
    <x v="5"/>
    <x v="1"/>
    <x v="1"/>
    <x v="3"/>
    <x v="528"/>
    <x v="0"/>
    <x v="0"/>
    <x v="1"/>
    <x v="0"/>
    <x v="0"/>
    <x v="0"/>
    <x v="0"/>
    <x v="0"/>
    <x v="0"/>
    <x v="0"/>
    <x v="0"/>
    <x v="0"/>
    <x v="1"/>
    <x v="0"/>
    <x v="0"/>
    <x v="0"/>
    <x v="0"/>
    <x v="1"/>
    <x v="0"/>
    <x v="0"/>
    <x v="11"/>
    <x v="0"/>
    <x v="1"/>
    <x v="13"/>
    <x v="351"/>
    <x v="226"/>
    <x v="10"/>
    <x v="0"/>
    <x v="1"/>
    <x v="2"/>
    <x v="11"/>
    <x v="0"/>
    <x v="8"/>
    <x v="8"/>
    <x v="13"/>
  </r>
  <r>
    <x v="665"/>
    <x v="2"/>
    <x v="8"/>
    <x v="8"/>
    <x v="80"/>
    <x v="0"/>
    <x v="1"/>
    <x v="2"/>
    <x v="1"/>
    <x v="1"/>
    <x v="421"/>
    <x v="0"/>
    <x v="0"/>
    <x v="0"/>
    <x v="0"/>
    <x v="3"/>
    <x v="421"/>
    <x v="0"/>
    <x v="265"/>
    <x v="6"/>
    <x v="665"/>
    <x v="2"/>
    <x v="8"/>
    <x v="8"/>
    <x v="80"/>
    <x v="0"/>
    <x v="1"/>
    <x v="2"/>
    <x v="1"/>
    <x v="529"/>
    <x v="0"/>
    <x v="0"/>
    <x v="1"/>
    <x v="1"/>
    <x v="0"/>
    <x v="0"/>
    <x v="0"/>
    <x v="0"/>
    <x v="0"/>
    <x v="0"/>
    <x v="0"/>
    <x v="0"/>
    <x v="0"/>
    <x v="0"/>
    <x v="0"/>
    <x v="0"/>
    <x v="0"/>
    <x v="0"/>
    <x v="0"/>
    <x v="0"/>
    <x v="0"/>
    <x v="0"/>
    <x v="1"/>
    <x v="572"/>
    <x v="352"/>
    <x v="19"/>
    <x v="17"/>
    <x v="0"/>
    <x v="5"/>
    <x v="41"/>
    <x v="64"/>
    <x v="1"/>
    <x v="1"/>
    <x v="1"/>
    <x v="586"/>
  </r>
  <r>
    <x v="666"/>
    <x v="19"/>
    <x v="8"/>
    <x v="8"/>
    <x v="7"/>
    <x v="0"/>
    <x v="6"/>
    <x v="3"/>
    <x v="2"/>
    <x v="2"/>
    <x v="22"/>
    <x v="0"/>
    <x v="0"/>
    <x v="0"/>
    <x v="0"/>
    <x v="3"/>
    <x v="22"/>
    <x v="0"/>
    <x v="111"/>
    <x v="7"/>
    <x v="666"/>
    <x v="19"/>
    <x v="8"/>
    <x v="8"/>
    <x v="7"/>
    <x v="0"/>
    <x v="6"/>
    <x v="3"/>
    <x v="2"/>
    <x v="240"/>
    <x v="0"/>
    <x v="1"/>
    <x v="1"/>
    <x v="0"/>
    <x v="0"/>
    <x v="0"/>
    <x v="0"/>
    <x v="0"/>
    <x v="0"/>
    <x v="0"/>
    <x v="0"/>
    <x v="0"/>
    <x v="0"/>
    <x v="0"/>
    <x v="0"/>
    <x v="0"/>
    <x v="0"/>
    <x v="0"/>
    <x v="0"/>
    <x v="0"/>
    <x v="0"/>
    <x v="0"/>
    <x v="0"/>
    <x v="573"/>
    <x v="353"/>
    <x v="169"/>
    <x v="70"/>
    <x v="0"/>
    <x v="5"/>
    <x v="2"/>
    <x v="25"/>
    <x v="1"/>
    <x v="1"/>
    <x v="1"/>
    <x v="587"/>
  </r>
  <r>
    <x v="667"/>
    <x v="8"/>
    <x v="278"/>
    <x v="8"/>
    <x v="1"/>
    <x v="0"/>
    <x v="3"/>
    <x v="3"/>
    <x v="3"/>
    <x v="3"/>
    <x v="188"/>
    <x v="0"/>
    <x v="0"/>
    <x v="0"/>
    <x v="0"/>
    <x v="0"/>
    <x v="188"/>
    <x v="0"/>
    <x v="36"/>
    <x v="12"/>
    <x v="667"/>
    <x v="8"/>
    <x v="278"/>
    <x v="8"/>
    <x v="1"/>
    <x v="0"/>
    <x v="3"/>
    <x v="3"/>
    <x v="3"/>
    <x v="530"/>
    <x v="0"/>
    <x v="0"/>
    <x v="0"/>
    <x v="0"/>
    <x v="0"/>
    <x v="0"/>
    <x v="0"/>
    <x v="1"/>
    <x v="0"/>
    <x v="0"/>
    <x v="0"/>
    <x v="1"/>
    <x v="0"/>
    <x v="0"/>
    <x v="0"/>
    <x v="0"/>
    <x v="0"/>
    <x v="0"/>
    <x v="0"/>
    <x v="0"/>
    <x v="0"/>
    <x v="0"/>
    <x v="0"/>
    <x v="194"/>
    <x v="354"/>
    <x v="102"/>
    <x v="71"/>
    <x v="0"/>
    <x v="14"/>
    <x v="0"/>
    <x v="18"/>
    <x v="0"/>
    <x v="2"/>
    <x v="2"/>
    <x v="588"/>
  </r>
  <r>
    <x v="668"/>
    <x v="2"/>
    <x v="8"/>
    <x v="153"/>
    <x v="1"/>
    <x v="0"/>
    <x v="3"/>
    <x v="2"/>
    <x v="1"/>
    <x v="1"/>
    <x v="86"/>
    <x v="0"/>
    <x v="0"/>
    <x v="0"/>
    <x v="0"/>
    <x v="1"/>
    <x v="86"/>
    <x v="0"/>
    <x v="59"/>
    <x v="12"/>
    <x v="668"/>
    <x v="2"/>
    <x v="8"/>
    <x v="153"/>
    <x v="1"/>
    <x v="0"/>
    <x v="3"/>
    <x v="2"/>
    <x v="1"/>
    <x v="92"/>
    <x v="0"/>
    <x v="0"/>
    <x v="1"/>
    <x v="1"/>
    <x v="0"/>
    <x v="0"/>
    <x v="0"/>
    <x v="1"/>
    <x v="0"/>
    <x v="0"/>
    <x v="0"/>
    <x v="0"/>
    <x v="0"/>
    <x v="0"/>
    <x v="1"/>
    <x v="0"/>
    <x v="0"/>
    <x v="0"/>
    <x v="0"/>
    <x v="0"/>
    <x v="0"/>
    <x v="0"/>
    <x v="2"/>
    <x v="265"/>
    <x v="355"/>
    <x v="74"/>
    <x v="23"/>
    <x v="0"/>
    <x v="24"/>
    <x v="67"/>
    <x v="116"/>
    <x v="0"/>
    <x v="1"/>
    <x v="1"/>
    <x v="589"/>
  </r>
  <r>
    <x v="669"/>
    <x v="2"/>
    <x v="8"/>
    <x v="154"/>
    <x v="1"/>
    <x v="3"/>
    <x v="1"/>
    <x v="2"/>
    <x v="1"/>
    <x v="1"/>
    <x v="422"/>
    <x v="0"/>
    <x v="0"/>
    <x v="0"/>
    <x v="0"/>
    <x v="0"/>
    <x v="422"/>
    <x v="0"/>
    <x v="36"/>
    <x v="12"/>
    <x v="669"/>
    <x v="2"/>
    <x v="8"/>
    <x v="154"/>
    <x v="1"/>
    <x v="3"/>
    <x v="1"/>
    <x v="2"/>
    <x v="1"/>
    <x v="531"/>
    <x v="0"/>
    <x v="0"/>
    <x v="1"/>
    <x v="1"/>
    <x v="0"/>
    <x v="1"/>
    <x v="0"/>
    <x v="0"/>
    <x v="0"/>
    <x v="0"/>
    <x v="0"/>
    <x v="0"/>
    <x v="0"/>
    <x v="0"/>
    <x v="0"/>
    <x v="0"/>
    <x v="0"/>
    <x v="0"/>
    <x v="1"/>
    <x v="0"/>
    <x v="0"/>
    <x v="0"/>
    <x v="1"/>
    <x v="194"/>
    <x v="356"/>
    <x v="46"/>
    <x v="0"/>
    <x v="0"/>
    <x v="5"/>
    <x v="25"/>
    <x v="34"/>
    <x v="1"/>
    <x v="2"/>
    <x v="2"/>
    <x v="590"/>
  </r>
  <r>
    <x v="670"/>
    <x v="19"/>
    <x v="279"/>
    <x v="8"/>
    <x v="7"/>
    <x v="2"/>
    <x v="6"/>
    <x v="3"/>
    <x v="1"/>
    <x v="1"/>
    <x v="381"/>
    <x v="107"/>
    <x v="81"/>
    <x v="4"/>
    <x v="1"/>
    <x v="0"/>
    <x v="381"/>
    <x v="0"/>
    <x v="266"/>
    <x v="10"/>
    <x v="670"/>
    <x v="19"/>
    <x v="279"/>
    <x v="8"/>
    <x v="7"/>
    <x v="2"/>
    <x v="6"/>
    <x v="3"/>
    <x v="1"/>
    <x v="532"/>
    <x v="0"/>
    <x v="1"/>
    <x v="1"/>
    <x v="0"/>
    <x v="0"/>
    <x v="0"/>
    <x v="0"/>
    <x v="0"/>
    <x v="0"/>
    <x v="0"/>
    <x v="0"/>
    <x v="0"/>
    <x v="0"/>
    <x v="0"/>
    <x v="0"/>
    <x v="0"/>
    <x v="0"/>
    <x v="0"/>
    <x v="0"/>
    <x v="0"/>
    <x v="0"/>
    <x v="0"/>
    <x v="0"/>
    <x v="464"/>
    <x v="357"/>
    <x v="227"/>
    <x v="14"/>
    <x v="0"/>
    <x v="3"/>
    <x v="18"/>
    <x v="24"/>
    <x v="0"/>
    <x v="31"/>
    <x v="31"/>
    <x v="591"/>
  </r>
  <r>
    <x v="671"/>
    <x v="55"/>
    <x v="8"/>
    <x v="8"/>
    <x v="3"/>
    <x v="5"/>
    <x v="1"/>
    <x v="5"/>
    <x v="5"/>
    <x v="4"/>
    <x v="228"/>
    <x v="0"/>
    <x v="0"/>
    <x v="0"/>
    <x v="0"/>
    <x v="0"/>
    <x v="228"/>
    <x v="0"/>
    <x v="12"/>
    <x v="8"/>
    <x v="671"/>
    <x v="55"/>
    <x v="8"/>
    <x v="8"/>
    <x v="3"/>
    <x v="5"/>
    <x v="1"/>
    <x v="5"/>
    <x v="5"/>
    <x v="533"/>
    <x v="0"/>
    <x v="0"/>
    <x v="1"/>
    <x v="0"/>
    <x v="0"/>
    <x v="0"/>
    <x v="0"/>
    <x v="0"/>
    <x v="0"/>
    <x v="0"/>
    <x v="0"/>
    <x v="0"/>
    <x v="1"/>
    <x v="0"/>
    <x v="0"/>
    <x v="0"/>
    <x v="0"/>
    <x v="1"/>
    <x v="0"/>
    <x v="0"/>
    <x v="0"/>
    <x v="0"/>
    <x v="1"/>
    <x v="13"/>
    <x v="358"/>
    <x v="228"/>
    <x v="71"/>
    <x v="0"/>
    <x v="34"/>
    <x v="0"/>
    <x v="117"/>
    <x v="0"/>
    <x v="114"/>
    <x v="9"/>
    <x v="13"/>
  </r>
  <r>
    <x v="672"/>
    <x v="176"/>
    <x v="8"/>
    <x v="8"/>
    <x v="176"/>
    <x v="5"/>
    <x v="1"/>
    <x v="1"/>
    <x v="2"/>
    <x v="2"/>
    <x v="16"/>
    <x v="0"/>
    <x v="0"/>
    <x v="0"/>
    <x v="0"/>
    <x v="2"/>
    <x v="16"/>
    <x v="0"/>
    <x v="12"/>
    <x v="8"/>
    <x v="672"/>
    <x v="176"/>
    <x v="8"/>
    <x v="8"/>
    <x v="179"/>
    <x v="5"/>
    <x v="1"/>
    <x v="1"/>
    <x v="2"/>
    <x v="534"/>
    <x v="0"/>
    <x v="0"/>
    <x v="1"/>
    <x v="0"/>
    <x v="0"/>
    <x v="0"/>
    <x v="0"/>
    <x v="0"/>
    <x v="0"/>
    <x v="0"/>
    <x v="0"/>
    <x v="0"/>
    <x v="1"/>
    <x v="0"/>
    <x v="0"/>
    <x v="0"/>
    <x v="0"/>
    <x v="1"/>
    <x v="0"/>
    <x v="0"/>
    <x v="0"/>
    <x v="0"/>
    <x v="1"/>
    <x v="574"/>
    <x v="359"/>
    <x v="229"/>
    <x v="55"/>
    <x v="0"/>
    <x v="1"/>
    <x v="2"/>
    <x v="11"/>
    <x v="0"/>
    <x v="56"/>
    <x v="55"/>
    <x v="13"/>
  </r>
  <r>
    <x v="673"/>
    <x v="19"/>
    <x v="280"/>
    <x v="155"/>
    <x v="14"/>
    <x v="0"/>
    <x v="6"/>
    <x v="3"/>
    <x v="1"/>
    <x v="1"/>
    <x v="188"/>
    <x v="0"/>
    <x v="0"/>
    <x v="0"/>
    <x v="0"/>
    <x v="0"/>
    <x v="188"/>
    <x v="0"/>
    <x v="0"/>
    <x v="12"/>
    <x v="673"/>
    <x v="19"/>
    <x v="280"/>
    <x v="155"/>
    <x v="14"/>
    <x v="0"/>
    <x v="6"/>
    <x v="3"/>
    <x v="1"/>
    <x v="213"/>
    <x v="1"/>
    <x v="0"/>
    <x v="1"/>
    <x v="0"/>
    <x v="0"/>
    <x v="0"/>
    <x v="0"/>
    <x v="0"/>
    <x v="0"/>
    <x v="0"/>
    <x v="0"/>
    <x v="0"/>
    <x v="0"/>
    <x v="0"/>
    <x v="0"/>
    <x v="1"/>
    <x v="0"/>
    <x v="0"/>
    <x v="0"/>
    <x v="0"/>
    <x v="0"/>
    <x v="0"/>
    <x v="1"/>
    <x v="468"/>
    <x v="360"/>
    <x v="230"/>
    <x v="36"/>
    <x v="0"/>
    <x v="0"/>
    <x v="31"/>
    <x v="73"/>
    <x v="0"/>
    <x v="29"/>
    <x v="29"/>
    <x v="592"/>
  </r>
  <r>
    <x v="674"/>
    <x v="117"/>
    <x v="281"/>
    <x v="8"/>
    <x v="2"/>
    <x v="0"/>
    <x v="1"/>
    <x v="5"/>
    <x v="1"/>
    <x v="1"/>
    <x v="423"/>
    <x v="0"/>
    <x v="0"/>
    <x v="0"/>
    <x v="0"/>
    <x v="2"/>
    <x v="423"/>
    <x v="0"/>
    <x v="92"/>
    <x v="6"/>
    <x v="674"/>
    <x v="117"/>
    <x v="281"/>
    <x v="8"/>
    <x v="2"/>
    <x v="0"/>
    <x v="1"/>
    <x v="5"/>
    <x v="1"/>
    <x v="535"/>
    <x v="0"/>
    <x v="0"/>
    <x v="1"/>
    <x v="0"/>
    <x v="0"/>
    <x v="0"/>
    <x v="0"/>
    <x v="0"/>
    <x v="0"/>
    <x v="0"/>
    <x v="0"/>
    <x v="0"/>
    <x v="0"/>
    <x v="0"/>
    <x v="0"/>
    <x v="1"/>
    <x v="1"/>
    <x v="0"/>
    <x v="0"/>
    <x v="0"/>
    <x v="0"/>
    <x v="0"/>
    <x v="0"/>
    <x v="575"/>
    <x v="361"/>
    <x v="231"/>
    <x v="11"/>
    <x v="0"/>
    <x v="2"/>
    <x v="1"/>
    <x v="2"/>
    <x v="0"/>
    <x v="11"/>
    <x v="11"/>
    <x v="593"/>
  </r>
  <r>
    <x v="675"/>
    <x v="177"/>
    <x v="282"/>
    <x v="8"/>
    <x v="6"/>
    <x v="3"/>
    <x v="1"/>
    <x v="1"/>
    <x v="1"/>
    <x v="1"/>
    <x v="424"/>
    <x v="0"/>
    <x v="0"/>
    <x v="0"/>
    <x v="0"/>
    <x v="4"/>
    <x v="424"/>
    <x v="19"/>
    <x v="57"/>
    <x v="6"/>
    <x v="675"/>
    <x v="177"/>
    <x v="282"/>
    <x v="8"/>
    <x v="6"/>
    <x v="3"/>
    <x v="1"/>
    <x v="1"/>
    <x v="1"/>
    <x v="536"/>
    <x v="0"/>
    <x v="0"/>
    <x v="0"/>
    <x v="0"/>
    <x v="1"/>
    <x v="0"/>
    <x v="0"/>
    <x v="0"/>
    <x v="0"/>
    <x v="0"/>
    <x v="0"/>
    <x v="0"/>
    <x v="1"/>
    <x v="0"/>
    <x v="0"/>
    <x v="0"/>
    <x v="0"/>
    <x v="1"/>
    <x v="0"/>
    <x v="0"/>
    <x v="9"/>
    <x v="0"/>
    <x v="1"/>
    <x v="576"/>
    <x v="362"/>
    <x v="232"/>
    <x v="1"/>
    <x v="0"/>
    <x v="3"/>
    <x v="3"/>
    <x v="4"/>
    <x v="0"/>
    <x v="89"/>
    <x v="81"/>
    <x v="594"/>
  </r>
  <r>
    <x v="676"/>
    <x v="29"/>
    <x v="283"/>
    <x v="8"/>
    <x v="6"/>
    <x v="2"/>
    <x v="1"/>
    <x v="1"/>
    <x v="2"/>
    <x v="2"/>
    <x v="425"/>
    <x v="0"/>
    <x v="0"/>
    <x v="0"/>
    <x v="0"/>
    <x v="3"/>
    <x v="425"/>
    <x v="135"/>
    <x v="12"/>
    <x v="8"/>
    <x v="676"/>
    <x v="29"/>
    <x v="283"/>
    <x v="8"/>
    <x v="6"/>
    <x v="2"/>
    <x v="1"/>
    <x v="1"/>
    <x v="2"/>
    <x v="537"/>
    <x v="0"/>
    <x v="0"/>
    <x v="1"/>
    <x v="0"/>
    <x v="0"/>
    <x v="0"/>
    <x v="0"/>
    <x v="0"/>
    <x v="0"/>
    <x v="0"/>
    <x v="0"/>
    <x v="0"/>
    <x v="1"/>
    <x v="0"/>
    <x v="0"/>
    <x v="0"/>
    <x v="0"/>
    <x v="1"/>
    <x v="0"/>
    <x v="0"/>
    <x v="3"/>
    <x v="0"/>
    <x v="1"/>
    <x v="13"/>
    <x v="363"/>
    <x v="233"/>
    <x v="70"/>
    <x v="0"/>
    <x v="5"/>
    <x v="2"/>
    <x v="25"/>
    <x v="1"/>
    <x v="8"/>
    <x v="8"/>
    <x v="13"/>
  </r>
  <r>
    <x v="677"/>
    <x v="178"/>
    <x v="8"/>
    <x v="8"/>
    <x v="7"/>
    <x v="5"/>
    <x v="1"/>
    <x v="1"/>
    <x v="1"/>
    <x v="1"/>
    <x v="2"/>
    <x v="0"/>
    <x v="0"/>
    <x v="0"/>
    <x v="0"/>
    <x v="1"/>
    <x v="2"/>
    <x v="0"/>
    <x v="267"/>
    <x v="21"/>
    <x v="677"/>
    <x v="178"/>
    <x v="8"/>
    <x v="8"/>
    <x v="7"/>
    <x v="5"/>
    <x v="1"/>
    <x v="1"/>
    <x v="1"/>
    <x v="2"/>
    <x v="0"/>
    <x v="0"/>
    <x v="1"/>
    <x v="1"/>
    <x v="0"/>
    <x v="0"/>
    <x v="0"/>
    <x v="1"/>
    <x v="0"/>
    <x v="0"/>
    <x v="0"/>
    <x v="0"/>
    <x v="0"/>
    <x v="0"/>
    <x v="0"/>
    <x v="0"/>
    <x v="0"/>
    <x v="0"/>
    <x v="0"/>
    <x v="0"/>
    <x v="0"/>
    <x v="0"/>
    <x v="1"/>
    <x v="577"/>
    <x v="364"/>
    <x v="224"/>
    <x v="3"/>
    <x v="0"/>
    <x v="1"/>
    <x v="28"/>
    <x v="118"/>
    <x v="0"/>
    <x v="93"/>
    <x v="85"/>
    <x v="595"/>
  </r>
  <r>
    <x v="678"/>
    <x v="2"/>
    <x v="8"/>
    <x v="156"/>
    <x v="1"/>
    <x v="0"/>
    <x v="4"/>
    <x v="2"/>
    <x v="1"/>
    <x v="1"/>
    <x v="426"/>
    <x v="0"/>
    <x v="0"/>
    <x v="0"/>
    <x v="0"/>
    <x v="1"/>
    <x v="426"/>
    <x v="0"/>
    <x v="77"/>
    <x v="11"/>
    <x v="678"/>
    <x v="2"/>
    <x v="8"/>
    <x v="156"/>
    <x v="1"/>
    <x v="0"/>
    <x v="4"/>
    <x v="2"/>
    <x v="1"/>
    <x v="538"/>
    <x v="0"/>
    <x v="0"/>
    <x v="1"/>
    <x v="0"/>
    <x v="0"/>
    <x v="0"/>
    <x v="0"/>
    <x v="0"/>
    <x v="0"/>
    <x v="0"/>
    <x v="0"/>
    <x v="0"/>
    <x v="0"/>
    <x v="0"/>
    <x v="0"/>
    <x v="1"/>
    <x v="0"/>
    <x v="0"/>
    <x v="0"/>
    <x v="0"/>
    <x v="0"/>
    <x v="0"/>
    <x v="0"/>
    <x v="94"/>
    <x v="365"/>
    <x v="234"/>
    <x v="30"/>
    <x v="0"/>
    <x v="5"/>
    <x v="3"/>
    <x v="70"/>
    <x v="1"/>
    <x v="0"/>
    <x v="0"/>
    <x v="596"/>
  </r>
  <r>
    <x v="679"/>
    <x v="2"/>
    <x v="8"/>
    <x v="8"/>
    <x v="1"/>
    <x v="1"/>
    <x v="1"/>
    <x v="2"/>
    <x v="1"/>
    <x v="1"/>
    <x v="427"/>
    <x v="0"/>
    <x v="0"/>
    <x v="0"/>
    <x v="0"/>
    <x v="1"/>
    <x v="427"/>
    <x v="0"/>
    <x v="268"/>
    <x v="6"/>
    <x v="679"/>
    <x v="2"/>
    <x v="8"/>
    <x v="8"/>
    <x v="1"/>
    <x v="1"/>
    <x v="1"/>
    <x v="2"/>
    <x v="1"/>
    <x v="539"/>
    <x v="0"/>
    <x v="0"/>
    <x v="1"/>
    <x v="0"/>
    <x v="0"/>
    <x v="0"/>
    <x v="0"/>
    <x v="0"/>
    <x v="0"/>
    <x v="0"/>
    <x v="0"/>
    <x v="0"/>
    <x v="0"/>
    <x v="0"/>
    <x v="0"/>
    <x v="0"/>
    <x v="0"/>
    <x v="0"/>
    <x v="0"/>
    <x v="0"/>
    <x v="0"/>
    <x v="2"/>
    <x v="0"/>
    <x v="578"/>
    <x v="366"/>
    <x v="170"/>
    <x v="1"/>
    <x v="0"/>
    <x v="0"/>
    <x v="2"/>
    <x v="3"/>
    <x v="0"/>
    <x v="115"/>
    <x v="106"/>
    <x v="597"/>
  </r>
  <r>
    <x v="680"/>
    <x v="21"/>
    <x v="284"/>
    <x v="8"/>
    <x v="40"/>
    <x v="3"/>
    <x v="1"/>
    <x v="1"/>
    <x v="1"/>
    <x v="1"/>
    <x v="428"/>
    <x v="108"/>
    <x v="23"/>
    <x v="128"/>
    <x v="1"/>
    <x v="3"/>
    <x v="428"/>
    <x v="136"/>
    <x v="265"/>
    <x v="6"/>
    <x v="680"/>
    <x v="21"/>
    <x v="284"/>
    <x v="8"/>
    <x v="40"/>
    <x v="3"/>
    <x v="1"/>
    <x v="1"/>
    <x v="1"/>
    <x v="540"/>
    <x v="0"/>
    <x v="0"/>
    <x v="1"/>
    <x v="0"/>
    <x v="0"/>
    <x v="0"/>
    <x v="0"/>
    <x v="1"/>
    <x v="1"/>
    <x v="0"/>
    <x v="0"/>
    <x v="0"/>
    <x v="1"/>
    <x v="0"/>
    <x v="0"/>
    <x v="0"/>
    <x v="0"/>
    <x v="1"/>
    <x v="0"/>
    <x v="0"/>
    <x v="2"/>
    <x v="0"/>
    <x v="2"/>
    <x v="579"/>
    <x v="367"/>
    <x v="20"/>
    <x v="3"/>
    <x v="0"/>
    <x v="3"/>
    <x v="15"/>
    <x v="20"/>
    <x v="0"/>
    <x v="3"/>
    <x v="3"/>
    <x v="598"/>
  </r>
  <r>
    <x v="681"/>
    <x v="21"/>
    <x v="285"/>
    <x v="8"/>
    <x v="0"/>
    <x v="0"/>
    <x v="1"/>
    <x v="1"/>
    <x v="1"/>
    <x v="1"/>
    <x v="429"/>
    <x v="0"/>
    <x v="0"/>
    <x v="0"/>
    <x v="0"/>
    <x v="3"/>
    <x v="429"/>
    <x v="0"/>
    <x v="164"/>
    <x v="6"/>
    <x v="681"/>
    <x v="21"/>
    <x v="285"/>
    <x v="8"/>
    <x v="0"/>
    <x v="0"/>
    <x v="1"/>
    <x v="1"/>
    <x v="1"/>
    <x v="541"/>
    <x v="0"/>
    <x v="0"/>
    <x v="1"/>
    <x v="0"/>
    <x v="0"/>
    <x v="0"/>
    <x v="0"/>
    <x v="0"/>
    <x v="0"/>
    <x v="0"/>
    <x v="0"/>
    <x v="0"/>
    <x v="0"/>
    <x v="0"/>
    <x v="0"/>
    <x v="1"/>
    <x v="0"/>
    <x v="0"/>
    <x v="0"/>
    <x v="0"/>
    <x v="0"/>
    <x v="0"/>
    <x v="2"/>
    <x v="286"/>
    <x v="367"/>
    <x v="20"/>
    <x v="3"/>
    <x v="0"/>
    <x v="3"/>
    <x v="15"/>
    <x v="20"/>
    <x v="0"/>
    <x v="32"/>
    <x v="32"/>
    <x v="599"/>
  </r>
  <r>
    <x v="682"/>
    <x v="21"/>
    <x v="286"/>
    <x v="8"/>
    <x v="7"/>
    <x v="3"/>
    <x v="1"/>
    <x v="1"/>
    <x v="1"/>
    <x v="1"/>
    <x v="430"/>
    <x v="109"/>
    <x v="16"/>
    <x v="129"/>
    <x v="1"/>
    <x v="0"/>
    <x v="430"/>
    <x v="137"/>
    <x v="6"/>
    <x v="6"/>
    <x v="682"/>
    <x v="21"/>
    <x v="286"/>
    <x v="8"/>
    <x v="7"/>
    <x v="3"/>
    <x v="1"/>
    <x v="1"/>
    <x v="1"/>
    <x v="542"/>
    <x v="0"/>
    <x v="0"/>
    <x v="1"/>
    <x v="0"/>
    <x v="0"/>
    <x v="0"/>
    <x v="0"/>
    <x v="0"/>
    <x v="0"/>
    <x v="0"/>
    <x v="0"/>
    <x v="0"/>
    <x v="1"/>
    <x v="0"/>
    <x v="0"/>
    <x v="1"/>
    <x v="0"/>
    <x v="1"/>
    <x v="1"/>
    <x v="0"/>
    <x v="1"/>
    <x v="0"/>
    <x v="3"/>
    <x v="580"/>
    <x v="367"/>
    <x v="20"/>
    <x v="3"/>
    <x v="0"/>
    <x v="10"/>
    <x v="16"/>
    <x v="22"/>
    <x v="0"/>
    <x v="44"/>
    <x v="44"/>
    <x v="600"/>
  </r>
  <r>
    <x v="683"/>
    <x v="21"/>
    <x v="287"/>
    <x v="8"/>
    <x v="123"/>
    <x v="3"/>
    <x v="1"/>
    <x v="1"/>
    <x v="1"/>
    <x v="1"/>
    <x v="431"/>
    <x v="110"/>
    <x v="16"/>
    <x v="130"/>
    <x v="1"/>
    <x v="0"/>
    <x v="431"/>
    <x v="138"/>
    <x v="78"/>
    <x v="6"/>
    <x v="683"/>
    <x v="21"/>
    <x v="287"/>
    <x v="8"/>
    <x v="125"/>
    <x v="3"/>
    <x v="1"/>
    <x v="1"/>
    <x v="1"/>
    <x v="543"/>
    <x v="0"/>
    <x v="0"/>
    <x v="1"/>
    <x v="0"/>
    <x v="0"/>
    <x v="0"/>
    <x v="0"/>
    <x v="0"/>
    <x v="0"/>
    <x v="0"/>
    <x v="0"/>
    <x v="0"/>
    <x v="1"/>
    <x v="0"/>
    <x v="0"/>
    <x v="0"/>
    <x v="0"/>
    <x v="1"/>
    <x v="1"/>
    <x v="0"/>
    <x v="1"/>
    <x v="0"/>
    <x v="1"/>
    <x v="581"/>
    <x v="367"/>
    <x v="20"/>
    <x v="3"/>
    <x v="0"/>
    <x v="10"/>
    <x v="16"/>
    <x v="22"/>
    <x v="0"/>
    <x v="1"/>
    <x v="1"/>
    <x v="601"/>
  </r>
  <r>
    <x v="684"/>
    <x v="21"/>
    <x v="76"/>
    <x v="8"/>
    <x v="6"/>
    <x v="3"/>
    <x v="1"/>
    <x v="1"/>
    <x v="1"/>
    <x v="1"/>
    <x v="432"/>
    <x v="111"/>
    <x v="82"/>
    <x v="131"/>
    <x v="1"/>
    <x v="3"/>
    <x v="432"/>
    <x v="139"/>
    <x v="203"/>
    <x v="6"/>
    <x v="684"/>
    <x v="21"/>
    <x v="76"/>
    <x v="8"/>
    <x v="6"/>
    <x v="3"/>
    <x v="1"/>
    <x v="1"/>
    <x v="1"/>
    <x v="544"/>
    <x v="0"/>
    <x v="0"/>
    <x v="0"/>
    <x v="0"/>
    <x v="1"/>
    <x v="0"/>
    <x v="0"/>
    <x v="0"/>
    <x v="0"/>
    <x v="0"/>
    <x v="0"/>
    <x v="0"/>
    <x v="1"/>
    <x v="0"/>
    <x v="0"/>
    <x v="0"/>
    <x v="0"/>
    <x v="1"/>
    <x v="1"/>
    <x v="0"/>
    <x v="1"/>
    <x v="0"/>
    <x v="1"/>
    <x v="582"/>
    <x v="367"/>
    <x v="20"/>
    <x v="3"/>
    <x v="0"/>
    <x v="3"/>
    <x v="15"/>
    <x v="20"/>
    <x v="0"/>
    <x v="0"/>
    <x v="0"/>
    <x v="602"/>
  </r>
  <r>
    <x v="685"/>
    <x v="21"/>
    <x v="288"/>
    <x v="8"/>
    <x v="44"/>
    <x v="0"/>
    <x v="1"/>
    <x v="1"/>
    <x v="1"/>
    <x v="1"/>
    <x v="433"/>
    <x v="112"/>
    <x v="16"/>
    <x v="132"/>
    <x v="1"/>
    <x v="0"/>
    <x v="433"/>
    <x v="0"/>
    <x v="269"/>
    <x v="6"/>
    <x v="685"/>
    <x v="21"/>
    <x v="288"/>
    <x v="8"/>
    <x v="44"/>
    <x v="0"/>
    <x v="1"/>
    <x v="1"/>
    <x v="1"/>
    <x v="545"/>
    <x v="0"/>
    <x v="0"/>
    <x v="1"/>
    <x v="0"/>
    <x v="0"/>
    <x v="0"/>
    <x v="0"/>
    <x v="0"/>
    <x v="0"/>
    <x v="0"/>
    <x v="0"/>
    <x v="0"/>
    <x v="0"/>
    <x v="0"/>
    <x v="0"/>
    <x v="1"/>
    <x v="0"/>
    <x v="0"/>
    <x v="0"/>
    <x v="0"/>
    <x v="0"/>
    <x v="0"/>
    <x v="2"/>
    <x v="583"/>
    <x v="367"/>
    <x v="20"/>
    <x v="3"/>
    <x v="0"/>
    <x v="3"/>
    <x v="15"/>
    <x v="20"/>
    <x v="0"/>
    <x v="28"/>
    <x v="28"/>
    <x v="603"/>
  </r>
  <r>
    <x v="686"/>
    <x v="21"/>
    <x v="289"/>
    <x v="8"/>
    <x v="44"/>
    <x v="3"/>
    <x v="1"/>
    <x v="1"/>
    <x v="1"/>
    <x v="1"/>
    <x v="434"/>
    <x v="113"/>
    <x v="16"/>
    <x v="133"/>
    <x v="1"/>
    <x v="2"/>
    <x v="434"/>
    <x v="140"/>
    <x v="164"/>
    <x v="6"/>
    <x v="686"/>
    <x v="21"/>
    <x v="289"/>
    <x v="8"/>
    <x v="44"/>
    <x v="3"/>
    <x v="1"/>
    <x v="1"/>
    <x v="1"/>
    <x v="546"/>
    <x v="0"/>
    <x v="0"/>
    <x v="1"/>
    <x v="0"/>
    <x v="0"/>
    <x v="0"/>
    <x v="0"/>
    <x v="0"/>
    <x v="1"/>
    <x v="0"/>
    <x v="0"/>
    <x v="0"/>
    <x v="1"/>
    <x v="0"/>
    <x v="0"/>
    <x v="1"/>
    <x v="0"/>
    <x v="1"/>
    <x v="1"/>
    <x v="0"/>
    <x v="1"/>
    <x v="0"/>
    <x v="4"/>
    <x v="584"/>
    <x v="367"/>
    <x v="20"/>
    <x v="3"/>
    <x v="0"/>
    <x v="10"/>
    <x v="16"/>
    <x v="22"/>
    <x v="0"/>
    <x v="1"/>
    <x v="1"/>
    <x v="604"/>
  </r>
  <r>
    <x v="687"/>
    <x v="21"/>
    <x v="290"/>
    <x v="8"/>
    <x v="44"/>
    <x v="3"/>
    <x v="1"/>
    <x v="1"/>
    <x v="1"/>
    <x v="1"/>
    <x v="435"/>
    <x v="0"/>
    <x v="0"/>
    <x v="0"/>
    <x v="0"/>
    <x v="0"/>
    <x v="435"/>
    <x v="0"/>
    <x v="78"/>
    <x v="6"/>
    <x v="687"/>
    <x v="21"/>
    <x v="290"/>
    <x v="8"/>
    <x v="44"/>
    <x v="3"/>
    <x v="1"/>
    <x v="1"/>
    <x v="1"/>
    <x v="547"/>
    <x v="0"/>
    <x v="0"/>
    <x v="0"/>
    <x v="0"/>
    <x v="1"/>
    <x v="0"/>
    <x v="0"/>
    <x v="0"/>
    <x v="0"/>
    <x v="1"/>
    <x v="0"/>
    <x v="0"/>
    <x v="0"/>
    <x v="0"/>
    <x v="0"/>
    <x v="0"/>
    <x v="0"/>
    <x v="0"/>
    <x v="0"/>
    <x v="0"/>
    <x v="0"/>
    <x v="0"/>
    <x v="3"/>
    <x v="585"/>
    <x v="367"/>
    <x v="20"/>
    <x v="3"/>
    <x v="0"/>
    <x v="3"/>
    <x v="15"/>
    <x v="20"/>
    <x v="0"/>
    <x v="26"/>
    <x v="26"/>
    <x v="605"/>
  </r>
  <r>
    <x v="688"/>
    <x v="21"/>
    <x v="291"/>
    <x v="8"/>
    <x v="0"/>
    <x v="3"/>
    <x v="1"/>
    <x v="1"/>
    <x v="1"/>
    <x v="1"/>
    <x v="436"/>
    <x v="114"/>
    <x v="16"/>
    <x v="134"/>
    <x v="1"/>
    <x v="0"/>
    <x v="436"/>
    <x v="141"/>
    <x v="270"/>
    <x v="6"/>
    <x v="688"/>
    <x v="21"/>
    <x v="291"/>
    <x v="8"/>
    <x v="0"/>
    <x v="3"/>
    <x v="1"/>
    <x v="1"/>
    <x v="1"/>
    <x v="548"/>
    <x v="0"/>
    <x v="0"/>
    <x v="1"/>
    <x v="0"/>
    <x v="0"/>
    <x v="0"/>
    <x v="0"/>
    <x v="0"/>
    <x v="0"/>
    <x v="0"/>
    <x v="0"/>
    <x v="0"/>
    <x v="1"/>
    <x v="0"/>
    <x v="0"/>
    <x v="1"/>
    <x v="0"/>
    <x v="1"/>
    <x v="1"/>
    <x v="0"/>
    <x v="1"/>
    <x v="0"/>
    <x v="3"/>
    <x v="586"/>
    <x v="367"/>
    <x v="19"/>
    <x v="18"/>
    <x v="0"/>
    <x v="10"/>
    <x v="16"/>
    <x v="22"/>
    <x v="0"/>
    <x v="12"/>
    <x v="12"/>
    <x v="606"/>
  </r>
  <r>
    <x v="689"/>
    <x v="22"/>
    <x v="30"/>
    <x v="8"/>
    <x v="0"/>
    <x v="0"/>
    <x v="1"/>
    <x v="1"/>
    <x v="1"/>
    <x v="1"/>
    <x v="437"/>
    <x v="0"/>
    <x v="0"/>
    <x v="0"/>
    <x v="0"/>
    <x v="1"/>
    <x v="437"/>
    <x v="0"/>
    <x v="271"/>
    <x v="6"/>
    <x v="689"/>
    <x v="22"/>
    <x v="30"/>
    <x v="8"/>
    <x v="0"/>
    <x v="0"/>
    <x v="1"/>
    <x v="1"/>
    <x v="1"/>
    <x v="549"/>
    <x v="0"/>
    <x v="0"/>
    <x v="1"/>
    <x v="0"/>
    <x v="0"/>
    <x v="0"/>
    <x v="0"/>
    <x v="0"/>
    <x v="0"/>
    <x v="0"/>
    <x v="0"/>
    <x v="0"/>
    <x v="0"/>
    <x v="0"/>
    <x v="0"/>
    <x v="1"/>
    <x v="0"/>
    <x v="0"/>
    <x v="0"/>
    <x v="0"/>
    <x v="0"/>
    <x v="0"/>
    <x v="1"/>
    <x v="587"/>
    <x v="367"/>
    <x v="19"/>
    <x v="18"/>
    <x v="0"/>
    <x v="3"/>
    <x v="15"/>
    <x v="20"/>
    <x v="0"/>
    <x v="2"/>
    <x v="2"/>
    <x v="607"/>
  </r>
  <r>
    <x v="690"/>
    <x v="69"/>
    <x v="292"/>
    <x v="8"/>
    <x v="7"/>
    <x v="0"/>
    <x v="1"/>
    <x v="1"/>
    <x v="3"/>
    <x v="3"/>
    <x v="438"/>
    <x v="0"/>
    <x v="0"/>
    <x v="0"/>
    <x v="0"/>
    <x v="0"/>
    <x v="438"/>
    <x v="0"/>
    <x v="12"/>
    <x v="8"/>
    <x v="690"/>
    <x v="69"/>
    <x v="292"/>
    <x v="8"/>
    <x v="7"/>
    <x v="0"/>
    <x v="1"/>
    <x v="1"/>
    <x v="3"/>
    <x v="550"/>
    <x v="1"/>
    <x v="0"/>
    <x v="1"/>
    <x v="0"/>
    <x v="0"/>
    <x v="0"/>
    <x v="0"/>
    <x v="0"/>
    <x v="0"/>
    <x v="0"/>
    <x v="0"/>
    <x v="0"/>
    <x v="0"/>
    <x v="0"/>
    <x v="0"/>
    <x v="0"/>
    <x v="0"/>
    <x v="0"/>
    <x v="1"/>
    <x v="0"/>
    <x v="0"/>
    <x v="0"/>
    <x v="1"/>
    <x v="13"/>
    <x v="368"/>
    <x v="123"/>
    <x v="12"/>
    <x v="0"/>
    <x v="3"/>
    <x v="24"/>
    <x v="68"/>
    <x v="0"/>
    <x v="8"/>
    <x v="8"/>
    <x v="13"/>
  </r>
  <r>
    <x v="691"/>
    <x v="69"/>
    <x v="117"/>
    <x v="8"/>
    <x v="14"/>
    <x v="3"/>
    <x v="1"/>
    <x v="1"/>
    <x v="1"/>
    <x v="1"/>
    <x v="354"/>
    <x v="0"/>
    <x v="0"/>
    <x v="0"/>
    <x v="0"/>
    <x v="3"/>
    <x v="354"/>
    <x v="0"/>
    <x v="57"/>
    <x v="6"/>
    <x v="691"/>
    <x v="69"/>
    <x v="117"/>
    <x v="8"/>
    <x v="14"/>
    <x v="3"/>
    <x v="1"/>
    <x v="1"/>
    <x v="1"/>
    <x v="422"/>
    <x v="1"/>
    <x v="1"/>
    <x v="1"/>
    <x v="1"/>
    <x v="0"/>
    <x v="0"/>
    <x v="1"/>
    <x v="0"/>
    <x v="0"/>
    <x v="0"/>
    <x v="0"/>
    <x v="0"/>
    <x v="0"/>
    <x v="0"/>
    <x v="0"/>
    <x v="1"/>
    <x v="0"/>
    <x v="0"/>
    <x v="1"/>
    <x v="0"/>
    <x v="0"/>
    <x v="0"/>
    <x v="3"/>
    <x v="588"/>
    <x v="369"/>
    <x v="86"/>
    <x v="17"/>
    <x v="0"/>
    <x v="5"/>
    <x v="35"/>
    <x v="55"/>
    <x v="1"/>
    <x v="116"/>
    <x v="107"/>
    <x v="608"/>
  </r>
  <r>
    <x v="692"/>
    <x v="179"/>
    <x v="293"/>
    <x v="48"/>
    <x v="18"/>
    <x v="1"/>
    <x v="1"/>
    <x v="1"/>
    <x v="1"/>
    <x v="1"/>
    <x v="439"/>
    <x v="0"/>
    <x v="0"/>
    <x v="0"/>
    <x v="0"/>
    <x v="3"/>
    <x v="439"/>
    <x v="0"/>
    <x v="10"/>
    <x v="9"/>
    <x v="692"/>
    <x v="179"/>
    <x v="293"/>
    <x v="48"/>
    <x v="18"/>
    <x v="1"/>
    <x v="1"/>
    <x v="1"/>
    <x v="1"/>
    <x v="551"/>
    <x v="0"/>
    <x v="0"/>
    <x v="1"/>
    <x v="0"/>
    <x v="0"/>
    <x v="0"/>
    <x v="0"/>
    <x v="0"/>
    <x v="0"/>
    <x v="0"/>
    <x v="0"/>
    <x v="0"/>
    <x v="0"/>
    <x v="0"/>
    <x v="0"/>
    <x v="0"/>
    <x v="0"/>
    <x v="0"/>
    <x v="0"/>
    <x v="0"/>
    <x v="0"/>
    <x v="0"/>
    <x v="0"/>
    <x v="589"/>
    <x v="370"/>
    <x v="235"/>
    <x v="74"/>
    <x v="0"/>
    <x v="5"/>
    <x v="42"/>
    <x v="119"/>
    <x v="1"/>
    <x v="29"/>
    <x v="29"/>
    <x v="609"/>
  </r>
  <r>
    <x v="693"/>
    <x v="76"/>
    <x v="294"/>
    <x v="157"/>
    <x v="177"/>
    <x v="0"/>
    <x v="1"/>
    <x v="0"/>
    <x v="1"/>
    <x v="1"/>
    <x v="418"/>
    <x v="0"/>
    <x v="0"/>
    <x v="0"/>
    <x v="0"/>
    <x v="3"/>
    <x v="418"/>
    <x v="0"/>
    <x v="5"/>
    <x v="12"/>
    <x v="693"/>
    <x v="76"/>
    <x v="294"/>
    <x v="157"/>
    <x v="180"/>
    <x v="0"/>
    <x v="1"/>
    <x v="0"/>
    <x v="1"/>
    <x v="552"/>
    <x v="0"/>
    <x v="1"/>
    <x v="1"/>
    <x v="0"/>
    <x v="0"/>
    <x v="0"/>
    <x v="0"/>
    <x v="0"/>
    <x v="0"/>
    <x v="0"/>
    <x v="0"/>
    <x v="0"/>
    <x v="0"/>
    <x v="0"/>
    <x v="0"/>
    <x v="0"/>
    <x v="0"/>
    <x v="0"/>
    <x v="1"/>
    <x v="0"/>
    <x v="0"/>
    <x v="0"/>
    <x v="0"/>
    <x v="590"/>
    <x v="371"/>
    <x v="236"/>
    <x v="34"/>
    <x v="0"/>
    <x v="0"/>
    <x v="2"/>
    <x v="3"/>
    <x v="0"/>
    <x v="8"/>
    <x v="8"/>
    <x v="610"/>
  </r>
  <r>
    <x v="694"/>
    <x v="41"/>
    <x v="8"/>
    <x v="8"/>
    <x v="92"/>
    <x v="1"/>
    <x v="1"/>
    <x v="1"/>
    <x v="1"/>
    <x v="1"/>
    <x v="440"/>
    <x v="0"/>
    <x v="0"/>
    <x v="0"/>
    <x v="0"/>
    <x v="1"/>
    <x v="440"/>
    <x v="0"/>
    <x v="272"/>
    <x v="6"/>
    <x v="694"/>
    <x v="41"/>
    <x v="8"/>
    <x v="8"/>
    <x v="92"/>
    <x v="1"/>
    <x v="1"/>
    <x v="1"/>
    <x v="1"/>
    <x v="553"/>
    <x v="0"/>
    <x v="0"/>
    <x v="1"/>
    <x v="0"/>
    <x v="0"/>
    <x v="0"/>
    <x v="0"/>
    <x v="0"/>
    <x v="0"/>
    <x v="0"/>
    <x v="0"/>
    <x v="0"/>
    <x v="1"/>
    <x v="0"/>
    <x v="0"/>
    <x v="0"/>
    <x v="0"/>
    <x v="1"/>
    <x v="0"/>
    <x v="0"/>
    <x v="0"/>
    <x v="0"/>
    <x v="1"/>
    <x v="329"/>
    <x v="372"/>
    <x v="164"/>
    <x v="55"/>
    <x v="0"/>
    <x v="5"/>
    <x v="14"/>
    <x v="19"/>
    <x v="1"/>
    <x v="89"/>
    <x v="81"/>
    <x v="611"/>
  </r>
  <r>
    <x v="695"/>
    <x v="65"/>
    <x v="8"/>
    <x v="8"/>
    <x v="1"/>
    <x v="1"/>
    <x v="8"/>
    <x v="3"/>
    <x v="1"/>
    <x v="1"/>
    <x v="162"/>
    <x v="0"/>
    <x v="0"/>
    <x v="0"/>
    <x v="0"/>
    <x v="1"/>
    <x v="162"/>
    <x v="0"/>
    <x v="273"/>
    <x v="6"/>
    <x v="695"/>
    <x v="65"/>
    <x v="8"/>
    <x v="8"/>
    <x v="1"/>
    <x v="1"/>
    <x v="8"/>
    <x v="3"/>
    <x v="1"/>
    <x v="183"/>
    <x v="0"/>
    <x v="0"/>
    <x v="1"/>
    <x v="0"/>
    <x v="0"/>
    <x v="0"/>
    <x v="0"/>
    <x v="0"/>
    <x v="0"/>
    <x v="0"/>
    <x v="0"/>
    <x v="0"/>
    <x v="0"/>
    <x v="0"/>
    <x v="0"/>
    <x v="0"/>
    <x v="0"/>
    <x v="0"/>
    <x v="0"/>
    <x v="0"/>
    <x v="0"/>
    <x v="0"/>
    <x v="0"/>
    <x v="591"/>
    <x v="373"/>
    <x v="237"/>
    <x v="32"/>
    <x v="0"/>
    <x v="0"/>
    <x v="2"/>
    <x v="3"/>
    <x v="0"/>
    <x v="117"/>
    <x v="108"/>
    <x v="612"/>
  </r>
  <r>
    <x v="696"/>
    <x v="180"/>
    <x v="8"/>
    <x v="158"/>
    <x v="1"/>
    <x v="0"/>
    <x v="1"/>
    <x v="1"/>
    <x v="1"/>
    <x v="1"/>
    <x v="412"/>
    <x v="0"/>
    <x v="0"/>
    <x v="0"/>
    <x v="0"/>
    <x v="1"/>
    <x v="412"/>
    <x v="0"/>
    <x v="36"/>
    <x v="10"/>
    <x v="696"/>
    <x v="180"/>
    <x v="8"/>
    <x v="158"/>
    <x v="1"/>
    <x v="0"/>
    <x v="1"/>
    <x v="1"/>
    <x v="1"/>
    <x v="518"/>
    <x v="0"/>
    <x v="0"/>
    <x v="1"/>
    <x v="1"/>
    <x v="0"/>
    <x v="0"/>
    <x v="0"/>
    <x v="0"/>
    <x v="0"/>
    <x v="0"/>
    <x v="0"/>
    <x v="0"/>
    <x v="0"/>
    <x v="0"/>
    <x v="0"/>
    <x v="0"/>
    <x v="0"/>
    <x v="0"/>
    <x v="0"/>
    <x v="0"/>
    <x v="0"/>
    <x v="0"/>
    <x v="1"/>
    <x v="44"/>
    <x v="374"/>
    <x v="238"/>
    <x v="35"/>
    <x v="0"/>
    <x v="3"/>
    <x v="18"/>
    <x v="24"/>
    <x v="0"/>
    <x v="8"/>
    <x v="8"/>
    <x v="576"/>
  </r>
  <r>
    <x v="697"/>
    <x v="112"/>
    <x v="8"/>
    <x v="8"/>
    <x v="7"/>
    <x v="0"/>
    <x v="1"/>
    <x v="1"/>
    <x v="1"/>
    <x v="1"/>
    <x v="41"/>
    <x v="92"/>
    <x v="57"/>
    <x v="69"/>
    <x v="1"/>
    <x v="1"/>
    <x v="41"/>
    <x v="0"/>
    <x v="71"/>
    <x v="6"/>
    <x v="697"/>
    <x v="112"/>
    <x v="8"/>
    <x v="8"/>
    <x v="7"/>
    <x v="0"/>
    <x v="1"/>
    <x v="1"/>
    <x v="1"/>
    <x v="554"/>
    <x v="0"/>
    <x v="0"/>
    <x v="1"/>
    <x v="1"/>
    <x v="0"/>
    <x v="0"/>
    <x v="1"/>
    <x v="0"/>
    <x v="0"/>
    <x v="0"/>
    <x v="0"/>
    <x v="0"/>
    <x v="0"/>
    <x v="0"/>
    <x v="0"/>
    <x v="0"/>
    <x v="0"/>
    <x v="0"/>
    <x v="0"/>
    <x v="0"/>
    <x v="0"/>
    <x v="0"/>
    <x v="3"/>
    <x v="592"/>
    <x v="375"/>
    <x v="38"/>
    <x v="2"/>
    <x v="0"/>
    <x v="5"/>
    <x v="27"/>
    <x v="37"/>
    <x v="1"/>
    <x v="28"/>
    <x v="28"/>
    <x v="613"/>
  </r>
  <r>
    <x v="698"/>
    <x v="181"/>
    <x v="295"/>
    <x v="159"/>
    <x v="178"/>
    <x v="4"/>
    <x v="1"/>
    <x v="1"/>
    <x v="1"/>
    <x v="1"/>
    <x v="1"/>
    <x v="0"/>
    <x v="0"/>
    <x v="0"/>
    <x v="0"/>
    <x v="0"/>
    <x v="1"/>
    <x v="0"/>
    <x v="57"/>
    <x v="39"/>
    <x v="698"/>
    <x v="181"/>
    <x v="295"/>
    <x v="159"/>
    <x v="181"/>
    <x v="4"/>
    <x v="1"/>
    <x v="1"/>
    <x v="1"/>
    <x v="1"/>
    <x v="0"/>
    <x v="0"/>
    <x v="1"/>
    <x v="0"/>
    <x v="0"/>
    <x v="0"/>
    <x v="0"/>
    <x v="0"/>
    <x v="0"/>
    <x v="0"/>
    <x v="0"/>
    <x v="0"/>
    <x v="0"/>
    <x v="0"/>
    <x v="0"/>
    <x v="1"/>
    <x v="0"/>
    <x v="0"/>
    <x v="0"/>
    <x v="0"/>
    <x v="0"/>
    <x v="0"/>
    <x v="0"/>
    <x v="593"/>
    <x v="376"/>
    <x v="239"/>
    <x v="54"/>
    <x v="0"/>
    <x v="3"/>
    <x v="42"/>
    <x v="66"/>
    <x v="0"/>
    <x v="118"/>
    <x v="109"/>
    <x v="614"/>
  </r>
  <r>
    <x v="699"/>
    <x v="182"/>
    <x v="296"/>
    <x v="8"/>
    <x v="179"/>
    <x v="3"/>
    <x v="1"/>
    <x v="1"/>
    <x v="1"/>
    <x v="1"/>
    <x v="408"/>
    <x v="0"/>
    <x v="0"/>
    <x v="0"/>
    <x v="0"/>
    <x v="0"/>
    <x v="408"/>
    <x v="0"/>
    <x v="42"/>
    <x v="18"/>
    <x v="699"/>
    <x v="182"/>
    <x v="296"/>
    <x v="8"/>
    <x v="182"/>
    <x v="3"/>
    <x v="1"/>
    <x v="1"/>
    <x v="1"/>
    <x v="555"/>
    <x v="0"/>
    <x v="0"/>
    <x v="1"/>
    <x v="0"/>
    <x v="0"/>
    <x v="0"/>
    <x v="0"/>
    <x v="0"/>
    <x v="0"/>
    <x v="0"/>
    <x v="0"/>
    <x v="0"/>
    <x v="0"/>
    <x v="0"/>
    <x v="0"/>
    <x v="0"/>
    <x v="0"/>
    <x v="0"/>
    <x v="1"/>
    <x v="0"/>
    <x v="0"/>
    <x v="0"/>
    <x v="0"/>
    <x v="594"/>
    <x v="377"/>
    <x v="240"/>
    <x v="54"/>
    <x v="0"/>
    <x v="0"/>
    <x v="2"/>
    <x v="3"/>
    <x v="0"/>
    <x v="119"/>
    <x v="110"/>
    <x v="615"/>
  </r>
  <r>
    <x v="700"/>
    <x v="183"/>
    <x v="8"/>
    <x v="8"/>
    <x v="180"/>
    <x v="3"/>
    <x v="1"/>
    <x v="1"/>
    <x v="1"/>
    <x v="1"/>
    <x v="326"/>
    <x v="0"/>
    <x v="0"/>
    <x v="0"/>
    <x v="0"/>
    <x v="2"/>
    <x v="326"/>
    <x v="0"/>
    <x v="59"/>
    <x v="24"/>
    <x v="700"/>
    <x v="183"/>
    <x v="8"/>
    <x v="8"/>
    <x v="183"/>
    <x v="3"/>
    <x v="1"/>
    <x v="1"/>
    <x v="1"/>
    <x v="556"/>
    <x v="1"/>
    <x v="0"/>
    <x v="1"/>
    <x v="1"/>
    <x v="0"/>
    <x v="0"/>
    <x v="0"/>
    <x v="0"/>
    <x v="0"/>
    <x v="0"/>
    <x v="0"/>
    <x v="0"/>
    <x v="1"/>
    <x v="0"/>
    <x v="0"/>
    <x v="1"/>
    <x v="0"/>
    <x v="1"/>
    <x v="1"/>
    <x v="0"/>
    <x v="0"/>
    <x v="0"/>
    <x v="3"/>
    <x v="194"/>
    <x v="378"/>
    <x v="241"/>
    <x v="16"/>
    <x v="0"/>
    <x v="3"/>
    <x v="15"/>
    <x v="20"/>
    <x v="0"/>
    <x v="2"/>
    <x v="2"/>
    <x v="616"/>
  </r>
  <r>
    <x v="701"/>
    <x v="184"/>
    <x v="8"/>
    <x v="8"/>
    <x v="7"/>
    <x v="0"/>
    <x v="1"/>
    <x v="1"/>
    <x v="1"/>
    <x v="1"/>
    <x v="441"/>
    <x v="0"/>
    <x v="0"/>
    <x v="0"/>
    <x v="0"/>
    <x v="1"/>
    <x v="441"/>
    <x v="0"/>
    <x v="4"/>
    <x v="61"/>
    <x v="701"/>
    <x v="184"/>
    <x v="8"/>
    <x v="8"/>
    <x v="7"/>
    <x v="0"/>
    <x v="1"/>
    <x v="1"/>
    <x v="1"/>
    <x v="557"/>
    <x v="0"/>
    <x v="0"/>
    <x v="1"/>
    <x v="1"/>
    <x v="0"/>
    <x v="0"/>
    <x v="1"/>
    <x v="0"/>
    <x v="0"/>
    <x v="1"/>
    <x v="0"/>
    <x v="0"/>
    <x v="0"/>
    <x v="0"/>
    <x v="0"/>
    <x v="0"/>
    <x v="1"/>
    <x v="0"/>
    <x v="0"/>
    <x v="0"/>
    <x v="0"/>
    <x v="0"/>
    <x v="3"/>
    <x v="595"/>
    <x v="379"/>
    <x v="242"/>
    <x v="0"/>
    <x v="0"/>
    <x v="5"/>
    <x v="22"/>
    <x v="30"/>
    <x v="1"/>
    <x v="1"/>
    <x v="1"/>
    <x v="617"/>
  </r>
  <r>
    <x v="702"/>
    <x v="2"/>
    <x v="8"/>
    <x v="8"/>
    <x v="7"/>
    <x v="0"/>
    <x v="1"/>
    <x v="2"/>
    <x v="1"/>
    <x v="1"/>
    <x v="442"/>
    <x v="0"/>
    <x v="0"/>
    <x v="0"/>
    <x v="0"/>
    <x v="1"/>
    <x v="442"/>
    <x v="0"/>
    <x v="20"/>
    <x v="10"/>
    <x v="702"/>
    <x v="2"/>
    <x v="8"/>
    <x v="8"/>
    <x v="7"/>
    <x v="0"/>
    <x v="1"/>
    <x v="2"/>
    <x v="1"/>
    <x v="558"/>
    <x v="0"/>
    <x v="0"/>
    <x v="1"/>
    <x v="1"/>
    <x v="0"/>
    <x v="1"/>
    <x v="0"/>
    <x v="0"/>
    <x v="0"/>
    <x v="0"/>
    <x v="0"/>
    <x v="0"/>
    <x v="0"/>
    <x v="0"/>
    <x v="0"/>
    <x v="1"/>
    <x v="0"/>
    <x v="0"/>
    <x v="1"/>
    <x v="0"/>
    <x v="0"/>
    <x v="0"/>
    <x v="2"/>
    <x v="596"/>
    <x v="380"/>
    <x v="243"/>
    <x v="37"/>
    <x v="0"/>
    <x v="5"/>
    <x v="14"/>
    <x v="19"/>
    <x v="1"/>
    <x v="1"/>
    <x v="1"/>
    <x v="618"/>
  </r>
  <r>
    <x v="703"/>
    <x v="2"/>
    <x v="8"/>
    <x v="8"/>
    <x v="2"/>
    <x v="0"/>
    <x v="1"/>
    <x v="2"/>
    <x v="2"/>
    <x v="2"/>
    <x v="443"/>
    <x v="0"/>
    <x v="0"/>
    <x v="0"/>
    <x v="0"/>
    <x v="0"/>
    <x v="443"/>
    <x v="0"/>
    <x v="136"/>
    <x v="10"/>
    <x v="703"/>
    <x v="2"/>
    <x v="8"/>
    <x v="8"/>
    <x v="2"/>
    <x v="0"/>
    <x v="1"/>
    <x v="2"/>
    <x v="2"/>
    <x v="559"/>
    <x v="0"/>
    <x v="0"/>
    <x v="0"/>
    <x v="0"/>
    <x v="1"/>
    <x v="0"/>
    <x v="0"/>
    <x v="0"/>
    <x v="0"/>
    <x v="0"/>
    <x v="0"/>
    <x v="0"/>
    <x v="0"/>
    <x v="0"/>
    <x v="0"/>
    <x v="0"/>
    <x v="0"/>
    <x v="0"/>
    <x v="0"/>
    <x v="0"/>
    <x v="0"/>
    <x v="0"/>
    <x v="0"/>
    <x v="597"/>
    <x v="381"/>
    <x v="47"/>
    <x v="28"/>
    <x v="0"/>
    <x v="0"/>
    <x v="2"/>
    <x v="3"/>
    <x v="0"/>
    <x v="2"/>
    <x v="2"/>
    <x v="619"/>
  </r>
  <r>
    <x v="704"/>
    <x v="2"/>
    <x v="8"/>
    <x v="160"/>
    <x v="1"/>
    <x v="3"/>
    <x v="1"/>
    <x v="2"/>
    <x v="1"/>
    <x v="1"/>
    <x v="444"/>
    <x v="0"/>
    <x v="0"/>
    <x v="0"/>
    <x v="0"/>
    <x v="0"/>
    <x v="444"/>
    <x v="0"/>
    <x v="0"/>
    <x v="12"/>
    <x v="704"/>
    <x v="2"/>
    <x v="8"/>
    <x v="160"/>
    <x v="1"/>
    <x v="3"/>
    <x v="1"/>
    <x v="2"/>
    <x v="1"/>
    <x v="0"/>
    <x v="0"/>
    <x v="0"/>
    <x v="0"/>
    <x v="1"/>
    <x v="1"/>
    <x v="0"/>
    <x v="0"/>
    <x v="0"/>
    <x v="0"/>
    <x v="0"/>
    <x v="0"/>
    <x v="0"/>
    <x v="1"/>
    <x v="0"/>
    <x v="0"/>
    <x v="0"/>
    <x v="0"/>
    <x v="1"/>
    <x v="1"/>
    <x v="0"/>
    <x v="0"/>
    <x v="0"/>
    <x v="2"/>
    <x v="195"/>
    <x v="382"/>
    <x v="244"/>
    <x v="75"/>
    <x v="0"/>
    <x v="3"/>
    <x v="3"/>
    <x v="4"/>
    <x v="0"/>
    <x v="2"/>
    <x v="2"/>
    <x v="620"/>
  </r>
  <r>
    <x v="705"/>
    <x v="2"/>
    <x v="8"/>
    <x v="8"/>
    <x v="181"/>
    <x v="4"/>
    <x v="1"/>
    <x v="2"/>
    <x v="1"/>
    <x v="1"/>
    <x v="78"/>
    <x v="115"/>
    <x v="45"/>
    <x v="135"/>
    <x v="1"/>
    <x v="1"/>
    <x v="78"/>
    <x v="0"/>
    <x v="78"/>
    <x v="6"/>
    <x v="705"/>
    <x v="2"/>
    <x v="8"/>
    <x v="8"/>
    <x v="184"/>
    <x v="4"/>
    <x v="1"/>
    <x v="2"/>
    <x v="1"/>
    <x v="560"/>
    <x v="0"/>
    <x v="0"/>
    <x v="1"/>
    <x v="0"/>
    <x v="0"/>
    <x v="0"/>
    <x v="0"/>
    <x v="0"/>
    <x v="0"/>
    <x v="0"/>
    <x v="0"/>
    <x v="0"/>
    <x v="0"/>
    <x v="0"/>
    <x v="0"/>
    <x v="0"/>
    <x v="0"/>
    <x v="0"/>
    <x v="0"/>
    <x v="0"/>
    <x v="0"/>
    <x v="3"/>
    <x v="1"/>
    <x v="598"/>
    <x v="383"/>
    <x v="39"/>
    <x v="13"/>
    <x v="0"/>
    <x v="5"/>
    <x v="5"/>
    <x v="6"/>
    <x v="1"/>
    <x v="29"/>
    <x v="29"/>
    <x v="621"/>
  </r>
  <r>
    <x v="706"/>
    <x v="185"/>
    <x v="8"/>
    <x v="8"/>
    <x v="84"/>
    <x v="5"/>
    <x v="1"/>
    <x v="1"/>
    <x v="2"/>
    <x v="2"/>
    <x v="58"/>
    <x v="0"/>
    <x v="0"/>
    <x v="0"/>
    <x v="0"/>
    <x v="0"/>
    <x v="58"/>
    <x v="0"/>
    <x v="12"/>
    <x v="8"/>
    <x v="706"/>
    <x v="185"/>
    <x v="8"/>
    <x v="8"/>
    <x v="84"/>
    <x v="5"/>
    <x v="1"/>
    <x v="1"/>
    <x v="2"/>
    <x v="561"/>
    <x v="0"/>
    <x v="0"/>
    <x v="1"/>
    <x v="0"/>
    <x v="0"/>
    <x v="0"/>
    <x v="0"/>
    <x v="0"/>
    <x v="0"/>
    <x v="0"/>
    <x v="0"/>
    <x v="0"/>
    <x v="1"/>
    <x v="0"/>
    <x v="0"/>
    <x v="0"/>
    <x v="0"/>
    <x v="1"/>
    <x v="1"/>
    <x v="0"/>
    <x v="0"/>
    <x v="0"/>
    <x v="1"/>
    <x v="599"/>
    <x v="384"/>
    <x v="245"/>
    <x v="76"/>
    <x v="0"/>
    <x v="5"/>
    <x v="2"/>
    <x v="25"/>
    <x v="1"/>
    <x v="29"/>
    <x v="29"/>
    <x v="13"/>
  </r>
  <r>
    <x v="707"/>
    <x v="123"/>
    <x v="8"/>
    <x v="8"/>
    <x v="3"/>
    <x v="5"/>
    <x v="1"/>
    <x v="1"/>
    <x v="2"/>
    <x v="2"/>
    <x v="418"/>
    <x v="0"/>
    <x v="0"/>
    <x v="0"/>
    <x v="0"/>
    <x v="3"/>
    <x v="418"/>
    <x v="0"/>
    <x v="12"/>
    <x v="8"/>
    <x v="707"/>
    <x v="123"/>
    <x v="8"/>
    <x v="8"/>
    <x v="3"/>
    <x v="5"/>
    <x v="1"/>
    <x v="1"/>
    <x v="2"/>
    <x v="562"/>
    <x v="0"/>
    <x v="0"/>
    <x v="1"/>
    <x v="0"/>
    <x v="0"/>
    <x v="0"/>
    <x v="0"/>
    <x v="0"/>
    <x v="0"/>
    <x v="0"/>
    <x v="0"/>
    <x v="0"/>
    <x v="1"/>
    <x v="0"/>
    <x v="0"/>
    <x v="0"/>
    <x v="0"/>
    <x v="1"/>
    <x v="1"/>
    <x v="0"/>
    <x v="0"/>
    <x v="0"/>
    <x v="1"/>
    <x v="423"/>
    <x v="385"/>
    <x v="104"/>
    <x v="15"/>
    <x v="0"/>
    <x v="5"/>
    <x v="35"/>
    <x v="55"/>
    <x v="1"/>
    <x v="1"/>
    <x v="1"/>
    <x v="13"/>
  </r>
  <r>
    <x v="708"/>
    <x v="186"/>
    <x v="297"/>
    <x v="8"/>
    <x v="182"/>
    <x v="14"/>
    <x v="1"/>
    <x v="1"/>
    <x v="3"/>
    <x v="3"/>
    <x v="445"/>
    <x v="0"/>
    <x v="0"/>
    <x v="0"/>
    <x v="0"/>
    <x v="0"/>
    <x v="445"/>
    <x v="0"/>
    <x v="12"/>
    <x v="11"/>
    <x v="708"/>
    <x v="186"/>
    <x v="297"/>
    <x v="8"/>
    <x v="185"/>
    <x v="14"/>
    <x v="1"/>
    <x v="1"/>
    <x v="3"/>
    <x v="563"/>
    <x v="0"/>
    <x v="0"/>
    <x v="1"/>
    <x v="0"/>
    <x v="0"/>
    <x v="0"/>
    <x v="0"/>
    <x v="0"/>
    <x v="0"/>
    <x v="0"/>
    <x v="0"/>
    <x v="0"/>
    <x v="0"/>
    <x v="0"/>
    <x v="0"/>
    <x v="0"/>
    <x v="0"/>
    <x v="0"/>
    <x v="0"/>
    <x v="0"/>
    <x v="0"/>
    <x v="0"/>
    <x v="0"/>
    <x v="13"/>
    <x v="386"/>
    <x v="6"/>
    <x v="7"/>
    <x v="1"/>
    <x v="4"/>
    <x v="4"/>
    <x v="5"/>
    <x v="0"/>
    <x v="8"/>
    <x v="8"/>
    <x v="13"/>
  </r>
  <r>
    <x v="709"/>
    <x v="9"/>
    <x v="8"/>
    <x v="8"/>
    <x v="7"/>
    <x v="0"/>
    <x v="4"/>
    <x v="3"/>
    <x v="1"/>
    <x v="1"/>
    <x v="446"/>
    <x v="0"/>
    <x v="0"/>
    <x v="0"/>
    <x v="0"/>
    <x v="1"/>
    <x v="446"/>
    <x v="0"/>
    <x v="193"/>
    <x v="62"/>
    <x v="709"/>
    <x v="9"/>
    <x v="8"/>
    <x v="8"/>
    <x v="7"/>
    <x v="0"/>
    <x v="4"/>
    <x v="3"/>
    <x v="1"/>
    <x v="564"/>
    <x v="0"/>
    <x v="0"/>
    <x v="1"/>
    <x v="0"/>
    <x v="0"/>
    <x v="0"/>
    <x v="0"/>
    <x v="0"/>
    <x v="0"/>
    <x v="0"/>
    <x v="0"/>
    <x v="0"/>
    <x v="0"/>
    <x v="0"/>
    <x v="0"/>
    <x v="1"/>
    <x v="0"/>
    <x v="0"/>
    <x v="1"/>
    <x v="0"/>
    <x v="0"/>
    <x v="0"/>
    <x v="0"/>
    <x v="600"/>
    <x v="387"/>
    <x v="6"/>
    <x v="7"/>
    <x v="1"/>
    <x v="4"/>
    <x v="4"/>
    <x v="5"/>
    <x v="0"/>
    <x v="83"/>
    <x v="76"/>
    <x v="622"/>
  </r>
  <r>
    <x v="710"/>
    <x v="187"/>
    <x v="298"/>
    <x v="161"/>
    <x v="183"/>
    <x v="2"/>
    <x v="1"/>
    <x v="1"/>
    <x v="3"/>
    <x v="3"/>
    <x v="447"/>
    <x v="0"/>
    <x v="0"/>
    <x v="0"/>
    <x v="0"/>
    <x v="0"/>
    <x v="447"/>
    <x v="0"/>
    <x v="59"/>
    <x v="9"/>
    <x v="710"/>
    <x v="187"/>
    <x v="298"/>
    <x v="161"/>
    <x v="186"/>
    <x v="2"/>
    <x v="1"/>
    <x v="1"/>
    <x v="3"/>
    <x v="565"/>
    <x v="0"/>
    <x v="0"/>
    <x v="1"/>
    <x v="0"/>
    <x v="0"/>
    <x v="0"/>
    <x v="0"/>
    <x v="0"/>
    <x v="0"/>
    <x v="0"/>
    <x v="0"/>
    <x v="0"/>
    <x v="0"/>
    <x v="0"/>
    <x v="0"/>
    <x v="0"/>
    <x v="0"/>
    <x v="0"/>
    <x v="0"/>
    <x v="0"/>
    <x v="0"/>
    <x v="0"/>
    <x v="0"/>
    <x v="444"/>
    <x v="388"/>
    <x v="6"/>
    <x v="7"/>
    <x v="1"/>
    <x v="4"/>
    <x v="4"/>
    <x v="5"/>
    <x v="0"/>
    <x v="1"/>
    <x v="1"/>
    <x v="623"/>
  </r>
  <r>
    <x v="711"/>
    <x v="95"/>
    <x v="299"/>
    <x v="8"/>
    <x v="0"/>
    <x v="0"/>
    <x v="1"/>
    <x v="1"/>
    <x v="1"/>
    <x v="1"/>
    <x v="448"/>
    <x v="116"/>
    <x v="7"/>
    <x v="136"/>
    <x v="1"/>
    <x v="3"/>
    <x v="448"/>
    <x v="0"/>
    <x v="274"/>
    <x v="6"/>
    <x v="711"/>
    <x v="95"/>
    <x v="299"/>
    <x v="8"/>
    <x v="0"/>
    <x v="0"/>
    <x v="1"/>
    <x v="1"/>
    <x v="1"/>
    <x v="566"/>
    <x v="0"/>
    <x v="0"/>
    <x v="0"/>
    <x v="0"/>
    <x v="1"/>
    <x v="0"/>
    <x v="0"/>
    <x v="0"/>
    <x v="0"/>
    <x v="0"/>
    <x v="0"/>
    <x v="0"/>
    <x v="0"/>
    <x v="0"/>
    <x v="0"/>
    <x v="1"/>
    <x v="0"/>
    <x v="0"/>
    <x v="0"/>
    <x v="0"/>
    <x v="0"/>
    <x v="0"/>
    <x v="2"/>
    <x v="601"/>
    <x v="389"/>
    <x v="119"/>
    <x v="1"/>
    <x v="0"/>
    <x v="0"/>
    <x v="9"/>
    <x v="21"/>
    <x v="0"/>
    <x v="47"/>
    <x v="47"/>
    <x v="624"/>
  </r>
  <r>
    <x v="712"/>
    <x v="95"/>
    <x v="8"/>
    <x v="8"/>
    <x v="7"/>
    <x v="3"/>
    <x v="1"/>
    <x v="1"/>
    <x v="1"/>
    <x v="1"/>
    <x v="449"/>
    <x v="74"/>
    <x v="33"/>
    <x v="137"/>
    <x v="1"/>
    <x v="2"/>
    <x v="449"/>
    <x v="142"/>
    <x v="66"/>
    <x v="6"/>
    <x v="712"/>
    <x v="95"/>
    <x v="8"/>
    <x v="8"/>
    <x v="7"/>
    <x v="3"/>
    <x v="1"/>
    <x v="1"/>
    <x v="1"/>
    <x v="567"/>
    <x v="0"/>
    <x v="0"/>
    <x v="1"/>
    <x v="1"/>
    <x v="0"/>
    <x v="0"/>
    <x v="0"/>
    <x v="0"/>
    <x v="0"/>
    <x v="0"/>
    <x v="0"/>
    <x v="0"/>
    <x v="1"/>
    <x v="0"/>
    <x v="0"/>
    <x v="1"/>
    <x v="0"/>
    <x v="1"/>
    <x v="1"/>
    <x v="0"/>
    <x v="4"/>
    <x v="0"/>
    <x v="2"/>
    <x v="602"/>
    <x v="389"/>
    <x v="119"/>
    <x v="1"/>
    <x v="0"/>
    <x v="0"/>
    <x v="38"/>
    <x v="57"/>
    <x v="0"/>
    <x v="5"/>
    <x v="5"/>
    <x v="625"/>
  </r>
  <r>
    <x v="713"/>
    <x v="95"/>
    <x v="300"/>
    <x v="8"/>
    <x v="7"/>
    <x v="0"/>
    <x v="1"/>
    <x v="1"/>
    <x v="1"/>
    <x v="1"/>
    <x v="347"/>
    <x v="0"/>
    <x v="0"/>
    <x v="0"/>
    <x v="0"/>
    <x v="3"/>
    <x v="347"/>
    <x v="0"/>
    <x v="275"/>
    <x v="6"/>
    <x v="713"/>
    <x v="95"/>
    <x v="300"/>
    <x v="8"/>
    <x v="7"/>
    <x v="0"/>
    <x v="1"/>
    <x v="1"/>
    <x v="1"/>
    <x v="414"/>
    <x v="0"/>
    <x v="0"/>
    <x v="1"/>
    <x v="1"/>
    <x v="0"/>
    <x v="1"/>
    <x v="0"/>
    <x v="0"/>
    <x v="0"/>
    <x v="0"/>
    <x v="0"/>
    <x v="0"/>
    <x v="0"/>
    <x v="0"/>
    <x v="0"/>
    <x v="1"/>
    <x v="0"/>
    <x v="0"/>
    <x v="1"/>
    <x v="0"/>
    <x v="0"/>
    <x v="0"/>
    <x v="2"/>
    <x v="603"/>
    <x v="389"/>
    <x v="119"/>
    <x v="1"/>
    <x v="0"/>
    <x v="16"/>
    <x v="38"/>
    <x v="120"/>
    <x v="0"/>
    <x v="29"/>
    <x v="29"/>
    <x v="626"/>
  </r>
  <r>
    <x v="714"/>
    <x v="95"/>
    <x v="301"/>
    <x v="8"/>
    <x v="7"/>
    <x v="3"/>
    <x v="1"/>
    <x v="1"/>
    <x v="1"/>
    <x v="1"/>
    <x v="450"/>
    <x v="0"/>
    <x v="0"/>
    <x v="0"/>
    <x v="0"/>
    <x v="0"/>
    <x v="450"/>
    <x v="143"/>
    <x v="70"/>
    <x v="6"/>
    <x v="714"/>
    <x v="95"/>
    <x v="301"/>
    <x v="8"/>
    <x v="7"/>
    <x v="3"/>
    <x v="1"/>
    <x v="1"/>
    <x v="1"/>
    <x v="568"/>
    <x v="0"/>
    <x v="0"/>
    <x v="1"/>
    <x v="1"/>
    <x v="0"/>
    <x v="0"/>
    <x v="0"/>
    <x v="0"/>
    <x v="0"/>
    <x v="0"/>
    <x v="0"/>
    <x v="0"/>
    <x v="1"/>
    <x v="0"/>
    <x v="0"/>
    <x v="1"/>
    <x v="0"/>
    <x v="1"/>
    <x v="1"/>
    <x v="0"/>
    <x v="4"/>
    <x v="0"/>
    <x v="3"/>
    <x v="604"/>
    <x v="389"/>
    <x v="119"/>
    <x v="1"/>
    <x v="0"/>
    <x v="1"/>
    <x v="31"/>
    <x v="121"/>
    <x v="0"/>
    <x v="47"/>
    <x v="47"/>
    <x v="627"/>
  </r>
  <r>
    <x v="715"/>
    <x v="95"/>
    <x v="8"/>
    <x v="8"/>
    <x v="21"/>
    <x v="8"/>
    <x v="1"/>
    <x v="1"/>
    <x v="4"/>
    <x v="0"/>
    <x v="56"/>
    <x v="10"/>
    <x v="17"/>
    <x v="116"/>
    <x v="1"/>
    <x v="0"/>
    <x v="56"/>
    <x v="0"/>
    <x v="0"/>
    <x v="6"/>
    <x v="715"/>
    <x v="95"/>
    <x v="8"/>
    <x v="8"/>
    <x v="21"/>
    <x v="8"/>
    <x v="1"/>
    <x v="1"/>
    <x v="4"/>
    <x v="569"/>
    <x v="0"/>
    <x v="0"/>
    <x v="1"/>
    <x v="1"/>
    <x v="0"/>
    <x v="0"/>
    <x v="0"/>
    <x v="0"/>
    <x v="0"/>
    <x v="1"/>
    <x v="0"/>
    <x v="0"/>
    <x v="1"/>
    <x v="0"/>
    <x v="0"/>
    <x v="1"/>
    <x v="0"/>
    <x v="1"/>
    <x v="1"/>
    <x v="0"/>
    <x v="0"/>
    <x v="0"/>
    <x v="4"/>
    <x v="605"/>
    <x v="389"/>
    <x v="119"/>
    <x v="1"/>
    <x v="0"/>
    <x v="0"/>
    <x v="68"/>
    <x v="122"/>
    <x v="0"/>
    <x v="7"/>
    <x v="7"/>
    <x v="628"/>
  </r>
  <r>
    <x v="716"/>
    <x v="95"/>
    <x v="141"/>
    <x v="8"/>
    <x v="21"/>
    <x v="0"/>
    <x v="1"/>
    <x v="1"/>
    <x v="1"/>
    <x v="1"/>
    <x v="451"/>
    <x v="2"/>
    <x v="83"/>
    <x v="138"/>
    <x v="1"/>
    <x v="0"/>
    <x v="451"/>
    <x v="0"/>
    <x v="57"/>
    <x v="6"/>
    <x v="716"/>
    <x v="95"/>
    <x v="141"/>
    <x v="8"/>
    <x v="21"/>
    <x v="0"/>
    <x v="1"/>
    <x v="1"/>
    <x v="1"/>
    <x v="570"/>
    <x v="0"/>
    <x v="0"/>
    <x v="0"/>
    <x v="0"/>
    <x v="1"/>
    <x v="0"/>
    <x v="1"/>
    <x v="0"/>
    <x v="0"/>
    <x v="0"/>
    <x v="0"/>
    <x v="0"/>
    <x v="0"/>
    <x v="0"/>
    <x v="0"/>
    <x v="1"/>
    <x v="0"/>
    <x v="0"/>
    <x v="0"/>
    <x v="0"/>
    <x v="0"/>
    <x v="0"/>
    <x v="2"/>
    <x v="606"/>
    <x v="389"/>
    <x v="119"/>
    <x v="1"/>
    <x v="0"/>
    <x v="0"/>
    <x v="9"/>
    <x v="21"/>
    <x v="0"/>
    <x v="47"/>
    <x v="47"/>
    <x v="629"/>
  </r>
  <r>
    <x v="717"/>
    <x v="6"/>
    <x v="302"/>
    <x v="8"/>
    <x v="184"/>
    <x v="0"/>
    <x v="1"/>
    <x v="1"/>
    <x v="1"/>
    <x v="1"/>
    <x v="452"/>
    <x v="0"/>
    <x v="0"/>
    <x v="0"/>
    <x v="0"/>
    <x v="0"/>
    <x v="452"/>
    <x v="0"/>
    <x v="59"/>
    <x v="10"/>
    <x v="717"/>
    <x v="6"/>
    <x v="302"/>
    <x v="8"/>
    <x v="187"/>
    <x v="0"/>
    <x v="1"/>
    <x v="1"/>
    <x v="1"/>
    <x v="571"/>
    <x v="0"/>
    <x v="0"/>
    <x v="0"/>
    <x v="0"/>
    <x v="1"/>
    <x v="0"/>
    <x v="0"/>
    <x v="0"/>
    <x v="0"/>
    <x v="0"/>
    <x v="0"/>
    <x v="0"/>
    <x v="0"/>
    <x v="0"/>
    <x v="0"/>
    <x v="1"/>
    <x v="0"/>
    <x v="0"/>
    <x v="0"/>
    <x v="0"/>
    <x v="0"/>
    <x v="0"/>
    <x v="1"/>
    <x v="14"/>
    <x v="390"/>
    <x v="6"/>
    <x v="7"/>
    <x v="1"/>
    <x v="4"/>
    <x v="4"/>
    <x v="5"/>
    <x v="0"/>
    <x v="8"/>
    <x v="8"/>
    <x v="630"/>
  </r>
  <r>
    <x v="718"/>
    <x v="188"/>
    <x v="303"/>
    <x v="162"/>
    <x v="185"/>
    <x v="2"/>
    <x v="1"/>
    <x v="1"/>
    <x v="1"/>
    <x v="1"/>
    <x v="453"/>
    <x v="0"/>
    <x v="0"/>
    <x v="0"/>
    <x v="0"/>
    <x v="4"/>
    <x v="453"/>
    <x v="0"/>
    <x v="37"/>
    <x v="6"/>
    <x v="718"/>
    <x v="188"/>
    <x v="303"/>
    <x v="162"/>
    <x v="188"/>
    <x v="2"/>
    <x v="1"/>
    <x v="1"/>
    <x v="1"/>
    <x v="572"/>
    <x v="0"/>
    <x v="0"/>
    <x v="0"/>
    <x v="0"/>
    <x v="1"/>
    <x v="0"/>
    <x v="1"/>
    <x v="0"/>
    <x v="0"/>
    <x v="0"/>
    <x v="0"/>
    <x v="0"/>
    <x v="0"/>
    <x v="0"/>
    <x v="0"/>
    <x v="0"/>
    <x v="0"/>
    <x v="0"/>
    <x v="0"/>
    <x v="0"/>
    <x v="0"/>
    <x v="0"/>
    <x v="1"/>
    <x v="607"/>
    <x v="391"/>
    <x v="6"/>
    <x v="7"/>
    <x v="1"/>
    <x v="4"/>
    <x v="4"/>
    <x v="5"/>
    <x v="0"/>
    <x v="44"/>
    <x v="44"/>
    <x v="631"/>
  </r>
  <r>
    <x v="719"/>
    <x v="118"/>
    <x v="8"/>
    <x v="8"/>
    <x v="3"/>
    <x v="5"/>
    <x v="1"/>
    <x v="1"/>
    <x v="2"/>
    <x v="2"/>
    <x v="384"/>
    <x v="0"/>
    <x v="0"/>
    <x v="0"/>
    <x v="0"/>
    <x v="0"/>
    <x v="384"/>
    <x v="144"/>
    <x v="12"/>
    <x v="8"/>
    <x v="719"/>
    <x v="118"/>
    <x v="8"/>
    <x v="8"/>
    <x v="3"/>
    <x v="5"/>
    <x v="1"/>
    <x v="1"/>
    <x v="2"/>
    <x v="461"/>
    <x v="0"/>
    <x v="0"/>
    <x v="1"/>
    <x v="0"/>
    <x v="0"/>
    <x v="0"/>
    <x v="0"/>
    <x v="0"/>
    <x v="0"/>
    <x v="0"/>
    <x v="0"/>
    <x v="0"/>
    <x v="0"/>
    <x v="0"/>
    <x v="0"/>
    <x v="0"/>
    <x v="0"/>
    <x v="0"/>
    <x v="0"/>
    <x v="0"/>
    <x v="3"/>
    <x v="0"/>
    <x v="0"/>
    <x v="13"/>
    <x v="392"/>
    <x v="246"/>
    <x v="55"/>
    <x v="0"/>
    <x v="0"/>
    <x v="2"/>
    <x v="3"/>
    <x v="0"/>
    <x v="8"/>
    <x v="8"/>
    <x v="13"/>
  </r>
  <r>
    <x v="720"/>
    <x v="162"/>
    <x v="8"/>
    <x v="8"/>
    <x v="186"/>
    <x v="1"/>
    <x v="1"/>
    <x v="1"/>
    <x v="1"/>
    <x v="1"/>
    <x v="454"/>
    <x v="0"/>
    <x v="0"/>
    <x v="0"/>
    <x v="0"/>
    <x v="2"/>
    <x v="454"/>
    <x v="0"/>
    <x v="59"/>
    <x v="12"/>
    <x v="720"/>
    <x v="162"/>
    <x v="8"/>
    <x v="8"/>
    <x v="189"/>
    <x v="1"/>
    <x v="1"/>
    <x v="1"/>
    <x v="1"/>
    <x v="573"/>
    <x v="0"/>
    <x v="0"/>
    <x v="1"/>
    <x v="1"/>
    <x v="0"/>
    <x v="1"/>
    <x v="0"/>
    <x v="0"/>
    <x v="0"/>
    <x v="0"/>
    <x v="0"/>
    <x v="0"/>
    <x v="0"/>
    <x v="0"/>
    <x v="0"/>
    <x v="0"/>
    <x v="0"/>
    <x v="0"/>
    <x v="1"/>
    <x v="0"/>
    <x v="0"/>
    <x v="0"/>
    <x v="1"/>
    <x v="608"/>
    <x v="393"/>
    <x v="247"/>
    <x v="1"/>
    <x v="0"/>
    <x v="16"/>
    <x v="2"/>
    <x v="39"/>
    <x v="0"/>
    <x v="17"/>
    <x v="17"/>
    <x v="632"/>
  </r>
  <r>
    <x v="721"/>
    <x v="162"/>
    <x v="8"/>
    <x v="8"/>
    <x v="161"/>
    <x v="4"/>
    <x v="1"/>
    <x v="1"/>
    <x v="2"/>
    <x v="2"/>
    <x v="380"/>
    <x v="0"/>
    <x v="0"/>
    <x v="0"/>
    <x v="0"/>
    <x v="0"/>
    <x v="380"/>
    <x v="0"/>
    <x v="59"/>
    <x v="10"/>
    <x v="721"/>
    <x v="162"/>
    <x v="8"/>
    <x v="8"/>
    <x v="164"/>
    <x v="4"/>
    <x v="1"/>
    <x v="1"/>
    <x v="2"/>
    <x v="574"/>
    <x v="0"/>
    <x v="0"/>
    <x v="1"/>
    <x v="1"/>
    <x v="0"/>
    <x v="1"/>
    <x v="0"/>
    <x v="0"/>
    <x v="0"/>
    <x v="0"/>
    <x v="0"/>
    <x v="0"/>
    <x v="0"/>
    <x v="0"/>
    <x v="0"/>
    <x v="0"/>
    <x v="0"/>
    <x v="0"/>
    <x v="0"/>
    <x v="0"/>
    <x v="0"/>
    <x v="0"/>
    <x v="1"/>
    <x v="609"/>
    <x v="393"/>
    <x v="247"/>
    <x v="1"/>
    <x v="0"/>
    <x v="0"/>
    <x v="2"/>
    <x v="3"/>
    <x v="0"/>
    <x v="120"/>
    <x v="111"/>
    <x v="633"/>
  </r>
  <r>
    <x v="722"/>
    <x v="9"/>
    <x v="304"/>
    <x v="8"/>
    <x v="7"/>
    <x v="0"/>
    <x v="4"/>
    <x v="3"/>
    <x v="1"/>
    <x v="1"/>
    <x v="355"/>
    <x v="0"/>
    <x v="0"/>
    <x v="0"/>
    <x v="0"/>
    <x v="3"/>
    <x v="355"/>
    <x v="0"/>
    <x v="262"/>
    <x v="16"/>
    <x v="722"/>
    <x v="9"/>
    <x v="304"/>
    <x v="8"/>
    <x v="7"/>
    <x v="0"/>
    <x v="4"/>
    <x v="3"/>
    <x v="1"/>
    <x v="423"/>
    <x v="0"/>
    <x v="0"/>
    <x v="1"/>
    <x v="0"/>
    <x v="0"/>
    <x v="0"/>
    <x v="0"/>
    <x v="0"/>
    <x v="0"/>
    <x v="0"/>
    <x v="0"/>
    <x v="0"/>
    <x v="0"/>
    <x v="0"/>
    <x v="0"/>
    <x v="0"/>
    <x v="0"/>
    <x v="0"/>
    <x v="0"/>
    <x v="0"/>
    <x v="0"/>
    <x v="0"/>
    <x v="1"/>
    <x v="610"/>
    <x v="394"/>
    <x v="112"/>
    <x v="15"/>
    <x v="0"/>
    <x v="5"/>
    <x v="23"/>
    <x v="123"/>
    <x v="1"/>
    <x v="44"/>
    <x v="44"/>
    <x v="634"/>
  </r>
  <r>
    <x v="723"/>
    <x v="160"/>
    <x v="305"/>
    <x v="8"/>
    <x v="0"/>
    <x v="7"/>
    <x v="1"/>
    <x v="1"/>
    <x v="1"/>
    <x v="1"/>
    <x v="412"/>
    <x v="0"/>
    <x v="0"/>
    <x v="0"/>
    <x v="0"/>
    <x v="1"/>
    <x v="412"/>
    <x v="0"/>
    <x v="276"/>
    <x v="6"/>
    <x v="723"/>
    <x v="160"/>
    <x v="305"/>
    <x v="8"/>
    <x v="0"/>
    <x v="7"/>
    <x v="1"/>
    <x v="1"/>
    <x v="1"/>
    <x v="518"/>
    <x v="0"/>
    <x v="0"/>
    <x v="1"/>
    <x v="0"/>
    <x v="0"/>
    <x v="0"/>
    <x v="0"/>
    <x v="0"/>
    <x v="0"/>
    <x v="0"/>
    <x v="0"/>
    <x v="0"/>
    <x v="0"/>
    <x v="0"/>
    <x v="0"/>
    <x v="0"/>
    <x v="0"/>
    <x v="0"/>
    <x v="1"/>
    <x v="0"/>
    <x v="0"/>
    <x v="1"/>
    <x v="1"/>
    <x v="611"/>
    <x v="395"/>
    <x v="164"/>
    <x v="55"/>
    <x v="0"/>
    <x v="5"/>
    <x v="14"/>
    <x v="19"/>
    <x v="1"/>
    <x v="76"/>
    <x v="70"/>
    <x v="635"/>
  </r>
  <r>
    <x v="724"/>
    <x v="2"/>
    <x v="8"/>
    <x v="8"/>
    <x v="187"/>
    <x v="0"/>
    <x v="1"/>
    <x v="2"/>
    <x v="1"/>
    <x v="1"/>
    <x v="115"/>
    <x v="0"/>
    <x v="0"/>
    <x v="0"/>
    <x v="0"/>
    <x v="1"/>
    <x v="115"/>
    <x v="0"/>
    <x v="71"/>
    <x v="16"/>
    <x v="724"/>
    <x v="2"/>
    <x v="8"/>
    <x v="8"/>
    <x v="190"/>
    <x v="0"/>
    <x v="1"/>
    <x v="2"/>
    <x v="1"/>
    <x v="286"/>
    <x v="0"/>
    <x v="0"/>
    <x v="1"/>
    <x v="0"/>
    <x v="0"/>
    <x v="0"/>
    <x v="0"/>
    <x v="1"/>
    <x v="0"/>
    <x v="0"/>
    <x v="0"/>
    <x v="0"/>
    <x v="0"/>
    <x v="0"/>
    <x v="0"/>
    <x v="0"/>
    <x v="0"/>
    <x v="0"/>
    <x v="0"/>
    <x v="0"/>
    <x v="0"/>
    <x v="0"/>
    <x v="0"/>
    <x v="612"/>
    <x v="396"/>
    <x v="19"/>
    <x v="17"/>
    <x v="0"/>
    <x v="2"/>
    <x v="1"/>
    <x v="2"/>
    <x v="0"/>
    <x v="3"/>
    <x v="3"/>
    <x v="310"/>
  </r>
  <r>
    <x v="488"/>
    <x v="8"/>
    <x v="38"/>
    <x v="27"/>
    <x v="36"/>
    <x v="0"/>
    <x v="3"/>
    <x v="3"/>
    <x v="1"/>
    <x v="1"/>
    <x v="455"/>
    <x v="0"/>
    <x v="0"/>
    <x v="0"/>
    <x v="0"/>
    <x v="0"/>
    <x v="455"/>
    <x v="0"/>
    <x v="1"/>
    <x v="6"/>
    <x v="488"/>
    <x v="8"/>
    <x v="38"/>
    <x v="27"/>
    <x v="36"/>
    <x v="0"/>
    <x v="3"/>
    <x v="3"/>
    <x v="1"/>
    <x v="575"/>
    <x v="0"/>
    <x v="0"/>
    <x v="0"/>
    <x v="0"/>
    <x v="0"/>
    <x v="0"/>
    <x v="0"/>
    <x v="0"/>
    <x v="0"/>
    <x v="0"/>
    <x v="0"/>
    <x v="0"/>
    <x v="0"/>
    <x v="0"/>
    <x v="1"/>
    <x v="0"/>
    <x v="0"/>
    <x v="0"/>
    <x v="0"/>
    <x v="0"/>
    <x v="0"/>
    <x v="0"/>
    <x v="0"/>
    <x v="164"/>
    <x v="397"/>
    <x v="242"/>
    <x v="1"/>
    <x v="0"/>
    <x v="3"/>
    <x v="19"/>
    <x v="26"/>
    <x v="0"/>
    <x v="2"/>
    <x v="2"/>
    <x v="636"/>
  </r>
  <r>
    <x v="725"/>
    <x v="8"/>
    <x v="8"/>
    <x v="8"/>
    <x v="33"/>
    <x v="0"/>
    <x v="3"/>
    <x v="3"/>
    <x v="1"/>
    <x v="1"/>
    <x v="327"/>
    <x v="0"/>
    <x v="0"/>
    <x v="0"/>
    <x v="0"/>
    <x v="0"/>
    <x v="327"/>
    <x v="0"/>
    <x v="87"/>
    <x v="6"/>
    <x v="725"/>
    <x v="8"/>
    <x v="8"/>
    <x v="8"/>
    <x v="33"/>
    <x v="0"/>
    <x v="3"/>
    <x v="3"/>
    <x v="1"/>
    <x v="390"/>
    <x v="0"/>
    <x v="0"/>
    <x v="0"/>
    <x v="0"/>
    <x v="0"/>
    <x v="0"/>
    <x v="0"/>
    <x v="0"/>
    <x v="0"/>
    <x v="0"/>
    <x v="0"/>
    <x v="1"/>
    <x v="0"/>
    <x v="0"/>
    <x v="0"/>
    <x v="0"/>
    <x v="0"/>
    <x v="0"/>
    <x v="0"/>
    <x v="0"/>
    <x v="0"/>
    <x v="0"/>
    <x v="0"/>
    <x v="613"/>
    <x v="397"/>
    <x v="242"/>
    <x v="1"/>
    <x v="0"/>
    <x v="3"/>
    <x v="19"/>
    <x v="26"/>
    <x v="0"/>
    <x v="2"/>
    <x v="2"/>
    <x v="637"/>
  </r>
  <r>
    <x v="726"/>
    <x v="22"/>
    <x v="306"/>
    <x v="8"/>
    <x v="11"/>
    <x v="3"/>
    <x v="1"/>
    <x v="1"/>
    <x v="1"/>
    <x v="1"/>
    <x v="456"/>
    <x v="117"/>
    <x v="14"/>
    <x v="139"/>
    <x v="1"/>
    <x v="0"/>
    <x v="456"/>
    <x v="145"/>
    <x v="87"/>
    <x v="6"/>
    <x v="726"/>
    <x v="22"/>
    <x v="306"/>
    <x v="8"/>
    <x v="11"/>
    <x v="3"/>
    <x v="1"/>
    <x v="1"/>
    <x v="1"/>
    <x v="576"/>
    <x v="0"/>
    <x v="0"/>
    <x v="0"/>
    <x v="0"/>
    <x v="1"/>
    <x v="0"/>
    <x v="0"/>
    <x v="0"/>
    <x v="0"/>
    <x v="0"/>
    <x v="0"/>
    <x v="0"/>
    <x v="1"/>
    <x v="0"/>
    <x v="0"/>
    <x v="0"/>
    <x v="0"/>
    <x v="1"/>
    <x v="1"/>
    <x v="0"/>
    <x v="2"/>
    <x v="0"/>
    <x v="1"/>
    <x v="614"/>
    <x v="398"/>
    <x v="20"/>
    <x v="2"/>
    <x v="0"/>
    <x v="3"/>
    <x v="15"/>
    <x v="20"/>
    <x v="0"/>
    <x v="32"/>
    <x v="32"/>
    <x v="638"/>
  </r>
  <r>
    <x v="727"/>
    <x v="22"/>
    <x v="307"/>
    <x v="8"/>
    <x v="3"/>
    <x v="3"/>
    <x v="1"/>
    <x v="1"/>
    <x v="1"/>
    <x v="1"/>
    <x v="457"/>
    <x v="118"/>
    <x v="14"/>
    <x v="140"/>
    <x v="1"/>
    <x v="0"/>
    <x v="457"/>
    <x v="146"/>
    <x v="52"/>
    <x v="6"/>
    <x v="727"/>
    <x v="22"/>
    <x v="307"/>
    <x v="8"/>
    <x v="3"/>
    <x v="3"/>
    <x v="1"/>
    <x v="1"/>
    <x v="1"/>
    <x v="577"/>
    <x v="0"/>
    <x v="0"/>
    <x v="1"/>
    <x v="0"/>
    <x v="0"/>
    <x v="0"/>
    <x v="0"/>
    <x v="0"/>
    <x v="0"/>
    <x v="0"/>
    <x v="0"/>
    <x v="0"/>
    <x v="1"/>
    <x v="0"/>
    <x v="0"/>
    <x v="0"/>
    <x v="0"/>
    <x v="1"/>
    <x v="1"/>
    <x v="0"/>
    <x v="1"/>
    <x v="0"/>
    <x v="1"/>
    <x v="615"/>
    <x v="398"/>
    <x v="20"/>
    <x v="3"/>
    <x v="0"/>
    <x v="3"/>
    <x v="15"/>
    <x v="20"/>
    <x v="0"/>
    <x v="12"/>
    <x v="12"/>
    <x v="639"/>
  </r>
  <r>
    <x v="728"/>
    <x v="2"/>
    <x v="8"/>
    <x v="8"/>
    <x v="7"/>
    <x v="0"/>
    <x v="3"/>
    <x v="2"/>
    <x v="1"/>
    <x v="1"/>
    <x v="41"/>
    <x v="0"/>
    <x v="0"/>
    <x v="0"/>
    <x v="0"/>
    <x v="1"/>
    <x v="41"/>
    <x v="0"/>
    <x v="1"/>
    <x v="6"/>
    <x v="728"/>
    <x v="2"/>
    <x v="8"/>
    <x v="8"/>
    <x v="7"/>
    <x v="0"/>
    <x v="3"/>
    <x v="2"/>
    <x v="1"/>
    <x v="327"/>
    <x v="0"/>
    <x v="0"/>
    <x v="1"/>
    <x v="0"/>
    <x v="0"/>
    <x v="0"/>
    <x v="0"/>
    <x v="0"/>
    <x v="0"/>
    <x v="0"/>
    <x v="0"/>
    <x v="0"/>
    <x v="0"/>
    <x v="0"/>
    <x v="0"/>
    <x v="0"/>
    <x v="1"/>
    <x v="0"/>
    <x v="0"/>
    <x v="0"/>
    <x v="0"/>
    <x v="0"/>
    <x v="0"/>
    <x v="616"/>
    <x v="399"/>
    <x v="248"/>
    <x v="5"/>
    <x v="0"/>
    <x v="0"/>
    <x v="2"/>
    <x v="3"/>
    <x v="0"/>
    <x v="121"/>
    <x v="112"/>
    <x v="640"/>
  </r>
  <r>
    <x v="729"/>
    <x v="90"/>
    <x v="308"/>
    <x v="163"/>
    <x v="2"/>
    <x v="0"/>
    <x v="1"/>
    <x v="1"/>
    <x v="1"/>
    <x v="1"/>
    <x v="30"/>
    <x v="0"/>
    <x v="0"/>
    <x v="0"/>
    <x v="0"/>
    <x v="0"/>
    <x v="30"/>
    <x v="0"/>
    <x v="57"/>
    <x v="11"/>
    <x v="729"/>
    <x v="90"/>
    <x v="308"/>
    <x v="163"/>
    <x v="2"/>
    <x v="0"/>
    <x v="1"/>
    <x v="1"/>
    <x v="1"/>
    <x v="32"/>
    <x v="0"/>
    <x v="0"/>
    <x v="0"/>
    <x v="0"/>
    <x v="1"/>
    <x v="0"/>
    <x v="0"/>
    <x v="0"/>
    <x v="0"/>
    <x v="0"/>
    <x v="0"/>
    <x v="0"/>
    <x v="0"/>
    <x v="0"/>
    <x v="0"/>
    <x v="0"/>
    <x v="0"/>
    <x v="0"/>
    <x v="0"/>
    <x v="0"/>
    <x v="0"/>
    <x v="0"/>
    <x v="0"/>
    <x v="252"/>
    <x v="400"/>
    <x v="170"/>
    <x v="0"/>
    <x v="0"/>
    <x v="5"/>
    <x v="14"/>
    <x v="19"/>
    <x v="1"/>
    <x v="1"/>
    <x v="1"/>
    <x v="641"/>
  </r>
  <r>
    <x v="730"/>
    <x v="90"/>
    <x v="309"/>
    <x v="164"/>
    <x v="6"/>
    <x v="5"/>
    <x v="1"/>
    <x v="1"/>
    <x v="1"/>
    <x v="1"/>
    <x v="458"/>
    <x v="0"/>
    <x v="0"/>
    <x v="0"/>
    <x v="0"/>
    <x v="2"/>
    <x v="458"/>
    <x v="0"/>
    <x v="57"/>
    <x v="10"/>
    <x v="730"/>
    <x v="90"/>
    <x v="309"/>
    <x v="164"/>
    <x v="6"/>
    <x v="5"/>
    <x v="1"/>
    <x v="1"/>
    <x v="1"/>
    <x v="578"/>
    <x v="0"/>
    <x v="0"/>
    <x v="1"/>
    <x v="0"/>
    <x v="0"/>
    <x v="0"/>
    <x v="0"/>
    <x v="0"/>
    <x v="0"/>
    <x v="0"/>
    <x v="0"/>
    <x v="0"/>
    <x v="0"/>
    <x v="0"/>
    <x v="0"/>
    <x v="0"/>
    <x v="0"/>
    <x v="1"/>
    <x v="1"/>
    <x v="0"/>
    <x v="0"/>
    <x v="0"/>
    <x v="0"/>
    <x v="617"/>
    <x v="400"/>
    <x v="170"/>
    <x v="0"/>
    <x v="0"/>
    <x v="5"/>
    <x v="14"/>
    <x v="19"/>
    <x v="1"/>
    <x v="46"/>
    <x v="46"/>
    <x v="642"/>
  </r>
  <r>
    <x v="731"/>
    <x v="7"/>
    <x v="8"/>
    <x v="8"/>
    <x v="131"/>
    <x v="5"/>
    <x v="1"/>
    <x v="1"/>
    <x v="2"/>
    <x v="2"/>
    <x v="349"/>
    <x v="0"/>
    <x v="0"/>
    <x v="0"/>
    <x v="0"/>
    <x v="0"/>
    <x v="349"/>
    <x v="0"/>
    <x v="12"/>
    <x v="10"/>
    <x v="731"/>
    <x v="7"/>
    <x v="8"/>
    <x v="8"/>
    <x v="133"/>
    <x v="5"/>
    <x v="1"/>
    <x v="1"/>
    <x v="2"/>
    <x v="474"/>
    <x v="0"/>
    <x v="0"/>
    <x v="1"/>
    <x v="0"/>
    <x v="0"/>
    <x v="0"/>
    <x v="0"/>
    <x v="0"/>
    <x v="0"/>
    <x v="0"/>
    <x v="0"/>
    <x v="0"/>
    <x v="0"/>
    <x v="0"/>
    <x v="0"/>
    <x v="0"/>
    <x v="0"/>
    <x v="0"/>
    <x v="0"/>
    <x v="0"/>
    <x v="0"/>
    <x v="0"/>
    <x v="0"/>
    <x v="13"/>
    <x v="401"/>
    <x v="249"/>
    <x v="3"/>
    <x v="0"/>
    <x v="0"/>
    <x v="2"/>
    <x v="3"/>
    <x v="0"/>
    <x v="8"/>
    <x v="8"/>
    <x v="13"/>
  </r>
  <r>
    <x v="731"/>
    <x v="7"/>
    <x v="8"/>
    <x v="8"/>
    <x v="131"/>
    <x v="5"/>
    <x v="1"/>
    <x v="1"/>
    <x v="2"/>
    <x v="2"/>
    <x v="16"/>
    <x v="0"/>
    <x v="0"/>
    <x v="0"/>
    <x v="0"/>
    <x v="2"/>
    <x v="16"/>
    <x v="0"/>
    <x v="12"/>
    <x v="10"/>
    <x v="731"/>
    <x v="7"/>
    <x v="8"/>
    <x v="8"/>
    <x v="133"/>
    <x v="5"/>
    <x v="1"/>
    <x v="1"/>
    <x v="2"/>
    <x v="534"/>
    <x v="0"/>
    <x v="0"/>
    <x v="1"/>
    <x v="0"/>
    <x v="0"/>
    <x v="0"/>
    <x v="0"/>
    <x v="0"/>
    <x v="0"/>
    <x v="0"/>
    <x v="0"/>
    <x v="0"/>
    <x v="0"/>
    <x v="0"/>
    <x v="0"/>
    <x v="0"/>
    <x v="0"/>
    <x v="0"/>
    <x v="0"/>
    <x v="0"/>
    <x v="0"/>
    <x v="0"/>
    <x v="0"/>
    <x v="13"/>
    <x v="401"/>
    <x v="249"/>
    <x v="3"/>
    <x v="0"/>
    <x v="0"/>
    <x v="2"/>
    <x v="3"/>
    <x v="0"/>
    <x v="8"/>
    <x v="8"/>
    <x v="13"/>
  </r>
  <r>
    <x v="732"/>
    <x v="189"/>
    <x v="8"/>
    <x v="8"/>
    <x v="126"/>
    <x v="1"/>
    <x v="3"/>
    <x v="1"/>
    <x v="1"/>
    <x v="1"/>
    <x v="12"/>
    <x v="0"/>
    <x v="0"/>
    <x v="0"/>
    <x v="0"/>
    <x v="1"/>
    <x v="12"/>
    <x v="0"/>
    <x v="77"/>
    <x v="6"/>
    <x v="732"/>
    <x v="189"/>
    <x v="8"/>
    <x v="8"/>
    <x v="128"/>
    <x v="1"/>
    <x v="3"/>
    <x v="1"/>
    <x v="1"/>
    <x v="12"/>
    <x v="0"/>
    <x v="0"/>
    <x v="1"/>
    <x v="0"/>
    <x v="0"/>
    <x v="0"/>
    <x v="0"/>
    <x v="0"/>
    <x v="0"/>
    <x v="0"/>
    <x v="0"/>
    <x v="0"/>
    <x v="0"/>
    <x v="0"/>
    <x v="1"/>
    <x v="0"/>
    <x v="0"/>
    <x v="0"/>
    <x v="0"/>
    <x v="0"/>
    <x v="0"/>
    <x v="0"/>
    <x v="0"/>
    <x v="618"/>
    <x v="402"/>
    <x v="250"/>
    <x v="77"/>
    <x v="2"/>
    <x v="5"/>
    <x v="49"/>
    <x v="124"/>
    <x v="1"/>
    <x v="8"/>
    <x v="8"/>
    <x v="643"/>
  </r>
  <r>
    <x v="733"/>
    <x v="27"/>
    <x v="310"/>
    <x v="8"/>
    <x v="7"/>
    <x v="3"/>
    <x v="1"/>
    <x v="1"/>
    <x v="1"/>
    <x v="1"/>
    <x v="5"/>
    <x v="1"/>
    <x v="84"/>
    <x v="32"/>
    <x v="1"/>
    <x v="2"/>
    <x v="5"/>
    <x v="147"/>
    <x v="59"/>
    <x v="6"/>
    <x v="733"/>
    <x v="27"/>
    <x v="310"/>
    <x v="8"/>
    <x v="7"/>
    <x v="3"/>
    <x v="1"/>
    <x v="1"/>
    <x v="1"/>
    <x v="579"/>
    <x v="0"/>
    <x v="0"/>
    <x v="1"/>
    <x v="0"/>
    <x v="0"/>
    <x v="0"/>
    <x v="0"/>
    <x v="0"/>
    <x v="0"/>
    <x v="0"/>
    <x v="0"/>
    <x v="0"/>
    <x v="1"/>
    <x v="0"/>
    <x v="0"/>
    <x v="0"/>
    <x v="0"/>
    <x v="1"/>
    <x v="1"/>
    <x v="0"/>
    <x v="4"/>
    <x v="0"/>
    <x v="1"/>
    <x v="619"/>
    <x v="403"/>
    <x v="29"/>
    <x v="23"/>
    <x v="0"/>
    <x v="5"/>
    <x v="22"/>
    <x v="30"/>
    <x v="1"/>
    <x v="12"/>
    <x v="12"/>
    <x v="644"/>
  </r>
  <r>
    <x v="734"/>
    <x v="27"/>
    <x v="8"/>
    <x v="8"/>
    <x v="140"/>
    <x v="8"/>
    <x v="1"/>
    <x v="1"/>
    <x v="1"/>
    <x v="1"/>
    <x v="21"/>
    <x v="0"/>
    <x v="0"/>
    <x v="0"/>
    <x v="0"/>
    <x v="3"/>
    <x v="21"/>
    <x v="0"/>
    <x v="106"/>
    <x v="6"/>
    <x v="734"/>
    <x v="27"/>
    <x v="8"/>
    <x v="8"/>
    <x v="142"/>
    <x v="8"/>
    <x v="1"/>
    <x v="1"/>
    <x v="1"/>
    <x v="292"/>
    <x v="1"/>
    <x v="1"/>
    <x v="1"/>
    <x v="1"/>
    <x v="0"/>
    <x v="0"/>
    <x v="0"/>
    <x v="0"/>
    <x v="0"/>
    <x v="0"/>
    <x v="0"/>
    <x v="0"/>
    <x v="0"/>
    <x v="0"/>
    <x v="0"/>
    <x v="1"/>
    <x v="0"/>
    <x v="0"/>
    <x v="1"/>
    <x v="0"/>
    <x v="0"/>
    <x v="0"/>
    <x v="2"/>
    <x v="620"/>
    <x v="403"/>
    <x v="29"/>
    <x v="23"/>
    <x v="0"/>
    <x v="5"/>
    <x v="22"/>
    <x v="30"/>
    <x v="1"/>
    <x v="1"/>
    <x v="1"/>
    <x v="645"/>
  </r>
  <r>
    <x v="735"/>
    <x v="27"/>
    <x v="8"/>
    <x v="8"/>
    <x v="0"/>
    <x v="3"/>
    <x v="1"/>
    <x v="1"/>
    <x v="1"/>
    <x v="1"/>
    <x v="297"/>
    <x v="119"/>
    <x v="14"/>
    <x v="141"/>
    <x v="1"/>
    <x v="2"/>
    <x v="297"/>
    <x v="148"/>
    <x v="6"/>
    <x v="6"/>
    <x v="735"/>
    <x v="27"/>
    <x v="8"/>
    <x v="8"/>
    <x v="0"/>
    <x v="3"/>
    <x v="1"/>
    <x v="1"/>
    <x v="1"/>
    <x v="580"/>
    <x v="0"/>
    <x v="0"/>
    <x v="1"/>
    <x v="1"/>
    <x v="0"/>
    <x v="0"/>
    <x v="0"/>
    <x v="0"/>
    <x v="0"/>
    <x v="0"/>
    <x v="0"/>
    <x v="0"/>
    <x v="1"/>
    <x v="0"/>
    <x v="0"/>
    <x v="1"/>
    <x v="0"/>
    <x v="1"/>
    <x v="1"/>
    <x v="0"/>
    <x v="4"/>
    <x v="0"/>
    <x v="2"/>
    <x v="621"/>
    <x v="403"/>
    <x v="30"/>
    <x v="2"/>
    <x v="0"/>
    <x v="5"/>
    <x v="22"/>
    <x v="30"/>
    <x v="1"/>
    <x v="2"/>
    <x v="2"/>
    <x v="646"/>
  </r>
  <r>
    <x v="736"/>
    <x v="27"/>
    <x v="8"/>
    <x v="8"/>
    <x v="7"/>
    <x v="3"/>
    <x v="1"/>
    <x v="1"/>
    <x v="1"/>
    <x v="1"/>
    <x v="459"/>
    <x v="120"/>
    <x v="14"/>
    <x v="142"/>
    <x v="1"/>
    <x v="2"/>
    <x v="459"/>
    <x v="149"/>
    <x v="277"/>
    <x v="6"/>
    <x v="736"/>
    <x v="27"/>
    <x v="8"/>
    <x v="8"/>
    <x v="7"/>
    <x v="3"/>
    <x v="1"/>
    <x v="1"/>
    <x v="1"/>
    <x v="581"/>
    <x v="0"/>
    <x v="0"/>
    <x v="1"/>
    <x v="1"/>
    <x v="0"/>
    <x v="0"/>
    <x v="0"/>
    <x v="0"/>
    <x v="0"/>
    <x v="0"/>
    <x v="0"/>
    <x v="0"/>
    <x v="1"/>
    <x v="0"/>
    <x v="0"/>
    <x v="1"/>
    <x v="0"/>
    <x v="1"/>
    <x v="1"/>
    <x v="0"/>
    <x v="4"/>
    <x v="0"/>
    <x v="2"/>
    <x v="492"/>
    <x v="403"/>
    <x v="30"/>
    <x v="2"/>
    <x v="0"/>
    <x v="5"/>
    <x v="22"/>
    <x v="30"/>
    <x v="1"/>
    <x v="5"/>
    <x v="5"/>
    <x v="647"/>
  </r>
  <r>
    <x v="737"/>
    <x v="27"/>
    <x v="311"/>
    <x v="8"/>
    <x v="7"/>
    <x v="3"/>
    <x v="1"/>
    <x v="1"/>
    <x v="1"/>
    <x v="1"/>
    <x v="460"/>
    <x v="75"/>
    <x v="17"/>
    <x v="143"/>
    <x v="1"/>
    <x v="3"/>
    <x v="460"/>
    <x v="54"/>
    <x v="278"/>
    <x v="6"/>
    <x v="737"/>
    <x v="27"/>
    <x v="311"/>
    <x v="8"/>
    <x v="7"/>
    <x v="3"/>
    <x v="1"/>
    <x v="1"/>
    <x v="1"/>
    <x v="582"/>
    <x v="0"/>
    <x v="0"/>
    <x v="1"/>
    <x v="1"/>
    <x v="0"/>
    <x v="0"/>
    <x v="0"/>
    <x v="0"/>
    <x v="0"/>
    <x v="0"/>
    <x v="0"/>
    <x v="0"/>
    <x v="0"/>
    <x v="0"/>
    <x v="0"/>
    <x v="1"/>
    <x v="0"/>
    <x v="0"/>
    <x v="1"/>
    <x v="0"/>
    <x v="1"/>
    <x v="0"/>
    <x v="1"/>
    <x v="622"/>
    <x v="403"/>
    <x v="30"/>
    <x v="2"/>
    <x v="0"/>
    <x v="5"/>
    <x v="22"/>
    <x v="30"/>
    <x v="1"/>
    <x v="1"/>
    <x v="1"/>
    <x v="648"/>
  </r>
  <r>
    <x v="738"/>
    <x v="27"/>
    <x v="8"/>
    <x v="8"/>
    <x v="7"/>
    <x v="3"/>
    <x v="1"/>
    <x v="1"/>
    <x v="1"/>
    <x v="1"/>
    <x v="20"/>
    <x v="121"/>
    <x v="85"/>
    <x v="126"/>
    <x v="1"/>
    <x v="3"/>
    <x v="20"/>
    <x v="0"/>
    <x v="6"/>
    <x v="6"/>
    <x v="738"/>
    <x v="27"/>
    <x v="8"/>
    <x v="8"/>
    <x v="7"/>
    <x v="3"/>
    <x v="1"/>
    <x v="1"/>
    <x v="1"/>
    <x v="583"/>
    <x v="1"/>
    <x v="0"/>
    <x v="1"/>
    <x v="1"/>
    <x v="0"/>
    <x v="1"/>
    <x v="0"/>
    <x v="0"/>
    <x v="0"/>
    <x v="0"/>
    <x v="0"/>
    <x v="0"/>
    <x v="0"/>
    <x v="0"/>
    <x v="0"/>
    <x v="0"/>
    <x v="0"/>
    <x v="0"/>
    <x v="0"/>
    <x v="0"/>
    <x v="0"/>
    <x v="3"/>
    <x v="2"/>
    <x v="623"/>
    <x v="403"/>
    <x v="51"/>
    <x v="2"/>
    <x v="0"/>
    <x v="5"/>
    <x v="68"/>
    <x v="125"/>
    <x v="1"/>
    <x v="1"/>
    <x v="1"/>
    <x v="649"/>
  </r>
  <r>
    <x v="739"/>
    <x v="27"/>
    <x v="312"/>
    <x v="8"/>
    <x v="188"/>
    <x v="0"/>
    <x v="1"/>
    <x v="1"/>
    <x v="1"/>
    <x v="1"/>
    <x v="108"/>
    <x v="122"/>
    <x v="50"/>
    <x v="144"/>
    <x v="1"/>
    <x v="3"/>
    <x v="108"/>
    <x v="0"/>
    <x v="36"/>
    <x v="6"/>
    <x v="739"/>
    <x v="27"/>
    <x v="312"/>
    <x v="8"/>
    <x v="191"/>
    <x v="0"/>
    <x v="1"/>
    <x v="1"/>
    <x v="1"/>
    <x v="584"/>
    <x v="0"/>
    <x v="0"/>
    <x v="1"/>
    <x v="1"/>
    <x v="0"/>
    <x v="1"/>
    <x v="1"/>
    <x v="0"/>
    <x v="0"/>
    <x v="0"/>
    <x v="0"/>
    <x v="0"/>
    <x v="0"/>
    <x v="0"/>
    <x v="0"/>
    <x v="0"/>
    <x v="0"/>
    <x v="0"/>
    <x v="0"/>
    <x v="0"/>
    <x v="0"/>
    <x v="1"/>
    <x v="3"/>
    <x v="624"/>
    <x v="403"/>
    <x v="251"/>
    <x v="17"/>
    <x v="0"/>
    <x v="5"/>
    <x v="14"/>
    <x v="19"/>
    <x v="1"/>
    <x v="2"/>
    <x v="2"/>
    <x v="650"/>
  </r>
  <r>
    <x v="740"/>
    <x v="41"/>
    <x v="8"/>
    <x v="8"/>
    <x v="1"/>
    <x v="1"/>
    <x v="1"/>
    <x v="1"/>
    <x v="1"/>
    <x v="1"/>
    <x v="461"/>
    <x v="0"/>
    <x v="0"/>
    <x v="0"/>
    <x v="0"/>
    <x v="3"/>
    <x v="461"/>
    <x v="0"/>
    <x v="279"/>
    <x v="6"/>
    <x v="740"/>
    <x v="41"/>
    <x v="8"/>
    <x v="8"/>
    <x v="1"/>
    <x v="1"/>
    <x v="1"/>
    <x v="1"/>
    <x v="1"/>
    <x v="585"/>
    <x v="0"/>
    <x v="0"/>
    <x v="1"/>
    <x v="0"/>
    <x v="0"/>
    <x v="0"/>
    <x v="0"/>
    <x v="0"/>
    <x v="0"/>
    <x v="0"/>
    <x v="0"/>
    <x v="0"/>
    <x v="0"/>
    <x v="0"/>
    <x v="0"/>
    <x v="0"/>
    <x v="0"/>
    <x v="0"/>
    <x v="1"/>
    <x v="0"/>
    <x v="0"/>
    <x v="0"/>
    <x v="0"/>
    <x v="625"/>
    <x v="404"/>
    <x v="252"/>
    <x v="8"/>
    <x v="0"/>
    <x v="5"/>
    <x v="5"/>
    <x v="6"/>
    <x v="1"/>
    <x v="2"/>
    <x v="2"/>
    <x v="651"/>
  </r>
  <r>
    <x v="17"/>
    <x v="2"/>
    <x v="8"/>
    <x v="8"/>
    <x v="11"/>
    <x v="5"/>
    <x v="1"/>
    <x v="2"/>
    <x v="1"/>
    <x v="1"/>
    <x v="17"/>
    <x v="0"/>
    <x v="0"/>
    <x v="0"/>
    <x v="0"/>
    <x v="3"/>
    <x v="17"/>
    <x v="0"/>
    <x v="20"/>
    <x v="6"/>
    <x v="17"/>
    <x v="2"/>
    <x v="8"/>
    <x v="8"/>
    <x v="11"/>
    <x v="5"/>
    <x v="1"/>
    <x v="2"/>
    <x v="1"/>
    <x v="17"/>
    <x v="0"/>
    <x v="0"/>
    <x v="1"/>
    <x v="0"/>
    <x v="0"/>
    <x v="0"/>
    <x v="0"/>
    <x v="0"/>
    <x v="0"/>
    <x v="0"/>
    <x v="0"/>
    <x v="0"/>
    <x v="1"/>
    <x v="0"/>
    <x v="0"/>
    <x v="0"/>
    <x v="0"/>
    <x v="1"/>
    <x v="0"/>
    <x v="0"/>
    <x v="0"/>
    <x v="0"/>
    <x v="1"/>
    <x v="24"/>
    <x v="404"/>
    <x v="252"/>
    <x v="8"/>
    <x v="0"/>
    <x v="5"/>
    <x v="5"/>
    <x v="6"/>
    <x v="1"/>
    <x v="1"/>
    <x v="1"/>
    <x v="652"/>
  </r>
  <r>
    <x v="741"/>
    <x v="8"/>
    <x v="313"/>
    <x v="165"/>
    <x v="7"/>
    <x v="2"/>
    <x v="3"/>
    <x v="3"/>
    <x v="1"/>
    <x v="1"/>
    <x v="14"/>
    <x v="0"/>
    <x v="0"/>
    <x v="0"/>
    <x v="0"/>
    <x v="0"/>
    <x v="14"/>
    <x v="0"/>
    <x v="12"/>
    <x v="8"/>
    <x v="741"/>
    <x v="8"/>
    <x v="313"/>
    <x v="165"/>
    <x v="7"/>
    <x v="2"/>
    <x v="3"/>
    <x v="3"/>
    <x v="1"/>
    <x v="25"/>
    <x v="0"/>
    <x v="1"/>
    <x v="1"/>
    <x v="0"/>
    <x v="0"/>
    <x v="0"/>
    <x v="0"/>
    <x v="0"/>
    <x v="0"/>
    <x v="0"/>
    <x v="0"/>
    <x v="1"/>
    <x v="0"/>
    <x v="0"/>
    <x v="0"/>
    <x v="1"/>
    <x v="0"/>
    <x v="0"/>
    <x v="1"/>
    <x v="0"/>
    <x v="0"/>
    <x v="0"/>
    <x v="0"/>
    <x v="13"/>
    <x v="405"/>
    <x v="253"/>
    <x v="71"/>
    <x v="0"/>
    <x v="5"/>
    <x v="2"/>
    <x v="25"/>
    <x v="1"/>
    <x v="8"/>
    <x v="8"/>
    <x v="13"/>
  </r>
  <r>
    <x v="742"/>
    <x v="111"/>
    <x v="8"/>
    <x v="8"/>
    <x v="18"/>
    <x v="1"/>
    <x v="1"/>
    <x v="1"/>
    <x v="1"/>
    <x v="1"/>
    <x v="137"/>
    <x v="0"/>
    <x v="0"/>
    <x v="0"/>
    <x v="0"/>
    <x v="1"/>
    <x v="137"/>
    <x v="0"/>
    <x v="280"/>
    <x v="6"/>
    <x v="742"/>
    <x v="111"/>
    <x v="8"/>
    <x v="8"/>
    <x v="18"/>
    <x v="1"/>
    <x v="1"/>
    <x v="1"/>
    <x v="1"/>
    <x v="157"/>
    <x v="0"/>
    <x v="0"/>
    <x v="1"/>
    <x v="1"/>
    <x v="0"/>
    <x v="0"/>
    <x v="0"/>
    <x v="0"/>
    <x v="0"/>
    <x v="0"/>
    <x v="0"/>
    <x v="0"/>
    <x v="0"/>
    <x v="0"/>
    <x v="0"/>
    <x v="0"/>
    <x v="0"/>
    <x v="0"/>
    <x v="0"/>
    <x v="0"/>
    <x v="0"/>
    <x v="0"/>
    <x v="1"/>
    <x v="626"/>
    <x v="406"/>
    <x v="126"/>
    <x v="26"/>
    <x v="0"/>
    <x v="18"/>
    <x v="26"/>
    <x v="51"/>
    <x v="0"/>
    <x v="56"/>
    <x v="55"/>
    <x v="653"/>
  </r>
  <r>
    <x v="743"/>
    <x v="111"/>
    <x v="8"/>
    <x v="8"/>
    <x v="4"/>
    <x v="5"/>
    <x v="1"/>
    <x v="1"/>
    <x v="3"/>
    <x v="3"/>
    <x v="18"/>
    <x v="0"/>
    <x v="0"/>
    <x v="0"/>
    <x v="0"/>
    <x v="3"/>
    <x v="18"/>
    <x v="116"/>
    <x v="69"/>
    <x v="6"/>
    <x v="743"/>
    <x v="111"/>
    <x v="8"/>
    <x v="8"/>
    <x v="4"/>
    <x v="5"/>
    <x v="1"/>
    <x v="1"/>
    <x v="3"/>
    <x v="18"/>
    <x v="0"/>
    <x v="0"/>
    <x v="1"/>
    <x v="0"/>
    <x v="0"/>
    <x v="0"/>
    <x v="0"/>
    <x v="0"/>
    <x v="0"/>
    <x v="0"/>
    <x v="0"/>
    <x v="0"/>
    <x v="1"/>
    <x v="0"/>
    <x v="0"/>
    <x v="0"/>
    <x v="0"/>
    <x v="1"/>
    <x v="1"/>
    <x v="0"/>
    <x v="3"/>
    <x v="0"/>
    <x v="1"/>
    <x v="627"/>
    <x v="406"/>
    <x v="126"/>
    <x v="26"/>
    <x v="0"/>
    <x v="3"/>
    <x v="15"/>
    <x v="20"/>
    <x v="0"/>
    <x v="66"/>
    <x v="61"/>
    <x v="654"/>
  </r>
  <r>
    <x v="744"/>
    <x v="111"/>
    <x v="8"/>
    <x v="166"/>
    <x v="6"/>
    <x v="0"/>
    <x v="1"/>
    <x v="1"/>
    <x v="3"/>
    <x v="3"/>
    <x v="189"/>
    <x v="0"/>
    <x v="0"/>
    <x v="0"/>
    <x v="0"/>
    <x v="3"/>
    <x v="189"/>
    <x v="117"/>
    <x v="281"/>
    <x v="6"/>
    <x v="744"/>
    <x v="111"/>
    <x v="8"/>
    <x v="166"/>
    <x v="6"/>
    <x v="0"/>
    <x v="1"/>
    <x v="1"/>
    <x v="3"/>
    <x v="412"/>
    <x v="0"/>
    <x v="0"/>
    <x v="1"/>
    <x v="0"/>
    <x v="0"/>
    <x v="0"/>
    <x v="0"/>
    <x v="0"/>
    <x v="0"/>
    <x v="0"/>
    <x v="0"/>
    <x v="0"/>
    <x v="0"/>
    <x v="0"/>
    <x v="0"/>
    <x v="0"/>
    <x v="0"/>
    <x v="1"/>
    <x v="1"/>
    <x v="0"/>
    <x v="1"/>
    <x v="0"/>
    <x v="0"/>
    <x v="435"/>
    <x v="406"/>
    <x v="126"/>
    <x v="26"/>
    <x v="0"/>
    <x v="3"/>
    <x v="15"/>
    <x v="20"/>
    <x v="0"/>
    <x v="76"/>
    <x v="70"/>
    <x v="655"/>
  </r>
  <r>
    <x v="745"/>
    <x v="2"/>
    <x v="8"/>
    <x v="8"/>
    <x v="0"/>
    <x v="0"/>
    <x v="1"/>
    <x v="2"/>
    <x v="1"/>
    <x v="1"/>
    <x v="130"/>
    <x v="0"/>
    <x v="0"/>
    <x v="0"/>
    <x v="0"/>
    <x v="3"/>
    <x v="130"/>
    <x v="0"/>
    <x v="282"/>
    <x v="63"/>
    <x v="745"/>
    <x v="2"/>
    <x v="8"/>
    <x v="8"/>
    <x v="0"/>
    <x v="0"/>
    <x v="1"/>
    <x v="2"/>
    <x v="1"/>
    <x v="150"/>
    <x v="0"/>
    <x v="0"/>
    <x v="0"/>
    <x v="0"/>
    <x v="1"/>
    <x v="0"/>
    <x v="0"/>
    <x v="0"/>
    <x v="0"/>
    <x v="0"/>
    <x v="0"/>
    <x v="0"/>
    <x v="0"/>
    <x v="0"/>
    <x v="0"/>
    <x v="1"/>
    <x v="1"/>
    <x v="0"/>
    <x v="0"/>
    <x v="0"/>
    <x v="0"/>
    <x v="0"/>
    <x v="1"/>
    <x v="628"/>
    <x v="407"/>
    <x v="254"/>
    <x v="26"/>
    <x v="0"/>
    <x v="3"/>
    <x v="19"/>
    <x v="26"/>
    <x v="0"/>
    <x v="7"/>
    <x v="7"/>
    <x v="656"/>
  </r>
  <r>
    <x v="746"/>
    <x v="2"/>
    <x v="8"/>
    <x v="8"/>
    <x v="2"/>
    <x v="0"/>
    <x v="1"/>
    <x v="2"/>
    <x v="1"/>
    <x v="1"/>
    <x v="65"/>
    <x v="0"/>
    <x v="0"/>
    <x v="0"/>
    <x v="0"/>
    <x v="0"/>
    <x v="65"/>
    <x v="0"/>
    <x v="197"/>
    <x v="64"/>
    <x v="746"/>
    <x v="2"/>
    <x v="8"/>
    <x v="8"/>
    <x v="2"/>
    <x v="0"/>
    <x v="1"/>
    <x v="2"/>
    <x v="1"/>
    <x v="79"/>
    <x v="0"/>
    <x v="0"/>
    <x v="0"/>
    <x v="0"/>
    <x v="1"/>
    <x v="0"/>
    <x v="0"/>
    <x v="0"/>
    <x v="0"/>
    <x v="0"/>
    <x v="0"/>
    <x v="0"/>
    <x v="0"/>
    <x v="0"/>
    <x v="0"/>
    <x v="0"/>
    <x v="0"/>
    <x v="0"/>
    <x v="0"/>
    <x v="0"/>
    <x v="0"/>
    <x v="0"/>
    <x v="2"/>
    <x v="371"/>
    <x v="407"/>
    <x v="254"/>
    <x v="26"/>
    <x v="0"/>
    <x v="3"/>
    <x v="19"/>
    <x v="26"/>
    <x v="0"/>
    <x v="5"/>
    <x v="5"/>
    <x v="657"/>
  </r>
  <r>
    <x v="747"/>
    <x v="2"/>
    <x v="8"/>
    <x v="8"/>
    <x v="2"/>
    <x v="0"/>
    <x v="1"/>
    <x v="2"/>
    <x v="1"/>
    <x v="1"/>
    <x v="140"/>
    <x v="0"/>
    <x v="0"/>
    <x v="0"/>
    <x v="0"/>
    <x v="3"/>
    <x v="140"/>
    <x v="0"/>
    <x v="283"/>
    <x v="65"/>
    <x v="747"/>
    <x v="2"/>
    <x v="8"/>
    <x v="8"/>
    <x v="2"/>
    <x v="0"/>
    <x v="1"/>
    <x v="2"/>
    <x v="1"/>
    <x v="160"/>
    <x v="0"/>
    <x v="0"/>
    <x v="1"/>
    <x v="0"/>
    <x v="0"/>
    <x v="0"/>
    <x v="0"/>
    <x v="0"/>
    <x v="0"/>
    <x v="0"/>
    <x v="0"/>
    <x v="0"/>
    <x v="0"/>
    <x v="0"/>
    <x v="0"/>
    <x v="0"/>
    <x v="0"/>
    <x v="0"/>
    <x v="0"/>
    <x v="0"/>
    <x v="0"/>
    <x v="0"/>
    <x v="1"/>
    <x v="629"/>
    <x v="407"/>
    <x v="254"/>
    <x v="26"/>
    <x v="0"/>
    <x v="3"/>
    <x v="19"/>
    <x v="26"/>
    <x v="0"/>
    <x v="7"/>
    <x v="7"/>
    <x v="658"/>
  </r>
  <r>
    <x v="748"/>
    <x v="2"/>
    <x v="8"/>
    <x v="8"/>
    <x v="2"/>
    <x v="0"/>
    <x v="1"/>
    <x v="2"/>
    <x v="1"/>
    <x v="1"/>
    <x v="124"/>
    <x v="0"/>
    <x v="0"/>
    <x v="0"/>
    <x v="0"/>
    <x v="1"/>
    <x v="124"/>
    <x v="0"/>
    <x v="77"/>
    <x v="51"/>
    <x v="748"/>
    <x v="2"/>
    <x v="8"/>
    <x v="8"/>
    <x v="2"/>
    <x v="0"/>
    <x v="1"/>
    <x v="2"/>
    <x v="1"/>
    <x v="140"/>
    <x v="0"/>
    <x v="0"/>
    <x v="1"/>
    <x v="0"/>
    <x v="0"/>
    <x v="0"/>
    <x v="0"/>
    <x v="0"/>
    <x v="0"/>
    <x v="0"/>
    <x v="0"/>
    <x v="0"/>
    <x v="0"/>
    <x v="0"/>
    <x v="0"/>
    <x v="0"/>
    <x v="0"/>
    <x v="0"/>
    <x v="0"/>
    <x v="0"/>
    <x v="0"/>
    <x v="0"/>
    <x v="0"/>
    <x v="630"/>
    <x v="407"/>
    <x v="254"/>
    <x v="26"/>
    <x v="0"/>
    <x v="3"/>
    <x v="19"/>
    <x v="26"/>
    <x v="0"/>
    <x v="7"/>
    <x v="7"/>
    <x v="659"/>
  </r>
  <r>
    <x v="749"/>
    <x v="2"/>
    <x v="8"/>
    <x v="8"/>
    <x v="2"/>
    <x v="0"/>
    <x v="1"/>
    <x v="2"/>
    <x v="1"/>
    <x v="1"/>
    <x v="243"/>
    <x v="0"/>
    <x v="0"/>
    <x v="0"/>
    <x v="0"/>
    <x v="1"/>
    <x v="243"/>
    <x v="0"/>
    <x v="232"/>
    <x v="66"/>
    <x v="749"/>
    <x v="2"/>
    <x v="8"/>
    <x v="8"/>
    <x v="2"/>
    <x v="0"/>
    <x v="1"/>
    <x v="2"/>
    <x v="1"/>
    <x v="281"/>
    <x v="0"/>
    <x v="0"/>
    <x v="1"/>
    <x v="0"/>
    <x v="0"/>
    <x v="0"/>
    <x v="0"/>
    <x v="0"/>
    <x v="0"/>
    <x v="0"/>
    <x v="0"/>
    <x v="0"/>
    <x v="0"/>
    <x v="0"/>
    <x v="0"/>
    <x v="0"/>
    <x v="0"/>
    <x v="0"/>
    <x v="0"/>
    <x v="0"/>
    <x v="0"/>
    <x v="0"/>
    <x v="1"/>
    <x v="631"/>
    <x v="407"/>
    <x v="254"/>
    <x v="26"/>
    <x v="0"/>
    <x v="3"/>
    <x v="19"/>
    <x v="26"/>
    <x v="0"/>
    <x v="7"/>
    <x v="7"/>
    <x v="660"/>
  </r>
  <r>
    <x v="750"/>
    <x v="2"/>
    <x v="8"/>
    <x v="8"/>
    <x v="2"/>
    <x v="0"/>
    <x v="1"/>
    <x v="2"/>
    <x v="1"/>
    <x v="1"/>
    <x v="22"/>
    <x v="0"/>
    <x v="0"/>
    <x v="0"/>
    <x v="0"/>
    <x v="3"/>
    <x v="22"/>
    <x v="0"/>
    <x v="158"/>
    <x v="67"/>
    <x v="750"/>
    <x v="2"/>
    <x v="8"/>
    <x v="8"/>
    <x v="2"/>
    <x v="0"/>
    <x v="1"/>
    <x v="2"/>
    <x v="1"/>
    <x v="22"/>
    <x v="0"/>
    <x v="0"/>
    <x v="0"/>
    <x v="0"/>
    <x v="1"/>
    <x v="0"/>
    <x v="0"/>
    <x v="0"/>
    <x v="0"/>
    <x v="0"/>
    <x v="0"/>
    <x v="0"/>
    <x v="0"/>
    <x v="0"/>
    <x v="0"/>
    <x v="1"/>
    <x v="1"/>
    <x v="0"/>
    <x v="0"/>
    <x v="0"/>
    <x v="0"/>
    <x v="0"/>
    <x v="1"/>
    <x v="632"/>
    <x v="407"/>
    <x v="254"/>
    <x v="26"/>
    <x v="0"/>
    <x v="3"/>
    <x v="19"/>
    <x v="26"/>
    <x v="0"/>
    <x v="7"/>
    <x v="7"/>
    <x v="661"/>
  </r>
  <r>
    <x v="751"/>
    <x v="2"/>
    <x v="8"/>
    <x v="8"/>
    <x v="2"/>
    <x v="0"/>
    <x v="1"/>
    <x v="2"/>
    <x v="1"/>
    <x v="1"/>
    <x v="462"/>
    <x v="0"/>
    <x v="0"/>
    <x v="0"/>
    <x v="0"/>
    <x v="3"/>
    <x v="462"/>
    <x v="0"/>
    <x v="10"/>
    <x v="28"/>
    <x v="751"/>
    <x v="2"/>
    <x v="8"/>
    <x v="8"/>
    <x v="2"/>
    <x v="0"/>
    <x v="1"/>
    <x v="2"/>
    <x v="1"/>
    <x v="586"/>
    <x v="0"/>
    <x v="0"/>
    <x v="0"/>
    <x v="0"/>
    <x v="1"/>
    <x v="0"/>
    <x v="0"/>
    <x v="0"/>
    <x v="0"/>
    <x v="0"/>
    <x v="0"/>
    <x v="0"/>
    <x v="0"/>
    <x v="0"/>
    <x v="0"/>
    <x v="0"/>
    <x v="0"/>
    <x v="0"/>
    <x v="0"/>
    <x v="0"/>
    <x v="0"/>
    <x v="0"/>
    <x v="2"/>
    <x v="633"/>
    <x v="407"/>
    <x v="254"/>
    <x v="27"/>
    <x v="0"/>
    <x v="3"/>
    <x v="19"/>
    <x v="26"/>
    <x v="0"/>
    <x v="7"/>
    <x v="7"/>
    <x v="662"/>
  </r>
  <r>
    <x v="752"/>
    <x v="10"/>
    <x v="8"/>
    <x v="167"/>
    <x v="7"/>
    <x v="0"/>
    <x v="3"/>
    <x v="1"/>
    <x v="1"/>
    <x v="1"/>
    <x v="190"/>
    <x v="0"/>
    <x v="0"/>
    <x v="0"/>
    <x v="0"/>
    <x v="3"/>
    <x v="190"/>
    <x v="0"/>
    <x v="37"/>
    <x v="12"/>
    <x v="752"/>
    <x v="10"/>
    <x v="8"/>
    <x v="167"/>
    <x v="7"/>
    <x v="0"/>
    <x v="3"/>
    <x v="1"/>
    <x v="1"/>
    <x v="587"/>
    <x v="0"/>
    <x v="1"/>
    <x v="1"/>
    <x v="0"/>
    <x v="0"/>
    <x v="0"/>
    <x v="0"/>
    <x v="0"/>
    <x v="0"/>
    <x v="1"/>
    <x v="0"/>
    <x v="0"/>
    <x v="0"/>
    <x v="0"/>
    <x v="0"/>
    <x v="1"/>
    <x v="0"/>
    <x v="0"/>
    <x v="0"/>
    <x v="0"/>
    <x v="0"/>
    <x v="0"/>
    <x v="1"/>
    <x v="170"/>
    <x v="408"/>
    <x v="81"/>
    <x v="11"/>
    <x v="0"/>
    <x v="5"/>
    <x v="14"/>
    <x v="19"/>
    <x v="1"/>
    <x v="8"/>
    <x v="8"/>
    <x v="663"/>
  </r>
  <r>
    <x v="753"/>
    <x v="10"/>
    <x v="8"/>
    <x v="168"/>
    <x v="7"/>
    <x v="0"/>
    <x v="3"/>
    <x v="1"/>
    <x v="1"/>
    <x v="1"/>
    <x v="190"/>
    <x v="0"/>
    <x v="0"/>
    <x v="0"/>
    <x v="0"/>
    <x v="3"/>
    <x v="190"/>
    <x v="0"/>
    <x v="0"/>
    <x v="6"/>
    <x v="753"/>
    <x v="10"/>
    <x v="8"/>
    <x v="168"/>
    <x v="7"/>
    <x v="0"/>
    <x v="3"/>
    <x v="1"/>
    <x v="1"/>
    <x v="587"/>
    <x v="0"/>
    <x v="0"/>
    <x v="1"/>
    <x v="0"/>
    <x v="0"/>
    <x v="0"/>
    <x v="1"/>
    <x v="0"/>
    <x v="0"/>
    <x v="1"/>
    <x v="0"/>
    <x v="0"/>
    <x v="0"/>
    <x v="0"/>
    <x v="0"/>
    <x v="0"/>
    <x v="1"/>
    <x v="0"/>
    <x v="0"/>
    <x v="0"/>
    <x v="0"/>
    <x v="0"/>
    <x v="2"/>
    <x v="634"/>
    <x v="408"/>
    <x v="81"/>
    <x v="11"/>
    <x v="0"/>
    <x v="5"/>
    <x v="14"/>
    <x v="19"/>
    <x v="1"/>
    <x v="44"/>
    <x v="44"/>
    <x v="664"/>
  </r>
  <r>
    <x v="754"/>
    <x v="8"/>
    <x v="37"/>
    <x v="95"/>
    <x v="33"/>
    <x v="0"/>
    <x v="3"/>
    <x v="3"/>
    <x v="1"/>
    <x v="1"/>
    <x v="463"/>
    <x v="0"/>
    <x v="0"/>
    <x v="0"/>
    <x v="0"/>
    <x v="0"/>
    <x v="463"/>
    <x v="0"/>
    <x v="2"/>
    <x v="10"/>
    <x v="754"/>
    <x v="8"/>
    <x v="37"/>
    <x v="95"/>
    <x v="33"/>
    <x v="0"/>
    <x v="3"/>
    <x v="3"/>
    <x v="1"/>
    <x v="588"/>
    <x v="0"/>
    <x v="0"/>
    <x v="0"/>
    <x v="0"/>
    <x v="0"/>
    <x v="0"/>
    <x v="0"/>
    <x v="0"/>
    <x v="0"/>
    <x v="0"/>
    <x v="0"/>
    <x v="1"/>
    <x v="0"/>
    <x v="0"/>
    <x v="0"/>
    <x v="0"/>
    <x v="0"/>
    <x v="0"/>
    <x v="0"/>
    <x v="0"/>
    <x v="0"/>
    <x v="0"/>
    <x v="0"/>
    <x v="635"/>
    <x v="409"/>
    <x v="104"/>
    <x v="16"/>
    <x v="0"/>
    <x v="0"/>
    <x v="2"/>
    <x v="3"/>
    <x v="0"/>
    <x v="29"/>
    <x v="29"/>
    <x v="665"/>
  </r>
  <r>
    <x v="755"/>
    <x v="2"/>
    <x v="314"/>
    <x v="8"/>
    <x v="53"/>
    <x v="1"/>
    <x v="6"/>
    <x v="2"/>
    <x v="1"/>
    <x v="1"/>
    <x v="464"/>
    <x v="0"/>
    <x v="0"/>
    <x v="0"/>
    <x v="0"/>
    <x v="1"/>
    <x v="464"/>
    <x v="0"/>
    <x v="284"/>
    <x v="6"/>
    <x v="755"/>
    <x v="2"/>
    <x v="314"/>
    <x v="8"/>
    <x v="53"/>
    <x v="1"/>
    <x v="6"/>
    <x v="2"/>
    <x v="1"/>
    <x v="589"/>
    <x v="0"/>
    <x v="1"/>
    <x v="1"/>
    <x v="0"/>
    <x v="0"/>
    <x v="0"/>
    <x v="0"/>
    <x v="0"/>
    <x v="0"/>
    <x v="0"/>
    <x v="0"/>
    <x v="0"/>
    <x v="0"/>
    <x v="0"/>
    <x v="0"/>
    <x v="0"/>
    <x v="0"/>
    <x v="0"/>
    <x v="0"/>
    <x v="0"/>
    <x v="0"/>
    <x v="0"/>
    <x v="0"/>
    <x v="636"/>
    <x v="410"/>
    <x v="51"/>
    <x v="2"/>
    <x v="0"/>
    <x v="5"/>
    <x v="32"/>
    <x v="48"/>
    <x v="1"/>
    <x v="29"/>
    <x v="29"/>
    <x v="666"/>
  </r>
  <r>
    <x v="756"/>
    <x v="2"/>
    <x v="315"/>
    <x v="8"/>
    <x v="189"/>
    <x v="1"/>
    <x v="6"/>
    <x v="2"/>
    <x v="1"/>
    <x v="1"/>
    <x v="125"/>
    <x v="0"/>
    <x v="0"/>
    <x v="0"/>
    <x v="0"/>
    <x v="3"/>
    <x v="125"/>
    <x v="0"/>
    <x v="251"/>
    <x v="6"/>
    <x v="756"/>
    <x v="2"/>
    <x v="315"/>
    <x v="8"/>
    <x v="192"/>
    <x v="1"/>
    <x v="6"/>
    <x v="2"/>
    <x v="1"/>
    <x v="141"/>
    <x v="0"/>
    <x v="1"/>
    <x v="1"/>
    <x v="0"/>
    <x v="0"/>
    <x v="0"/>
    <x v="0"/>
    <x v="0"/>
    <x v="0"/>
    <x v="0"/>
    <x v="0"/>
    <x v="0"/>
    <x v="0"/>
    <x v="0"/>
    <x v="0"/>
    <x v="0"/>
    <x v="0"/>
    <x v="0"/>
    <x v="1"/>
    <x v="0"/>
    <x v="0"/>
    <x v="3"/>
    <x v="0"/>
    <x v="637"/>
    <x v="410"/>
    <x v="51"/>
    <x v="2"/>
    <x v="0"/>
    <x v="5"/>
    <x v="32"/>
    <x v="48"/>
    <x v="1"/>
    <x v="29"/>
    <x v="29"/>
    <x v="667"/>
  </r>
  <r>
    <x v="757"/>
    <x v="2"/>
    <x v="316"/>
    <x v="8"/>
    <x v="189"/>
    <x v="1"/>
    <x v="6"/>
    <x v="2"/>
    <x v="1"/>
    <x v="1"/>
    <x v="464"/>
    <x v="0"/>
    <x v="0"/>
    <x v="0"/>
    <x v="0"/>
    <x v="1"/>
    <x v="464"/>
    <x v="0"/>
    <x v="285"/>
    <x v="6"/>
    <x v="757"/>
    <x v="2"/>
    <x v="316"/>
    <x v="8"/>
    <x v="192"/>
    <x v="1"/>
    <x v="6"/>
    <x v="2"/>
    <x v="1"/>
    <x v="589"/>
    <x v="0"/>
    <x v="1"/>
    <x v="1"/>
    <x v="0"/>
    <x v="0"/>
    <x v="0"/>
    <x v="0"/>
    <x v="0"/>
    <x v="0"/>
    <x v="0"/>
    <x v="0"/>
    <x v="0"/>
    <x v="0"/>
    <x v="0"/>
    <x v="0"/>
    <x v="0"/>
    <x v="0"/>
    <x v="0"/>
    <x v="0"/>
    <x v="0"/>
    <x v="0"/>
    <x v="0"/>
    <x v="0"/>
    <x v="638"/>
    <x v="410"/>
    <x v="51"/>
    <x v="2"/>
    <x v="0"/>
    <x v="5"/>
    <x v="32"/>
    <x v="48"/>
    <x v="1"/>
    <x v="122"/>
    <x v="113"/>
    <x v="668"/>
  </r>
  <r>
    <x v="758"/>
    <x v="8"/>
    <x v="317"/>
    <x v="8"/>
    <x v="52"/>
    <x v="0"/>
    <x v="3"/>
    <x v="1"/>
    <x v="1"/>
    <x v="1"/>
    <x v="465"/>
    <x v="0"/>
    <x v="0"/>
    <x v="0"/>
    <x v="0"/>
    <x v="3"/>
    <x v="465"/>
    <x v="0"/>
    <x v="275"/>
    <x v="6"/>
    <x v="758"/>
    <x v="8"/>
    <x v="317"/>
    <x v="8"/>
    <x v="52"/>
    <x v="0"/>
    <x v="3"/>
    <x v="1"/>
    <x v="1"/>
    <x v="590"/>
    <x v="0"/>
    <x v="1"/>
    <x v="1"/>
    <x v="0"/>
    <x v="0"/>
    <x v="0"/>
    <x v="0"/>
    <x v="0"/>
    <x v="0"/>
    <x v="0"/>
    <x v="0"/>
    <x v="0"/>
    <x v="0"/>
    <x v="0"/>
    <x v="1"/>
    <x v="0"/>
    <x v="0"/>
    <x v="0"/>
    <x v="0"/>
    <x v="0"/>
    <x v="0"/>
    <x v="0"/>
    <x v="0"/>
    <x v="384"/>
    <x v="410"/>
    <x v="22"/>
    <x v="11"/>
    <x v="0"/>
    <x v="5"/>
    <x v="32"/>
    <x v="48"/>
    <x v="1"/>
    <x v="18"/>
    <x v="18"/>
    <x v="669"/>
  </r>
  <r>
    <x v="759"/>
    <x v="2"/>
    <x v="92"/>
    <x v="8"/>
    <x v="36"/>
    <x v="0"/>
    <x v="3"/>
    <x v="2"/>
    <x v="1"/>
    <x v="1"/>
    <x v="225"/>
    <x v="0"/>
    <x v="0"/>
    <x v="0"/>
    <x v="0"/>
    <x v="1"/>
    <x v="225"/>
    <x v="0"/>
    <x v="286"/>
    <x v="6"/>
    <x v="759"/>
    <x v="2"/>
    <x v="92"/>
    <x v="8"/>
    <x v="36"/>
    <x v="0"/>
    <x v="3"/>
    <x v="2"/>
    <x v="1"/>
    <x v="261"/>
    <x v="0"/>
    <x v="1"/>
    <x v="1"/>
    <x v="0"/>
    <x v="0"/>
    <x v="0"/>
    <x v="0"/>
    <x v="0"/>
    <x v="0"/>
    <x v="0"/>
    <x v="0"/>
    <x v="1"/>
    <x v="0"/>
    <x v="0"/>
    <x v="1"/>
    <x v="0"/>
    <x v="0"/>
    <x v="0"/>
    <x v="0"/>
    <x v="0"/>
    <x v="0"/>
    <x v="0"/>
    <x v="0"/>
    <x v="134"/>
    <x v="410"/>
    <x v="22"/>
    <x v="11"/>
    <x v="0"/>
    <x v="5"/>
    <x v="32"/>
    <x v="48"/>
    <x v="1"/>
    <x v="2"/>
    <x v="2"/>
    <x v="670"/>
  </r>
  <r>
    <x v="760"/>
    <x v="19"/>
    <x v="318"/>
    <x v="169"/>
    <x v="7"/>
    <x v="0"/>
    <x v="6"/>
    <x v="3"/>
    <x v="1"/>
    <x v="1"/>
    <x v="466"/>
    <x v="0"/>
    <x v="0"/>
    <x v="0"/>
    <x v="0"/>
    <x v="3"/>
    <x v="466"/>
    <x v="0"/>
    <x v="64"/>
    <x v="12"/>
    <x v="760"/>
    <x v="19"/>
    <x v="318"/>
    <x v="169"/>
    <x v="7"/>
    <x v="0"/>
    <x v="6"/>
    <x v="3"/>
    <x v="1"/>
    <x v="591"/>
    <x v="0"/>
    <x v="0"/>
    <x v="1"/>
    <x v="0"/>
    <x v="0"/>
    <x v="0"/>
    <x v="1"/>
    <x v="0"/>
    <x v="0"/>
    <x v="0"/>
    <x v="0"/>
    <x v="0"/>
    <x v="0"/>
    <x v="0"/>
    <x v="0"/>
    <x v="0"/>
    <x v="1"/>
    <x v="0"/>
    <x v="0"/>
    <x v="0"/>
    <x v="0"/>
    <x v="0"/>
    <x v="1"/>
    <x v="173"/>
    <x v="411"/>
    <x v="6"/>
    <x v="7"/>
    <x v="1"/>
    <x v="4"/>
    <x v="4"/>
    <x v="5"/>
    <x v="0"/>
    <x v="44"/>
    <x v="44"/>
    <x v="671"/>
  </r>
  <r>
    <x v="761"/>
    <x v="190"/>
    <x v="8"/>
    <x v="8"/>
    <x v="64"/>
    <x v="5"/>
    <x v="1"/>
    <x v="1"/>
    <x v="3"/>
    <x v="3"/>
    <x v="1"/>
    <x v="0"/>
    <x v="0"/>
    <x v="0"/>
    <x v="0"/>
    <x v="0"/>
    <x v="1"/>
    <x v="0"/>
    <x v="12"/>
    <x v="8"/>
    <x v="761"/>
    <x v="190"/>
    <x v="8"/>
    <x v="8"/>
    <x v="64"/>
    <x v="5"/>
    <x v="1"/>
    <x v="1"/>
    <x v="3"/>
    <x v="592"/>
    <x v="0"/>
    <x v="0"/>
    <x v="1"/>
    <x v="0"/>
    <x v="0"/>
    <x v="0"/>
    <x v="0"/>
    <x v="0"/>
    <x v="0"/>
    <x v="0"/>
    <x v="0"/>
    <x v="0"/>
    <x v="1"/>
    <x v="0"/>
    <x v="0"/>
    <x v="0"/>
    <x v="0"/>
    <x v="1"/>
    <x v="0"/>
    <x v="0"/>
    <x v="0"/>
    <x v="0"/>
    <x v="1"/>
    <x v="13"/>
    <x v="412"/>
    <x v="255"/>
    <x v="1"/>
    <x v="0"/>
    <x v="0"/>
    <x v="2"/>
    <x v="3"/>
    <x v="0"/>
    <x v="8"/>
    <x v="8"/>
    <x v="13"/>
  </r>
  <r>
    <x v="762"/>
    <x v="191"/>
    <x v="8"/>
    <x v="8"/>
    <x v="64"/>
    <x v="5"/>
    <x v="1"/>
    <x v="1"/>
    <x v="2"/>
    <x v="2"/>
    <x v="189"/>
    <x v="0"/>
    <x v="0"/>
    <x v="0"/>
    <x v="0"/>
    <x v="3"/>
    <x v="189"/>
    <x v="117"/>
    <x v="12"/>
    <x v="8"/>
    <x v="762"/>
    <x v="191"/>
    <x v="8"/>
    <x v="8"/>
    <x v="64"/>
    <x v="5"/>
    <x v="1"/>
    <x v="1"/>
    <x v="2"/>
    <x v="416"/>
    <x v="0"/>
    <x v="0"/>
    <x v="1"/>
    <x v="1"/>
    <x v="0"/>
    <x v="0"/>
    <x v="0"/>
    <x v="0"/>
    <x v="0"/>
    <x v="0"/>
    <x v="0"/>
    <x v="0"/>
    <x v="1"/>
    <x v="0"/>
    <x v="0"/>
    <x v="0"/>
    <x v="0"/>
    <x v="1"/>
    <x v="0"/>
    <x v="0"/>
    <x v="1"/>
    <x v="0"/>
    <x v="2"/>
    <x v="13"/>
    <x v="413"/>
    <x v="121"/>
    <x v="12"/>
    <x v="0"/>
    <x v="0"/>
    <x v="2"/>
    <x v="3"/>
    <x v="0"/>
    <x v="8"/>
    <x v="8"/>
    <x v="13"/>
  </r>
  <r>
    <x v="763"/>
    <x v="117"/>
    <x v="8"/>
    <x v="8"/>
    <x v="21"/>
    <x v="0"/>
    <x v="1"/>
    <x v="5"/>
    <x v="2"/>
    <x v="2"/>
    <x v="418"/>
    <x v="0"/>
    <x v="0"/>
    <x v="0"/>
    <x v="0"/>
    <x v="3"/>
    <x v="418"/>
    <x v="0"/>
    <x v="12"/>
    <x v="8"/>
    <x v="763"/>
    <x v="117"/>
    <x v="8"/>
    <x v="8"/>
    <x v="21"/>
    <x v="0"/>
    <x v="1"/>
    <x v="5"/>
    <x v="2"/>
    <x v="562"/>
    <x v="0"/>
    <x v="0"/>
    <x v="1"/>
    <x v="0"/>
    <x v="0"/>
    <x v="0"/>
    <x v="0"/>
    <x v="0"/>
    <x v="0"/>
    <x v="0"/>
    <x v="0"/>
    <x v="0"/>
    <x v="0"/>
    <x v="0"/>
    <x v="0"/>
    <x v="0"/>
    <x v="0"/>
    <x v="0"/>
    <x v="0"/>
    <x v="0"/>
    <x v="0"/>
    <x v="0"/>
    <x v="0"/>
    <x v="13"/>
    <x v="414"/>
    <x v="256"/>
    <x v="65"/>
    <x v="0"/>
    <x v="5"/>
    <x v="2"/>
    <x v="25"/>
    <x v="1"/>
    <x v="8"/>
    <x v="8"/>
    <x v="13"/>
  </r>
  <r>
    <x v="764"/>
    <x v="192"/>
    <x v="8"/>
    <x v="8"/>
    <x v="190"/>
    <x v="5"/>
    <x v="1"/>
    <x v="1"/>
    <x v="2"/>
    <x v="2"/>
    <x v="131"/>
    <x v="0"/>
    <x v="0"/>
    <x v="0"/>
    <x v="0"/>
    <x v="3"/>
    <x v="131"/>
    <x v="150"/>
    <x v="12"/>
    <x v="8"/>
    <x v="764"/>
    <x v="192"/>
    <x v="8"/>
    <x v="8"/>
    <x v="193"/>
    <x v="5"/>
    <x v="1"/>
    <x v="1"/>
    <x v="2"/>
    <x v="151"/>
    <x v="0"/>
    <x v="0"/>
    <x v="1"/>
    <x v="0"/>
    <x v="0"/>
    <x v="0"/>
    <x v="0"/>
    <x v="0"/>
    <x v="0"/>
    <x v="0"/>
    <x v="0"/>
    <x v="0"/>
    <x v="1"/>
    <x v="0"/>
    <x v="0"/>
    <x v="0"/>
    <x v="0"/>
    <x v="1"/>
    <x v="1"/>
    <x v="0"/>
    <x v="3"/>
    <x v="0"/>
    <x v="1"/>
    <x v="639"/>
    <x v="415"/>
    <x v="257"/>
    <x v="16"/>
    <x v="0"/>
    <x v="0"/>
    <x v="2"/>
    <x v="3"/>
    <x v="0"/>
    <x v="123"/>
    <x v="114"/>
    <x v="13"/>
  </r>
  <r>
    <x v="765"/>
    <x v="163"/>
    <x v="319"/>
    <x v="8"/>
    <x v="191"/>
    <x v="2"/>
    <x v="1"/>
    <x v="1"/>
    <x v="3"/>
    <x v="3"/>
    <x v="143"/>
    <x v="0"/>
    <x v="0"/>
    <x v="0"/>
    <x v="0"/>
    <x v="0"/>
    <x v="143"/>
    <x v="0"/>
    <x v="12"/>
    <x v="8"/>
    <x v="765"/>
    <x v="163"/>
    <x v="319"/>
    <x v="8"/>
    <x v="194"/>
    <x v="2"/>
    <x v="1"/>
    <x v="1"/>
    <x v="3"/>
    <x v="593"/>
    <x v="0"/>
    <x v="0"/>
    <x v="1"/>
    <x v="0"/>
    <x v="0"/>
    <x v="0"/>
    <x v="0"/>
    <x v="0"/>
    <x v="0"/>
    <x v="0"/>
    <x v="0"/>
    <x v="0"/>
    <x v="0"/>
    <x v="0"/>
    <x v="0"/>
    <x v="1"/>
    <x v="0"/>
    <x v="0"/>
    <x v="0"/>
    <x v="1"/>
    <x v="0"/>
    <x v="0"/>
    <x v="0"/>
    <x v="13"/>
    <x v="415"/>
    <x v="257"/>
    <x v="16"/>
    <x v="0"/>
    <x v="0"/>
    <x v="2"/>
    <x v="3"/>
    <x v="0"/>
    <x v="8"/>
    <x v="8"/>
    <x v="13"/>
  </r>
  <r>
    <x v="766"/>
    <x v="95"/>
    <x v="8"/>
    <x v="8"/>
    <x v="7"/>
    <x v="3"/>
    <x v="1"/>
    <x v="1"/>
    <x v="1"/>
    <x v="1"/>
    <x v="467"/>
    <x v="0"/>
    <x v="0"/>
    <x v="0"/>
    <x v="0"/>
    <x v="3"/>
    <x v="467"/>
    <x v="151"/>
    <x v="6"/>
    <x v="6"/>
    <x v="766"/>
    <x v="95"/>
    <x v="8"/>
    <x v="8"/>
    <x v="7"/>
    <x v="3"/>
    <x v="1"/>
    <x v="1"/>
    <x v="1"/>
    <x v="594"/>
    <x v="0"/>
    <x v="0"/>
    <x v="1"/>
    <x v="1"/>
    <x v="0"/>
    <x v="0"/>
    <x v="0"/>
    <x v="0"/>
    <x v="0"/>
    <x v="0"/>
    <x v="0"/>
    <x v="0"/>
    <x v="1"/>
    <x v="0"/>
    <x v="0"/>
    <x v="1"/>
    <x v="0"/>
    <x v="1"/>
    <x v="1"/>
    <x v="0"/>
    <x v="4"/>
    <x v="0"/>
    <x v="2"/>
    <x v="640"/>
    <x v="416"/>
    <x v="119"/>
    <x v="1"/>
    <x v="0"/>
    <x v="0"/>
    <x v="38"/>
    <x v="57"/>
    <x v="0"/>
    <x v="76"/>
    <x v="70"/>
    <x v="672"/>
  </r>
  <r>
    <x v="767"/>
    <x v="55"/>
    <x v="320"/>
    <x v="8"/>
    <x v="13"/>
    <x v="0"/>
    <x v="1"/>
    <x v="5"/>
    <x v="2"/>
    <x v="2"/>
    <x v="384"/>
    <x v="0"/>
    <x v="0"/>
    <x v="0"/>
    <x v="0"/>
    <x v="0"/>
    <x v="384"/>
    <x v="0"/>
    <x v="36"/>
    <x v="24"/>
    <x v="767"/>
    <x v="55"/>
    <x v="320"/>
    <x v="8"/>
    <x v="195"/>
    <x v="0"/>
    <x v="1"/>
    <x v="5"/>
    <x v="2"/>
    <x v="461"/>
    <x v="0"/>
    <x v="0"/>
    <x v="1"/>
    <x v="0"/>
    <x v="0"/>
    <x v="0"/>
    <x v="0"/>
    <x v="0"/>
    <x v="0"/>
    <x v="0"/>
    <x v="0"/>
    <x v="0"/>
    <x v="0"/>
    <x v="0"/>
    <x v="0"/>
    <x v="0"/>
    <x v="0"/>
    <x v="0"/>
    <x v="0"/>
    <x v="0"/>
    <x v="0"/>
    <x v="0"/>
    <x v="2"/>
    <x v="641"/>
    <x v="417"/>
    <x v="258"/>
    <x v="54"/>
    <x v="0"/>
    <x v="3"/>
    <x v="19"/>
    <x v="26"/>
    <x v="0"/>
    <x v="47"/>
    <x v="47"/>
    <x v="673"/>
  </r>
  <r>
    <x v="768"/>
    <x v="7"/>
    <x v="321"/>
    <x v="170"/>
    <x v="3"/>
    <x v="2"/>
    <x v="1"/>
    <x v="1"/>
    <x v="3"/>
    <x v="3"/>
    <x v="16"/>
    <x v="0"/>
    <x v="0"/>
    <x v="0"/>
    <x v="0"/>
    <x v="2"/>
    <x v="16"/>
    <x v="0"/>
    <x v="12"/>
    <x v="11"/>
    <x v="768"/>
    <x v="7"/>
    <x v="321"/>
    <x v="170"/>
    <x v="3"/>
    <x v="2"/>
    <x v="1"/>
    <x v="1"/>
    <x v="3"/>
    <x v="16"/>
    <x v="0"/>
    <x v="0"/>
    <x v="0"/>
    <x v="0"/>
    <x v="1"/>
    <x v="0"/>
    <x v="0"/>
    <x v="0"/>
    <x v="0"/>
    <x v="0"/>
    <x v="0"/>
    <x v="0"/>
    <x v="0"/>
    <x v="0"/>
    <x v="0"/>
    <x v="0"/>
    <x v="0"/>
    <x v="1"/>
    <x v="0"/>
    <x v="0"/>
    <x v="0"/>
    <x v="0"/>
    <x v="0"/>
    <x v="642"/>
    <x v="417"/>
    <x v="258"/>
    <x v="54"/>
    <x v="0"/>
    <x v="3"/>
    <x v="19"/>
    <x v="26"/>
    <x v="0"/>
    <x v="94"/>
    <x v="86"/>
    <x v="13"/>
  </r>
  <r>
    <x v="769"/>
    <x v="139"/>
    <x v="322"/>
    <x v="171"/>
    <x v="3"/>
    <x v="5"/>
    <x v="1"/>
    <x v="1"/>
    <x v="3"/>
    <x v="3"/>
    <x v="468"/>
    <x v="0"/>
    <x v="0"/>
    <x v="0"/>
    <x v="0"/>
    <x v="0"/>
    <x v="468"/>
    <x v="0"/>
    <x v="12"/>
    <x v="8"/>
    <x v="769"/>
    <x v="139"/>
    <x v="322"/>
    <x v="171"/>
    <x v="3"/>
    <x v="5"/>
    <x v="1"/>
    <x v="1"/>
    <x v="3"/>
    <x v="595"/>
    <x v="0"/>
    <x v="0"/>
    <x v="1"/>
    <x v="0"/>
    <x v="0"/>
    <x v="0"/>
    <x v="0"/>
    <x v="0"/>
    <x v="0"/>
    <x v="0"/>
    <x v="0"/>
    <x v="0"/>
    <x v="0"/>
    <x v="0"/>
    <x v="0"/>
    <x v="0"/>
    <x v="0"/>
    <x v="1"/>
    <x v="0"/>
    <x v="0"/>
    <x v="0"/>
    <x v="0"/>
    <x v="0"/>
    <x v="423"/>
    <x v="417"/>
    <x v="258"/>
    <x v="48"/>
    <x v="0"/>
    <x v="35"/>
    <x v="32"/>
    <x v="29"/>
    <x v="0"/>
    <x v="1"/>
    <x v="1"/>
    <x v="13"/>
  </r>
  <r>
    <x v="770"/>
    <x v="193"/>
    <x v="323"/>
    <x v="172"/>
    <x v="13"/>
    <x v="0"/>
    <x v="1"/>
    <x v="1"/>
    <x v="3"/>
    <x v="3"/>
    <x v="469"/>
    <x v="0"/>
    <x v="0"/>
    <x v="0"/>
    <x v="0"/>
    <x v="4"/>
    <x v="469"/>
    <x v="0"/>
    <x v="36"/>
    <x v="9"/>
    <x v="770"/>
    <x v="193"/>
    <x v="323"/>
    <x v="172"/>
    <x v="195"/>
    <x v="0"/>
    <x v="1"/>
    <x v="1"/>
    <x v="3"/>
    <x v="596"/>
    <x v="0"/>
    <x v="0"/>
    <x v="1"/>
    <x v="0"/>
    <x v="0"/>
    <x v="0"/>
    <x v="0"/>
    <x v="0"/>
    <x v="0"/>
    <x v="0"/>
    <x v="0"/>
    <x v="0"/>
    <x v="0"/>
    <x v="0"/>
    <x v="0"/>
    <x v="1"/>
    <x v="0"/>
    <x v="0"/>
    <x v="0"/>
    <x v="0"/>
    <x v="0"/>
    <x v="0"/>
    <x v="0"/>
    <x v="86"/>
    <x v="417"/>
    <x v="258"/>
    <x v="48"/>
    <x v="0"/>
    <x v="36"/>
    <x v="32"/>
    <x v="126"/>
    <x v="0"/>
    <x v="81"/>
    <x v="74"/>
    <x v="674"/>
  </r>
  <r>
    <x v="771"/>
    <x v="7"/>
    <x v="324"/>
    <x v="173"/>
    <x v="3"/>
    <x v="5"/>
    <x v="1"/>
    <x v="1"/>
    <x v="3"/>
    <x v="3"/>
    <x v="470"/>
    <x v="0"/>
    <x v="0"/>
    <x v="0"/>
    <x v="0"/>
    <x v="2"/>
    <x v="470"/>
    <x v="0"/>
    <x v="12"/>
    <x v="8"/>
    <x v="771"/>
    <x v="7"/>
    <x v="324"/>
    <x v="173"/>
    <x v="3"/>
    <x v="5"/>
    <x v="1"/>
    <x v="1"/>
    <x v="3"/>
    <x v="597"/>
    <x v="0"/>
    <x v="0"/>
    <x v="1"/>
    <x v="0"/>
    <x v="0"/>
    <x v="0"/>
    <x v="0"/>
    <x v="0"/>
    <x v="0"/>
    <x v="0"/>
    <x v="0"/>
    <x v="0"/>
    <x v="1"/>
    <x v="0"/>
    <x v="0"/>
    <x v="0"/>
    <x v="0"/>
    <x v="1"/>
    <x v="0"/>
    <x v="0"/>
    <x v="0"/>
    <x v="0"/>
    <x v="1"/>
    <x v="423"/>
    <x v="417"/>
    <x v="258"/>
    <x v="48"/>
    <x v="0"/>
    <x v="36"/>
    <x v="32"/>
    <x v="126"/>
    <x v="0"/>
    <x v="1"/>
    <x v="1"/>
    <x v="13"/>
  </r>
  <r>
    <x v="772"/>
    <x v="7"/>
    <x v="325"/>
    <x v="174"/>
    <x v="192"/>
    <x v="5"/>
    <x v="1"/>
    <x v="1"/>
    <x v="3"/>
    <x v="3"/>
    <x v="471"/>
    <x v="0"/>
    <x v="0"/>
    <x v="0"/>
    <x v="0"/>
    <x v="4"/>
    <x v="471"/>
    <x v="0"/>
    <x v="12"/>
    <x v="9"/>
    <x v="772"/>
    <x v="7"/>
    <x v="325"/>
    <x v="174"/>
    <x v="196"/>
    <x v="5"/>
    <x v="1"/>
    <x v="1"/>
    <x v="3"/>
    <x v="598"/>
    <x v="0"/>
    <x v="0"/>
    <x v="1"/>
    <x v="0"/>
    <x v="0"/>
    <x v="0"/>
    <x v="0"/>
    <x v="0"/>
    <x v="0"/>
    <x v="0"/>
    <x v="0"/>
    <x v="0"/>
    <x v="0"/>
    <x v="0"/>
    <x v="0"/>
    <x v="0"/>
    <x v="0"/>
    <x v="1"/>
    <x v="0"/>
    <x v="0"/>
    <x v="0"/>
    <x v="0"/>
    <x v="0"/>
    <x v="643"/>
    <x v="417"/>
    <x v="6"/>
    <x v="7"/>
    <x v="1"/>
    <x v="4"/>
    <x v="4"/>
    <x v="5"/>
    <x v="0"/>
    <x v="124"/>
    <x v="115"/>
    <x v="13"/>
  </r>
  <r>
    <x v="773"/>
    <x v="194"/>
    <x v="8"/>
    <x v="8"/>
    <x v="193"/>
    <x v="1"/>
    <x v="1"/>
    <x v="1"/>
    <x v="1"/>
    <x v="1"/>
    <x v="37"/>
    <x v="0"/>
    <x v="0"/>
    <x v="0"/>
    <x v="0"/>
    <x v="0"/>
    <x v="37"/>
    <x v="0"/>
    <x v="42"/>
    <x v="6"/>
    <x v="773"/>
    <x v="194"/>
    <x v="8"/>
    <x v="8"/>
    <x v="197"/>
    <x v="1"/>
    <x v="1"/>
    <x v="1"/>
    <x v="1"/>
    <x v="39"/>
    <x v="0"/>
    <x v="0"/>
    <x v="1"/>
    <x v="0"/>
    <x v="0"/>
    <x v="0"/>
    <x v="0"/>
    <x v="0"/>
    <x v="0"/>
    <x v="0"/>
    <x v="0"/>
    <x v="0"/>
    <x v="0"/>
    <x v="0"/>
    <x v="0"/>
    <x v="0"/>
    <x v="0"/>
    <x v="0"/>
    <x v="0"/>
    <x v="0"/>
    <x v="0"/>
    <x v="0"/>
    <x v="0"/>
    <x v="90"/>
    <x v="418"/>
    <x v="220"/>
    <x v="13"/>
    <x v="0"/>
    <x v="16"/>
    <x v="64"/>
    <x v="127"/>
    <x v="0"/>
    <x v="1"/>
    <x v="1"/>
    <x v="675"/>
  </r>
  <r>
    <x v="774"/>
    <x v="195"/>
    <x v="326"/>
    <x v="8"/>
    <x v="18"/>
    <x v="1"/>
    <x v="1"/>
    <x v="1"/>
    <x v="1"/>
    <x v="1"/>
    <x v="162"/>
    <x v="0"/>
    <x v="0"/>
    <x v="0"/>
    <x v="0"/>
    <x v="1"/>
    <x v="162"/>
    <x v="0"/>
    <x v="287"/>
    <x v="6"/>
    <x v="774"/>
    <x v="195"/>
    <x v="326"/>
    <x v="8"/>
    <x v="18"/>
    <x v="1"/>
    <x v="1"/>
    <x v="1"/>
    <x v="1"/>
    <x v="183"/>
    <x v="0"/>
    <x v="0"/>
    <x v="1"/>
    <x v="0"/>
    <x v="0"/>
    <x v="0"/>
    <x v="0"/>
    <x v="0"/>
    <x v="0"/>
    <x v="0"/>
    <x v="0"/>
    <x v="0"/>
    <x v="0"/>
    <x v="0"/>
    <x v="0"/>
    <x v="0"/>
    <x v="0"/>
    <x v="0"/>
    <x v="1"/>
    <x v="0"/>
    <x v="0"/>
    <x v="0"/>
    <x v="0"/>
    <x v="644"/>
    <x v="419"/>
    <x v="16"/>
    <x v="15"/>
    <x v="0"/>
    <x v="14"/>
    <x v="2"/>
    <x v="36"/>
    <x v="0"/>
    <x v="21"/>
    <x v="21"/>
    <x v="676"/>
  </r>
  <r>
    <x v="775"/>
    <x v="195"/>
    <x v="327"/>
    <x v="8"/>
    <x v="18"/>
    <x v="1"/>
    <x v="1"/>
    <x v="1"/>
    <x v="1"/>
    <x v="1"/>
    <x v="162"/>
    <x v="0"/>
    <x v="0"/>
    <x v="0"/>
    <x v="0"/>
    <x v="1"/>
    <x v="162"/>
    <x v="0"/>
    <x v="288"/>
    <x v="6"/>
    <x v="775"/>
    <x v="195"/>
    <x v="327"/>
    <x v="8"/>
    <x v="18"/>
    <x v="1"/>
    <x v="1"/>
    <x v="1"/>
    <x v="1"/>
    <x v="183"/>
    <x v="0"/>
    <x v="0"/>
    <x v="1"/>
    <x v="0"/>
    <x v="0"/>
    <x v="0"/>
    <x v="0"/>
    <x v="0"/>
    <x v="0"/>
    <x v="0"/>
    <x v="0"/>
    <x v="0"/>
    <x v="0"/>
    <x v="0"/>
    <x v="0"/>
    <x v="0"/>
    <x v="0"/>
    <x v="0"/>
    <x v="0"/>
    <x v="0"/>
    <x v="0"/>
    <x v="0"/>
    <x v="0"/>
    <x v="645"/>
    <x v="419"/>
    <x v="16"/>
    <x v="15"/>
    <x v="0"/>
    <x v="14"/>
    <x v="2"/>
    <x v="36"/>
    <x v="0"/>
    <x v="21"/>
    <x v="21"/>
    <x v="677"/>
  </r>
  <r>
    <x v="776"/>
    <x v="195"/>
    <x v="328"/>
    <x v="8"/>
    <x v="91"/>
    <x v="1"/>
    <x v="1"/>
    <x v="1"/>
    <x v="1"/>
    <x v="1"/>
    <x v="278"/>
    <x v="0"/>
    <x v="0"/>
    <x v="0"/>
    <x v="0"/>
    <x v="0"/>
    <x v="278"/>
    <x v="0"/>
    <x v="279"/>
    <x v="6"/>
    <x v="776"/>
    <x v="195"/>
    <x v="328"/>
    <x v="8"/>
    <x v="91"/>
    <x v="1"/>
    <x v="1"/>
    <x v="1"/>
    <x v="1"/>
    <x v="323"/>
    <x v="0"/>
    <x v="0"/>
    <x v="1"/>
    <x v="0"/>
    <x v="0"/>
    <x v="0"/>
    <x v="0"/>
    <x v="0"/>
    <x v="0"/>
    <x v="0"/>
    <x v="0"/>
    <x v="0"/>
    <x v="0"/>
    <x v="0"/>
    <x v="0"/>
    <x v="0"/>
    <x v="0"/>
    <x v="0"/>
    <x v="1"/>
    <x v="0"/>
    <x v="0"/>
    <x v="0"/>
    <x v="0"/>
    <x v="646"/>
    <x v="419"/>
    <x v="16"/>
    <x v="15"/>
    <x v="0"/>
    <x v="14"/>
    <x v="2"/>
    <x v="36"/>
    <x v="0"/>
    <x v="125"/>
    <x v="116"/>
    <x v="678"/>
  </r>
  <r>
    <x v="777"/>
    <x v="195"/>
    <x v="329"/>
    <x v="8"/>
    <x v="91"/>
    <x v="1"/>
    <x v="1"/>
    <x v="1"/>
    <x v="1"/>
    <x v="1"/>
    <x v="354"/>
    <x v="0"/>
    <x v="0"/>
    <x v="0"/>
    <x v="0"/>
    <x v="3"/>
    <x v="354"/>
    <x v="0"/>
    <x v="289"/>
    <x v="6"/>
    <x v="777"/>
    <x v="195"/>
    <x v="329"/>
    <x v="8"/>
    <x v="91"/>
    <x v="1"/>
    <x v="1"/>
    <x v="1"/>
    <x v="1"/>
    <x v="422"/>
    <x v="0"/>
    <x v="0"/>
    <x v="1"/>
    <x v="0"/>
    <x v="0"/>
    <x v="0"/>
    <x v="0"/>
    <x v="0"/>
    <x v="0"/>
    <x v="0"/>
    <x v="0"/>
    <x v="0"/>
    <x v="0"/>
    <x v="0"/>
    <x v="0"/>
    <x v="0"/>
    <x v="0"/>
    <x v="0"/>
    <x v="1"/>
    <x v="0"/>
    <x v="0"/>
    <x v="0"/>
    <x v="0"/>
    <x v="647"/>
    <x v="419"/>
    <x v="16"/>
    <x v="15"/>
    <x v="0"/>
    <x v="14"/>
    <x v="2"/>
    <x v="36"/>
    <x v="0"/>
    <x v="126"/>
    <x v="117"/>
    <x v="679"/>
  </r>
  <r>
    <x v="778"/>
    <x v="0"/>
    <x v="330"/>
    <x v="8"/>
    <x v="18"/>
    <x v="1"/>
    <x v="1"/>
    <x v="0"/>
    <x v="1"/>
    <x v="1"/>
    <x v="472"/>
    <x v="0"/>
    <x v="0"/>
    <x v="0"/>
    <x v="0"/>
    <x v="1"/>
    <x v="472"/>
    <x v="0"/>
    <x v="290"/>
    <x v="6"/>
    <x v="778"/>
    <x v="0"/>
    <x v="330"/>
    <x v="8"/>
    <x v="18"/>
    <x v="1"/>
    <x v="1"/>
    <x v="0"/>
    <x v="1"/>
    <x v="599"/>
    <x v="0"/>
    <x v="0"/>
    <x v="1"/>
    <x v="0"/>
    <x v="0"/>
    <x v="0"/>
    <x v="0"/>
    <x v="0"/>
    <x v="0"/>
    <x v="0"/>
    <x v="0"/>
    <x v="0"/>
    <x v="1"/>
    <x v="0"/>
    <x v="0"/>
    <x v="0"/>
    <x v="0"/>
    <x v="1"/>
    <x v="0"/>
    <x v="0"/>
    <x v="0"/>
    <x v="0"/>
    <x v="1"/>
    <x v="648"/>
    <x v="419"/>
    <x v="16"/>
    <x v="16"/>
    <x v="0"/>
    <x v="0"/>
    <x v="2"/>
    <x v="3"/>
    <x v="0"/>
    <x v="127"/>
    <x v="118"/>
    <x v="680"/>
  </r>
  <r>
    <x v="779"/>
    <x v="195"/>
    <x v="8"/>
    <x v="8"/>
    <x v="89"/>
    <x v="1"/>
    <x v="1"/>
    <x v="1"/>
    <x v="1"/>
    <x v="1"/>
    <x v="162"/>
    <x v="0"/>
    <x v="0"/>
    <x v="0"/>
    <x v="0"/>
    <x v="1"/>
    <x v="162"/>
    <x v="0"/>
    <x v="291"/>
    <x v="6"/>
    <x v="779"/>
    <x v="195"/>
    <x v="8"/>
    <x v="8"/>
    <x v="89"/>
    <x v="1"/>
    <x v="1"/>
    <x v="1"/>
    <x v="1"/>
    <x v="183"/>
    <x v="0"/>
    <x v="0"/>
    <x v="1"/>
    <x v="0"/>
    <x v="0"/>
    <x v="0"/>
    <x v="0"/>
    <x v="0"/>
    <x v="0"/>
    <x v="0"/>
    <x v="0"/>
    <x v="0"/>
    <x v="0"/>
    <x v="0"/>
    <x v="0"/>
    <x v="0"/>
    <x v="0"/>
    <x v="0"/>
    <x v="0"/>
    <x v="0"/>
    <x v="0"/>
    <x v="0"/>
    <x v="0"/>
    <x v="649"/>
    <x v="419"/>
    <x v="16"/>
    <x v="16"/>
    <x v="0"/>
    <x v="0"/>
    <x v="2"/>
    <x v="3"/>
    <x v="0"/>
    <x v="21"/>
    <x v="21"/>
    <x v="681"/>
  </r>
  <r>
    <x v="780"/>
    <x v="195"/>
    <x v="8"/>
    <x v="8"/>
    <x v="194"/>
    <x v="1"/>
    <x v="1"/>
    <x v="1"/>
    <x v="1"/>
    <x v="1"/>
    <x v="473"/>
    <x v="0"/>
    <x v="0"/>
    <x v="0"/>
    <x v="0"/>
    <x v="3"/>
    <x v="473"/>
    <x v="0"/>
    <x v="292"/>
    <x v="6"/>
    <x v="780"/>
    <x v="195"/>
    <x v="8"/>
    <x v="8"/>
    <x v="198"/>
    <x v="1"/>
    <x v="1"/>
    <x v="1"/>
    <x v="1"/>
    <x v="600"/>
    <x v="0"/>
    <x v="0"/>
    <x v="1"/>
    <x v="0"/>
    <x v="0"/>
    <x v="0"/>
    <x v="0"/>
    <x v="0"/>
    <x v="0"/>
    <x v="0"/>
    <x v="0"/>
    <x v="0"/>
    <x v="0"/>
    <x v="0"/>
    <x v="0"/>
    <x v="0"/>
    <x v="0"/>
    <x v="0"/>
    <x v="0"/>
    <x v="0"/>
    <x v="0"/>
    <x v="0"/>
    <x v="0"/>
    <x v="650"/>
    <x v="419"/>
    <x v="16"/>
    <x v="16"/>
    <x v="0"/>
    <x v="3"/>
    <x v="15"/>
    <x v="20"/>
    <x v="0"/>
    <x v="128"/>
    <x v="119"/>
    <x v="682"/>
  </r>
  <r>
    <x v="781"/>
    <x v="130"/>
    <x v="8"/>
    <x v="8"/>
    <x v="168"/>
    <x v="0"/>
    <x v="1"/>
    <x v="1"/>
    <x v="1"/>
    <x v="1"/>
    <x v="0"/>
    <x v="0"/>
    <x v="0"/>
    <x v="0"/>
    <x v="0"/>
    <x v="0"/>
    <x v="0"/>
    <x v="0"/>
    <x v="10"/>
    <x v="7"/>
    <x v="781"/>
    <x v="130"/>
    <x v="8"/>
    <x v="8"/>
    <x v="171"/>
    <x v="0"/>
    <x v="1"/>
    <x v="1"/>
    <x v="1"/>
    <x v="433"/>
    <x v="0"/>
    <x v="0"/>
    <x v="1"/>
    <x v="1"/>
    <x v="0"/>
    <x v="0"/>
    <x v="0"/>
    <x v="0"/>
    <x v="0"/>
    <x v="0"/>
    <x v="0"/>
    <x v="0"/>
    <x v="0"/>
    <x v="0"/>
    <x v="0"/>
    <x v="1"/>
    <x v="0"/>
    <x v="0"/>
    <x v="0"/>
    <x v="0"/>
    <x v="0"/>
    <x v="0"/>
    <x v="1"/>
    <x v="651"/>
    <x v="420"/>
    <x v="258"/>
    <x v="54"/>
    <x v="0"/>
    <x v="14"/>
    <x v="2"/>
    <x v="36"/>
    <x v="0"/>
    <x v="7"/>
    <x v="7"/>
    <x v="683"/>
  </r>
  <r>
    <x v="782"/>
    <x v="196"/>
    <x v="331"/>
    <x v="8"/>
    <x v="195"/>
    <x v="1"/>
    <x v="1"/>
    <x v="1"/>
    <x v="1"/>
    <x v="1"/>
    <x v="41"/>
    <x v="0"/>
    <x v="0"/>
    <x v="0"/>
    <x v="0"/>
    <x v="1"/>
    <x v="41"/>
    <x v="0"/>
    <x v="293"/>
    <x v="6"/>
    <x v="782"/>
    <x v="196"/>
    <x v="331"/>
    <x v="8"/>
    <x v="199"/>
    <x v="1"/>
    <x v="1"/>
    <x v="1"/>
    <x v="1"/>
    <x v="327"/>
    <x v="0"/>
    <x v="0"/>
    <x v="1"/>
    <x v="0"/>
    <x v="0"/>
    <x v="0"/>
    <x v="0"/>
    <x v="0"/>
    <x v="0"/>
    <x v="0"/>
    <x v="0"/>
    <x v="0"/>
    <x v="1"/>
    <x v="0"/>
    <x v="0"/>
    <x v="0"/>
    <x v="0"/>
    <x v="1"/>
    <x v="1"/>
    <x v="0"/>
    <x v="0"/>
    <x v="0"/>
    <x v="1"/>
    <x v="570"/>
    <x v="421"/>
    <x v="259"/>
    <x v="12"/>
    <x v="0"/>
    <x v="0"/>
    <x v="2"/>
    <x v="3"/>
    <x v="0"/>
    <x v="29"/>
    <x v="29"/>
    <x v="684"/>
  </r>
  <r>
    <x v="220"/>
    <x v="197"/>
    <x v="8"/>
    <x v="8"/>
    <x v="73"/>
    <x v="3"/>
    <x v="1"/>
    <x v="1"/>
    <x v="1"/>
    <x v="1"/>
    <x v="474"/>
    <x v="0"/>
    <x v="0"/>
    <x v="0"/>
    <x v="0"/>
    <x v="1"/>
    <x v="474"/>
    <x v="0"/>
    <x v="294"/>
    <x v="6"/>
    <x v="220"/>
    <x v="197"/>
    <x v="8"/>
    <x v="8"/>
    <x v="73"/>
    <x v="3"/>
    <x v="1"/>
    <x v="1"/>
    <x v="1"/>
    <x v="601"/>
    <x v="1"/>
    <x v="0"/>
    <x v="1"/>
    <x v="1"/>
    <x v="0"/>
    <x v="0"/>
    <x v="0"/>
    <x v="0"/>
    <x v="0"/>
    <x v="0"/>
    <x v="0"/>
    <x v="0"/>
    <x v="0"/>
    <x v="0"/>
    <x v="0"/>
    <x v="1"/>
    <x v="0"/>
    <x v="0"/>
    <x v="0"/>
    <x v="0"/>
    <x v="0"/>
    <x v="0"/>
    <x v="2"/>
    <x v="510"/>
    <x v="422"/>
    <x v="88"/>
    <x v="13"/>
    <x v="0"/>
    <x v="0"/>
    <x v="2"/>
    <x v="3"/>
    <x v="0"/>
    <x v="2"/>
    <x v="2"/>
    <x v="685"/>
  </r>
  <r>
    <x v="783"/>
    <x v="197"/>
    <x v="332"/>
    <x v="8"/>
    <x v="196"/>
    <x v="0"/>
    <x v="4"/>
    <x v="1"/>
    <x v="1"/>
    <x v="1"/>
    <x v="178"/>
    <x v="0"/>
    <x v="0"/>
    <x v="0"/>
    <x v="0"/>
    <x v="1"/>
    <x v="178"/>
    <x v="0"/>
    <x v="295"/>
    <x v="6"/>
    <x v="783"/>
    <x v="197"/>
    <x v="332"/>
    <x v="8"/>
    <x v="200"/>
    <x v="0"/>
    <x v="4"/>
    <x v="1"/>
    <x v="1"/>
    <x v="202"/>
    <x v="0"/>
    <x v="0"/>
    <x v="1"/>
    <x v="0"/>
    <x v="0"/>
    <x v="0"/>
    <x v="0"/>
    <x v="0"/>
    <x v="0"/>
    <x v="0"/>
    <x v="0"/>
    <x v="0"/>
    <x v="0"/>
    <x v="0"/>
    <x v="0"/>
    <x v="1"/>
    <x v="0"/>
    <x v="0"/>
    <x v="0"/>
    <x v="0"/>
    <x v="0"/>
    <x v="0"/>
    <x v="0"/>
    <x v="652"/>
    <x v="422"/>
    <x v="88"/>
    <x v="11"/>
    <x v="0"/>
    <x v="16"/>
    <x v="2"/>
    <x v="39"/>
    <x v="0"/>
    <x v="26"/>
    <x v="26"/>
    <x v="686"/>
  </r>
  <r>
    <x v="784"/>
    <x v="9"/>
    <x v="8"/>
    <x v="8"/>
    <x v="36"/>
    <x v="9"/>
    <x v="4"/>
    <x v="3"/>
    <x v="1"/>
    <x v="1"/>
    <x v="475"/>
    <x v="0"/>
    <x v="0"/>
    <x v="0"/>
    <x v="0"/>
    <x v="1"/>
    <x v="475"/>
    <x v="0"/>
    <x v="0"/>
    <x v="6"/>
    <x v="784"/>
    <x v="9"/>
    <x v="8"/>
    <x v="8"/>
    <x v="36"/>
    <x v="9"/>
    <x v="4"/>
    <x v="3"/>
    <x v="1"/>
    <x v="602"/>
    <x v="0"/>
    <x v="0"/>
    <x v="1"/>
    <x v="0"/>
    <x v="0"/>
    <x v="0"/>
    <x v="0"/>
    <x v="0"/>
    <x v="0"/>
    <x v="0"/>
    <x v="0"/>
    <x v="0"/>
    <x v="0"/>
    <x v="0"/>
    <x v="1"/>
    <x v="0"/>
    <x v="0"/>
    <x v="0"/>
    <x v="0"/>
    <x v="0"/>
    <x v="0"/>
    <x v="0"/>
    <x v="0"/>
    <x v="653"/>
    <x v="423"/>
    <x v="60"/>
    <x v="1"/>
    <x v="0"/>
    <x v="16"/>
    <x v="2"/>
    <x v="39"/>
    <x v="0"/>
    <x v="129"/>
    <x v="120"/>
    <x v="539"/>
  </r>
  <r>
    <x v="785"/>
    <x v="65"/>
    <x v="8"/>
    <x v="8"/>
    <x v="36"/>
    <x v="9"/>
    <x v="8"/>
    <x v="3"/>
    <x v="1"/>
    <x v="1"/>
    <x v="476"/>
    <x v="0"/>
    <x v="0"/>
    <x v="0"/>
    <x v="0"/>
    <x v="1"/>
    <x v="476"/>
    <x v="0"/>
    <x v="186"/>
    <x v="6"/>
    <x v="785"/>
    <x v="65"/>
    <x v="8"/>
    <x v="8"/>
    <x v="36"/>
    <x v="9"/>
    <x v="8"/>
    <x v="3"/>
    <x v="1"/>
    <x v="603"/>
    <x v="0"/>
    <x v="1"/>
    <x v="1"/>
    <x v="0"/>
    <x v="0"/>
    <x v="0"/>
    <x v="0"/>
    <x v="0"/>
    <x v="0"/>
    <x v="0"/>
    <x v="0"/>
    <x v="0"/>
    <x v="0"/>
    <x v="0"/>
    <x v="1"/>
    <x v="0"/>
    <x v="0"/>
    <x v="0"/>
    <x v="0"/>
    <x v="0"/>
    <x v="0"/>
    <x v="0"/>
    <x v="0"/>
    <x v="654"/>
    <x v="423"/>
    <x v="60"/>
    <x v="1"/>
    <x v="0"/>
    <x v="16"/>
    <x v="2"/>
    <x v="39"/>
    <x v="0"/>
    <x v="44"/>
    <x v="44"/>
    <x v="687"/>
  </r>
  <r>
    <x v="786"/>
    <x v="90"/>
    <x v="8"/>
    <x v="8"/>
    <x v="197"/>
    <x v="9"/>
    <x v="1"/>
    <x v="1"/>
    <x v="1"/>
    <x v="1"/>
    <x v="394"/>
    <x v="0"/>
    <x v="0"/>
    <x v="0"/>
    <x v="0"/>
    <x v="1"/>
    <x v="394"/>
    <x v="0"/>
    <x v="125"/>
    <x v="6"/>
    <x v="786"/>
    <x v="90"/>
    <x v="8"/>
    <x v="8"/>
    <x v="201"/>
    <x v="9"/>
    <x v="1"/>
    <x v="1"/>
    <x v="1"/>
    <x v="480"/>
    <x v="0"/>
    <x v="0"/>
    <x v="1"/>
    <x v="0"/>
    <x v="0"/>
    <x v="0"/>
    <x v="1"/>
    <x v="0"/>
    <x v="0"/>
    <x v="0"/>
    <x v="0"/>
    <x v="0"/>
    <x v="0"/>
    <x v="0"/>
    <x v="0"/>
    <x v="0"/>
    <x v="0"/>
    <x v="0"/>
    <x v="0"/>
    <x v="0"/>
    <x v="0"/>
    <x v="0"/>
    <x v="1"/>
    <x v="479"/>
    <x v="423"/>
    <x v="60"/>
    <x v="1"/>
    <x v="0"/>
    <x v="17"/>
    <x v="2"/>
    <x v="40"/>
    <x v="0"/>
    <x v="1"/>
    <x v="1"/>
    <x v="688"/>
  </r>
  <r>
    <x v="787"/>
    <x v="90"/>
    <x v="8"/>
    <x v="8"/>
    <x v="197"/>
    <x v="9"/>
    <x v="1"/>
    <x v="1"/>
    <x v="1"/>
    <x v="1"/>
    <x v="414"/>
    <x v="0"/>
    <x v="0"/>
    <x v="0"/>
    <x v="0"/>
    <x v="1"/>
    <x v="414"/>
    <x v="0"/>
    <x v="4"/>
    <x v="6"/>
    <x v="787"/>
    <x v="90"/>
    <x v="8"/>
    <x v="8"/>
    <x v="201"/>
    <x v="9"/>
    <x v="1"/>
    <x v="1"/>
    <x v="1"/>
    <x v="521"/>
    <x v="0"/>
    <x v="0"/>
    <x v="1"/>
    <x v="0"/>
    <x v="0"/>
    <x v="0"/>
    <x v="0"/>
    <x v="0"/>
    <x v="0"/>
    <x v="0"/>
    <x v="0"/>
    <x v="0"/>
    <x v="0"/>
    <x v="0"/>
    <x v="0"/>
    <x v="0"/>
    <x v="0"/>
    <x v="0"/>
    <x v="0"/>
    <x v="0"/>
    <x v="0"/>
    <x v="0"/>
    <x v="0"/>
    <x v="561"/>
    <x v="423"/>
    <x v="60"/>
    <x v="1"/>
    <x v="0"/>
    <x v="17"/>
    <x v="2"/>
    <x v="40"/>
    <x v="0"/>
    <x v="0"/>
    <x v="0"/>
    <x v="689"/>
  </r>
  <r>
    <x v="788"/>
    <x v="21"/>
    <x v="333"/>
    <x v="8"/>
    <x v="82"/>
    <x v="3"/>
    <x v="1"/>
    <x v="1"/>
    <x v="1"/>
    <x v="1"/>
    <x v="289"/>
    <x v="0"/>
    <x v="0"/>
    <x v="0"/>
    <x v="0"/>
    <x v="0"/>
    <x v="289"/>
    <x v="82"/>
    <x v="42"/>
    <x v="6"/>
    <x v="788"/>
    <x v="21"/>
    <x v="333"/>
    <x v="8"/>
    <x v="202"/>
    <x v="3"/>
    <x v="1"/>
    <x v="1"/>
    <x v="1"/>
    <x v="336"/>
    <x v="0"/>
    <x v="0"/>
    <x v="1"/>
    <x v="0"/>
    <x v="0"/>
    <x v="0"/>
    <x v="0"/>
    <x v="0"/>
    <x v="0"/>
    <x v="0"/>
    <x v="0"/>
    <x v="0"/>
    <x v="1"/>
    <x v="0"/>
    <x v="0"/>
    <x v="1"/>
    <x v="0"/>
    <x v="1"/>
    <x v="1"/>
    <x v="0"/>
    <x v="1"/>
    <x v="0"/>
    <x v="3"/>
    <x v="655"/>
    <x v="424"/>
    <x v="20"/>
    <x v="3"/>
    <x v="0"/>
    <x v="10"/>
    <x v="16"/>
    <x v="22"/>
    <x v="0"/>
    <x v="29"/>
    <x v="29"/>
    <x v="690"/>
  </r>
  <r>
    <x v="789"/>
    <x v="21"/>
    <x v="334"/>
    <x v="8"/>
    <x v="2"/>
    <x v="3"/>
    <x v="1"/>
    <x v="1"/>
    <x v="1"/>
    <x v="1"/>
    <x v="477"/>
    <x v="0"/>
    <x v="0"/>
    <x v="0"/>
    <x v="0"/>
    <x v="0"/>
    <x v="477"/>
    <x v="152"/>
    <x v="144"/>
    <x v="6"/>
    <x v="789"/>
    <x v="21"/>
    <x v="334"/>
    <x v="8"/>
    <x v="2"/>
    <x v="3"/>
    <x v="1"/>
    <x v="1"/>
    <x v="1"/>
    <x v="604"/>
    <x v="0"/>
    <x v="0"/>
    <x v="1"/>
    <x v="0"/>
    <x v="0"/>
    <x v="0"/>
    <x v="0"/>
    <x v="0"/>
    <x v="0"/>
    <x v="0"/>
    <x v="0"/>
    <x v="0"/>
    <x v="1"/>
    <x v="0"/>
    <x v="0"/>
    <x v="0"/>
    <x v="0"/>
    <x v="1"/>
    <x v="1"/>
    <x v="0"/>
    <x v="2"/>
    <x v="0"/>
    <x v="3"/>
    <x v="656"/>
    <x v="424"/>
    <x v="20"/>
    <x v="3"/>
    <x v="0"/>
    <x v="10"/>
    <x v="16"/>
    <x v="22"/>
    <x v="0"/>
    <x v="3"/>
    <x v="3"/>
    <x v="691"/>
  </r>
  <r>
    <x v="790"/>
    <x v="21"/>
    <x v="158"/>
    <x v="8"/>
    <x v="43"/>
    <x v="0"/>
    <x v="1"/>
    <x v="1"/>
    <x v="1"/>
    <x v="1"/>
    <x v="284"/>
    <x v="0"/>
    <x v="0"/>
    <x v="0"/>
    <x v="0"/>
    <x v="0"/>
    <x v="284"/>
    <x v="0"/>
    <x v="10"/>
    <x v="6"/>
    <x v="790"/>
    <x v="21"/>
    <x v="158"/>
    <x v="8"/>
    <x v="119"/>
    <x v="0"/>
    <x v="1"/>
    <x v="1"/>
    <x v="1"/>
    <x v="330"/>
    <x v="0"/>
    <x v="0"/>
    <x v="1"/>
    <x v="0"/>
    <x v="0"/>
    <x v="0"/>
    <x v="0"/>
    <x v="0"/>
    <x v="0"/>
    <x v="0"/>
    <x v="0"/>
    <x v="0"/>
    <x v="1"/>
    <x v="0"/>
    <x v="0"/>
    <x v="1"/>
    <x v="0"/>
    <x v="1"/>
    <x v="1"/>
    <x v="0"/>
    <x v="0"/>
    <x v="0"/>
    <x v="2"/>
    <x v="657"/>
    <x v="424"/>
    <x v="19"/>
    <x v="17"/>
    <x v="0"/>
    <x v="3"/>
    <x v="15"/>
    <x v="20"/>
    <x v="0"/>
    <x v="27"/>
    <x v="27"/>
    <x v="692"/>
  </r>
  <r>
    <x v="791"/>
    <x v="21"/>
    <x v="335"/>
    <x v="8"/>
    <x v="0"/>
    <x v="3"/>
    <x v="1"/>
    <x v="1"/>
    <x v="1"/>
    <x v="1"/>
    <x v="478"/>
    <x v="0"/>
    <x v="0"/>
    <x v="0"/>
    <x v="0"/>
    <x v="2"/>
    <x v="478"/>
    <x v="153"/>
    <x v="60"/>
    <x v="6"/>
    <x v="791"/>
    <x v="21"/>
    <x v="335"/>
    <x v="8"/>
    <x v="0"/>
    <x v="3"/>
    <x v="1"/>
    <x v="1"/>
    <x v="1"/>
    <x v="605"/>
    <x v="0"/>
    <x v="0"/>
    <x v="0"/>
    <x v="0"/>
    <x v="1"/>
    <x v="0"/>
    <x v="0"/>
    <x v="0"/>
    <x v="0"/>
    <x v="0"/>
    <x v="0"/>
    <x v="0"/>
    <x v="1"/>
    <x v="0"/>
    <x v="0"/>
    <x v="1"/>
    <x v="0"/>
    <x v="1"/>
    <x v="1"/>
    <x v="0"/>
    <x v="1"/>
    <x v="0"/>
    <x v="3"/>
    <x v="658"/>
    <x v="424"/>
    <x v="19"/>
    <x v="17"/>
    <x v="0"/>
    <x v="10"/>
    <x v="16"/>
    <x v="22"/>
    <x v="0"/>
    <x v="29"/>
    <x v="29"/>
    <x v="693"/>
  </r>
  <r>
    <x v="792"/>
    <x v="21"/>
    <x v="63"/>
    <x v="8"/>
    <x v="40"/>
    <x v="5"/>
    <x v="1"/>
    <x v="1"/>
    <x v="1"/>
    <x v="1"/>
    <x v="479"/>
    <x v="0"/>
    <x v="0"/>
    <x v="0"/>
    <x v="0"/>
    <x v="3"/>
    <x v="479"/>
    <x v="154"/>
    <x v="296"/>
    <x v="6"/>
    <x v="792"/>
    <x v="21"/>
    <x v="63"/>
    <x v="8"/>
    <x v="40"/>
    <x v="5"/>
    <x v="1"/>
    <x v="1"/>
    <x v="1"/>
    <x v="606"/>
    <x v="0"/>
    <x v="0"/>
    <x v="1"/>
    <x v="0"/>
    <x v="0"/>
    <x v="0"/>
    <x v="0"/>
    <x v="0"/>
    <x v="0"/>
    <x v="0"/>
    <x v="0"/>
    <x v="0"/>
    <x v="1"/>
    <x v="0"/>
    <x v="0"/>
    <x v="0"/>
    <x v="0"/>
    <x v="1"/>
    <x v="0"/>
    <x v="0"/>
    <x v="2"/>
    <x v="0"/>
    <x v="1"/>
    <x v="637"/>
    <x v="424"/>
    <x v="19"/>
    <x v="18"/>
    <x v="0"/>
    <x v="3"/>
    <x v="15"/>
    <x v="20"/>
    <x v="0"/>
    <x v="2"/>
    <x v="2"/>
    <x v="694"/>
  </r>
  <r>
    <x v="793"/>
    <x v="21"/>
    <x v="336"/>
    <x v="8"/>
    <x v="0"/>
    <x v="3"/>
    <x v="1"/>
    <x v="1"/>
    <x v="1"/>
    <x v="1"/>
    <x v="480"/>
    <x v="0"/>
    <x v="0"/>
    <x v="0"/>
    <x v="0"/>
    <x v="1"/>
    <x v="480"/>
    <x v="0"/>
    <x v="297"/>
    <x v="6"/>
    <x v="793"/>
    <x v="21"/>
    <x v="336"/>
    <x v="8"/>
    <x v="0"/>
    <x v="3"/>
    <x v="1"/>
    <x v="1"/>
    <x v="1"/>
    <x v="607"/>
    <x v="0"/>
    <x v="0"/>
    <x v="1"/>
    <x v="0"/>
    <x v="0"/>
    <x v="0"/>
    <x v="0"/>
    <x v="0"/>
    <x v="1"/>
    <x v="0"/>
    <x v="0"/>
    <x v="0"/>
    <x v="0"/>
    <x v="0"/>
    <x v="0"/>
    <x v="1"/>
    <x v="0"/>
    <x v="0"/>
    <x v="0"/>
    <x v="0"/>
    <x v="0"/>
    <x v="0"/>
    <x v="3"/>
    <x v="659"/>
    <x v="424"/>
    <x v="19"/>
    <x v="18"/>
    <x v="0"/>
    <x v="3"/>
    <x v="15"/>
    <x v="20"/>
    <x v="0"/>
    <x v="44"/>
    <x v="44"/>
    <x v="695"/>
  </r>
  <r>
    <x v="794"/>
    <x v="21"/>
    <x v="337"/>
    <x v="8"/>
    <x v="0"/>
    <x v="3"/>
    <x v="1"/>
    <x v="1"/>
    <x v="1"/>
    <x v="1"/>
    <x v="30"/>
    <x v="0"/>
    <x v="0"/>
    <x v="0"/>
    <x v="0"/>
    <x v="0"/>
    <x v="30"/>
    <x v="19"/>
    <x v="79"/>
    <x v="6"/>
    <x v="794"/>
    <x v="21"/>
    <x v="337"/>
    <x v="8"/>
    <x v="0"/>
    <x v="3"/>
    <x v="1"/>
    <x v="1"/>
    <x v="1"/>
    <x v="32"/>
    <x v="0"/>
    <x v="0"/>
    <x v="1"/>
    <x v="0"/>
    <x v="0"/>
    <x v="0"/>
    <x v="0"/>
    <x v="0"/>
    <x v="1"/>
    <x v="0"/>
    <x v="0"/>
    <x v="0"/>
    <x v="1"/>
    <x v="0"/>
    <x v="0"/>
    <x v="1"/>
    <x v="0"/>
    <x v="1"/>
    <x v="1"/>
    <x v="0"/>
    <x v="1"/>
    <x v="0"/>
    <x v="2"/>
    <x v="317"/>
    <x v="424"/>
    <x v="6"/>
    <x v="7"/>
    <x v="1"/>
    <x v="4"/>
    <x v="4"/>
    <x v="5"/>
    <x v="0"/>
    <x v="26"/>
    <x v="26"/>
    <x v="696"/>
  </r>
  <r>
    <x v="795"/>
    <x v="21"/>
    <x v="338"/>
    <x v="8"/>
    <x v="42"/>
    <x v="3"/>
    <x v="1"/>
    <x v="1"/>
    <x v="1"/>
    <x v="1"/>
    <x v="95"/>
    <x v="123"/>
    <x v="24"/>
    <x v="95"/>
    <x v="1"/>
    <x v="3"/>
    <x v="95"/>
    <x v="155"/>
    <x v="21"/>
    <x v="6"/>
    <x v="795"/>
    <x v="21"/>
    <x v="338"/>
    <x v="8"/>
    <x v="42"/>
    <x v="3"/>
    <x v="1"/>
    <x v="1"/>
    <x v="1"/>
    <x v="608"/>
    <x v="0"/>
    <x v="0"/>
    <x v="1"/>
    <x v="0"/>
    <x v="0"/>
    <x v="0"/>
    <x v="0"/>
    <x v="0"/>
    <x v="0"/>
    <x v="0"/>
    <x v="0"/>
    <x v="0"/>
    <x v="1"/>
    <x v="0"/>
    <x v="0"/>
    <x v="0"/>
    <x v="0"/>
    <x v="1"/>
    <x v="1"/>
    <x v="0"/>
    <x v="1"/>
    <x v="0"/>
    <x v="1"/>
    <x v="660"/>
    <x v="424"/>
    <x v="6"/>
    <x v="7"/>
    <x v="1"/>
    <x v="4"/>
    <x v="4"/>
    <x v="5"/>
    <x v="0"/>
    <x v="26"/>
    <x v="26"/>
    <x v="697"/>
  </r>
  <r>
    <x v="796"/>
    <x v="21"/>
    <x v="339"/>
    <x v="8"/>
    <x v="44"/>
    <x v="0"/>
    <x v="1"/>
    <x v="1"/>
    <x v="1"/>
    <x v="1"/>
    <x v="481"/>
    <x v="0"/>
    <x v="0"/>
    <x v="0"/>
    <x v="0"/>
    <x v="0"/>
    <x v="481"/>
    <x v="156"/>
    <x v="92"/>
    <x v="6"/>
    <x v="796"/>
    <x v="21"/>
    <x v="339"/>
    <x v="8"/>
    <x v="44"/>
    <x v="0"/>
    <x v="1"/>
    <x v="1"/>
    <x v="1"/>
    <x v="609"/>
    <x v="0"/>
    <x v="0"/>
    <x v="0"/>
    <x v="0"/>
    <x v="1"/>
    <x v="0"/>
    <x v="0"/>
    <x v="0"/>
    <x v="0"/>
    <x v="0"/>
    <x v="0"/>
    <x v="0"/>
    <x v="1"/>
    <x v="0"/>
    <x v="0"/>
    <x v="1"/>
    <x v="0"/>
    <x v="1"/>
    <x v="1"/>
    <x v="0"/>
    <x v="1"/>
    <x v="0"/>
    <x v="3"/>
    <x v="661"/>
    <x v="424"/>
    <x v="6"/>
    <x v="7"/>
    <x v="1"/>
    <x v="4"/>
    <x v="4"/>
    <x v="5"/>
    <x v="0"/>
    <x v="0"/>
    <x v="0"/>
    <x v="698"/>
  </r>
  <r>
    <x v="797"/>
    <x v="8"/>
    <x v="8"/>
    <x v="8"/>
    <x v="33"/>
    <x v="0"/>
    <x v="3"/>
    <x v="3"/>
    <x v="5"/>
    <x v="4"/>
    <x v="482"/>
    <x v="0"/>
    <x v="0"/>
    <x v="0"/>
    <x v="0"/>
    <x v="0"/>
    <x v="482"/>
    <x v="0"/>
    <x v="12"/>
    <x v="8"/>
    <x v="797"/>
    <x v="8"/>
    <x v="8"/>
    <x v="8"/>
    <x v="33"/>
    <x v="0"/>
    <x v="3"/>
    <x v="3"/>
    <x v="5"/>
    <x v="610"/>
    <x v="0"/>
    <x v="0"/>
    <x v="0"/>
    <x v="0"/>
    <x v="0"/>
    <x v="0"/>
    <x v="0"/>
    <x v="0"/>
    <x v="0"/>
    <x v="0"/>
    <x v="0"/>
    <x v="1"/>
    <x v="0"/>
    <x v="0"/>
    <x v="0"/>
    <x v="1"/>
    <x v="0"/>
    <x v="0"/>
    <x v="0"/>
    <x v="0"/>
    <x v="0"/>
    <x v="0"/>
    <x v="0"/>
    <x v="13"/>
    <x v="425"/>
    <x v="260"/>
    <x v="54"/>
    <x v="0"/>
    <x v="17"/>
    <x v="19"/>
    <x v="128"/>
    <x v="0"/>
    <x v="8"/>
    <x v="8"/>
    <x v="13"/>
  </r>
  <r>
    <x v="798"/>
    <x v="2"/>
    <x v="8"/>
    <x v="8"/>
    <x v="1"/>
    <x v="9"/>
    <x v="3"/>
    <x v="2"/>
    <x v="1"/>
    <x v="1"/>
    <x v="483"/>
    <x v="0"/>
    <x v="0"/>
    <x v="0"/>
    <x v="0"/>
    <x v="3"/>
    <x v="483"/>
    <x v="0"/>
    <x v="183"/>
    <x v="26"/>
    <x v="798"/>
    <x v="2"/>
    <x v="8"/>
    <x v="8"/>
    <x v="1"/>
    <x v="9"/>
    <x v="3"/>
    <x v="2"/>
    <x v="1"/>
    <x v="611"/>
    <x v="1"/>
    <x v="0"/>
    <x v="1"/>
    <x v="0"/>
    <x v="0"/>
    <x v="0"/>
    <x v="0"/>
    <x v="0"/>
    <x v="0"/>
    <x v="0"/>
    <x v="0"/>
    <x v="0"/>
    <x v="0"/>
    <x v="0"/>
    <x v="0"/>
    <x v="0"/>
    <x v="0"/>
    <x v="0"/>
    <x v="0"/>
    <x v="0"/>
    <x v="0"/>
    <x v="0"/>
    <x v="1"/>
    <x v="662"/>
    <x v="426"/>
    <x v="104"/>
    <x v="15"/>
    <x v="0"/>
    <x v="5"/>
    <x v="32"/>
    <x v="48"/>
    <x v="1"/>
    <x v="5"/>
    <x v="5"/>
    <x v="699"/>
  </r>
  <r>
    <x v="799"/>
    <x v="8"/>
    <x v="340"/>
    <x v="175"/>
    <x v="7"/>
    <x v="0"/>
    <x v="3"/>
    <x v="3"/>
    <x v="1"/>
    <x v="1"/>
    <x v="484"/>
    <x v="124"/>
    <x v="17"/>
    <x v="145"/>
    <x v="1"/>
    <x v="0"/>
    <x v="484"/>
    <x v="0"/>
    <x v="209"/>
    <x v="6"/>
    <x v="799"/>
    <x v="8"/>
    <x v="340"/>
    <x v="175"/>
    <x v="7"/>
    <x v="0"/>
    <x v="3"/>
    <x v="3"/>
    <x v="1"/>
    <x v="612"/>
    <x v="0"/>
    <x v="0"/>
    <x v="1"/>
    <x v="1"/>
    <x v="0"/>
    <x v="0"/>
    <x v="0"/>
    <x v="0"/>
    <x v="0"/>
    <x v="0"/>
    <x v="0"/>
    <x v="1"/>
    <x v="0"/>
    <x v="0"/>
    <x v="0"/>
    <x v="0"/>
    <x v="0"/>
    <x v="0"/>
    <x v="0"/>
    <x v="0"/>
    <x v="0"/>
    <x v="0"/>
    <x v="1"/>
    <x v="663"/>
    <x v="427"/>
    <x v="39"/>
    <x v="13"/>
    <x v="0"/>
    <x v="3"/>
    <x v="15"/>
    <x v="20"/>
    <x v="0"/>
    <x v="28"/>
    <x v="28"/>
    <x v="700"/>
  </r>
  <r>
    <x v="800"/>
    <x v="8"/>
    <x v="341"/>
    <x v="176"/>
    <x v="1"/>
    <x v="0"/>
    <x v="3"/>
    <x v="3"/>
    <x v="1"/>
    <x v="1"/>
    <x v="221"/>
    <x v="0"/>
    <x v="0"/>
    <x v="0"/>
    <x v="0"/>
    <x v="0"/>
    <x v="221"/>
    <x v="0"/>
    <x v="33"/>
    <x v="6"/>
    <x v="800"/>
    <x v="8"/>
    <x v="341"/>
    <x v="176"/>
    <x v="1"/>
    <x v="0"/>
    <x v="3"/>
    <x v="3"/>
    <x v="1"/>
    <x v="613"/>
    <x v="0"/>
    <x v="0"/>
    <x v="0"/>
    <x v="0"/>
    <x v="0"/>
    <x v="0"/>
    <x v="0"/>
    <x v="0"/>
    <x v="0"/>
    <x v="0"/>
    <x v="0"/>
    <x v="0"/>
    <x v="0"/>
    <x v="0"/>
    <x v="0"/>
    <x v="1"/>
    <x v="1"/>
    <x v="0"/>
    <x v="0"/>
    <x v="0"/>
    <x v="0"/>
    <x v="0"/>
    <x v="0"/>
    <x v="664"/>
    <x v="427"/>
    <x v="39"/>
    <x v="13"/>
    <x v="0"/>
    <x v="3"/>
    <x v="15"/>
    <x v="20"/>
    <x v="0"/>
    <x v="28"/>
    <x v="28"/>
    <x v="701"/>
  </r>
  <r>
    <x v="801"/>
    <x v="2"/>
    <x v="8"/>
    <x v="8"/>
    <x v="123"/>
    <x v="5"/>
    <x v="1"/>
    <x v="2"/>
    <x v="1"/>
    <x v="1"/>
    <x v="485"/>
    <x v="32"/>
    <x v="19"/>
    <x v="146"/>
    <x v="1"/>
    <x v="0"/>
    <x v="485"/>
    <x v="157"/>
    <x v="12"/>
    <x v="8"/>
    <x v="801"/>
    <x v="2"/>
    <x v="8"/>
    <x v="8"/>
    <x v="125"/>
    <x v="5"/>
    <x v="1"/>
    <x v="2"/>
    <x v="1"/>
    <x v="614"/>
    <x v="0"/>
    <x v="0"/>
    <x v="1"/>
    <x v="0"/>
    <x v="0"/>
    <x v="0"/>
    <x v="0"/>
    <x v="0"/>
    <x v="0"/>
    <x v="0"/>
    <x v="0"/>
    <x v="0"/>
    <x v="1"/>
    <x v="0"/>
    <x v="0"/>
    <x v="0"/>
    <x v="0"/>
    <x v="1"/>
    <x v="0"/>
    <x v="0"/>
    <x v="2"/>
    <x v="0"/>
    <x v="1"/>
    <x v="665"/>
    <x v="428"/>
    <x v="261"/>
    <x v="3"/>
    <x v="0"/>
    <x v="3"/>
    <x v="3"/>
    <x v="4"/>
    <x v="0"/>
    <x v="0"/>
    <x v="0"/>
    <x v="13"/>
  </r>
  <r>
    <x v="802"/>
    <x v="198"/>
    <x v="8"/>
    <x v="8"/>
    <x v="7"/>
    <x v="0"/>
    <x v="1"/>
    <x v="1"/>
    <x v="1"/>
    <x v="1"/>
    <x v="486"/>
    <x v="0"/>
    <x v="0"/>
    <x v="0"/>
    <x v="0"/>
    <x v="0"/>
    <x v="486"/>
    <x v="0"/>
    <x v="36"/>
    <x v="38"/>
    <x v="802"/>
    <x v="198"/>
    <x v="8"/>
    <x v="8"/>
    <x v="7"/>
    <x v="0"/>
    <x v="1"/>
    <x v="1"/>
    <x v="1"/>
    <x v="615"/>
    <x v="0"/>
    <x v="0"/>
    <x v="1"/>
    <x v="0"/>
    <x v="0"/>
    <x v="0"/>
    <x v="0"/>
    <x v="0"/>
    <x v="0"/>
    <x v="0"/>
    <x v="0"/>
    <x v="0"/>
    <x v="0"/>
    <x v="0"/>
    <x v="0"/>
    <x v="0"/>
    <x v="0"/>
    <x v="0"/>
    <x v="0"/>
    <x v="0"/>
    <x v="0"/>
    <x v="0"/>
    <x v="0"/>
    <x v="666"/>
    <x v="429"/>
    <x v="262"/>
    <x v="55"/>
    <x v="0"/>
    <x v="24"/>
    <x v="67"/>
    <x v="116"/>
    <x v="0"/>
    <x v="103"/>
    <x v="95"/>
    <x v="702"/>
  </r>
  <r>
    <x v="803"/>
    <x v="2"/>
    <x v="8"/>
    <x v="8"/>
    <x v="7"/>
    <x v="0"/>
    <x v="1"/>
    <x v="2"/>
    <x v="1"/>
    <x v="1"/>
    <x v="174"/>
    <x v="0"/>
    <x v="0"/>
    <x v="0"/>
    <x v="0"/>
    <x v="3"/>
    <x v="174"/>
    <x v="0"/>
    <x v="13"/>
    <x v="11"/>
    <x v="803"/>
    <x v="2"/>
    <x v="8"/>
    <x v="8"/>
    <x v="7"/>
    <x v="0"/>
    <x v="1"/>
    <x v="2"/>
    <x v="1"/>
    <x v="198"/>
    <x v="0"/>
    <x v="0"/>
    <x v="1"/>
    <x v="1"/>
    <x v="0"/>
    <x v="1"/>
    <x v="0"/>
    <x v="0"/>
    <x v="0"/>
    <x v="0"/>
    <x v="0"/>
    <x v="0"/>
    <x v="0"/>
    <x v="0"/>
    <x v="0"/>
    <x v="1"/>
    <x v="0"/>
    <x v="0"/>
    <x v="1"/>
    <x v="0"/>
    <x v="0"/>
    <x v="3"/>
    <x v="2"/>
    <x v="307"/>
    <x v="430"/>
    <x v="165"/>
    <x v="59"/>
    <x v="0"/>
    <x v="5"/>
    <x v="14"/>
    <x v="19"/>
    <x v="1"/>
    <x v="1"/>
    <x v="1"/>
    <x v="703"/>
  </r>
  <r>
    <x v="483"/>
    <x v="2"/>
    <x v="8"/>
    <x v="8"/>
    <x v="7"/>
    <x v="0"/>
    <x v="1"/>
    <x v="2"/>
    <x v="1"/>
    <x v="1"/>
    <x v="466"/>
    <x v="0"/>
    <x v="0"/>
    <x v="0"/>
    <x v="0"/>
    <x v="3"/>
    <x v="466"/>
    <x v="0"/>
    <x v="19"/>
    <x v="10"/>
    <x v="483"/>
    <x v="2"/>
    <x v="8"/>
    <x v="8"/>
    <x v="7"/>
    <x v="0"/>
    <x v="1"/>
    <x v="2"/>
    <x v="1"/>
    <x v="591"/>
    <x v="0"/>
    <x v="0"/>
    <x v="1"/>
    <x v="1"/>
    <x v="0"/>
    <x v="1"/>
    <x v="0"/>
    <x v="0"/>
    <x v="0"/>
    <x v="0"/>
    <x v="0"/>
    <x v="0"/>
    <x v="0"/>
    <x v="0"/>
    <x v="0"/>
    <x v="1"/>
    <x v="0"/>
    <x v="0"/>
    <x v="1"/>
    <x v="0"/>
    <x v="0"/>
    <x v="0"/>
    <x v="2"/>
    <x v="667"/>
    <x v="430"/>
    <x v="165"/>
    <x v="59"/>
    <x v="0"/>
    <x v="5"/>
    <x v="14"/>
    <x v="19"/>
    <x v="1"/>
    <x v="1"/>
    <x v="1"/>
    <x v="704"/>
  </r>
  <r>
    <x v="804"/>
    <x v="199"/>
    <x v="8"/>
    <x v="8"/>
    <x v="198"/>
    <x v="4"/>
    <x v="1"/>
    <x v="1"/>
    <x v="3"/>
    <x v="3"/>
    <x v="136"/>
    <x v="0"/>
    <x v="0"/>
    <x v="0"/>
    <x v="0"/>
    <x v="1"/>
    <x v="136"/>
    <x v="0"/>
    <x v="211"/>
    <x v="6"/>
    <x v="804"/>
    <x v="199"/>
    <x v="8"/>
    <x v="8"/>
    <x v="203"/>
    <x v="4"/>
    <x v="1"/>
    <x v="1"/>
    <x v="3"/>
    <x v="616"/>
    <x v="0"/>
    <x v="0"/>
    <x v="1"/>
    <x v="0"/>
    <x v="0"/>
    <x v="0"/>
    <x v="0"/>
    <x v="0"/>
    <x v="0"/>
    <x v="0"/>
    <x v="0"/>
    <x v="1"/>
    <x v="0"/>
    <x v="0"/>
    <x v="0"/>
    <x v="0"/>
    <x v="0"/>
    <x v="0"/>
    <x v="0"/>
    <x v="0"/>
    <x v="0"/>
    <x v="0"/>
    <x v="0"/>
    <x v="295"/>
    <x v="431"/>
    <x v="263"/>
    <x v="2"/>
    <x v="0"/>
    <x v="5"/>
    <x v="22"/>
    <x v="30"/>
    <x v="1"/>
    <x v="2"/>
    <x v="2"/>
    <x v="705"/>
  </r>
  <r>
    <x v="805"/>
    <x v="199"/>
    <x v="8"/>
    <x v="8"/>
    <x v="198"/>
    <x v="4"/>
    <x v="1"/>
    <x v="1"/>
    <x v="1"/>
    <x v="1"/>
    <x v="151"/>
    <x v="0"/>
    <x v="0"/>
    <x v="0"/>
    <x v="0"/>
    <x v="1"/>
    <x v="151"/>
    <x v="0"/>
    <x v="251"/>
    <x v="6"/>
    <x v="805"/>
    <x v="199"/>
    <x v="8"/>
    <x v="8"/>
    <x v="203"/>
    <x v="4"/>
    <x v="1"/>
    <x v="1"/>
    <x v="1"/>
    <x v="171"/>
    <x v="0"/>
    <x v="0"/>
    <x v="1"/>
    <x v="0"/>
    <x v="0"/>
    <x v="0"/>
    <x v="0"/>
    <x v="0"/>
    <x v="0"/>
    <x v="0"/>
    <x v="0"/>
    <x v="0"/>
    <x v="0"/>
    <x v="0"/>
    <x v="0"/>
    <x v="0"/>
    <x v="0"/>
    <x v="0"/>
    <x v="0"/>
    <x v="0"/>
    <x v="0"/>
    <x v="0"/>
    <x v="0"/>
    <x v="668"/>
    <x v="431"/>
    <x v="131"/>
    <x v="34"/>
    <x v="0"/>
    <x v="5"/>
    <x v="22"/>
    <x v="30"/>
    <x v="1"/>
    <x v="10"/>
    <x v="10"/>
    <x v="706"/>
  </r>
  <r>
    <x v="806"/>
    <x v="2"/>
    <x v="8"/>
    <x v="8"/>
    <x v="199"/>
    <x v="0"/>
    <x v="1"/>
    <x v="2"/>
    <x v="1"/>
    <x v="1"/>
    <x v="487"/>
    <x v="0"/>
    <x v="0"/>
    <x v="0"/>
    <x v="0"/>
    <x v="1"/>
    <x v="487"/>
    <x v="0"/>
    <x v="136"/>
    <x v="12"/>
    <x v="806"/>
    <x v="2"/>
    <x v="8"/>
    <x v="8"/>
    <x v="204"/>
    <x v="0"/>
    <x v="1"/>
    <x v="2"/>
    <x v="1"/>
    <x v="617"/>
    <x v="0"/>
    <x v="0"/>
    <x v="1"/>
    <x v="0"/>
    <x v="0"/>
    <x v="0"/>
    <x v="0"/>
    <x v="0"/>
    <x v="0"/>
    <x v="0"/>
    <x v="0"/>
    <x v="0"/>
    <x v="0"/>
    <x v="0"/>
    <x v="0"/>
    <x v="0"/>
    <x v="0"/>
    <x v="0"/>
    <x v="0"/>
    <x v="0"/>
    <x v="0"/>
    <x v="0"/>
    <x v="0"/>
    <x v="471"/>
    <x v="432"/>
    <x v="38"/>
    <x v="2"/>
    <x v="0"/>
    <x v="5"/>
    <x v="0"/>
    <x v="63"/>
    <x v="1"/>
    <x v="2"/>
    <x v="2"/>
    <x v="707"/>
  </r>
  <r>
    <x v="807"/>
    <x v="200"/>
    <x v="8"/>
    <x v="8"/>
    <x v="7"/>
    <x v="0"/>
    <x v="1"/>
    <x v="1"/>
    <x v="1"/>
    <x v="1"/>
    <x v="488"/>
    <x v="125"/>
    <x v="9"/>
    <x v="147"/>
    <x v="1"/>
    <x v="0"/>
    <x v="488"/>
    <x v="0"/>
    <x v="136"/>
    <x v="39"/>
    <x v="807"/>
    <x v="200"/>
    <x v="8"/>
    <x v="8"/>
    <x v="7"/>
    <x v="0"/>
    <x v="1"/>
    <x v="1"/>
    <x v="1"/>
    <x v="618"/>
    <x v="0"/>
    <x v="0"/>
    <x v="0"/>
    <x v="0"/>
    <x v="1"/>
    <x v="0"/>
    <x v="1"/>
    <x v="0"/>
    <x v="0"/>
    <x v="0"/>
    <x v="0"/>
    <x v="0"/>
    <x v="0"/>
    <x v="0"/>
    <x v="0"/>
    <x v="1"/>
    <x v="0"/>
    <x v="0"/>
    <x v="0"/>
    <x v="0"/>
    <x v="0"/>
    <x v="0"/>
    <x v="2"/>
    <x v="669"/>
    <x v="432"/>
    <x v="38"/>
    <x v="2"/>
    <x v="0"/>
    <x v="5"/>
    <x v="0"/>
    <x v="63"/>
    <x v="1"/>
    <x v="5"/>
    <x v="5"/>
    <x v="708"/>
  </r>
  <r>
    <x v="808"/>
    <x v="200"/>
    <x v="8"/>
    <x v="8"/>
    <x v="7"/>
    <x v="0"/>
    <x v="1"/>
    <x v="1"/>
    <x v="1"/>
    <x v="1"/>
    <x v="489"/>
    <x v="126"/>
    <x v="17"/>
    <x v="148"/>
    <x v="1"/>
    <x v="0"/>
    <x v="489"/>
    <x v="0"/>
    <x v="4"/>
    <x v="3"/>
    <x v="808"/>
    <x v="200"/>
    <x v="8"/>
    <x v="8"/>
    <x v="7"/>
    <x v="0"/>
    <x v="1"/>
    <x v="1"/>
    <x v="1"/>
    <x v="619"/>
    <x v="0"/>
    <x v="0"/>
    <x v="0"/>
    <x v="0"/>
    <x v="1"/>
    <x v="0"/>
    <x v="1"/>
    <x v="0"/>
    <x v="0"/>
    <x v="0"/>
    <x v="0"/>
    <x v="0"/>
    <x v="0"/>
    <x v="0"/>
    <x v="0"/>
    <x v="1"/>
    <x v="0"/>
    <x v="0"/>
    <x v="0"/>
    <x v="0"/>
    <x v="0"/>
    <x v="0"/>
    <x v="1"/>
    <x v="670"/>
    <x v="432"/>
    <x v="38"/>
    <x v="2"/>
    <x v="0"/>
    <x v="5"/>
    <x v="0"/>
    <x v="63"/>
    <x v="1"/>
    <x v="1"/>
    <x v="1"/>
    <x v="709"/>
  </r>
  <r>
    <x v="809"/>
    <x v="200"/>
    <x v="8"/>
    <x v="8"/>
    <x v="7"/>
    <x v="0"/>
    <x v="1"/>
    <x v="1"/>
    <x v="1"/>
    <x v="1"/>
    <x v="488"/>
    <x v="125"/>
    <x v="9"/>
    <x v="147"/>
    <x v="1"/>
    <x v="0"/>
    <x v="488"/>
    <x v="0"/>
    <x v="0"/>
    <x v="68"/>
    <x v="809"/>
    <x v="200"/>
    <x v="8"/>
    <x v="8"/>
    <x v="7"/>
    <x v="0"/>
    <x v="1"/>
    <x v="1"/>
    <x v="1"/>
    <x v="618"/>
    <x v="0"/>
    <x v="0"/>
    <x v="0"/>
    <x v="0"/>
    <x v="1"/>
    <x v="0"/>
    <x v="1"/>
    <x v="0"/>
    <x v="0"/>
    <x v="0"/>
    <x v="0"/>
    <x v="0"/>
    <x v="0"/>
    <x v="0"/>
    <x v="0"/>
    <x v="1"/>
    <x v="0"/>
    <x v="0"/>
    <x v="0"/>
    <x v="0"/>
    <x v="0"/>
    <x v="0"/>
    <x v="2"/>
    <x v="671"/>
    <x v="432"/>
    <x v="38"/>
    <x v="2"/>
    <x v="0"/>
    <x v="5"/>
    <x v="0"/>
    <x v="63"/>
    <x v="1"/>
    <x v="0"/>
    <x v="0"/>
    <x v="710"/>
  </r>
  <r>
    <x v="810"/>
    <x v="8"/>
    <x v="8"/>
    <x v="177"/>
    <x v="7"/>
    <x v="0"/>
    <x v="3"/>
    <x v="3"/>
    <x v="1"/>
    <x v="1"/>
    <x v="391"/>
    <x v="0"/>
    <x v="0"/>
    <x v="0"/>
    <x v="0"/>
    <x v="3"/>
    <x v="391"/>
    <x v="0"/>
    <x v="2"/>
    <x v="6"/>
    <x v="810"/>
    <x v="8"/>
    <x v="8"/>
    <x v="177"/>
    <x v="7"/>
    <x v="0"/>
    <x v="3"/>
    <x v="3"/>
    <x v="1"/>
    <x v="475"/>
    <x v="0"/>
    <x v="1"/>
    <x v="1"/>
    <x v="0"/>
    <x v="0"/>
    <x v="0"/>
    <x v="0"/>
    <x v="0"/>
    <x v="0"/>
    <x v="0"/>
    <x v="0"/>
    <x v="0"/>
    <x v="0"/>
    <x v="0"/>
    <x v="0"/>
    <x v="1"/>
    <x v="1"/>
    <x v="0"/>
    <x v="0"/>
    <x v="0"/>
    <x v="0"/>
    <x v="0"/>
    <x v="0"/>
    <x v="672"/>
    <x v="433"/>
    <x v="264"/>
    <x v="13"/>
    <x v="0"/>
    <x v="0"/>
    <x v="2"/>
    <x v="3"/>
    <x v="0"/>
    <x v="32"/>
    <x v="32"/>
    <x v="711"/>
  </r>
  <r>
    <x v="811"/>
    <x v="133"/>
    <x v="8"/>
    <x v="8"/>
    <x v="200"/>
    <x v="4"/>
    <x v="1"/>
    <x v="1"/>
    <x v="1"/>
    <x v="1"/>
    <x v="298"/>
    <x v="0"/>
    <x v="0"/>
    <x v="0"/>
    <x v="0"/>
    <x v="0"/>
    <x v="298"/>
    <x v="0"/>
    <x v="0"/>
    <x v="6"/>
    <x v="811"/>
    <x v="133"/>
    <x v="8"/>
    <x v="8"/>
    <x v="205"/>
    <x v="4"/>
    <x v="1"/>
    <x v="1"/>
    <x v="1"/>
    <x v="352"/>
    <x v="0"/>
    <x v="0"/>
    <x v="1"/>
    <x v="1"/>
    <x v="0"/>
    <x v="0"/>
    <x v="0"/>
    <x v="0"/>
    <x v="0"/>
    <x v="0"/>
    <x v="0"/>
    <x v="0"/>
    <x v="0"/>
    <x v="0"/>
    <x v="0"/>
    <x v="0"/>
    <x v="0"/>
    <x v="0"/>
    <x v="1"/>
    <x v="0"/>
    <x v="0"/>
    <x v="0"/>
    <x v="1"/>
    <x v="102"/>
    <x v="434"/>
    <x v="39"/>
    <x v="13"/>
    <x v="0"/>
    <x v="0"/>
    <x v="2"/>
    <x v="3"/>
    <x v="0"/>
    <x v="5"/>
    <x v="5"/>
    <x v="712"/>
  </r>
  <r>
    <x v="812"/>
    <x v="5"/>
    <x v="342"/>
    <x v="178"/>
    <x v="0"/>
    <x v="0"/>
    <x v="2"/>
    <x v="0"/>
    <x v="1"/>
    <x v="1"/>
    <x v="490"/>
    <x v="0"/>
    <x v="0"/>
    <x v="0"/>
    <x v="0"/>
    <x v="0"/>
    <x v="490"/>
    <x v="158"/>
    <x v="36"/>
    <x v="6"/>
    <x v="812"/>
    <x v="5"/>
    <x v="342"/>
    <x v="178"/>
    <x v="0"/>
    <x v="0"/>
    <x v="2"/>
    <x v="0"/>
    <x v="1"/>
    <x v="620"/>
    <x v="0"/>
    <x v="0"/>
    <x v="0"/>
    <x v="0"/>
    <x v="1"/>
    <x v="0"/>
    <x v="0"/>
    <x v="0"/>
    <x v="0"/>
    <x v="0"/>
    <x v="0"/>
    <x v="0"/>
    <x v="0"/>
    <x v="0"/>
    <x v="0"/>
    <x v="0"/>
    <x v="0"/>
    <x v="0"/>
    <x v="1"/>
    <x v="0"/>
    <x v="3"/>
    <x v="0"/>
    <x v="0"/>
    <x v="673"/>
    <x v="435"/>
    <x v="265"/>
    <x v="27"/>
    <x v="0"/>
    <x v="5"/>
    <x v="22"/>
    <x v="30"/>
    <x v="1"/>
    <x v="28"/>
    <x v="28"/>
    <x v="713"/>
  </r>
  <r>
    <x v="813"/>
    <x v="5"/>
    <x v="343"/>
    <x v="179"/>
    <x v="63"/>
    <x v="5"/>
    <x v="2"/>
    <x v="0"/>
    <x v="3"/>
    <x v="3"/>
    <x v="491"/>
    <x v="0"/>
    <x v="0"/>
    <x v="0"/>
    <x v="0"/>
    <x v="0"/>
    <x v="491"/>
    <x v="159"/>
    <x v="6"/>
    <x v="19"/>
    <x v="813"/>
    <x v="5"/>
    <x v="343"/>
    <x v="179"/>
    <x v="63"/>
    <x v="5"/>
    <x v="2"/>
    <x v="0"/>
    <x v="3"/>
    <x v="621"/>
    <x v="0"/>
    <x v="0"/>
    <x v="0"/>
    <x v="0"/>
    <x v="1"/>
    <x v="0"/>
    <x v="0"/>
    <x v="0"/>
    <x v="0"/>
    <x v="0"/>
    <x v="0"/>
    <x v="0"/>
    <x v="1"/>
    <x v="0"/>
    <x v="0"/>
    <x v="0"/>
    <x v="0"/>
    <x v="1"/>
    <x v="1"/>
    <x v="0"/>
    <x v="1"/>
    <x v="0"/>
    <x v="1"/>
    <x v="205"/>
    <x v="435"/>
    <x v="265"/>
    <x v="27"/>
    <x v="0"/>
    <x v="5"/>
    <x v="22"/>
    <x v="30"/>
    <x v="1"/>
    <x v="8"/>
    <x v="8"/>
    <x v="714"/>
  </r>
  <r>
    <x v="814"/>
    <x v="5"/>
    <x v="8"/>
    <x v="180"/>
    <x v="58"/>
    <x v="0"/>
    <x v="2"/>
    <x v="0"/>
    <x v="3"/>
    <x v="3"/>
    <x v="492"/>
    <x v="0"/>
    <x v="0"/>
    <x v="0"/>
    <x v="0"/>
    <x v="3"/>
    <x v="492"/>
    <x v="160"/>
    <x v="5"/>
    <x v="6"/>
    <x v="814"/>
    <x v="5"/>
    <x v="8"/>
    <x v="180"/>
    <x v="58"/>
    <x v="0"/>
    <x v="2"/>
    <x v="0"/>
    <x v="3"/>
    <x v="622"/>
    <x v="0"/>
    <x v="0"/>
    <x v="1"/>
    <x v="0"/>
    <x v="0"/>
    <x v="0"/>
    <x v="0"/>
    <x v="0"/>
    <x v="0"/>
    <x v="0"/>
    <x v="0"/>
    <x v="0"/>
    <x v="0"/>
    <x v="0"/>
    <x v="0"/>
    <x v="0"/>
    <x v="0"/>
    <x v="0"/>
    <x v="1"/>
    <x v="0"/>
    <x v="1"/>
    <x v="0"/>
    <x v="0"/>
    <x v="212"/>
    <x v="435"/>
    <x v="265"/>
    <x v="27"/>
    <x v="0"/>
    <x v="5"/>
    <x v="22"/>
    <x v="30"/>
    <x v="1"/>
    <x v="8"/>
    <x v="8"/>
    <x v="715"/>
  </r>
  <r>
    <x v="815"/>
    <x v="26"/>
    <x v="8"/>
    <x v="8"/>
    <x v="6"/>
    <x v="8"/>
    <x v="1"/>
    <x v="1"/>
    <x v="3"/>
    <x v="3"/>
    <x v="37"/>
    <x v="0"/>
    <x v="0"/>
    <x v="0"/>
    <x v="0"/>
    <x v="0"/>
    <x v="37"/>
    <x v="161"/>
    <x v="36"/>
    <x v="12"/>
    <x v="815"/>
    <x v="26"/>
    <x v="8"/>
    <x v="8"/>
    <x v="6"/>
    <x v="8"/>
    <x v="1"/>
    <x v="1"/>
    <x v="3"/>
    <x v="623"/>
    <x v="0"/>
    <x v="0"/>
    <x v="1"/>
    <x v="1"/>
    <x v="0"/>
    <x v="0"/>
    <x v="0"/>
    <x v="0"/>
    <x v="0"/>
    <x v="0"/>
    <x v="0"/>
    <x v="0"/>
    <x v="1"/>
    <x v="0"/>
    <x v="0"/>
    <x v="0"/>
    <x v="0"/>
    <x v="1"/>
    <x v="1"/>
    <x v="1"/>
    <x v="4"/>
    <x v="0"/>
    <x v="2"/>
    <x v="674"/>
    <x v="436"/>
    <x v="266"/>
    <x v="12"/>
    <x v="0"/>
    <x v="0"/>
    <x v="2"/>
    <x v="3"/>
    <x v="0"/>
    <x v="11"/>
    <x v="11"/>
    <x v="41"/>
  </r>
  <r>
    <x v="816"/>
    <x v="2"/>
    <x v="8"/>
    <x v="8"/>
    <x v="201"/>
    <x v="0"/>
    <x v="1"/>
    <x v="2"/>
    <x v="1"/>
    <x v="1"/>
    <x v="493"/>
    <x v="0"/>
    <x v="0"/>
    <x v="0"/>
    <x v="0"/>
    <x v="3"/>
    <x v="493"/>
    <x v="0"/>
    <x v="227"/>
    <x v="6"/>
    <x v="816"/>
    <x v="2"/>
    <x v="8"/>
    <x v="8"/>
    <x v="206"/>
    <x v="0"/>
    <x v="1"/>
    <x v="2"/>
    <x v="1"/>
    <x v="624"/>
    <x v="0"/>
    <x v="0"/>
    <x v="1"/>
    <x v="0"/>
    <x v="0"/>
    <x v="0"/>
    <x v="0"/>
    <x v="0"/>
    <x v="0"/>
    <x v="0"/>
    <x v="0"/>
    <x v="0"/>
    <x v="0"/>
    <x v="0"/>
    <x v="0"/>
    <x v="0"/>
    <x v="0"/>
    <x v="0"/>
    <x v="0"/>
    <x v="0"/>
    <x v="0"/>
    <x v="0"/>
    <x v="0"/>
    <x v="675"/>
    <x v="437"/>
    <x v="119"/>
    <x v="1"/>
    <x v="0"/>
    <x v="3"/>
    <x v="9"/>
    <x v="46"/>
    <x v="0"/>
    <x v="11"/>
    <x v="11"/>
    <x v="716"/>
  </r>
  <r>
    <x v="817"/>
    <x v="88"/>
    <x v="344"/>
    <x v="8"/>
    <x v="14"/>
    <x v="3"/>
    <x v="1"/>
    <x v="1"/>
    <x v="1"/>
    <x v="1"/>
    <x v="398"/>
    <x v="0"/>
    <x v="0"/>
    <x v="0"/>
    <x v="0"/>
    <x v="2"/>
    <x v="398"/>
    <x v="162"/>
    <x v="6"/>
    <x v="6"/>
    <x v="817"/>
    <x v="88"/>
    <x v="344"/>
    <x v="8"/>
    <x v="14"/>
    <x v="3"/>
    <x v="1"/>
    <x v="1"/>
    <x v="1"/>
    <x v="625"/>
    <x v="0"/>
    <x v="0"/>
    <x v="1"/>
    <x v="1"/>
    <x v="0"/>
    <x v="0"/>
    <x v="0"/>
    <x v="0"/>
    <x v="0"/>
    <x v="0"/>
    <x v="0"/>
    <x v="0"/>
    <x v="1"/>
    <x v="0"/>
    <x v="0"/>
    <x v="1"/>
    <x v="0"/>
    <x v="1"/>
    <x v="1"/>
    <x v="0"/>
    <x v="1"/>
    <x v="0"/>
    <x v="3"/>
    <x v="676"/>
    <x v="438"/>
    <x v="51"/>
    <x v="2"/>
    <x v="0"/>
    <x v="5"/>
    <x v="48"/>
    <x v="78"/>
    <x v="1"/>
    <x v="26"/>
    <x v="26"/>
    <x v="717"/>
  </r>
  <r>
    <x v="818"/>
    <x v="88"/>
    <x v="344"/>
    <x v="8"/>
    <x v="2"/>
    <x v="3"/>
    <x v="1"/>
    <x v="1"/>
    <x v="1"/>
    <x v="1"/>
    <x v="398"/>
    <x v="0"/>
    <x v="0"/>
    <x v="0"/>
    <x v="0"/>
    <x v="2"/>
    <x v="398"/>
    <x v="0"/>
    <x v="298"/>
    <x v="6"/>
    <x v="818"/>
    <x v="88"/>
    <x v="344"/>
    <x v="8"/>
    <x v="2"/>
    <x v="3"/>
    <x v="1"/>
    <x v="1"/>
    <x v="1"/>
    <x v="625"/>
    <x v="0"/>
    <x v="0"/>
    <x v="1"/>
    <x v="1"/>
    <x v="0"/>
    <x v="0"/>
    <x v="0"/>
    <x v="0"/>
    <x v="0"/>
    <x v="0"/>
    <x v="0"/>
    <x v="0"/>
    <x v="1"/>
    <x v="0"/>
    <x v="0"/>
    <x v="1"/>
    <x v="0"/>
    <x v="1"/>
    <x v="1"/>
    <x v="0"/>
    <x v="0"/>
    <x v="0"/>
    <x v="2"/>
    <x v="677"/>
    <x v="438"/>
    <x v="51"/>
    <x v="2"/>
    <x v="0"/>
    <x v="5"/>
    <x v="48"/>
    <x v="78"/>
    <x v="1"/>
    <x v="5"/>
    <x v="5"/>
    <x v="718"/>
  </r>
  <r>
    <x v="819"/>
    <x v="88"/>
    <x v="345"/>
    <x v="8"/>
    <x v="2"/>
    <x v="0"/>
    <x v="1"/>
    <x v="1"/>
    <x v="1"/>
    <x v="1"/>
    <x v="20"/>
    <x v="0"/>
    <x v="0"/>
    <x v="0"/>
    <x v="0"/>
    <x v="3"/>
    <x v="20"/>
    <x v="0"/>
    <x v="6"/>
    <x v="6"/>
    <x v="819"/>
    <x v="88"/>
    <x v="345"/>
    <x v="8"/>
    <x v="2"/>
    <x v="0"/>
    <x v="1"/>
    <x v="1"/>
    <x v="1"/>
    <x v="46"/>
    <x v="1"/>
    <x v="1"/>
    <x v="1"/>
    <x v="1"/>
    <x v="0"/>
    <x v="1"/>
    <x v="0"/>
    <x v="0"/>
    <x v="0"/>
    <x v="0"/>
    <x v="0"/>
    <x v="0"/>
    <x v="0"/>
    <x v="0"/>
    <x v="0"/>
    <x v="1"/>
    <x v="0"/>
    <x v="0"/>
    <x v="0"/>
    <x v="0"/>
    <x v="0"/>
    <x v="0"/>
    <x v="2"/>
    <x v="628"/>
    <x v="438"/>
    <x v="51"/>
    <x v="2"/>
    <x v="0"/>
    <x v="5"/>
    <x v="48"/>
    <x v="78"/>
    <x v="1"/>
    <x v="0"/>
    <x v="0"/>
    <x v="649"/>
  </r>
  <r>
    <x v="820"/>
    <x v="69"/>
    <x v="346"/>
    <x v="8"/>
    <x v="7"/>
    <x v="3"/>
    <x v="1"/>
    <x v="1"/>
    <x v="1"/>
    <x v="1"/>
    <x v="236"/>
    <x v="127"/>
    <x v="86"/>
    <x v="149"/>
    <x v="1"/>
    <x v="2"/>
    <x v="236"/>
    <x v="0"/>
    <x v="299"/>
    <x v="6"/>
    <x v="820"/>
    <x v="69"/>
    <x v="346"/>
    <x v="8"/>
    <x v="7"/>
    <x v="3"/>
    <x v="1"/>
    <x v="1"/>
    <x v="1"/>
    <x v="626"/>
    <x v="1"/>
    <x v="1"/>
    <x v="1"/>
    <x v="1"/>
    <x v="0"/>
    <x v="0"/>
    <x v="0"/>
    <x v="0"/>
    <x v="0"/>
    <x v="0"/>
    <x v="0"/>
    <x v="0"/>
    <x v="0"/>
    <x v="0"/>
    <x v="0"/>
    <x v="1"/>
    <x v="0"/>
    <x v="0"/>
    <x v="1"/>
    <x v="0"/>
    <x v="0"/>
    <x v="0"/>
    <x v="2"/>
    <x v="678"/>
    <x v="438"/>
    <x v="51"/>
    <x v="2"/>
    <x v="0"/>
    <x v="5"/>
    <x v="69"/>
    <x v="77"/>
    <x v="1"/>
    <x v="12"/>
    <x v="12"/>
    <x v="719"/>
  </r>
  <r>
    <x v="821"/>
    <x v="2"/>
    <x v="316"/>
    <x v="8"/>
    <x v="189"/>
    <x v="1"/>
    <x v="6"/>
    <x v="2"/>
    <x v="1"/>
    <x v="1"/>
    <x v="196"/>
    <x v="0"/>
    <x v="0"/>
    <x v="0"/>
    <x v="0"/>
    <x v="3"/>
    <x v="196"/>
    <x v="0"/>
    <x v="5"/>
    <x v="7"/>
    <x v="821"/>
    <x v="2"/>
    <x v="316"/>
    <x v="8"/>
    <x v="192"/>
    <x v="1"/>
    <x v="6"/>
    <x v="2"/>
    <x v="1"/>
    <x v="222"/>
    <x v="0"/>
    <x v="1"/>
    <x v="1"/>
    <x v="0"/>
    <x v="0"/>
    <x v="0"/>
    <x v="0"/>
    <x v="0"/>
    <x v="0"/>
    <x v="0"/>
    <x v="0"/>
    <x v="0"/>
    <x v="0"/>
    <x v="0"/>
    <x v="0"/>
    <x v="0"/>
    <x v="0"/>
    <x v="0"/>
    <x v="0"/>
    <x v="0"/>
    <x v="0"/>
    <x v="0"/>
    <x v="0"/>
    <x v="679"/>
    <x v="439"/>
    <x v="108"/>
    <x v="61"/>
    <x v="0"/>
    <x v="5"/>
    <x v="2"/>
    <x v="25"/>
    <x v="1"/>
    <x v="8"/>
    <x v="8"/>
    <x v="720"/>
  </r>
  <r>
    <x v="822"/>
    <x v="2"/>
    <x v="8"/>
    <x v="8"/>
    <x v="1"/>
    <x v="0"/>
    <x v="1"/>
    <x v="2"/>
    <x v="1"/>
    <x v="1"/>
    <x v="494"/>
    <x v="0"/>
    <x v="0"/>
    <x v="0"/>
    <x v="0"/>
    <x v="0"/>
    <x v="494"/>
    <x v="0"/>
    <x v="106"/>
    <x v="9"/>
    <x v="822"/>
    <x v="2"/>
    <x v="8"/>
    <x v="8"/>
    <x v="1"/>
    <x v="0"/>
    <x v="1"/>
    <x v="2"/>
    <x v="1"/>
    <x v="627"/>
    <x v="0"/>
    <x v="0"/>
    <x v="1"/>
    <x v="0"/>
    <x v="0"/>
    <x v="0"/>
    <x v="0"/>
    <x v="0"/>
    <x v="0"/>
    <x v="0"/>
    <x v="0"/>
    <x v="0"/>
    <x v="0"/>
    <x v="0"/>
    <x v="0"/>
    <x v="0"/>
    <x v="0"/>
    <x v="0"/>
    <x v="0"/>
    <x v="0"/>
    <x v="0"/>
    <x v="0"/>
    <x v="0"/>
    <x v="265"/>
    <x v="440"/>
    <x v="267"/>
    <x v="78"/>
    <x v="3"/>
    <x v="5"/>
    <x v="70"/>
    <x v="129"/>
    <x v="1"/>
    <x v="1"/>
    <x v="1"/>
    <x v="721"/>
  </r>
  <r>
    <x v="823"/>
    <x v="41"/>
    <x v="347"/>
    <x v="8"/>
    <x v="202"/>
    <x v="1"/>
    <x v="1"/>
    <x v="1"/>
    <x v="1"/>
    <x v="1"/>
    <x v="495"/>
    <x v="0"/>
    <x v="0"/>
    <x v="0"/>
    <x v="0"/>
    <x v="4"/>
    <x v="495"/>
    <x v="0"/>
    <x v="59"/>
    <x v="6"/>
    <x v="823"/>
    <x v="41"/>
    <x v="347"/>
    <x v="8"/>
    <x v="207"/>
    <x v="1"/>
    <x v="1"/>
    <x v="1"/>
    <x v="1"/>
    <x v="628"/>
    <x v="0"/>
    <x v="0"/>
    <x v="1"/>
    <x v="1"/>
    <x v="0"/>
    <x v="0"/>
    <x v="0"/>
    <x v="0"/>
    <x v="0"/>
    <x v="0"/>
    <x v="0"/>
    <x v="0"/>
    <x v="0"/>
    <x v="0"/>
    <x v="0"/>
    <x v="0"/>
    <x v="0"/>
    <x v="0"/>
    <x v="0"/>
    <x v="0"/>
    <x v="0"/>
    <x v="0"/>
    <x v="1"/>
    <x v="680"/>
    <x v="441"/>
    <x v="268"/>
    <x v="15"/>
    <x v="0"/>
    <x v="14"/>
    <x v="2"/>
    <x v="36"/>
    <x v="0"/>
    <x v="98"/>
    <x v="90"/>
    <x v="722"/>
  </r>
  <r>
    <x v="824"/>
    <x v="19"/>
    <x v="8"/>
    <x v="8"/>
    <x v="65"/>
    <x v="9"/>
    <x v="6"/>
    <x v="3"/>
    <x v="1"/>
    <x v="1"/>
    <x v="2"/>
    <x v="0"/>
    <x v="0"/>
    <x v="0"/>
    <x v="0"/>
    <x v="1"/>
    <x v="2"/>
    <x v="0"/>
    <x v="118"/>
    <x v="6"/>
    <x v="824"/>
    <x v="19"/>
    <x v="8"/>
    <x v="8"/>
    <x v="65"/>
    <x v="9"/>
    <x v="6"/>
    <x v="3"/>
    <x v="1"/>
    <x v="2"/>
    <x v="0"/>
    <x v="0"/>
    <x v="1"/>
    <x v="0"/>
    <x v="0"/>
    <x v="0"/>
    <x v="0"/>
    <x v="0"/>
    <x v="0"/>
    <x v="0"/>
    <x v="0"/>
    <x v="0"/>
    <x v="0"/>
    <x v="0"/>
    <x v="0"/>
    <x v="0"/>
    <x v="0"/>
    <x v="0"/>
    <x v="1"/>
    <x v="0"/>
    <x v="0"/>
    <x v="0"/>
    <x v="0"/>
    <x v="681"/>
    <x v="442"/>
    <x v="269"/>
    <x v="75"/>
    <x v="0"/>
    <x v="17"/>
    <x v="2"/>
    <x v="40"/>
    <x v="0"/>
    <x v="5"/>
    <x v="5"/>
    <x v="723"/>
  </r>
  <r>
    <x v="825"/>
    <x v="19"/>
    <x v="348"/>
    <x v="8"/>
    <x v="64"/>
    <x v="0"/>
    <x v="6"/>
    <x v="3"/>
    <x v="2"/>
    <x v="2"/>
    <x v="0"/>
    <x v="0"/>
    <x v="0"/>
    <x v="0"/>
    <x v="0"/>
    <x v="0"/>
    <x v="0"/>
    <x v="0"/>
    <x v="64"/>
    <x v="9"/>
    <x v="825"/>
    <x v="19"/>
    <x v="348"/>
    <x v="8"/>
    <x v="64"/>
    <x v="0"/>
    <x v="6"/>
    <x v="3"/>
    <x v="2"/>
    <x v="629"/>
    <x v="0"/>
    <x v="0"/>
    <x v="1"/>
    <x v="0"/>
    <x v="0"/>
    <x v="0"/>
    <x v="0"/>
    <x v="0"/>
    <x v="0"/>
    <x v="0"/>
    <x v="0"/>
    <x v="1"/>
    <x v="0"/>
    <x v="0"/>
    <x v="0"/>
    <x v="1"/>
    <x v="1"/>
    <x v="0"/>
    <x v="0"/>
    <x v="0"/>
    <x v="0"/>
    <x v="0"/>
    <x v="0"/>
    <x v="139"/>
    <x v="443"/>
    <x v="270"/>
    <x v="13"/>
    <x v="0"/>
    <x v="3"/>
    <x v="19"/>
    <x v="26"/>
    <x v="0"/>
    <x v="1"/>
    <x v="1"/>
    <x v="724"/>
  </r>
  <r>
    <x v="826"/>
    <x v="19"/>
    <x v="348"/>
    <x v="8"/>
    <x v="64"/>
    <x v="0"/>
    <x v="6"/>
    <x v="3"/>
    <x v="2"/>
    <x v="2"/>
    <x v="0"/>
    <x v="0"/>
    <x v="0"/>
    <x v="0"/>
    <x v="0"/>
    <x v="0"/>
    <x v="0"/>
    <x v="0"/>
    <x v="59"/>
    <x v="10"/>
    <x v="826"/>
    <x v="19"/>
    <x v="348"/>
    <x v="8"/>
    <x v="64"/>
    <x v="0"/>
    <x v="6"/>
    <x v="3"/>
    <x v="2"/>
    <x v="629"/>
    <x v="0"/>
    <x v="0"/>
    <x v="1"/>
    <x v="0"/>
    <x v="0"/>
    <x v="0"/>
    <x v="0"/>
    <x v="0"/>
    <x v="0"/>
    <x v="0"/>
    <x v="0"/>
    <x v="1"/>
    <x v="0"/>
    <x v="0"/>
    <x v="0"/>
    <x v="1"/>
    <x v="1"/>
    <x v="0"/>
    <x v="0"/>
    <x v="0"/>
    <x v="0"/>
    <x v="0"/>
    <x v="0"/>
    <x v="315"/>
    <x v="443"/>
    <x v="270"/>
    <x v="13"/>
    <x v="0"/>
    <x v="3"/>
    <x v="19"/>
    <x v="26"/>
    <x v="0"/>
    <x v="1"/>
    <x v="1"/>
    <x v="725"/>
  </r>
  <r>
    <x v="827"/>
    <x v="19"/>
    <x v="348"/>
    <x v="8"/>
    <x v="64"/>
    <x v="0"/>
    <x v="6"/>
    <x v="3"/>
    <x v="2"/>
    <x v="2"/>
    <x v="174"/>
    <x v="0"/>
    <x v="0"/>
    <x v="0"/>
    <x v="0"/>
    <x v="3"/>
    <x v="174"/>
    <x v="0"/>
    <x v="283"/>
    <x v="6"/>
    <x v="827"/>
    <x v="19"/>
    <x v="348"/>
    <x v="8"/>
    <x v="64"/>
    <x v="0"/>
    <x v="6"/>
    <x v="3"/>
    <x v="2"/>
    <x v="630"/>
    <x v="0"/>
    <x v="1"/>
    <x v="1"/>
    <x v="0"/>
    <x v="0"/>
    <x v="0"/>
    <x v="0"/>
    <x v="0"/>
    <x v="0"/>
    <x v="0"/>
    <x v="0"/>
    <x v="1"/>
    <x v="0"/>
    <x v="0"/>
    <x v="0"/>
    <x v="0"/>
    <x v="0"/>
    <x v="0"/>
    <x v="1"/>
    <x v="0"/>
    <x v="0"/>
    <x v="0"/>
    <x v="0"/>
    <x v="577"/>
    <x v="443"/>
    <x v="270"/>
    <x v="13"/>
    <x v="0"/>
    <x v="3"/>
    <x v="19"/>
    <x v="26"/>
    <x v="0"/>
    <x v="1"/>
    <x v="1"/>
    <x v="726"/>
  </r>
  <r>
    <x v="828"/>
    <x v="19"/>
    <x v="8"/>
    <x v="8"/>
    <x v="203"/>
    <x v="3"/>
    <x v="6"/>
    <x v="3"/>
    <x v="1"/>
    <x v="1"/>
    <x v="2"/>
    <x v="0"/>
    <x v="0"/>
    <x v="0"/>
    <x v="0"/>
    <x v="1"/>
    <x v="2"/>
    <x v="0"/>
    <x v="38"/>
    <x v="9"/>
    <x v="828"/>
    <x v="19"/>
    <x v="8"/>
    <x v="8"/>
    <x v="208"/>
    <x v="3"/>
    <x v="6"/>
    <x v="3"/>
    <x v="1"/>
    <x v="2"/>
    <x v="0"/>
    <x v="0"/>
    <x v="1"/>
    <x v="0"/>
    <x v="0"/>
    <x v="0"/>
    <x v="0"/>
    <x v="0"/>
    <x v="0"/>
    <x v="0"/>
    <x v="0"/>
    <x v="0"/>
    <x v="0"/>
    <x v="0"/>
    <x v="0"/>
    <x v="0"/>
    <x v="0"/>
    <x v="0"/>
    <x v="0"/>
    <x v="0"/>
    <x v="0"/>
    <x v="0"/>
    <x v="0"/>
    <x v="682"/>
    <x v="443"/>
    <x v="270"/>
    <x v="13"/>
    <x v="0"/>
    <x v="3"/>
    <x v="19"/>
    <x v="26"/>
    <x v="0"/>
    <x v="1"/>
    <x v="1"/>
    <x v="727"/>
  </r>
  <r>
    <x v="829"/>
    <x v="9"/>
    <x v="8"/>
    <x v="181"/>
    <x v="204"/>
    <x v="0"/>
    <x v="4"/>
    <x v="3"/>
    <x v="2"/>
    <x v="2"/>
    <x v="18"/>
    <x v="0"/>
    <x v="0"/>
    <x v="0"/>
    <x v="0"/>
    <x v="3"/>
    <x v="18"/>
    <x v="0"/>
    <x v="7"/>
    <x v="12"/>
    <x v="829"/>
    <x v="9"/>
    <x v="8"/>
    <x v="181"/>
    <x v="209"/>
    <x v="0"/>
    <x v="4"/>
    <x v="3"/>
    <x v="2"/>
    <x v="398"/>
    <x v="0"/>
    <x v="0"/>
    <x v="1"/>
    <x v="1"/>
    <x v="0"/>
    <x v="0"/>
    <x v="0"/>
    <x v="0"/>
    <x v="0"/>
    <x v="0"/>
    <x v="0"/>
    <x v="1"/>
    <x v="0"/>
    <x v="0"/>
    <x v="0"/>
    <x v="1"/>
    <x v="0"/>
    <x v="0"/>
    <x v="0"/>
    <x v="0"/>
    <x v="0"/>
    <x v="0"/>
    <x v="1"/>
    <x v="683"/>
    <x v="443"/>
    <x v="270"/>
    <x v="13"/>
    <x v="0"/>
    <x v="3"/>
    <x v="19"/>
    <x v="26"/>
    <x v="0"/>
    <x v="1"/>
    <x v="1"/>
    <x v="728"/>
  </r>
  <r>
    <x v="830"/>
    <x v="12"/>
    <x v="349"/>
    <x v="182"/>
    <x v="7"/>
    <x v="0"/>
    <x v="5"/>
    <x v="3"/>
    <x v="2"/>
    <x v="2"/>
    <x v="20"/>
    <x v="0"/>
    <x v="0"/>
    <x v="0"/>
    <x v="0"/>
    <x v="3"/>
    <x v="20"/>
    <x v="0"/>
    <x v="6"/>
    <x v="6"/>
    <x v="830"/>
    <x v="12"/>
    <x v="349"/>
    <x v="182"/>
    <x v="7"/>
    <x v="0"/>
    <x v="5"/>
    <x v="3"/>
    <x v="2"/>
    <x v="631"/>
    <x v="1"/>
    <x v="1"/>
    <x v="1"/>
    <x v="0"/>
    <x v="0"/>
    <x v="0"/>
    <x v="0"/>
    <x v="0"/>
    <x v="0"/>
    <x v="0"/>
    <x v="0"/>
    <x v="0"/>
    <x v="0"/>
    <x v="0"/>
    <x v="0"/>
    <x v="0"/>
    <x v="0"/>
    <x v="0"/>
    <x v="0"/>
    <x v="0"/>
    <x v="0"/>
    <x v="0"/>
    <x v="1"/>
    <x v="504"/>
    <x v="443"/>
    <x v="270"/>
    <x v="13"/>
    <x v="0"/>
    <x v="3"/>
    <x v="19"/>
    <x v="26"/>
    <x v="0"/>
    <x v="5"/>
    <x v="5"/>
    <x v="649"/>
  </r>
  <r>
    <x v="831"/>
    <x v="12"/>
    <x v="350"/>
    <x v="183"/>
    <x v="205"/>
    <x v="3"/>
    <x v="5"/>
    <x v="3"/>
    <x v="2"/>
    <x v="2"/>
    <x v="65"/>
    <x v="0"/>
    <x v="0"/>
    <x v="0"/>
    <x v="0"/>
    <x v="0"/>
    <x v="65"/>
    <x v="0"/>
    <x v="215"/>
    <x v="9"/>
    <x v="831"/>
    <x v="12"/>
    <x v="350"/>
    <x v="183"/>
    <x v="210"/>
    <x v="3"/>
    <x v="5"/>
    <x v="3"/>
    <x v="2"/>
    <x v="632"/>
    <x v="0"/>
    <x v="0"/>
    <x v="1"/>
    <x v="0"/>
    <x v="0"/>
    <x v="0"/>
    <x v="0"/>
    <x v="0"/>
    <x v="0"/>
    <x v="0"/>
    <x v="0"/>
    <x v="0"/>
    <x v="0"/>
    <x v="0"/>
    <x v="0"/>
    <x v="0"/>
    <x v="0"/>
    <x v="0"/>
    <x v="0"/>
    <x v="0"/>
    <x v="0"/>
    <x v="0"/>
    <x v="0"/>
    <x v="684"/>
    <x v="443"/>
    <x v="270"/>
    <x v="13"/>
    <x v="0"/>
    <x v="3"/>
    <x v="19"/>
    <x v="26"/>
    <x v="0"/>
    <x v="1"/>
    <x v="1"/>
    <x v="729"/>
  </r>
  <r>
    <x v="832"/>
    <x v="8"/>
    <x v="351"/>
    <x v="8"/>
    <x v="7"/>
    <x v="2"/>
    <x v="3"/>
    <x v="3"/>
    <x v="2"/>
    <x v="2"/>
    <x v="174"/>
    <x v="0"/>
    <x v="0"/>
    <x v="0"/>
    <x v="0"/>
    <x v="3"/>
    <x v="174"/>
    <x v="0"/>
    <x v="59"/>
    <x v="6"/>
    <x v="832"/>
    <x v="8"/>
    <x v="351"/>
    <x v="8"/>
    <x v="7"/>
    <x v="2"/>
    <x v="3"/>
    <x v="3"/>
    <x v="2"/>
    <x v="630"/>
    <x v="0"/>
    <x v="1"/>
    <x v="1"/>
    <x v="0"/>
    <x v="0"/>
    <x v="0"/>
    <x v="0"/>
    <x v="0"/>
    <x v="0"/>
    <x v="0"/>
    <x v="0"/>
    <x v="0"/>
    <x v="0"/>
    <x v="0"/>
    <x v="0"/>
    <x v="0"/>
    <x v="0"/>
    <x v="0"/>
    <x v="0"/>
    <x v="0"/>
    <x v="0"/>
    <x v="0"/>
    <x v="0"/>
    <x v="685"/>
    <x v="443"/>
    <x v="270"/>
    <x v="13"/>
    <x v="0"/>
    <x v="3"/>
    <x v="19"/>
    <x v="26"/>
    <x v="0"/>
    <x v="44"/>
    <x v="44"/>
    <x v="730"/>
  </r>
  <r>
    <x v="833"/>
    <x v="19"/>
    <x v="205"/>
    <x v="8"/>
    <x v="18"/>
    <x v="1"/>
    <x v="6"/>
    <x v="3"/>
    <x v="2"/>
    <x v="2"/>
    <x v="41"/>
    <x v="0"/>
    <x v="0"/>
    <x v="0"/>
    <x v="0"/>
    <x v="1"/>
    <x v="41"/>
    <x v="0"/>
    <x v="103"/>
    <x v="6"/>
    <x v="833"/>
    <x v="19"/>
    <x v="205"/>
    <x v="8"/>
    <x v="18"/>
    <x v="1"/>
    <x v="6"/>
    <x v="3"/>
    <x v="2"/>
    <x v="633"/>
    <x v="0"/>
    <x v="0"/>
    <x v="1"/>
    <x v="0"/>
    <x v="0"/>
    <x v="0"/>
    <x v="0"/>
    <x v="0"/>
    <x v="0"/>
    <x v="0"/>
    <x v="0"/>
    <x v="0"/>
    <x v="0"/>
    <x v="0"/>
    <x v="0"/>
    <x v="0"/>
    <x v="0"/>
    <x v="0"/>
    <x v="1"/>
    <x v="0"/>
    <x v="0"/>
    <x v="0"/>
    <x v="0"/>
    <x v="686"/>
    <x v="443"/>
    <x v="270"/>
    <x v="11"/>
    <x v="0"/>
    <x v="5"/>
    <x v="32"/>
    <x v="48"/>
    <x v="1"/>
    <x v="1"/>
    <x v="1"/>
    <x v="731"/>
  </r>
  <r>
    <x v="834"/>
    <x v="155"/>
    <x v="352"/>
    <x v="8"/>
    <x v="7"/>
    <x v="0"/>
    <x v="1"/>
    <x v="1"/>
    <x v="1"/>
    <x v="1"/>
    <x v="455"/>
    <x v="0"/>
    <x v="0"/>
    <x v="0"/>
    <x v="0"/>
    <x v="0"/>
    <x v="455"/>
    <x v="0"/>
    <x v="300"/>
    <x v="19"/>
    <x v="834"/>
    <x v="201"/>
    <x v="352"/>
    <x v="8"/>
    <x v="7"/>
    <x v="0"/>
    <x v="1"/>
    <x v="1"/>
    <x v="1"/>
    <x v="575"/>
    <x v="0"/>
    <x v="0"/>
    <x v="0"/>
    <x v="0"/>
    <x v="1"/>
    <x v="0"/>
    <x v="0"/>
    <x v="0"/>
    <x v="0"/>
    <x v="0"/>
    <x v="0"/>
    <x v="0"/>
    <x v="0"/>
    <x v="0"/>
    <x v="0"/>
    <x v="1"/>
    <x v="0"/>
    <x v="0"/>
    <x v="0"/>
    <x v="0"/>
    <x v="0"/>
    <x v="0"/>
    <x v="0"/>
    <x v="687"/>
    <x v="444"/>
    <x v="35"/>
    <x v="13"/>
    <x v="0"/>
    <x v="3"/>
    <x v="42"/>
    <x v="66"/>
    <x v="0"/>
    <x v="35"/>
    <x v="35"/>
    <x v="732"/>
  </r>
  <r>
    <x v="301"/>
    <x v="89"/>
    <x v="8"/>
    <x v="184"/>
    <x v="96"/>
    <x v="0"/>
    <x v="1"/>
    <x v="1"/>
    <x v="3"/>
    <x v="3"/>
    <x v="496"/>
    <x v="0"/>
    <x v="0"/>
    <x v="0"/>
    <x v="0"/>
    <x v="3"/>
    <x v="496"/>
    <x v="0"/>
    <x v="22"/>
    <x v="6"/>
    <x v="301"/>
    <x v="89"/>
    <x v="8"/>
    <x v="184"/>
    <x v="96"/>
    <x v="0"/>
    <x v="1"/>
    <x v="1"/>
    <x v="3"/>
    <x v="634"/>
    <x v="0"/>
    <x v="0"/>
    <x v="1"/>
    <x v="1"/>
    <x v="0"/>
    <x v="0"/>
    <x v="0"/>
    <x v="1"/>
    <x v="0"/>
    <x v="0"/>
    <x v="0"/>
    <x v="0"/>
    <x v="0"/>
    <x v="0"/>
    <x v="0"/>
    <x v="0"/>
    <x v="0"/>
    <x v="0"/>
    <x v="0"/>
    <x v="0"/>
    <x v="0"/>
    <x v="0"/>
    <x v="1"/>
    <x v="688"/>
    <x v="444"/>
    <x v="35"/>
    <x v="13"/>
    <x v="0"/>
    <x v="3"/>
    <x v="42"/>
    <x v="66"/>
    <x v="0"/>
    <x v="126"/>
    <x v="117"/>
    <x v="733"/>
  </r>
  <r>
    <x v="835"/>
    <x v="201"/>
    <x v="8"/>
    <x v="185"/>
    <x v="206"/>
    <x v="4"/>
    <x v="1"/>
    <x v="1"/>
    <x v="1"/>
    <x v="1"/>
    <x v="117"/>
    <x v="0"/>
    <x v="0"/>
    <x v="0"/>
    <x v="0"/>
    <x v="1"/>
    <x v="117"/>
    <x v="0"/>
    <x v="43"/>
    <x v="6"/>
    <x v="835"/>
    <x v="202"/>
    <x v="8"/>
    <x v="185"/>
    <x v="211"/>
    <x v="4"/>
    <x v="1"/>
    <x v="1"/>
    <x v="1"/>
    <x v="133"/>
    <x v="0"/>
    <x v="0"/>
    <x v="1"/>
    <x v="1"/>
    <x v="0"/>
    <x v="0"/>
    <x v="0"/>
    <x v="0"/>
    <x v="0"/>
    <x v="0"/>
    <x v="0"/>
    <x v="0"/>
    <x v="0"/>
    <x v="0"/>
    <x v="0"/>
    <x v="0"/>
    <x v="0"/>
    <x v="0"/>
    <x v="0"/>
    <x v="0"/>
    <x v="0"/>
    <x v="0"/>
    <x v="1"/>
    <x v="88"/>
    <x v="444"/>
    <x v="35"/>
    <x v="13"/>
    <x v="0"/>
    <x v="3"/>
    <x v="42"/>
    <x v="66"/>
    <x v="0"/>
    <x v="53"/>
    <x v="52"/>
    <x v="734"/>
  </r>
  <r>
    <x v="836"/>
    <x v="202"/>
    <x v="8"/>
    <x v="8"/>
    <x v="207"/>
    <x v="0"/>
    <x v="1"/>
    <x v="1"/>
    <x v="1"/>
    <x v="1"/>
    <x v="237"/>
    <x v="0"/>
    <x v="0"/>
    <x v="0"/>
    <x v="0"/>
    <x v="4"/>
    <x v="237"/>
    <x v="0"/>
    <x v="57"/>
    <x v="12"/>
    <x v="836"/>
    <x v="203"/>
    <x v="8"/>
    <x v="8"/>
    <x v="212"/>
    <x v="0"/>
    <x v="1"/>
    <x v="1"/>
    <x v="1"/>
    <x v="635"/>
    <x v="0"/>
    <x v="0"/>
    <x v="1"/>
    <x v="0"/>
    <x v="0"/>
    <x v="0"/>
    <x v="0"/>
    <x v="0"/>
    <x v="0"/>
    <x v="0"/>
    <x v="0"/>
    <x v="0"/>
    <x v="0"/>
    <x v="0"/>
    <x v="0"/>
    <x v="0"/>
    <x v="0"/>
    <x v="0"/>
    <x v="0"/>
    <x v="0"/>
    <x v="0"/>
    <x v="0"/>
    <x v="0"/>
    <x v="80"/>
    <x v="445"/>
    <x v="271"/>
    <x v="1"/>
    <x v="0"/>
    <x v="0"/>
    <x v="2"/>
    <x v="3"/>
    <x v="0"/>
    <x v="12"/>
    <x v="12"/>
    <x v="735"/>
  </r>
  <r>
    <x v="837"/>
    <x v="106"/>
    <x v="8"/>
    <x v="8"/>
    <x v="65"/>
    <x v="5"/>
    <x v="1"/>
    <x v="1"/>
    <x v="2"/>
    <x v="2"/>
    <x v="497"/>
    <x v="0"/>
    <x v="0"/>
    <x v="0"/>
    <x v="0"/>
    <x v="2"/>
    <x v="497"/>
    <x v="163"/>
    <x v="12"/>
    <x v="8"/>
    <x v="837"/>
    <x v="106"/>
    <x v="8"/>
    <x v="8"/>
    <x v="65"/>
    <x v="5"/>
    <x v="1"/>
    <x v="1"/>
    <x v="2"/>
    <x v="636"/>
    <x v="0"/>
    <x v="0"/>
    <x v="1"/>
    <x v="0"/>
    <x v="0"/>
    <x v="0"/>
    <x v="0"/>
    <x v="0"/>
    <x v="0"/>
    <x v="0"/>
    <x v="0"/>
    <x v="0"/>
    <x v="1"/>
    <x v="0"/>
    <x v="0"/>
    <x v="0"/>
    <x v="0"/>
    <x v="1"/>
    <x v="1"/>
    <x v="0"/>
    <x v="2"/>
    <x v="0"/>
    <x v="1"/>
    <x v="689"/>
    <x v="446"/>
    <x v="6"/>
    <x v="7"/>
    <x v="1"/>
    <x v="4"/>
    <x v="4"/>
    <x v="5"/>
    <x v="0"/>
    <x v="103"/>
    <x v="95"/>
    <x v="13"/>
  </r>
  <r>
    <x v="838"/>
    <x v="203"/>
    <x v="8"/>
    <x v="8"/>
    <x v="208"/>
    <x v="5"/>
    <x v="1"/>
    <x v="1"/>
    <x v="2"/>
    <x v="2"/>
    <x v="498"/>
    <x v="0"/>
    <x v="0"/>
    <x v="0"/>
    <x v="0"/>
    <x v="3"/>
    <x v="498"/>
    <x v="0"/>
    <x v="64"/>
    <x v="12"/>
    <x v="838"/>
    <x v="204"/>
    <x v="8"/>
    <x v="8"/>
    <x v="213"/>
    <x v="5"/>
    <x v="1"/>
    <x v="1"/>
    <x v="2"/>
    <x v="637"/>
    <x v="0"/>
    <x v="0"/>
    <x v="1"/>
    <x v="0"/>
    <x v="0"/>
    <x v="0"/>
    <x v="0"/>
    <x v="0"/>
    <x v="0"/>
    <x v="0"/>
    <x v="0"/>
    <x v="0"/>
    <x v="1"/>
    <x v="0"/>
    <x v="0"/>
    <x v="0"/>
    <x v="0"/>
    <x v="1"/>
    <x v="0"/>
    <x v="0"/>
    <x v="0"/>
    <x v="0"/>
    <x v="1"/>
    <x v="690"/>
    <x v="447"/>
    <x v="272"/>
    <x v="70"/>
    <x v="0"/>
    <x v="5"/>
    <x v="2"/>
    <x v="25"/>
    <x v="1"/>
    <x v="53"/>
    <x v="52"/>
    <x v="736"/>
  </r>
  <r>
    <x v="839"/>
    <x v="203"/>
    <x v="353"/>
    <x v="8"/>
    <x v="3"/>
    <x v="5"/>
    <x v="1"/>
    <x v="1"/>
    <x v="2"/>
    <x v="2"/>
    <x v="499"/>
    <x v="0"/>
    <x v="0"/>
    <x v="0"/>
    <x v="0"/>
    <x v="2"/>
    <x v="499"/>
    <x v="0"/>
    <x v="12"/>
    <x v="8"/>
    <x v="839"/>
    <x v="204"/>
    <x v="353"/>
    <x v="8"/>
    <x v="3"/>
    <x v="5"/>
    <x v="1"/>
    <x v="1"/>
    <x v="2"/>
    <x v="638"/>
    <x v="0"/>
    <x v="0"/>
    <x v="1"/>
    <x v="0"/>
    <x v="0"/>
    <x v="0"/>
    <x v="0"/>
    <x v="0"/>
    <x v="0"/>
    <x v="0"/>
    <x v="0"/>
    <x v="0"/>
    <x v="1"/>
    <x v="0"/>
    <x v="0"/>
    <x v="0"/>
    <x v="0"/>
    <x v="1"/>
    <x v="1"/>
    <x v="0"/>
    <x v="0"/>
    <x v="0"/>
    <x v="1"/>
    <x v="13"/>
    <x v="447"/>
    <x v="6"/>
    <x v="7"/>
    <x v="1"/>
    <x v="4"/>
    <x v="4"/>
    <x v="5"/>
    <x v="0"/>
    <x v="8"/>
    <x v="8"/>
    <x v="13"/>
  </r>
  <r>
    <x v="231"/>
    <x v="68"/>
    <x v="8"/>
    <x v="60"/>
    <x v="40"/>
    <x v="3"/>
    <x v="1"/>
    <x v="1"/>
    <x v="1"/>
    <x v="1"/>
    <x v="178"/>
    <x v="0"/>
    <x v="0"/>
    <x v="0"/>
    <x v="0"/>
    <x v="1"/>
    <x v="178"/>
    <x v="0"/>
    <x v="301"/>
    <x v="6"/>
    <x v="231"/>
    <x v="68"/>
    <x v="8"/>
    <x v="60"/>
    <x v="40"/>
    <x v="3"/>
    <x v="1"/>
    <x v="1"/>
    <x v="1"/>
    <x v="202"/>
    <x v="0"/>
    <x v="0"/>
    <x v="1"/>
    <x v="1"/>
    <x v="0"/>
    <x v="0"/>
    <x v="0"/>
    <x v="0"/>
    <x v="0"/>
    <x v="0"/>
    <x v="0"/>
    <x v="0"/>
    <x v="0"/>
    <x v="0"/>
    <x v="0"/>
    <x v="0"/>
    <x v="0"/>
    <x v="0"/>
    <x v="1"/>
    <x v="0"/>
    <x v="0"/>
    <x v="7"/>
    <x v="1"/>
    <x v="691"/>
    <x v="448"/>
    <x v="40"/>
    <x v="14"/>
    <x v="0"/>
    <x v="5"/>
    <x v="43"/>
    <x v="69"/>
    <x v="1"/>
    <x v="2"/>
    <x v="2"/>
    <x v="737"/>
  </r>
  <r>
    <x v="840"/>
    <x v="68"/>
    <x v="354"/>
    <x v="8"/>
    <x v="36"/>
    <x v="0"/>
    <x v="3"/>
    <x v="1"/>
    <x v="1"/>
    <x v="1"/>
    <x v="500"/>
    <x v="0"/>
    <x v="0"/>
    <x v="0"/>
    <x v="0"/>
    <x v="3"/>
    <x v="500"/>
    <x v="0"/>
    <x v="302"/>
    <x v="6"/>
    <x v="840"/>
    <x v="68"/>
    <x v="354"/>
    <x v="8"/>
    <x v="36"/>
    <x v="0"/>
    <x v="3"/>
    <x v="1"/>
    <x v="1"/>
    <x v="639"/>
    <x v="0"/>
    <x v="0"/>
    <x v="1"/>
    <x v="1"/>
    <x v="0"/>
    <x v="0"/>
    <x v="0"/>
    <x v="0"/>
    <x v="0"/>
    <x v="0"/>
    <x v="0"/>
    <x v="0"/>
    <x v="0"/>
    <x v="0"/>
    <x v="1"/>
    <x v="0"/>
    <x v="0"/>
    <x v="0"/>
    <x v="0"/>
    <x v="0"/>
    <x v="0"/>
    <x v="0"/>
    <x v="1"/>
    <x v="692"/>
    <x v="448"/>
    <x v="6"/>
    <x v="7"/>
    <x v="1"/>
    <x v="4"/>
    <x v="4"/>
    <x v="5"/>
    <x v="0"/>
    <x v="26"/>
    <x v="26"/>
    <x v="738"/>
  </r>
  <r>
    <x v="841"/>
    <x v="200"/>
    <x v="355"/>
    <x v="8"/>
    <x v="21"/>
    <x v="0"/>
    <x v="1"/>
    <x v="1"/>
    <x v="1"/>
    <x v="1"/>
    <x v="501"/>
    <x v="128"/>
    <x v="17"/>
    <x v="150"/>
    <x v="1"/>
    <x v="0"/>
    <x v="501"/>
    <x v="0"/>
    <x v="59"/>
    <x v="6"/>
    <x v="841"/>
    <x v="200"/>
    <x v="355"/>
    <x v="8"/>
    <x v="21"/>
    <x v="0"/>
    <x v="1"/>
    <x v="1"/>
    <x v="1"/>
    <x v="640"/>
    <x v="0"/>
    <x v="0"/>
    <x v="0"/>
    <x v="0"/>
    <x v="1"/>
    <x v="0"/>
    <x v="1"/>
    <x v="0"/>
    <x v="0"/>
    <x v="1"/>
    <x v="0"/>
    <x v="0"/>
    <x v="0"/>
    <x v="0"/>
    <x v="0"/>
    <x v="1"/>
    <x v="0"/>
    <x v="0"/>
    <x v="0"/>
    <x v="0"/>
    <x v="0"/>
    <x v="0"/>
    <x v="3"/>
    <x v="693"/>
    <x v="449"/>
    <x v="6"/>
    <x v="7"/>
    <x v="1"/>
    <x v="4"/>
    <x v="4"/>
    <x v="5"/>
    <x v="0"/>
    <x v="29"/>
    <x v="29"/>
    <x v="739"/>
  </r>
  <r>
    <x v="842"/>
    <x v="8"/>
    <x v="8"/>
    <x v="8"/>
    <x v="13"/>
    <x v="3"/>
    <x v="3"/>
    <x v="3"/>
    <x v="1"/>
    <x v="1"/>
    <x v="22"/>
    <x v="0"/>
    <x v="0"/>
    <x v="0"/>
    <x v="0"/>
    <x v="3"/>
    <x v="22"/>
    <x v="0"/>
    <x v="0"/>
    <x v="11"/>
    <x v="842"/>
    <x v="8"/>
    <x v="8"/>
    <x v="8"/>
    <x v="13"/>
    <x v="3"/>
    <x v="3"/>
    <x v="3"/>
    <x v="1"/>
    <x v="22"/>
    <x v="0"/>
    <x v="0"/>
    <x v="1"/>
    <x v="1"/>
    <x v="0"/>
    <x v="0"/>
    <x v="0"/>
    <x v="0"/>
    <x v="0"/>
    <x v="0"/>
    <x v="0"/>
    <x v="0"/>
    <x v="0"/>
    <x v="0"/>
    <x v="0"/>
    <x v="0"/>
    <x v="0"/>
    <x v="0"/>
    <x v="1"/>
    <x v="0"/>
    <x v="0"/>
    <x v="0"/>
    <x v="1"/>
    <x v="180"/>
    <x v="450"/>
    <x v="126"/>
    <x v="27"/>
    <x v="0"/>
    <x v="8"/>
    <x v="71"/>
    <x v="130"/>
    <x v="0"/>
    <x v="8"/>
    <x v="8"/>
    <x v="740"/>
  </r>
  <r>
    <x v="843"/>
    <x v="90"/>
    <x v="8"/>
    <x v="8"/>
    <x v="7"/>
    <x v="0"/>
    <x v="1"/>
    <x v="1"/>
    <x v="1"/>
    <x v="1"/>
    <x v="65"/>
    <x v="0"/>
    <x v="0"/>
    <x v="0"/>
    <x v="0"/>
    <x v="0"/>
    <x v="65"/>
    <x v="0"/>
    <x v="67"/>
    <x v="11"/>
    <x v="843"/>
    <x v="90"/>
    <x v="8"/>
    <x v="8"/>
    <x v="7"/>
    <x v="0"/>
    <x v="1"/>
    <x v="1"/>
    <x v="1"/>
    <x v="79"/>
    <x v="0"/>
    <x v="0"/>
    <x v="1"/>
    <x v="0"/>
    <x v="0"/>
    <x v="0"/>
    <x v="0"/>
    <x v="0"/>
    <x v="0"/>
    <x v="0"/>
    <x v="0"/>
    <x v="0"/>
    <x v="0"/>
    <x v="0"/>
    <x v="0"/>
    <x v="0"/>
    <x v="0"/>
    <x v="0"/>
    <x v="0"/>
    <x v="0"/>
    <x v="0"/>
    <x v="0"/>
    <x v="0"/>
    <x v="694"/>
    <x v="451"/>
    <x v="273"/>
    <x v="13"/>
    <x v="0"/>
    <x v="0"/>
    <x v="2"/>
    <x v="3"/>
    <x v="0"/>
    <x v="32"/>
    <x v="32"/>
    <x v="74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_Analysis" cacheId="0" autoFormatId="1" applyNumberFormats="0" applyBorderFormats="0" applyFontFormats="0" applyPatternFormats="0" applyAlignmentFormats="0" applyWidthHeightFormats="1" dataCaption="" updatedVersion="5" compact="0" compactData="0" showDrill="1">
  <location ref="A2:B207" firstHeaderRow="1" firstDataRow="1" firstDataCol="1"/>
  <pivotFields count="65">
    <pivotField compact="0" outline="0" multipleItemSelectionAllowed="1" showAll="0"/>
    <pivotField axis="axisRow" compact="0" outline="0" multipleItemSelectionAllowed="1" showAll="0">
      <items count="205">
        <item x="135"/>
        <item x="189"/>
        <item x="92"/>
        <item x="124"/>
        <item x="192"/>
        <item x="62"/>
        <item x="130"/>
        <item x="60"/>
        <item x="155"/>
        <item x="138"/>
        <item x="39"/>
        <item x="5"/>
        <item x="139"/>
        <item x="21"/>
        <item x="88"/>
        <item x="175"/>
        <item x="24"/>
        <item x="69"/>
        <item x="19"/>
        <item x="97"/>
        <item x="91"/>
        <item x="31"/>
        <item x="161"/>
        <item x="117"/>
        <item x="109"/>
        <item x="30"/>
        <item x="9"/>
        <item x="106"/>
        <item x="55"/>
        <item x="147"/>
        <item x="156"/>
        <item x="188"/>
        <item x="56"/>
        <item x="146"/>
        <item x="183"/>
        <item x="96"/>
        <item x="116"/>
        <item x="179"/>
        <item x="190"/>
        <item x="40"/>
        <item x="1"/>
        <item x="67"/>
        <item x="165"/>
        <item x="151"/>
        <item x="136"/>
        <item x="150"/>
        <item x="113"/>
        <item x="45"/>
        <item x="137"/>
        <item x="89"/>
        <item x="167"/>
        <item x="199"/>
        <item x="16"/>
        <item x="18"/>
        <item x="198"/>
        <item x="177"/>
        <item x="12"/>
        <item x="157"/>
        <item x="119"/>
        <item x="185"/>
        <item x="64"/>
        <item x="59"/>
        <item x="66"/>
        <item x="100"/>
        <item x="191"/>
        <item x="196"/>
        <item x="168"/>
        <item x="86"/>
        <item x="6"/>
        <item x="17"/>
        <item x="65"/>
        <item x="133"/>
        <item x="49"/>
        <item x="25"/>
        <item x="102"/>
        <item x="202"/>
        <item x="52"/>
        <item x="127"/>
        <item x="27"/>
        <item x="37"/>
        <item x="103"/>
        <item x="38"/>
        <item x="160"/>
        <item x="53"/>
        <item x="50"/>
        <item x="46"/>
        <item x="75"/>
        <item x="74"/>
        <item x="54"/>
        <item x="129"/>
        <item x="82"/>
        <item x="47"/>
        <item x="95"/>
        <item x="114"/>
        <item x="43"/>
        <item x="145"/>
        <item x="170"/>
        <item x="142"/>
        <item x="98"/>
        <item x="140"/>
        <item x="131"/>
        <item x="108"/>
        <item x="94"/>
        <item x="44"/>
        <item x="107"/>
        <item x="197"/>
        <item x="174"/>
        <item x="0"/>
        <item x="118"/>
        <item x="32"/>
        <item x="29"/>
        <item x="23"/>
        <item x="93"/>
        <item x="178"/>
        <item x="193"/>
        <item x="194"/>
        <item x="61"/>
        <item x="163"/>
        <item x="125"/>
        <item x="120"/>
        <item x="87"/>
        <item x="42"/>
        <item x="26"/>
        <item x="184"/>
        <item x="128"/>
        <item x="48"/>
        <item x="126"/>
        <item x="122"/>
        <item x="70"/>
        <item x="63"/>
        <item x="79"/>
        <item x="181"/>
        <item x="164"/>
        <item x="134"/>
        <item x="143"/>
        <item x="58"/>
        <item x="153"/>
        <item x="77"/>
        <item x="187"/>
        <item x="121"/>
        <item x="180"/>
        <item x="34"/>
        <item x="154"/>
        <item x="101"/>
        <item x="36"/>
        <item x="162"/>
        <item x="173"/>
        <item x="13"/>
        <item x="85"/>
        <item x="8"/>
        <item x="159"/>
        <item x="99"/>
        <item x="110"/>
        <item x="22"/>
        <item x="195"/>
        <item x="203"/>
        <item x="176"/>
        <item x="4"/>
        <item x="144"/>
        <item x="51"/>
        <item x="201"/>
        <item x="10"/>
        <item x="158"/>
        <item x="112"/>
        <item x="11"/>
        <item x="84"/>
        <item x="76"/>
        <item x="57"/>
        <item x="171"/>
        <item x="68"/>
        <item x="78"/>
        <item x="105"/>
        <item x="80"/>
        <item x="83"/>
        <item x="152"/>
        <item x="14"/>
        <item x="166"/>
        <item x="90"/>
        <item x="41"/>
        <item x="2"/>
        <item x="149"/>
        <item x="7"/>
        <item x="186"/>
        <item x="200"/>
        <item x="182"/>
        <item x="132"/>
        <item x="104"/>
        <item x="28"/>
        <item x="115"/>
        <item x="15"/>
        <item x="148"/>
        <item x="81"/>
        <item x="172"/>
        <item x="33"/>
        <item x="72"/>
        <item x="141"/>
        <item x="169"/>
        <item x="20"/>
        <item x="35"/>
        <item x="71"/>
        <item x="73"/>
        <item x="3"/>
        <item x="111"/>
        <item x="123"/>
        <item t="default"/>
      </items>
    </pivotField>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dataField="1" compact="0" outline="0" multipleItemSelectionAllowed="1" showAll="0"/>
  </pivotFields>
  <rowFields count="1">
    <field x="1"/>
  </rowFields>
  <rowItems count="2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t="grand">
      <x/>
    </i>
  </rowItems>
  <colItems count="1">
    <i/>
  </colItems>
  <dataFields count="1">
    <dataField name="SUM of estimated_revenue" fld="64" baseField="0" baseItem="0"/>
  </dataFields>
  <pivotTableStyleInfo showRowHeaders="1" showColHeaders="1"/>
</pivotTableDefinition>
</file>

<file path=xl/pivotTables/pivotTable2.xml><?xml version="1.0" encoding="utf-8"?>
<pivotTableDefinition xmlns="http://schemas.openxmlformats.org/spreadsheetml/2006/main" name="Pivot_Analysis 2" cacheId="0" autoFormatId="1" applyNumberFormats="0" applyBorderFormats="0" applyFontFormats="0" applyPatternFormats="0" applyAlignmentFormats="0" applyWidthHeightFormats="1" dataCaption="" updatedVersion="5" compact="0" compactData="0" showDrill="1">
  <location ref="E2:F18" firstHeaderRow="1" firstDataRow="1" firstDataCol="1"/>
  <pivotFields count="65">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axis="axisRow" compact="0" outline="0" multipleItemSelectionAllowed="1" showAll="0">
      <items count="16">
        <item x="1"/>
        <item x="6"/>
        <item x="8"/>
        <item x="14"/>
        <item x="7"/>
        <item x="3"/>
        <item x="10"/>
        <item x="11"/>
        <item x="9"/>
        <item x="13"/>
        <item x="0"/>
        <item x="4"/>
        <item x="5"/>
        <item x="12"/>
        <item x="2"/>
        <item t="default"/>
      </items>
    </pivotField>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dataField="1" compact="0" outline="0" multipleItemSelectionAllowed="1" showAll="0"/>
  </pivotFields>
  <rowFields count="1">
    <field x="5"/>
  </rowFields>
  <rowItems count="16">
    <i>
      <x/>
    </i>
    <i>
      <x v="1"/>
    </i>
    <i>
      <x v="2"/>
    </i>
    <i>
      <x v="3"/>
    </i>
    <i>
      <x v="4"/>
    </i>
    <i>
      <x v="5"/>
    </i>
    <i>
      <x v="6"/>
    </i>
    <i>
      <x v="7"/>
    </i>
    <i>
      <x v="8"/>
    </i>
    <i>
      <x v="9"/>
    </i>
    <i>
      <x v="10"/>
    </i>
    <i>
      <x v="11"/>
    </i>
    <i>
      <x v="12"/>
    </i>
    <i>
      <x v="13"/>
    </i>
    <i>
      <x v="14"/>
    </i>
    <i t="grand">
      <x/>
    </i>
  </rowItems>
  <colItems count="1">
    <i/>
  </colItems>
  <dataFields count="1">
    <dataField name="SUM of estimated_revenue" fld="64" baseField="0" baseItem="0"/>
  </dataFields>
  <pivotTableStyleInfo showRowHeaders="1" showColHeaders="1"/>
</pivotTableDefinition>
</file>

<file path=xl/pivotTables/pivotTable3.xml><?xml version="1.0" encoding="utf-8"?>
<pivotTableDefinition xmlns="http://schemas.openxmlformats.org/spreadsheetml/2006/main" name="Pivot_Analysis 3" cacheId="0" autoFormatId="1" applyNumberFormats="0" applyBorderFormats="0" applyFontFormats="0" applyPatternFormats="0" applyAlignmentFormats="0" applyWidthHeightFormats="1" dataCaption="" updatedVersion="5" compact="0" compactData="0" showDrill="1">
  <location ref="I2:J212" firstHeaderRow="1" firstDataRow="1" firstDataCol="1"/>
  <pivotFields count="65">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axis="axisRow" compact="0" outline="0" multipleItemSelectionAllowed="1" showAll="0">
      <items count="210">
        <item x="35"/>
        <item x="125"/>
        <item x="81"/>
        <item x="78"/>
        <item x="115"/>
        <item x="97"/>
        <item x="127"/>
        <item x="147"/>
        <item x="148"/>
        <item x="100"/>
        <item x="20"/>
        <item x="128"/>
        <item x="149"/>
        <item x="142"/>
        <item x="136"/>
        <item x="186"/>
        <item x="40"/>
        <item x="160"/>
        <item x="101"/>
        <item x="152"/>
        <item x="168"/>
        <item x="47"/>
        <item x="89"/>
        <item x="8"/>
        <item x="41"/>
        <item x="53"/>
        <item x="54"/>
        <item x="94"/>
        <item x="22"/>
        <item x="167"/>
        <item x="64"/>
        <item x="202"/>
        <item x="43"/>
        <item x="0"/>
        <item x="165"/>
        <item x="120"/>
        <item x="199"/>
        <item x="18"/>
        <item x="7"/>
        <item x="151"/>
        <item x="197"/>
        <item x="113"/>
        <item x="85"/>
        <item x="82"/>
        <item x="59"/>
        <item x="51"/>
        <item x="195"/>
        <item x="140"/>
        <item x="173"/>
        <item x="74"/>
        <item x="105"/>
        <item x="14"/>
        <item x="171"/>
        <item x="93"/>
        <item x="71"/>
        <item x="90"/>
        <item x="91"/>
        <item x="24"/>
        <item x="42"/>
        <item x="122"/>
        <item x="2"/>
        <item x="126"/>
        <item x="9"/>
        <item x="36"/>
        <item x="200"/>
        <item x="62"/>
        <item x="27"/>
        <item x="28"/>
        <item x="129"/>
        <item x="32"/>
        <item x="3"/>
        <item x="190"/>
        <item x="123"/>
        <item x="130"/>
        <item x="15"/>
        <item x="45"/>
        <item x="166"/>
        <item x="92"/>
        <item x="196"/>
        <item x="33"/>
        <item x="139"/>
        <item x="208"/>
        <item x="135"/>
        <item x="205"/>
        <item x="158"/>
        <item x="19"/>
        <item x="86"/>
        <item x="16"/>
        <item x="60"/>
        <item x="191"/>
        <item x="102"/>
        <item x="111"/>
        <item x="48"/>
        <item x="145"/>
        <item x="50"/>
        <item x="154"/>
        <item x="172"/>
        <item x="144"/>
        <item x="83"/>
        <item x="155"/>
        <item x="4"/>
        <item x="96"/>
        <item x="109"/>
        <item x="68"/>
        <item x="65"/>
        <item x="207"/>
        <item x="39"/>
        <item x="174"/>
        <item x="162"/>
        <item x="177"/>
        <item x="5"/>
        <item x="6"/>
        <item x="88"/>
        <item x="63"/>
        <item x="159"/>
        <item x="176"/>
        <item x="1"/>
        <item x="178"/>
        <item x="184"/>
        <item x="30"/>
        <item x="161"/>
        <item x="25"/>
        <item x="131"/>
        <item x="67"/>
        <item x="37"/>
        <item x="181"/>
        <item x="49"/>
        <item x="87"/>
        <item x="138"/>
        <item x="99"/>
        <item x="12"/>
        <item x="31"/>
        <item x="143"/>
        <item x="119"/>
        <item x="21"/>
        <item x="106"/>
        <item x="188"/>
        <item x="189"/>
        <item x="58"/>
        <item x="133"/>
        <item x="198"/>
        <item x="23"/>
        <item x="164"/>
        <item x="56"/>
        <item x="193"/>
        <item x="201"/>
        <item x="141"/>
        <item x="118"/>
        <item x="163"/>
        <item x="124"/>
        <item x="187"/>
        <item x="179"/>
        <item x="13"/>
        <item x="69"/>
        <item x="38"/>
        <item x="29"/>
        <item x="110"/>
        <item x="204"/>
        <item x="108"/>
        <item x="157"/>
        <item x="77"/>
        <item x="73"/>
        <item x="34"/>
        <item x="103"/>
        <item x="95"/>
        <item x="132"/>
        <item x="153"/>
        <item x="70"/>
        <item x="80"/>
        <item x="175"/>
        <item x="185"/>
        <item x="84"/>
        <item x="57"/>
        <item x="107"/>
        <item x="146"/>
        <item x="192"/>
        <item x="183"/>
        <item x="55"/>
        <item x="137"/>
        <item x="169"/>
        <item x="44"/>
        <item x="121"/>
        <item x="194"/>
        <item x="116"/>
        <item x="114"/>
        <item x="98"/>
        <item x="52"/>
        <item x="11"/>
        <item x="10"/>
        <item x="46"/>
        <item x="182"/>
        <item x="79"/>
        <item x="170"/>
        <item x="17"/>
        <item x="104"/>
        <item x="112"/>
        <item x="76"/>
        <item x="156"/>
        <item x="117"/>
        <item x="61"/>
        <item x="75"/>
        <item x="134"/>
        <item x="26"/>
        <item x="150"/>
        <item x="66"/>
        <item x="72"/>
        <item x="206"/>
        <item x="180"/>
        <item x="203"/>
        <item t="default"/>
      </items>
    </pivotField>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dataField="1" compact="0" outline="0" multipleItemSelectionAllowed="1" showAll="0"/>
  </pivotFields>
  <rowFields count="1">
    <field x="4"/>
  </rowFields>
  <rowItems count="2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t="grand">
      <x/>
    </i>
  </rowItems>
  <colItems count="1">
    <i/>
  </colItems>
  <dataFields count="1">
    <dataField name="SUM of estimated_revenue" fld="64" baseField="0" baseItem="0"/>
  </dataFields>
  <pivotTableStyleInfo showRowHeaders="1" showColHeaders="1"/>
</pivotTableDefinition>
</file>

<file path=xl/pivotTables/pivotTable4.xml><?xml version="1.0" encoding="utf-8"?>
<pivotTableDefinition xmlns="http://schemas.openxmlformats.org/spreadsheetml/2006/main" name="Pivot_Analysis 4" cacheId="0" autoFormatId="1" applyNumberFormats="0" applyBorderFormats="0" applyFontFormats="0" applyPatternFormats="0" applyAlignmentFormats="0" applyWidthHeightFormats="1" dataCaption="" updatedVersion="5" compact="0" compactData="0" showDrill="1">
  <location ref="M2:N455" firstHeaderRow="1" firstDataRow="1" firstDataCol="1"/>
  <pivotFields count="65">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axis="axisRow" compact="0" outline="0" multipleItemSelectionAllowed="1" showAll="0">
      <items count="4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t="default"/>
      </items>
    </pivotField>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dataField="1" compact="0" outline="0" multipleItemSelectionAllowed="1" showAll="0"/>
  </pivotFields>
  <rowFields count="1">
    <field x="54"/>
  </rowFields>
  <rowItems count="4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t="grand">
      <x/>
    </i>
  </rowItems>
  <colItems count="1">
    <i/>
  </colItems>
  <dataFields count="1">
    <dataField name="SUM of estimated_revenue" fld="64" baseField="0" baseItem="0"/>
  </dataFields>
  <pivotTableStyleInfo showRowHeaders="1" showColHeaders="1"/>
</pivotTableDefinition>
</file>

<file path=xl/pivotTables/pivotTable5.xml><?xml version="1.0" encoding="utf-8"?>
<pivotTableDefinition xmlns="http://schemas.openxmlformats.org/spreadsheetml/2006/main" name="Pivot_Analysis 5" cacheId="0" autoFormatId="1" applyNumberFormats="0" applyBorderFormats="0" applyFontFormats="0" applyPatternFormats="0" applyAlignmentFormats="0" applyWidthHeightFormats="1" dataCaption="" updatedVersion="5" compact="0" compactData="0" showDrill="1">
  <location ref="Q2:R14" firstHeaderRow="1" firstDataRow="1" firstDataCol="1"/>
  <pivotFields count="65">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axis="axisRow" compact="0" outline="0" multipleItemSelectionAllowed="1" showAll="0">
      <items count="12">
        <item x="2"/>
        <item x="6"/>
        <item x="4"/>
        <item x="5"/>
        <item x="8"/>
        <item x="0"/>
        <item x="1"/>
        <item x="10"/>
        <item x="3"/>
        <item x="9"/>
        <item x="7"/>
        <item t="default"/>
      </items>
    </pivotField>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dataField="1" compact="0" outline="0" multipleItemSelectionAllowed="1" showAll="0"/>
  </pivotFields>
  <rowFields count="1">
    <field x="6"/>
  </rowFields>
  <rowItems count="12">
    <i>
      <x/>
    </i>
    <i>
      <x v="1"/>
    </i>
    <i>
      <x v="2"/>
    </i>
    <i>
      <x v="3"/>
    </i>
    <i>
      <x v="4"/>
    </i>
    <i>
      <x v="5"/>
    </i>
    <i>
      <x v="6"/>
    </i>
    <i>
      <x v="7"/>
    </i>
    <i>
      <x v="8"/>
    </i>
    <i>
      <x v="9"/>
    </i>
    <i>
      <x v="10"/>
    </i>
    <i t="grand">
      <x/>
    </i>
  </rowItems>
  <colItems count="1">
    <i/>
  </colItems>
  <dataFields count="1">
    <dataField name="SUM of estimated_revenue" fld="64" baseField="0" baseItem="0"/>
  </dataFields>
  <pivotTableStyleInfo showRowHeaders="1" showColHeaders="1"/>
</pivotTableDefinition>
</file>

<file path=xl/pivotTables/pivotTable6.xml><?xml version="1.0" encoding="utf-8"?>
<pivotTableDefinition xmlns="http://schemas.openxmlformats.org/spreadsheetml/2006/main" name="Pivot_Analysis 6" cacheId="0" autoFormatId="1" applyNumberFormats="0" applyBorderFormats="0" applyFontFormats="0" applyPatternFormats="0" applyAlignmentFormats="0" applyWidthHeightFormats="1" dataCaption="" updatedVersion="5" compact="0" compactData="0" showDrill="1">
  <location ref="U2:V207" firstHeaderRow="1" firstDataRow="1" firstDataCol="1"/>
  <pivotFields count="65">
    <pivotField compact="0" outline="0" multipleItemSelectionAllowed="1" showAll="0"/>
    <pivotField axis="axisRow" compact="0" outline="0" multipleItemSelectionAllowed="1" showAll="0">
      <items count="205">
        <item x="135"/>
        <item x="189"/>
        <item x="92"/>
        <item x="124"/>
        <item x="192"/>
        <item x="62"/>
        <item x="130"/>
        <item x="60"/>
        <item x="155"/>
        <item x="138"/>
        <item x="39"/>
        <item x="5"/>
        <item x="139"/>
        <item x="21"/>
        <item x="88"/>
        <item x="175"/>
        <item x="24"/>
        <item x="69"/>
        <item x="19"/>
        <item x="97"/>
        <item x="91"/>
        <item x="31"/>
        <item x="161"/>
        <item x="117"/>
        <item x="109"/>
        <item x="30"/>
        <item x="9"/>
        <item x="106"/>
        <item x="55"/>
        <item x="147"/>
        <item x="156"/>
        <item x="188"/>
        <item x="56"/>
        <item x="146"/>
        <item x="183"/>
        <item x="96"/>
        <item x="116"/>
        <item x="179"/>
        <item x="190"/>
        <item x="40"/>
        <item x="1"/>
        <item x="67"/>
        <item x="165"/>
        <item x="151"/>
        <item x="136"/>
        <item x="150"/>
        <item x="113"/>
        <item x="45"/>
        <item x="137"/>
        <item x="89"/>
        <item x="167"/>
        <item x="199"/>
        <item x="16"/>
        <item x="18"/>
        <item x="198"/>
        <item x="177"/>
        <item x="12"/>
        <item x="157"/>
        <item x="119"/>
        <item x="185"/>
        <item x="64"/>
        <item x="59"/>
        <item x="66"/>
        <item x="100"/>
        <item x="191"/>
        <item x="196"/>
        <item x="168"/>
        <item x="86"/>
        <item x="6"/>
        <item x="17"/>
        <item x="65"/>
        <item x="133"/>
        <item x="49"/>
        <item x="25"/>
        <item x="102"/>
        <item x="202"/>
        <item x="52"/>
        <item x="127"/>
        <item x="27"/>
        <item x="37"/>
        <item x="103"/>
        <item x="38"/>
        <item x="160"/>
        <item x="53"/>
        <item x="50"/>
        <item x="46"/>
        <item x="75"/>
        <item x="74"/>
        <item x="54"/>
        <item x="129"/>
        <item x="82"/>
        <item x="47"/>
        <item x="95"/>
        <item x="114"/>
        <item x="43"/>
        <item x="145"/>
        <item x="170"/>
        <item x="142"/>
        <item x="98"/>
        <item x="140"/>
        <item x="131"/>
        <item x="108"/>
        <item x="94"/>
        <item x="44"/>
        <item x="107"/>
        <item x="197"/>
        <item x="174"/>
        <item x="0"/>
        <item x="118"/>
        <item x="32"/>
        <item x="29"/>
        <item x="23"/>
        <item x="93"/>
        <item x="178"/>
        <item x="193"/>
        <item x="194"/>
        <item x="61"/>
        <item x="163"/>
        <item x="125"/>
        <item x="120"/>
        <item x="87"/>
        <item x="42"/>
        <item x="26"/>
        <item x="184"/>
        <item x="128"/>
        <item x="48"/>
        <item x="126"/>
        <item x="122"/>
        <item x="70"/>
        <item x="63"/>
        <item x="79"/>
        <item x="181"/>
        <item x="164"/>
        <item x="134"/>
        <item x="143"/>
        <item x="58"/>
        <item x="153"/>
        <item x="77"/>
        <item x="187"/>
        <item x="121"/>
        <item x="180"/>
        <item x="34"/>
        <item x="154"/>
        <item x="101"/>
        <item x="36"/>
        <item x="162"/>
        <item x="173"/>
        <item x="13"/>
        <item x="85"/>
        <item x="8"/>
        <item x="159"/>
        <item x="99"/>
        <item x="110"/>
        <item x="22"/>
        <item x="195"/>
        <item x="203"/>
        <item x="176"/>
        <item x="4"/>
        <item x="144"/>
        <item x="51"/>
        <item x="201"/>
        <item x="10"/>
        <item x="158"/>
        <item x="112"/>
        <item x="11"/>
        <item x="84"/>
        <item x="76"/>
        <item x="57"/>
        <item x="171"/>
        <item x="68"/>
        <item x="78"/>
        <item x="105"/>
        <item x="80"/>
        <item x="83"/>
        <item x="152"/>
        <item x="14"/>
        <item x="166"/>
        <item x="90"/>
        <item x="41"/>
        <item x="2"/>
        <item x="149"/>
        <item x="7"/>
        <item x="186"/>
        <item x="200"/>
        <item x="182"/>
        <item x="132"/>
        <item x="104"/>
        <item x="28"/>
        <item x="115"/>
        <item x="15"/>
        <item x="148"/>
        <item x="81"/>
        <item x="172"/>
        <item x="33"/>
        <item x="72"/>
        <item x="141"/>
        <item x="169"/>
        <item x="20"/>
        <item x="35"/>
        <item x="71"/>
        <item x="73"/>
        <item x="3"/>
        <item x="111"/>
        <item x="123"/>
        <item t="default"/>
      </items>
    </pivotField>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dataField="1"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s>
  <rowFields count="1">
    <field x="1"/>
  </rowFields>
  <rowItems count="2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t="grand">
      <x/>
    </i>
  </rowItems>
  <colItems count="1">
    <i/>
  </colItems>
  <dataFields count="1">
    <dataField name="SUM of sold" fld="18" baseField="0" baseItem="0"/>
  </dataFields>
  <pivotTableStyleInfo showRowHeaders="1" showColHeaders="1"/>
</pivotTableDefinition>
</file>

<file path=xl/pivotTables/pivotTable7.xml><?xml version="1.0" encoding="utf-8"?>
<pivotTableDefinition xmlns="http://schemas.openxmlformats.org/spreadsheetml/2006/main" name="Pivot_Analysis 7" cacheId="0" autoFormatId="1" applyNumberFormats="0" applyBorderFormats="0" applyFontFormats="0" applyPatternFormats="0" applyAlignmentFormats="0" applyWidthHeightFormats="1" dataCaption="" updatedVersion="5" compact="0" compactData="0" showDrill="1">
  <location ref="Y2:Z207" firstHeaderRow="1" firstDataRow="1" firstDataCol="1"/>
  <pivotFields count="65">
    <pivotField compact="0" outline="0" multipleItemSelectionAllowed="1" showAll="0"/>
    <pivotField axis="axisRow" compact="0" outline="0" multipleItemSelectionAllowed="1" showAll="0">
      <items count="205">
        <item x="135"/>
        <item x="189"/>
        <item x="92"/>
        <item x="124"/>
        <item x="192"/>
        <item x="62"/>
        <item x="130"/>
        <item x="60"/>
        <item x="155"/>
        <item x="138"/>
        <item x="39"/>
        <item x="5"/>
        <item x="139"/>
        <item x="21"/>
        <item x="88"/>
        <item x="175"/>
        <item x="24"/>
        <item x="69"/>
        <item x="19"/>
        <item x="97"/>
        <item x="91"/>
        <item x="31"/>
        <item x="161"/>
        <item x="117"/>
        <item x="109"/>
        <item x="30"/>
        <item x="9"/>
        <item x="106"/>
        <item x="55"/>
        <item x="147"/>
        <item x="156"/>
        <item x="188"/>
        <item x="56"/>
        <item x="146"/>
        <item x="183"/>
        <item x="96"/>
        <item x="116"/>
        <item x="179"/>
        <item x="190"/>
        <item x="40"/>
        <item x="1"/>
        <item x="67"/>
        <item x="165"/>
        <item x="151"/>
        <item x="136"/>
        <item x="150"/>
        <item x="113"/>
        <item x="45"/>
        <item x="137"/>
        <item x="89"/>
        <item x="167"/>
        <item x="199"/>
        <item x="16"/>
        <item x="18"/>
        <item x="198"/>
        <item x="177"/>
        <item x="12"/>
        <item x="157"/>
        <item x="119"/>
        <item x="185"/>
        <item x="64"/>
        <item x="59"/>
        <item x="66"/>
        <item x="100"/>
        <item x="191"/>
        <item x="196"/>
        <item x="168"/>
        <item x="86"/>
        <item x="6"/>
        <item x="17"/>
        <item x="65"/>
        <item x="133"/>
        <item x="49"/>
        <item x="25"/>
        <item x="102"/>
        <item x="202"/>
        <item x="52"/>
        <item x="127"/>
        <item x="27"/>
        <item x="37"/>
        <item x="103"/>
        <item x="38"/>
        <item x="160"/>
        <item x="53"/>
        <item x="50"/>
        <item x="46"/>
        <item x="75"/>
        <item x="74"/>
        <item x="54"/>
        <item x="129"/>
        <item x="82"/>
        <item x="47"/>
        <item x="95"/>
        <item x="114"/>
        <item x="43"/>
        <item x="145"/>
        <item x="170"/>
        <item x="142"/>
        <item x="98"/>
        <item x="140"/>
        <item x="131"/>
        <item x="108"/>
        <item x="94"/>
        <item x="44"/>
        <item x="107"/>
        <item x="197"/>
        <item x="174"/>
        <item x="0"/>
        <item x="118"/>
        <item x="32"/>
        <item x="29"/>
        <item x="23"/>
        <item x="93"/>
        <item x="178"/>
        <item x="193"/>
        <item x="194"/>
        <item x="61"/>
        <item x="163"/>
        <item x="125"/>
        <item x="120"/>
        <item x="87"/>
        <item x="42"/>
        <item x="26"/>
        <item x="184"/>
        <item x="128"/>
        <item x="48"/>
        <item x="126"/>
        <item x="122"/>
        <item x="70"/>
        <item x="63"/>
        <item x="79"/>
        <item x="181"/>
        <item x="164"/>
        <item x="134"/>
        <item x="143"/>
        <item x="58"/>
        <item x="153"/>
        <item x="77"/>
        <item x="187"/>
        <item x="121"/>
        <item x="180"/>
        <item x="34"/>
        <item x="154"/>
        <item x="101"/>
        <item x="36"/>
        <item x="162"/>
        <item x="173"/>
        <item x="13"/>
        <item x="85"/>
        <item x="8"/>
        <item x="159"/>
        <item x="99"/>
        <item x="110"/>
        <item x="22"/>
        <item x="195"/>
        <item x="203"/>
        <item x="176"/>
        <item x="4"/>
        <item x="144"/>
        <item x="51"/>
        <item x="201"/>
        <item x="10"/>
        <item x="158"/>
        <item x="112"/>
        <item x="11"/>
        <item x="84"/>
        <item x="76"/>
        <item x="57"/>
        <item x="171"/>
        <item x="68"/>
        <item x="78"/>
        <item x="105"/>
        <item x="80"/>
        <item x="83"/>
        <item x="152"/>
        <item x="14"/>
        <item x="166"/>
        <item x="90"/>
        <item x="41"/>
        <item x="2"/>
        <item x="149"/>
        <item x="7"/>
        <item x="186"/>
        <item x="200"/>
        <item x="182"/>
        <item x="132"/>
        <item x="104"/>
        <item x="28"/>
        <item x="115"/>
        <item x="15"/>
        <item x="148"/>
        <item x="81"/>
        <item x="172"/>
        <item x="33"/>
        <item x="72"/>
        <item x="141"/>
        <item x="169"/>
        <item x="20"/>
        <item x="35"/>
        <item x="71"/>
        <item x="73"/>
        <item x="3"/>
        <item x="111"/>
        <item x="123"/>
        <item t="default"/>
      </items>
    </pivotField>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compact="0" outline="0" multipleItemSelectionAllowed="1" showAll="0"/>
    <pivotField compact="0" outline="0" multipleItemSelectionAllowed="1" numFmtId="178" showAll="0"/>
    <pivotField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numFmtId="178" showAll="0"/>
    <pivotField dataField="1" compact="0" outline="0" multipleItemSelectionAllowed="1" numFmtId="178"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 compact="0" outline="0" multipleItemSelectionAllowed="1" showAll="0"/>
  </pivotFields>
  <rowFields count="1">
    <field x="1"/>
  </rowFields>
  <rowItems count="2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t="grand">
      <x/>
    </i>
  </rowItems>
  <colItems count="1">
    <i/>
  </colItems>
  <dataFields count="1">
    <dataField name="SUM of available" fld="19" baseField="0" baseItem="0"/>
  </dataFields>
  <pivotTableStyleInfo showRowHeaders="1" showColHeaders="1"/>
</pivotTableDefinitio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alarm.co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alarm.com" TargetMode="External"/><Relationship Id="rId1" Type="http://schemas.openxmlformats.org/officeDocument/2006/relationships/hyperlink" Target="http://alarm.com/" TargetMode="External"/></Relationships>
</file>

<file path=xl/worksheets/_rels/sheet8.xml.rels><?xml version="1.0" encoding="UTF-8" standalone="yes"?>
<Relationships xmlns="http://schemas.openxmlformats.org/package/2006/relationships"><Relationship Id="rId9" Type="http://schemas.openxmlformats.org/officeDocument/2006/relationships/hyperlink" Target="http://alarm.com/" TargetMode="External"/><Relationship Id="rId8" Type="http://schemas.openxmlformats.org/officeDocument/2006/relationships/drawing" Target="../drawings/drawing1.xml"/><Relationship Id="rId7" Type="http://schemas.openxmlformats.org/officeDocument/2006/relationships/pivotTable" Target="../pivotTables/pivotTable7.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L863"/>
  <sheetViews>
    <sheetView tabSelected="1" workbookViewId="0">
      <selection activeCell="A1" sqref="A1"/>
    </sheetView>
  </sheetViews>
  <sheetFormatPr defaultColWidth="12.6285714285714" defaultRowHeight="15.75" customHeight="1"/>
  <cols>
    <col min="1" max="1" width="18.752380952381" customWidth="1"/>
    <col min="2" max="3" width="20.752380952381" customWidth="1"/>
  </cols>
  <sheetData>
    <row r="1" customHeight="1" spans="1:64">
      <c r="A1" s="26" t="s">
        <v>0</v>
      </c>
      <c r="B1" s="27" t="s">
        <v>1</v>
      </c>
      <c r="C1" s="27" t="s">
        <v>2</v>
      </c>
      <c r="D1" s="27" t="s">
        <v>3</v>
      </c>
      <c r="E1" s="27" t="s">
        <v>4</v>
      </c>
      <c r="F1" s="27" t="s">
        <v>5</v>
      </c>
      <c r="G1" s="26" t="s">
        <v>6</v>
      </c>
      <c r="H1" s="27" t="s">
        <v>7</v>
      </c>
      <c r="I1" s="27" t="s">
        <v>8</v>
      </c>
      <c r="J1" s="27" t="s">
        <v>9</v>
      </c>
      <c r="K1" s="27" t="s">
        <v>10</v>
      </c>
      <c r="L1" s="27" t="s">
        <v>11</v>
      </c>
      <c r="M1" s="27" t="s">
        <v>12</v>
      </c>
      <c r="N1" s="27" t="s">
        <v>13</v>
      </c>
      <c r="O1" s="27" t="s">
        <v>14</v>
      </c>
      <c r="P1" s="27" t="s">
        <v>15</v>
      </c>
      <c r="Q1" s="27" t="s">
        <v>16</v>
      </c>
      <c r="R1" s="26" t="s">
        <v>17</v>
      </c>
      <c r="S1" s="27" t="s">
        <v>18</v>
      </c>
      <c r="T1" s="27" t="s">
        <v>19</v>
      </c>
      <c r="U1" s="27" t="s">
        <v>20</v>
      </c>
      <c r="V1" s="27" t="s">
        <v>21</v>
      </c>
      <c r="W1" s="27" t="s">
        <v>22</v>
      </c>
      <c r="X1" s="27" t="s">
        <v>23</v>
      </c>
      <c r="Y1" s="27" t="s">
        <v>24</v>
      </c>
      <c r="Z1" s="27" t="s">
        <v>25</v>
      </c>
      <c r="AA1" s="27" t="s">
        <v>26</v>
      </c>
      <c r="AB1" s="27" t="s">
        <v>27</v>
      </c>
      <c r="AC1" s="27" t="s">
        <v>28</v>
      </c>
      <c r="AD1" s="27" t="s">
        <v>29</v>
      </c>
      <c r="AE1" s="27" t="s">
        <v>30</v>
      </c>
      <c r="AF1" s="27" t="s">
        <v>31</v>
      </c>
      <c r="AG1" s="27" t="s">
        <v>32</v>
      </c>
      <c r="AH1" s="27" t="s">
        <v>33</v>
      </c>
      <c r="AI1" s="27" t="s">
        <v>34</v>
      </c>
      <c r="AJ1" s="27" t="s">
        <v>35</v>
      </c>
      <c r="AK1" s="27" t="s">
        <v>36</v>
      </c>
      <c r="AL1" s="27" t="s">
        <v>37</v>
      </c>
      <c r="AM1" s="27" t="s">
        <v>38</v>
      </c>
      <c r="AN1" s="27" t="s">
        <v>39</v>
      </c>
      <c r="AO1" s="27" t="s">
        <v>40</v>
      </c>
      <c r="AP1" s="27" t="s">
        <v>41</v>
      </c>
      <c r="AQ1" s="27" t="s">
        <v>42</v>
      </c>
      <c r="AR1" s="27" t="s">
        <v>43</v>
      </c>
      <c r="AS1" s="27" t="s">
        <v>44</v>
      </c>
      <c r="AT1" s="27" t="s">
        <v>45</v>
      </c>
      <c r="AU1" s="27" t="s">
        <v>46</v>
      </c>
      <c r="AV1" s="27" t="s">
        <v>47</v>
      </c>
      <c r="AW1" s="27" t="s">
        <v>48</v>
      </c>
      <c r="AX1" s="27" t="s">
        <v>49</v>
      </c>
      <c r="AY1" s="27" t="s">
        <v>50</v>
      </c>
      <c r="AZ1" s="27" t="s">
        <v>51</v>
      </c>
      <c r="BA1" s="27" t="s">
        <v>52</v>
      </c>
      <c r="BB1" s="27" t="s">
        <v>53</v>
      </c>
      <c r="BC1" s="27" t="s">
        <v>54</v>
      </c>
      <c r="BD1" s="27" t="s">
        <v>55</v>
      </c>
      <c r="BE1" s="27" t="s">
        <v>56</v>
      </c>
      <c r="BF1" s="27" t="s">
        <v>57</v>
      </c>
      <c r="BG1" s="27" t="s">
        <v>58</v>
      </c>
      <c r="BH1" s="27" t="s">
        <v>59</v>
      </c>
      <c r="BI1" s="27" t="s">
        <v>60</v>
      </c>
      <c r="BJ1" s="27" t="s">
        <v>61</v>
      </c>
      <c r="BK1" s="27" t="s">
        <v>62</v>
      </c>
      <c r="BL1" s="27" t="s">
        <v>63</v>
      </c>
    </row>
    <row r="2" customHeight="1" spans="1:64">
      <c r="A2" s="27" t="s">
        <v>64</v>
      </c>
      <c r="B2" s="27" t="s">
        <v>65</v>
      </c>
      <c r="C2" s="27" t="s">
        <v>66</v>
      </c>
      <c r="D2" s="27">
        <v>695529036816</v>
      </c>
      <c r="E2" s="27" t="s">
        <v>67</v>
      </c>
      <c r="F2" s="27" t="s">
        <v>68</v>
      </c>
      <c r="G2" s="27" t="s">
        <v>65</v>
      </c>
      <c r="H2" s="27" t="s">
        <v>69</v>
      </c>
      <c r="I2" s="27" t="s">
        <v>70</v>
      </c>
      <c r="J2" s="27">
        <v>3</v>
      </c>
      <c r="K2" s="27">
        <v>259.99</v>
      </c>
      <c r="M2" s="27">
        <v>0</v>
      </c>
      <c r="N2" s="27">
        <v>0</v>
      </c>
      <c r="O2" s="27">
        <v>0</v>
      </c>
      <c r="P2" s="27" t="s">
        <v>71</v>
      </c>
      <c r="Q2" s="27">
        <v>5.564482</v>
      </c>
      <c r="R2" s="27">
        <v>32.5</v>
      </c>
      <c r="S2" s="27">
        <v>11</v>
      </c>
      <c r="T2" s="27">
        <v>332</v>
      </c>
      <c r="U2" s="27">
        <v>0.0321</v>
      </c>
      <c r="V2" s="27" t="s">
        <v>72</v>
      </c>
      <c r="W2" s="27">
        <v>2859.89</v>
      </c>
      <c r="X2" s="27">
        <v>2.484907</v>
      </c>
      <c r="Y2" s="27">
        <v>7.958888</v>
      </c>
      <c r="Z2" s="27">
        <v>18.2209</v>
      </c>
      <c r="AA2" s="27" t="s">
        <v>73</v>
      </c>
      <c r="AB2" s="27">
        <v>0</v>
      </c>
      <c r="AC2" s="27">
        <v>0</v>
      </c>
      <c r="AD2" s="27">
        <v>0</v>
      </c>
      <c r="AE2" s="27">
        <v>0</v>
      </c>
      <c r="AF2" s="27">
        <v>0</v>
      </c>
      <c r="AG2" s="27">
        <v>0</v>
      </c>
      <c r="AH2" s="27">
        <v>0</v>
      </c>
      <c r="AI2" s="27">
        <v>0</v>
      </c>
      <c r="AJ2" s="27">
        <v>0</v>
      </c>
      <c r="AK2" s="27">
        <v>0</v>
      </c>
      <c r="AL2" s="27">
        <v>1</v>
      </c>
      <c r="AM2" s="27">
        <v>0</v>
      </c>
      <c r="AN2" s="27">
        <v>0</v>
      </c>
      <c r="AO2" s="27">
        <v>1</v>
      </c>
      <c r="AP2" s="27">
        <v>0</v>
      </c>
      <c r="AQ2" s="27">
        <v>1</v>
      </c>
      <c r="AR2" s="27">
        <v>0</v>
      </c>
      <c r="AS2" s="27">
        <v>0</v>
      </c>
      <c r="AT2" s="27">
        <v>0</v>
      </c>
      <c r="AU2" s="27">
        <v>0</v>
      </c>
      <c r="AV2" s="27">
        <v>1</v>
      </c>
      <c r="AW2" s="27">
        <v>1</v>
      </c>
      <c r="AX2" s="27">
        <v>1</v>
      </c>
      <c r="AY2" s="27">
        <v>8</v>
      </c>
      <c r="AZ2" s="27">
        <v>1</v>
      </c>
      <c r="BA2" s="27">
        <v>2</v>
      </c>
      <c r="BB2" s="27">
        <v>31.13</v>
      </c>
      <c r="BC2" s="27" t="s">
        <v>74</v>
      </c>
      <c r="BD2" s="27" t="s">
        <v>75</v>
      </c>
      <c r="BE2" s="27" t="s">
        <v>76</v>
      </c>
      <c r="BF2" s="27" t="s">
        <v>77</v>
      </c>
      <c r="BG2" s="27">
        <v>168</v>
      </c>
      <c r="BH2" s="27">
        <v>13</v>
      </c>
      <c r="BI2" s="27">
        <v>0.9282</v>
      </c>
      <c r="BJ2" s="27">
        <v>0</v>
      </c>
      <c r="BK2" s="27">
        <v>2</v>
      </c>
      <c r="BL2" s="27">
        <v>99.5</v>
      </c>
    </row>
    <row r="3" customHeight="1" spans="1:64">
      <c r="A3" s="27" t="s">
        <v>78</v>
      </c>
      <c r="B3" s="27" t="s">
        <v>79</v>
      </c>
      <c r="C3" s="27" t="s">
        <v>80</v>
      </c>
      <c r="E3" s="27" t="s">
        <v>81</v>
      </c>
      <c r="F3" s="27" t="s">
        <v>82</v>
      </c>
      <c r="G3" s="27" t="s">
        <v>83</v>
      </c>
      <c r="H3" s="27" t="s">
        <v>84</v>
      </c>
      <c r="I3" s="27" t="s">
        <v>85</v>
      </c>
      <c r="J3" s="27">
        <v>5</v>
      </c>
      <c r="K3" s="27">
        <v>69.99</v>
      </c>
      <c r="M3" s="27">
        <v>0</v>
      </c>
      <c r="N3" s="27">
        <v>0</v>
      </c>
      <c r="O3" s="27">
        <v>0</v>
      </c>
      <c r="P3" s="27" t="s">
        <v>86</v>
      </c>
      <c r="Q3" s="27">
        <v>4.262539</v>
      </c>
      <c r="S3" s="27">
        <v>10</v>
      </c>
      <c r="T3" s="27">
        <v>10</v>
      </c>
      <c r="U3" s="27">
        <v>0.5</v>
      </c>
      <c r="V3" s="27" t="s">
        <v>87</v>
      </c>
      <c r="W3" s="27">
        <v>699.9</v>
      </c>
      <c r="X3" s="27">
        <v>2.397895</v>
      </c>
      <c r="Y3" s="27">
        <v>6.552365</v>
      </c>
      <c r="Z3" s="27">
        <v>3.1623</v>
      </c>
      <c r="AA3" s="27" t="s">
        <v>88</v>
      </c>
      <c r="AB3" s="27">
        <v>0</v>
      </c>
      <c r="AC3" s="27">
        <v>0</v>
      </c>
      <c r="AD3" s="27">
        <v>0</v>
      </c>
      <c r="AE3" s="27">
        <v>1</v>
      </c>
      <c r="AF3" s="27">
        <v>0</v>
      </c>
      <c r="AG3" s="27">
        <v>0</v>
      </c>
      <c r="AH3" s="27">
        <v>1</v>
      </c>
      <c r="AI3" s="27">
        <v>0</v>
      </c>
      <c r="AJ3" s="27">
        <v>0</v>
      </c>
      <c r="AK3" s="27">
        <v>0</v>
      </c>
      <c r="AL3" s="27">
        <v>0</v>
      </c>
      <c r="AM3" s="27">
        <v>0</v>
      </c>
      <c r="AN3" s="27">
        <v>0</v>
      </c>
      <c r="AO3" s="27">
        <v>0</v>
      </c>
      <c r="AP3" s="27">
        <v>0</v>
      </c>
      <c r="AQ3" s="27">
        <v>0</v>
      </c>
      <c r="AR3" s="27">
        <v>0</v>
      </c>
      <c r="AS3" s="27">
        <v>0</v>
      </c>
      <c r="AT3" s="27">
        <v>1</v>
      </c>
      <c r="AU3" s="27">
        <v>0</v>
      </c>
      <c r="AV3" s="27">
        <v>0</v>
      </c>
      <c r="AW3" s="27">
        <v>1</v>
      </c>
      <c r="AX3" s="27">
        <v>0</v>
      </c>
      <c r="AZ3" s="27">
        <v>4</v>
      </c>
      <c r="BA3" s="27">
        <v>2</v>
      </c>
      <c r="BB3" s="27">
        <v>49.1</v>
      </c>
      <c r="BC3" s="27" t="s">
        <v>89</v>
      </c>
      <c r="BD3" s="27" t="s">
        <v>90</v>
      </c>
      <c r="BE3" s="27" t="s">
        <v>91</v>
      </c>
      <c r="BF3" s="27" t="s">
        <v>77</v>
      </c>
      <c r="BG3" s="27">
        <v>162</v>
      </c>
      <c r="BH3" s="27">
        <v>59</v>
      </c>
      <c r="BI3" s="27">
        <v>0.733</v>
      </c>
      <c r="BJ3" s="27">
        <v>0</v>
      </c>
      <c r="BK3" s="27">
        <v>11</v>
      </c>
      <c r="BL3" s="27">
        <v>97</v>
      </c>
    </row>
    <row r="4" customHeight="1" spans="1:64">
      <c r="A4" s="27" t="s">
        <v>92</v>
      </c>
      <c r="B4" s="27" t="s">
        <v>93</v>
      </c>
      <c r="E4" s="27" t="s">
        <v>94</v>
      </c>
      <c r="F4" s="27" t="s">
        <v>82</v>
      </c>
      <c r="G4" s="27" t="s">
        <v>93</v>
      </c>
      <c r="H4" s="27" t="s">
        <v>69</v>
      </c>
      <c r="I4" s="27" t="s">
        <v>85</v>
      </c>
      <c r="J4" s="27">
        <v>5</v>
      </c>
      <c r="K4" s="27">
        <v>129.99</v>
      </c>
      <c r="M4" s="27">
        <v>0</v>
      </c>
      <c r="N4" s="27">
        <v>0</v>
      </c>
      <c r="O4" s="27">
        <v>0</v>
      </c>
      <c r="P4" s="27" t="s">
        <v>95</v>
      </c>
      <c r="Q4" s="27">
        <v>4.875121</v>
      </c>
      <c r="S4" s="27">
        <v>155</v>
      </c>
      <c r="T4" s="27">
        <v>50</v>
      </c>
      <c r="U4" s="27">
        <v>0.7561</v>
      </c>
      <c r="V4" s="27" t="s">
        <v>72</v>
      </c>
      <c r="W4" s="27">
        <v>20148.45</v>
      </c>
      <c r="X4" s="27">
        <v>5.049856</v>
      </c>
      <c r="Y4" s="27">
        <v>9.910932</v>
      </c>
      <c r="Z4" s="27">
        <v>7.0711</v>
      </c>
      <c r="AA4" s="27" t="s">
        <v>73</v>
      </c>
      <c r="AB4" s="27">
        <v>0</v>
      </c>
      <c r="AC4" s="27">
        <v>0</v>
      </c>
      <c r="AD4" s="27">
        <v>0</v>
      </c>
      <c r="AE4" s="27">
        <v>1</v>
      </c>
      <c r="AF4" s="27">
        <v>1</v>
      </c>
      <c r="AG4" s="27">
        <v>0</v>
      </c>
      <c r="AH4" s="27">
        <v>1</v>
      </c>
      <c r="AI4" s="27">
        <v>0</v>
      </c>
      <c r="AJ4" s="27">
        <v>0</v>
      </c>
      <c r="AK4" s="27">
        <v>1</v>
      </c>
      <c r="AL4" s="27">
        <v>0</v>
      </c>
      <c r="AM4" s="27">
        <v>0</v>
      </c>
      <c r="AN4" s="27">
        <v>0</v>
      </c>
      <c r="AO4" s="27">
        <v>0</v>
      </c>
      <c r="AP4" s="27">
        <v>0</v>
      </c>
      <c r="AQ4" s="27">
        <v>0</v>
      </c>
      <c r="AR4" s="27">
        <v>0</v>
      </c>
      <c r="AS4" s="27">
        <v>0</v>
      </c>
      <c r="AT4" s="27">
        <v>0</v>
      </c>
      <c r="AU4" s="27">
        <v>0</v>
      </c>
      <c r="AV4" s="27">
        <v>0</v>
      </c>
      <c r="AW4" s="27">
        <v>0</v>
      </c>
      <c r="AX4" s="27">
        <v>0</v>
      </c>
      <c r="AZ4" s="27">
        <v>1</v>
      </c>
      <c r="BA4" s="27">
        <v>3</v>
      </c>
      <c r="BB4" s="27">
        <v>60.09</v>
      </c>
      <c r="BC4" s="27" t="s">
        <v>96</v>
      </c>
      <c r="BD4" s="27" t="s">
        <v>97</v>
      </c>
      <c r="BE4" s="27" t="s">
        <v>98</v>
      </c>
      <c r="BF4" s="27" t="s">
        <v>77</v>
      </c>
      <c r="BG4" s="27">
        <v>1</v>
      </c>
      <c r="BH4" s="27">
        <v>28</v>
      </c>
      <c r="BI4" s="27">
        <v>0.0345</v>
      </c>
      <c r="BJ4" s="27">
        <v>1</v>
      </c>
      <c r="BK4" s="27">
        <v>2</v>
      </c>
      <c r="BL4" s="27">
        <v>99.5</v>
      </c>
    </row>
    <row r="5" customHeight="1" spans="1:64">
      <c r="A5" s="27" t="s">
        <v>99</v>
      </c>
      <c r="B5" s="27" t="s">
        <v>100</v>
      </c>
      <c r="C5" s="27" t="s">
        <v>101</v>
      </c>
      <c r="E5" s="27" t="s">
        <v>81</v>
      </c>
      <c r="F5" s="27" t="s">
        <v>82</v>
      </c>
      <c r="G5" s="27" t="s">
        <v>83</v>
      </c>
      <c r="H5" s="27" t="s">
        <v>102</v>
      </c>
      <c r="I5" s="27" t="s">
        <v>85</v>
      </c>
      <c r="J5" s="27">
        <v>5</v>
      </c>
      <c r="K5" s="27">
        <v>139.99</v>
      </c>
      <c r="M5" s="27">
        <v>0</v>
      </c>
      <c r="N5" s="27">
        <v>0</v>
      </c>
      <c r="O5" s="27">
        <v>0</v>
      </c>
      <c r="P5" s="27" t="s">
        <v>95</v>
      </c>
      <c r="Q5" s="27">
        <v>4.948689</v>
      </c>
      <c r="S5" s="27">
        <v>9</v>
      </c>
      <c r="T5" s="27">
        <v>10</v>
      </c>
      <c r="U5" s="27">
        <v>0.4737</v>
      </c>
      <c r="V5" s="27" t="s">
        <v>87</v>
      </c>
      <c r="W5" s="27">
        <v>1259.91</v>
      </c>
      <c r="X5" s="27">
        <v>2.302585</v>
      </c>
      <c r="Y5" s="27">
        <v>7.139589</v>
      </c>
      <c r="Z5" s="27">
        <v>3.1623</v>
      </c>
      <c r="AA5" s="27" t="s">
        <v>88</v>
      </c>
      <c r="AB5" s="27">
        <v>0</v>
      </c>
      <c r="AC5" s="27">
        <v>0</v>
      </c>
      <c r="AD5" s="27">
        <v>0</v>
      </c>
      <c r="AE5" s="27">
        <v>1</v>
      </c>
      <c r="AF5" s="27">
        <v>1</v>
      </c>
      <c r="AG5" s="27">
        <v>0</v>
      </c>
      <c r="AH5" s="27">
        <v>1</v>
      </c>
      <c r="AI5" s="27">
        <v>0</v>
      </c>
      <c r="AJ5" s="27">
        <v>0</v>
      </c>
      <c r="AK5" s="27">
        <v>1</v>
      </c>
      <c r="AL5" s="27">
        <v>0</v>
      </c>
      <c r="AM5" s="27">
        <v>0</v>
      </c>
      <c r="AN5" s="27">
        <v>0</v>
      </c>
      <c r="AO5" s="27">
        <v>0</v>
      </c>
      <c r="AP5" s="27">
        <v>0</v>
      </c>
      <c r="AQ5" s="27">
        <v>0</v>
      </c>
      <c r="AR5" s="27">
        <v>0</v>
      </c>
      <c r="AS5" s="27">
        <v>0</v>
      </c>
      <c r="AT5" s="27">
        <v>1</v>
      </c>
      <c r="AU5" s="27">
        <v>0</v>
      </c>
      <c r="AV5" s="27">
        <v>0</v>
      </c>
      <c r="AW5" s="27">
        <v>0</v>
      </c>
      <c r="AX5" s="27">
        <v>0</v>
      </c>
      <c r="AZ5" s="27">
        <v>1</v>
      </c>
      <c r="BA5" s="27">
        <v>3</v>
      </c>
      <c r="BB5" s="27">
        <v>48.8</v>
      </c>
      <c r="BC5" s="27" t="s">
        <v>89</v>
      </c>
      <c r="BD5" s="27" t="s">
        <v>90</v>
      </c>
      <c r="BE5" s="27" t="s">
        <v>91</v>
      </c>
      <c r="BF5" s="27" t="s">
        <v>77</v>
      </c>
      <c r="BG5" s="27">
        <v>162</v>
      </c>
      <c r="BH5" s="27">
        <v>59</v>
      </c>
      <c r="BI5" s="27">
        <v>0.733</v>
      </c>
      <c r="BJ5" s="27">
        <v>0</v>
      </c>
      <c r="BK5" s="27">
        <v>2</v>
      </c>
      <c r="BL5" s="27">
        <v>99.5</v>
      </c>
    </row>
    <row r="6" customHeight="1" spans="1:64">
      <c r="A6" s="27" t="s">
        <v>103</v>
      </c>
      <c r="B6" s="27" t="s">
        <v>104</v>
      </c>
      <c r="C6" s="27" t="s">
        <v>105</v>
      </c>
      <c r="D6" s="27">
        <v>194644179267</v>
      </c>
      <c r="E6" s="27" t="s">
        <v>81</v>
      </c>
      <c r="F6" s="27" t="s">
        <v>82</v>
      </c>
      <c r="G6" s="27" t="s">
        <v>106</v>
      </c>
      <c r="H6" s="27" t="s">
        <v>107</v>
      </c>
      <c r="I6" s="27" t="s">
        <v>108</v>
      </c>
      <c r="J6" s="27">
        <v>3</v>
      </c>
      <c r="K6" s="27">
        <v>146</v>
      </c>
      <c r="L6" s="27">
        <v>219.99</v>
      </c>
      <c r="M6" s="27">
        <v>33.63</v>
      </c>
      <c r="N6" s="27">
        <v>73.99</v>
      </c>
      <c r="O6" s="27">
        <v>1</v>
      </c>
      <c r="P6" s="27" t="s">
        <v>95</v>
      </c>
      <c r="Q6" s="27">
        <v>4.990433</v>
      </c>
      <c r="S6" s="27">
        <v>1830</v>
      </c>
      <c r="T6" s="27">
        <v>315</v>
      </c>
      <c r="U6" s="27">
        <v>0.8531</v>
      </c>
      <c r="V6" s="27" t="s">
        <v>109</v>
      </c>
      <c r="W6" s="27">
        <v>267180</v>
      </c>
      <c r="X6" s="27">
        <v>7.512618</v>
      </c>
      <c r="Y6" s="27">
        <v>12.495682</v>
      </c>
      <c r="Z6" s="27">
        <v>17.7482</v>
      </c>
      <c r="AA6" s="27" t="s">
        <v>110</v>
      </c>
      <c r="AB6" s="27">
        <v>1</v>
      </c>
      <c r="AC6" s="27">
        <v>1</v>
      </c>
      <c r="AD6" s="27">
        <v>0</v>
      </c>
      <c r="AE6" s="27">
        <v>0</v>
      </c>
      <c r="AF6" s="27">
        <v>0</v>
      </c>
      <c r="AG6" s="27">
        <v>0</v>
      </c>
      <c r="AH6" s="27">
        <v>0</v>
      </c>
      <c r="AI6" s="27">
        <v>0</v>
      </c>
      <c r="AJ6" s="27">
        <v>0</v>
      </c>
      <c r="AK6" s="27">
        <v>0</v>
      </c>
      <c r="AL6" s="27">
        <v>0</v>
      </c>
      <c r="AM6" s="27">
        <v>0</v>
      </c>
      <c r="AN6" s="27">
        <v>0</v>
      </c>
      <c r="AO6" s="27">
        <v>0</v>
      </c>
      <c r="AP6" s="27">
        <v>1</v>
      </c>
      <c r="AQ6" s="27">
        <v>0</v>
      </c>
      <c r="AR6" s="27">
        <v>0</v>
      </c>
      <c r="AS6" s="27">
        <v>0</v>
      </c>
      <c r="AT6" s="27">
        <v>0</v>
      </c>
      <c r="AU6" s="27">
        <v>0</v>
      </c>
      <c r="AV6" s="27">
        <v>0</v>
      </c>
      <c r="AW6" s="27">
        <v>0</v>
      </c>
      <c r="AX6" s="27">
        <v>0</v>
      </c>
      <c r="AZ6" s="27">
        <v>1</v>
      </c>
      <c r="BA6" s="27">
        <v>2</v>
      </c>
      <c r="BB6" s="27">
        <v>74.06</v>
      </c>
      <c r="BC6" s="27" t="s">
        <v>111</v>
      </c>
      <c r="BD6" s="27" t="s">
        <v>112</v>
      </c>
      <c r="BE6" s="27" t="s">
        <v>113</v>
      </c>
      <c r="BF6" s="27" t="s">
        <v>77</v>
      </c>
      <c r="BG6" s="27">
        <v>162</v>
      </c>
      <c r="BH6" s="27">
        <v>24</v>
      </c>
      <c r="BI6" s="27">
        <v>0.871</v>
      </c>
      <c r="BJ6" s="27">
        <v>0</v>
      </c>
      <c r="BK6" s="27">
        <v>2</v>
      </c>
      <c r="BL6" s="27">
        <v>99.5</v>
      </c>
    </row>
    <row r="7" customHeight="1" spans="1:64">
      <c r="A7" s="27" t="s">
        <v>114</v>
      </c>
      <c r="B7" s="27" t="s">
        <v>115</v>
      </c>
      <c r="E7" s="27" t="s">
        <v>116</v>
      </c>
      <c r="F7" s="27" t="s">
        <v>82</v>
      </c>
      <c r="G7" s="27" t="s">
        <v>117</v>
      </c>
      <c r="H7" s="27" t="s">
        <v>107</v>
      </c>
      <c r="I7" s="27" t="s">
        <v>85</v>
      </c>
      <c r="J7" s="27">
        <v>5</v>
      </c>
      <c r="K7" s="27">
        <v>159.99</v>
      </c>
      <c r="M7" s="27">
        <v>0</v>
      </c>
      <c r="N7" s="27">
        <v>0</v>
      </c>
      <c r="O7" s="27">
        <v>0</v>
      </c>
      <c r="P7" s="27" t="s">
        <v>95</v>
      </c>
      <c r="Q7" s="27">
        <v>5.081342</v>
      </c>
      <c r="S7" s="27">
        <v>69</v>
      </c>
      <c r="T7" s="27">
        <v>10</v>
      </c>
      <c r="U7" s="27">
        <v>0.8734</v>
      </c>
      <c r="V7" s="27" t="s">
        <v>72</v>
      </c>
      <c r="W7" s="27">
        <v>11039.31</v>
      </c>
      <c r="X7" s="27">
        <v>4.248495</v>
      </c>
      <c r="Y7" s="27">
        <v>9.309308</v>
      </c>
      <c r="Z7" s="27">
        <v>3.1623</v>
      </c>
      <c r="AA7" s="27" t="s">
        <v>73</v>
      </c>
      <c r="AB7" s="27">
        <v>0</v>
      </c>
      <c r="AC7" s="27">
        <v>0</v>
      </c>
      <c r="AD7" s="27">
        <v>0</v>
      </c>
      <c r="AE7" s="27">
        <v>0</v>
      </c>
      <c r="AF7" s="27">
        <v>0</v>
      </c>
      <c r="AG7" s="27">
        <v>1</v>
      </c>
      <c r="AH7" s="27">
        <v>0</v>
      </c>
      <c r="AI7" s="27">
        <v>0</v>
      </c>
      <c r="AJ7" s="27">
        <v>0</v>
      </c>
      <c r="AK7" s="27">
        <v>0</v>
      </c>
      <c r="AL7" s="27">
        <v>0</v>
      </c>
      <c r="AM7" s="27">
        <v>0</v>
      </c>
      <c r="AN7" s="27">
        <v>0</v>
      </c>
      <c r="AO7" s="27">
        <v>0</v>
      </c>
      <c r="AP7" s="27">
        <v>1</v>
      </c>
      <c r="AQ7" s="27">
        <v>0</v>
      </c>
      <c r="AR7" s="27">
        <v>0</v>
      </c>
      <c r="AS7" s="27">
        <v>0</v>
      </c>
      <c r="AT7" s="27">
        <v>0</v>
      </c>
      <c r="AU7" s="27">
        <v>0</v>
      </c>
      <c r="AV7" s="27">
        <v>0</v>
      </c>
      <c r="AW7" s="27">
        <v>0</v>
      </c>
      <c r="AX7" s="27">
        <v>0</v>
      </c>
      <c r="AZ7" s="26">
        <v>1</v>
      </c>
      <c r="BA7" s="27">
        <v>0</v>
      </c>
      <c r="BB7" s="27">
        <v>64.7</v>
      </c>
      <c r="BC7" s="27" t="s">
        <v>118</v>
      </c>
      <c r="BD7" s="27" t="s">
        <v>119</v>
      </c>
      <c r="BE7" s="27" t="s">
        <v>76</v>
      </c>
      <c r="BF7" s="27" t="s">
        <v>77</v>
      </c>
      <c r="BG7" s="27">
        <v>162</v>
      </c>
      <c r="BH7" s="27">
        <v>19</v>
      </c>
      <c r="BI7" s="27">
        <v>0.895</v>
      </c>
      <c r="BJ7" s="27">
        <v>0</v>
      </c>
      <c r="BK7" s="27">
        <v>3</v>
      </c>
      <c r="BL7" s="27">
        <v>99.2</v>
      </c>
    </row>
    <row r="8" customHeight="1" spans="1:64">
      <c r="A8" s="27" t="s">
        <v>120</v>
      </c>
      <c r="B8" s="27" t="s">
        <v>115</v>
      </c>
      <c r="C8" s="27" t="s">
        <v>121</v>
      </c>
      <c r="D8" s="27">
        <v>840414665354</v>
      </c>
      <c r="E8" s="27" t="s">
        <v>122</v>
      </c>
      <c r="F8" s="27" t="s">
        <v>82</v>
      </c>
      <c r="G8" s="27" t="s">
        <v>117</v>
      </c>
      <c r="H8" s="27" t="s">
        <v>107</v>
      </c>
      <c r="I8" s="27" t="s">
        <v>85</v>
      </c>
      <c r="J8" s="27">
        <v>5</v>
      </c>
      <c r="K8" s="27">
        <v>144.99</v>
      </c>
      <c r="M8" s="27">
        <v>0</v>
      </c>
      <c r="N8" s="27">
        <v>0</v>
      </c>
      <c r="O8" s="27">
        <v>0</v>
      </c>
      <c r="P8" s="27" t="s">
        <v>95</v>
      </c>
      <c r="Q8" s="27">
        <v>4.983538</v>
      </c>
      <c r="S8" s="27">
        <v>35</v>
      </c>
      <c r="T8" s="27">
        <v>10</v>
      </c>
      <c r="U8" s="27">
        <v>0.7778</v>
      </c>
      <c r="V8" s="27" t="s">
        <v>72</v>
      </c>
      <c r="W8" s="27">
        <v>5074.65</v>
      </c>
      <c r="X8" s="27">
        <v>3.583519</v>
      </c>
      <c r="Y8" s="27">
        <v>8.53221</v>
      </c>
      <c r="Z8" s="27">
        <v>3.1623</v>
      </c>
      <c r="AA8" s="27" t="s">
        <v>73</v>
      </c>
      <c r="AB8" s="27">
        <v>0</v>
      </c>
      <c r="AC8" s="27">
        <v>0</v>
      </c>
      <c r="AD8" s="27">
        <v>0</v>
      </c>
      <c r="AE8" s="27">
        <v>0</v>
      </c>
      <c r="AF8" s="27">
        <v>0</v>
      </c>
      <c r="AG8" s="27">
        <v>1</v>
      </c>
      <c r="AH8" s="27">
        <v>0</v>
      </c>
      <c r="AI8" s="27">
        <v>0</v>
      </c>
      <c r="AJ8" s="27">
        <v>0</v>
      </c>
      <c r="AK8" s="27">
        <v>0</v>
      </c>
      <c r="AL8" s="27">
        <v>0</v>
      </c>
      <c r="AM8" s="27">
        <v>0</v>
      </c>
      <c r="AN8" s="27">
        <v>0</v>
      </c>
      <c r="AO8" s="27">
        <v>0</v>
      </c>
      <c r="AP8" s="27">
        <v>0</v>
      </c>
      <c r="AQ8" s="27">
        <v>0</v>
      </c>
      <c r="AR8" s="27">
        <v>0</v>
      </c>
      <c r="AS8" s="27">
        <v>1</v>
      </c>
      <c r="AT8" s="27">
        <v>0</v>
      </c>
      <c r="AU8" s="27">
        <v>0</v>
      </c>
      <c r="AV8" s="27">
        <v>0</v>
      </c>
      <c r="AW8" s="27">
        <v>0</v>
      </c>
      <c r="AX8" s="27">
        <v>0</v>
      </c>
      <c r="AZ8" s="27">
        <v>1</v>
      </c>
      <c r="BA8" s="27">
        <v>0</v>
      </c>
      <c r="BB8" s="27">
        <v>60.87</v>
      </c>
      <c r="BC8" s="27" t="s">
        <v>118</v>
      </c>
      <c r="BD8" s="27" t="s">
        <v>119</v>
      </c>
      <c r="BE8" s="27" t="s">
        <v>76</v>
      </c>
      <c r="BF8" s="27" t="s">
        <v>77</v>
      </c>
      <c r="BG8" s="27">
        <v>162</v>
      </c>
      <c r="BH8" s="27">
        <v>19</v>
      </c>
      <c r="BI8" s="27">
        <v>0.895</v>
      </c>
      <c r="BJ8" s="27">
        <v>0</v>
      </c>
      <c r="BK8" s="27">
        <v>3</v>
      </c>
      <c r="BL8" s="27">
        <v>99.2</v>
      </c>
    </row>
    <row r="9" customHeight="1" spans="1:64">
      <c r="A9" s="27" t="s">
        <v>123</v>
      </c>
      <c r="B9" s="27" t="s">
        <v>124</v>
      </c>
      <c r="D9" s="27">
        <v>840268905552</v>
      </c>
      <c r="E9" s="27" t="s">
        <v>81</v>
      </c>
      <c r="F9" s="27" t="s">
        <v>82</v>
      </c>
      <c r="G9" s="27" t="s">
        <v>117</v>
      </c>
      <c r="H9" s="27" t="s">
        <v>84</v>
      </c>
      <c r="I9" s="27" t="s">
        <v>85</v>
      </c>
      <c r="J9" s="27">
        <v>5</v>
      </c>
      <c r="K9" s="27">
        <v>39.95</v>
      </c>
      <c r="M9" s="27">
        <v>0</v>
      </c>
      <c r="N9" s="27">
        <v>0</v>
      </c>
      <c r="O9" s="27">
        <v>0</v>
      </c>
      <c r="P9" s="27" t="s">
        <v>86</v>
      </c>
      <c r="Q9" s="27">
        <v>3.712352</v>
      </c>
      <c r="S9" s="27">
        <v>9</v>
      </c>
      <c r="T9" s="27">
        <v>1</v>
      </c>
      <c r="U9" s="27">
        <v>0.9</v>
      </c>
      <c r="V9" s="27" t="s">
        <v>87</v>
      </c>
      <c r="W9" s="27">
        <v>359.55</v>
      </c>
      <c r="X9" s="27">
        <v>2.302585</v>
      </c>
      <c r="Y9" s="27">
        <v>5.887631</v>
      </c>
      <c r="Z9" s="27">
        <v>1</v>
      </c>
      <c r="AA9" s="27" t="s">
        <v>125</v>
      </c>
      <c r="AB9" s="27">
        <v>0</v>
      </c>
      <c r="AC9" s="27">
        <v>0</v>
      </c>
      <c r="AD9" s="27">
        <v>0</v>
      </c>
      <c r="AE9" s="27">
        <v>0</v>
      </c>
      <c r="AF9" s="27">
        <v>1</v>
      </c>
      <c r="AG9" s="27">
        <v>0</v>
      </c>
      <c r="AH9" s="27">
        <v>0</v>
      </c>
      <c r="AI9" s="27">
        <v>0</v>
      </c>
      <c r="AJ9" s="27">
        <v>0</v>
      </c>
      <c r="AK9" s="27">
        <v>0</v>
      </c>
      <c r="AL9" s="27">
        <v>0</v>
      </c>
      <c r="AM9" s="27">
        <v>0</v>
      </c>
      <c r="AN9" s="27">
        <v>1</v>
      </c>
      <c r="AO9" s="27">
        <v>0</v>
      </c>
      <c r="AP9" s="27">
        <v>0</v>
      </c>
      <c r="AQ9" s="27">
        <v>0</v>
      </c>
      <c r="AR9" s="27">
        <v>0</v>
      </c>
      <c r="AS9" s="27">
        <v>0</v>
      </c>
      <c r="AT9" s="27">
        <v>1</v>
      </c>
      <c r="AU9" s="27">
        <v>0</v>
      </c>
      <c r="AV9" s="27">
        <v>0</v>
      </c>
      <c r="AW9" s="27">
        <v>0</v>
      </c>
      <c r="AX9" s="27">
        <v>0</v>
      </c>
      <c r="AZ9" s="27">
        <v>1</v>
      </c>
      <c r="BA9" s="27">
        <v>1</v>
      </c>
      <c r="BB9" s="27">
        <v>36</v>
      </c>
      <c r="BC9" s="27" t="s">
        <v>126</v>
      </c>
      <c r="BD9" s="27" t="s">
        <v>127</v>
      </c>
      <c r="BE9" s="27" t="s">
        <v>128</v>
      </c>
      <c r="BF9" s="27" t="s">
        <v>77</v>
      </c>
      <c r="BG9" s="27">
        <v>1</v>
      </c>
      <c r="BH9" s="27">
        <v>27</v>
      </c>
      <c r="BI9" s="27">
        <v>0.0357</v>
      </c>
      <c r="BJ9" s="27">
        <v>1</v>
      </c>
    </row>
    <row r="10" customHeight="1" spans="1:64">
      <c r="A10" s="27" t="s">
        <v>129</v>
      </c>
      <c r="B10" s="27" t="s">
        <v>65</v>
      </c>
      <c r="C10" s="27" t="s">
        <v>130</v>
      </c>
      <c r="E10" s="27" t="s">
        <v>131</v>
      </c>
      <c r="F10" s="27" t="s">
        <v>132</v>
      </c>
      <c r="G10" s="27" t="s">
        <v>83</v>
      </c>
      <c r="H10" s="27" t="s">
        <v>69</v>
      </c>
      <c r="I10" s="27" t="s">
        <v>85</v>
      </c>
      <c r="J10" s="27">
        <v>5</v>
      </c>
      <c r="K10" s="27">
        <v>10.59</v>
      </c>
      <c r="M10" s="27">
        <v>0</v>
      </c>
      <c r="N10" s="27">
        <v>0</v>
      </c>
      <c r="O10" s="27">
        <v>0</v>
      </c>
      <c r="P10" s="27" t="s">
        <v>133</v>
      </c>
      <c r="Q10" s="27">
        <v>2.450143</v>
      </c>
      <c r="S10" s="27">
        <v>4006</v>
      </c>
      <c r="T10" s="27">
        <v>10</v>
      </c>
      <c r="U10" s="27">
        <v>0.9975</v>
      </c>
      <c r="V10" s="27" t="s">
        <v>109</v>
      </c>
      <c r="W10" s="27">
        <v>42423.54</v>
      </c>
      <c r="X10" s="27">
        <v>8.295798</v>
      </c>
      <c r="Y10" s="27">
        <v>10.655482</v>
      </c>
      <c r="Z10" s="27">
        <v>3.1623</v>
      </c>
      <c r="AA10" s="27" t="s">
        <v>125</v>
      </c>
      <c r="AB10" s="27">
        <v>0</v>
      </c>
      <c r="AC10" s="27">
        <v>0</v>
      </c>
      <c r="AD10" s="27">
        <v>0</v>
      </c>
      <c r="AE10" s="27">
        <v>0</v>
      </c>
      <c r="AF10" s="27">
        <v>0</v>
      </c>
      <c r="AG10" s="27">
        <v>0</v>
      </c>
      <c r="AH10" s="27">
        <v>0</v>
      </c>
      <c r="AI10" s="27">
        <v>0</v>
      </c>
      <c r="AJ10" s="27">
        <v>0</v>
      </c>
      <c r="AK10" s="27">
        <v>0</v>
      </c>
      <c r="AL10" s="27">
        <v>0</v>
      </c>
      <c r="AM10" s="27">
        <v>0</v>
      </c>
      <c r="AN10" s="27">
        <v>0</v>
      </c>
      <c r="AO10" s="27">
        <v>0</v>
      </c>
      <c r="AP10" s="27">
        <v>0</v>
      </c>
      <c r="AQ10" s="27">
        <v>1</v>
      </c>
      <c r="AR10" s="27">
        <v>0</v>
      </c>
      <c r="AS10" s="27">
        <v>0</v>
      </c>
      <c r="AT10" s="27">
        <v>0</v>
      </c>
      <c r="AU10" s="27">
        <v>0</v>
      </c>
      <c r="AV10" s="27">
        <v>1</v>
      </c>
      <c r="AW10" s="27">
        <v>0</v>
      </c>
      <c r="AX10" s="27">
        <v>0</v>
      </c>
      <c r="AZ10" s="27">
        <v>1</v>
      </c>
      <c r="BA10" s="27">
        <v>1</v>
      </c>
      <c r="BB10" s="27">
        <v>55.11</v>
      </c>
      <c r="BC10" s="27" t="s">
        <v>134</v>
      </c>
      <c r="BD10" s="27" t="s">
        <v>135</v>
      </c>
      <c r="BE10" s="27" t="s">
        <v>136</v>
      </c>
      <c r="BF10" s="27" t="s">
        <v>77</v>
      </c>
      <c r="BG10" s="27">
        <v>168</v>
      </c>
      <c r="BH10" s="27">
        <v>11</v>
      </c>
      <c r="BI10" s="27">
        <v>0.9385</v>
      </c>
      <c r="BJ10" s="27">
        <v>0</v>
      </c>
      <c r="BK10" s="27">
        <v>180</v>
      </c>
      <c r="BL10" s="27">
        <v>50.7</v>
      </c>
    </row>
    <row r="11" customHeight="1" spans="1:64">
      <c r="A11" s="27" t="s">
        <v>137</v>
      </c>
      <c r="B11" s="27" t="s">
        <v>125</v>
      </c>
      <c r="E11" s="27" t="s">
        <v>81</v>
      </c>
      <c r="F11" s="27" t="s">
        <v>82</v>
      </c>
      <c r="G11" s="27" t="s">
        <v>83</v>
      </c>
      <c r="H11" s="27" t="s">
        <v>138</v>
      </c>
      <c r="I11" s="27" t="s">
        <v>85</v>
      </c>
      <c r="J11" s="27">
        <v>5</v>
      </c>
      <c r="K11" s="27">
        <v>29.99</v>
      </c>
      <c r="M11" s="27">
        <v>0</v>
      </c>
      <c r="N11" s="27">
        <v>0</v>
      </c>
      <c r="O11" s="27">
        <v>0</v>
      </c>
      <c r="P11" s="27" t="s">
        <v>86</v>
      </c>
      <c r="Q11" s="27">
        <v>3.433665</v>
      </c>
      <c r="S11" s="27">
        <v>117</v>
      </c>
      <c r="T11" s="27">
        <v>3</v>
      </c>
      <c r="U11" s="27">
        <v>0.975</v>
      </c>
      <c r="V11" s="27" t="s">
        <v>72</v>
      </c>
      <c r="W11" s="27">
        <v>3508.83</v>
      </c>
      <c r="X11" s="27">
        <v>4.770685</v>
      </c>
      <c r="Y11" s="27">
        <v>8.163323</v>
      </c>
      <c r="Z11" s="27">
        <v>1.7321</v>
      </c>
      <c r="AA11" s="27" t="s">
        <v>139</v>
      </c>
      <c r="AB11" s="27">
        <v>1</v>
      </c>
      <c r="AC11" s="27">
        <v>0</v>
      </c>
      <c r="AD11" s="27">
        <v>0</v>
      </c>
      <c r="AE11" s="27">
        <v>0</v>
      </c>
      <c r="AF11" s="27">
        <v>0</v>
      </c>
      <c r="AG11" s="27">
        <v>0</v>
      </c>
      <c r="AH11" s="27">
        <v>1</v>
      </c>
      <c r="AI11" s="27">
        <v>0</v>
      </c>
      <c r="AJ11" s="27">
        <v>1</v>
      </c>
      <c r="AK11" s="27">
        <v>0</v>
      </c>
      <c r="AL11" s="27">
        <v>0</v>
      </c>
      <c r="AM11" s="27">
        <v>0</v>
      </c>
      <c r="AN11" s="27">
        <v>0</v>
      </c>
      <c r="AO11" s="27">
        <v>0</v>
      </c>
      <c r="AP11" s="27">
        <v>0</v>
      </c>
      <c r="AQ11" s="27">
        <v>0</v>
      </c>
      <c r="AR11" s="27">
        <v>0</v>
      </c>
      <c r="AS11" s="27">
        <v>0</v>
      </c>
      <c r="AT11" s="27">
        <v>1</v>
      </c>
      <c r="AU11" s="27">
        <v>0</v>
      </c>
      <c r="AV11" s="27">
        <v>0</v>
      </c>
      <c r="AW11" s="27">
        <v>1</v>
      </c>
      <c r="AX11" s="27">
        <v>0</v>
      </c>
      <c r="AZ11" s="27">
        <v>2</v>
      </c>
      <c r="BA11" s="27">
        <v>2</v>
      </c>
      <c r="BB11" s="27">
        <v>68.85</v>
      </c>
      <c r="BC11" s="27" t="s">
        <v>140</v>
      </c>
      <c r="BD11" s="27" t="s">
        <v>141</v>
      </c>
      <c r="BE11" s="27" t="s">
        <v>142</v>
      </c>
      <c r="BF11" s="27" t="s">
        <v>77</v>
      </c>
      <c r="BG11" s="27">
        <v>1</v>
      </c>
      <c r="BH11" s="27">
        <v>27</v>
      </c>
      <c r="BI11" s="27">
        <v>0.0357</v>
      </c>
      <c r="BJ11" s="27">
        <v>1</v>
      </c>
      <c r="BK11" s="27">
        <v>2</v>
      </c>
      <c r="BL11" s="27">
        <v>99.5</v>
      </c>
    </row>
    <row r="12" customHeight="1" spans="1:64">
      <c r="A12" s="27" t="s">
        <v>143</v>
      </c>
      <c r="B12" s="27" t="s">
        <v>144</v>
      </c>
      <c r="C12" s="27" t="s">
        <v>145</v>
      </c>
      <c r="E12" s="27" t="s">
        <v>146</v>
      </c>
      <c r="F12" s="27" t="s">
        <v>132</v>
      </c>
      <c r="G12" s="27" t="s">
        <v>83</v>
      </c>
      <c r="H12" s="27" t="s">
        <v>84</v>
      </c>
      <c r="I12" s="27" t="s">
        <v>85</v>
      </c>
      <c r="J12" s="27">
        <v>5</v>
      </c>
      <c r="K12" s="27">
        <v>549</v>
      </c>
      <c r="M12" s="27">
        <v>0</v>
      </c>
      <c r="N12" s="27">
        <v>0</v>
      </c>
      <c r="O12" s="27">
        <v>0</v>
      </c>
      <c r="P12" s="27" t="s">
        <v>147</v>
      </c>
      <c r="Q12" s="27">
        <v>6.309918</v>
      </c>
      <c r="S12" s="27">
        <v>6</v>
      </c>
      <c r="T12" s="27">
        <v>10</v>
      </c>
      <c r="U12" s="27">
        <v>0.375</v>
      </c>
      <c r="V12" s="27" t="s">
        <v>87</v>
      </c>
      <c r="W12" s="27">
        <v>3294</v>
      </c>
      <c r="X12" s="27">
        <v>1.94591</v>
      </c>
      <c r="Y12" s="27">
        <v>8.100161</v>
      </c>
      <c r="Z12" s="27">
        <v>3.1623</v>
      </c>
      <c r="AA12" s="27" t="s">
        <v>125</v>
      </c>
      <c r="AB12" s="27">
        <v>0</v>
      </c>
      <c r="AC12" s="27">
        <v>0</v>
      </c>
      <c r="AD12" s="27">
        <v>0</v>
      </c>
      <c r="AE12" s="27">
        <v>0</v>
      </c>
      <c r="AF12" s="27">
        <v>0</v>
      </c>
      <c r="AG12" s="27">
        <v>0</v>
      </c>
      <c r="AH12" s="27">
        <v>1</v>
      </c>
      <c r="AI12" s="27">
        <v>0</v>
      </c>
      <c r="AJ12" s="27">
        <v>0</v>
      </c>
      <c r="AK12" s="27">
        <v>0</v>
      </c>
      <c r="AL12" s="27">
        <v>0</v>
      </c>
      <c r="AM12" s="27">
        <v>0</v>
      </c>
      <c r="AN12" s="27">
        <v>0</v>
      </c>
      <c r="AO12" s="27">
        <v>0</v>
      </c>
      <c r="AP12" s="27">
        <v>0</v>
      </c>
      <c r="AQ12" s="27">
        <v>0</v>
      </c>
      <c r="AR12" s="27">
        <v>0</v>
      </c>
      <c r="AS12" s="27">
        <v>0</v>
      </c>
      <c r="AT12" s="27">
        <v>0</v>
      </c>
      <c r="AU12" s="27">
        <v>0</v>
      </c>
      <c r="AV12" s="27">
        <v>0</v>
      </c>
      <c r="AW12" s="27">
        <v>0</v>
      </c>
      <c r="AX12" s="27">
        <v>0</v>
      </c>
      <c r="AZ12" s="27">
        <v>1</v>
      </c>
      <c r="BA12" s="27">
        <v>1</v>
      </c>
      <c r="BB12" s="27">
        <v>33.24</v>
      </c>
      <c r="BC12" s="27" t="s">
        <v>148</v>
      </c>
      <c r="BD12" s="27" t="s">
        <v>149</v>
      </c>
      <c r="BE12" s="27" t="s">
        <v>150</v>
      </c>
      <c r="BF12" s="27" t="s">
        <v>77</v>
      </c>
      <c r="BG12" s="27">
        <v>208</v>
      </c>
      <c r="BH12" s="27">
        <v>11</v>
      </c>
      <c r="BI12" s="27">
        <v>0.9498</v>
      </c>
      <c r="BJ12" s="27">
        <v>0</v>
      </c>
      <c r="BK12" s="27">
        <v>143</v>
      </c>
      <c r="BL12" s="27">
        <v>60.8</v>
      </c>
    </row>
    <row r="13" customHeight="1" spans="1:64">
      <c r="A13" s="27" t="s">
        <v>151</v>
      </c>
      <c r="B13" s="27" t="s">
        <v>152</v>
      </c>
      <c r="E13" s="27" t="s">
        <v>81</v>
      </c>
      <c r="F13" s="27" t="s">
        <v>82</v>
      </c>
      <c r="G13" s="27" t="s">
        <v>83</v>
      </c>
      <c r="H13" s="27" t="s">
        <v>84</v>
      </c>
      <c r="I13" s="27" t="s">
        <v>153</v>
      </c>
      <c r="J13" s="27">
        <v>2</v>
      </c>
      <c r="K13" s="27">
        <v>79.99</v>
      </c>
      <c r="M13" s="27">
        <v>0</v>
      </c>
      <c r="N13" s="27">
        <v>0</v>
      </c>
      <c r="O13" s="27">
        <v>0</v>
      </c>
      <c r="P13" s="27" t="s">
        <v>95</v>
      </c>
      <c r="Q13" s="27">
        <v>4.394326</v>
      </c>
      <c r="S13" s="27">
        <v>802</v>
      </c>
      <c r="T13" s="27">
        <v>10</v>
      </c>
      <c r="U13" s="27">
        <v>0.9877</v>
      </c>
      <c r="V13" s="27" t="s">
        <v>154</v>
      </c>
      <c r="W13" s="27">
        <v>64151.98</v>
      </c>
      <c r="X13" s="27">
        <v>6.688355</v>
      </c>
      <c r="Y13" s="27">
        <v>11.069026</v>
      </c>
      <c r="Z13" s="27">
        <v>3.1623</v>
      </c>
      <c r="AA13" s="27" t="s">
        <v>139</v>
      </c>
      <c r="AB13" s="27">
        <v>1</v>
      </c>
      <c r="AC13" s="27">
        <v>0</v>
      </c>
      <c r="AD13" s="27">
        <v>0</v>
      </c>
      <c r="AE13" s="27">
        <v>0</v>
      </c>
      <c r="AF13" s="27">
        <v>0</v>
      </c>
      <c r="AG13" s="27">
        <v>0</v>
      </c>
      <c r="AH13" s="27">
        <v>1</v>
      </c>
      <c r="AI13" s="27">
        <v>0</v>
      </c>
      <c r="AJ13" s="27">
        <v>0</v>
      </c>
      <c r="AK13" s="27">
        <v>0</v>
      </c>
      <c r="AL13" s="27">
        <v>0</v>
      </c>
      <c r="AM13" s="27">
        <v>0</v>
      </c>
      <c r="AN13" s="27">
        <v>0</v>
      </c>
      <c r="AO13" s="27">
        <v>0</v>
      </c>
      <c r="AP13" s="27">
        <v>0</v>
      </c>
      <c r="AQ13" s="27">
        <v>0</v>
      </c>
      <c r="AR13" s="27">
        <v>0</v>
      </c>
      <c r="AS13" s="27">
        <v>0</v>
      </c>
      <c r="AT13" s="27">
        <v>0</v>
      </c>
      <c r="AU13" s="27">
        <v>0</v>
      </c>
      <c r="AV13" s="27">
        <v>0</v>
      </c>
      <c r="AW13" s="27">
        <v>1</v>
      </c>
      <c r="AX13" s="27">
        <v>0</v>
      </c>
      <c r="AZ13" s="27">
        <v>1</v>
      </c>
      <c r="BA13" s="27">
        <v>2</v>
      </c>
      <c r="BB13" s="27">
        <v>64.59</v>
      </c>
      <c r="BC13" s="27" t="s">
        <v>155</v>
      </c>
      <c r="BD13" s="27" t="s">
        <v>156</v>
      </c>
      <c r="BE13" s="27" t="s">
        <v>98</v>
      </c>
      <c r="BF13" s="27" t="s">
        <v>77</v>
      </c>
      <c r="BG13" s="27">
        <v>2</v>
      </c>
      <c r="BH13" s="27">
        <v>220</v>
      </c>
      <c r="BI13" s="27">
        <v>0.009</v>
      </c>
      <c r="BJ13" s="27">
        <v>0</v>
      </c>
      <c r="BK13" s="27">
        <v>60</v>
      </c>
      <c r="BL13" s="27">
        <v>83.6</v>
      </c>
    </row>
    <row r="14" customHeight="1" spans="1:64">
      <c r="A14" s="27" t="s">
        <v>157</v>
      </c>
      <c r="B14" s="27" t="s">
        <v>104</v>
      </c>
      <c r="C14" s="27" t="s">
        <v>158</v>
      </c>
      <c r="D14" s="27">
        <v>194644107369</v>
      </c>
      <c r="E14" s="27" t="s">
        <v>159</v>
      </c>
      <c r="F14" s="27" t="s">
        <v>160</v>
      </c>
      <c r="G14" s="27" t="s">
        <v>106</v>
      </c>
      <c r="H14" s="27" t="s">
        <v>107</v>
      </c>
      <c r="I14" s="27" t="s">
        <v>85</v>
      </c>
      <c r="J14" s="27">
        <v>5</v>
      </c>
      <c r="K14" s="27">
        <v>149.99</v>
      </c>
      <c r="M14" s="27">
        <v>0</v>
      </c>
      <c r="N14" s="27">
        <v>0</v>
      </c>
      <c r="O14" s="27">
        <v>0</v>
      </c>
      <c r="P14" s="27" t="s">
        <v>95</v>
      </c>
      <c r="Q14" s="27">
        <v>5.017214</v>
      </c>
      <c r="S14" s="27">
        <v>852</v>
      </c>
      <c r="T14" s="27">
        <v>10</v>
      </c>
      <c r="U14" s="27">
        <v>0.9884</v>
      </c>
      <c r="V14" s="27" t="s">
        <v>154</v>
      </c>
      <c r="W14" s="27">
        <v>127791.48</v>
      </c>
      <c r="X14" s="27">
        <v>6.74876</v>
      </c>
      <c r="Y14" s="27">
        <v>11.758163</v>
      </c>
      <c r="Z14" s="27">
        <v>3.1623</v>
      </c>
      <c r="AA14" s="27" t="s">
        <v>125</v>
      </c>
      <c r="AB14" s="27">
        <v>0</v>
      </c>
      <c r="AC14" s="27">
        <v>0</v>
      </c>
      <c r="AD14" s="27">
        <v>0</v>
      </c>
      <c r="AE14" s="27">
        <v>0</v>
      </c>
      <c r="AF14" s="27">
        <v>0</v>
      </c>
      <c r="AG14" s="27">
        <v>0</v>
      </c>
      <c r="AH14" s="27">
        <v>0</v>
      </c>
      <c r="AI14" s="27">
        <v>0</v>
      </c>
      <c r="AJ14" s="27">
        <v>0</v>
      </c>
      <c r="AK14" s="27">
        <v>0</v>
      </c>
      <c r="AL14" s="27">
        <v>0</v>
      </c>
      <c r="AM14" s="27">
        <v>0</v>
      </c>
      <c r="AN14" s="27">
        <v>0</v>
      </c>
      <c r="AO14" s="27">
        <v>0</v>
      </c>
      <c r="AP14" s="27">
        <v>0</v>
      </c>
      <c r="AQ14" s="27">
        <v>0</v>
      </c>
      <c r="AR14" s="27">
        <v>0</v>
      </c>
      <c r="AS14" s="27">
        <v>0</v>
      </c>
      <c r="AT14" s="27">
        <v>0</v>
      </c>
      <c r="AU14" s="27">
        <v>0</v>
      </c>
      <c r="AV14" s="27">
        <v>0</v>
      </c>
      <c r="AW14" s="27">
        <v>0</v>
      </c>
      <c r="AX14" s="27">
        <v>0</v>
      </c>
      <c r="AZ14" s="27">
        <v>1</v>
      </c>
      <c r="BA14" s="27">
        <v>0</v>
      </c>
      <c r="BB14" s="27">
        <v>67.08</v>
      </c>
      <c r="BC14" s="27" t="s">
        <v>161</v>
      </c>
      <c r="BD14" s="27" t="s">
        <v>112</v>
      </c>
      <c r="BE14" s="27" t="s">
        <v>113</v>
      </c>
      <c r="BF14" s="27" t="s">
        <v>77</v>
      </c>
      <c r="BG14" s="27">
        <v>147</v>
      </c>
      <c r="BH14" s="27">
        <v>39</v>
      </c>
      <c r="BI14" s="27">
        <v>0.7903</v>
      </c>
      <c r="BJ14" s="27">
        <v>0</v>
      </c>
      <c r="BK14" s="27">
        <v>30</v>
      </c>
      <c r="BL14" s="27">
        <v>91.8</v>
      </c>
    </row>
    <row r="15" customHeight="1" spans="1:64">
      <c r="A15" s="27" t="s">
        <v>162</v>
      </c>
      <c r="B15" s="27" t="s">
        <v>115</v>
      </c>
      <c r="C15" s="27" t="s">
        <v>121</v>
      </c>
      <c r="D15" s="27">
        <v>840414665354</v>
      </c>
      <c r="E15" s="27" t="s">
        <v>163</v>
      </c>
      <c r="F15" s="27" t="s">
        <v>82</v>
      </c>
      <c r="G15" s="27" t="s">
        <v>117</v>
      </c>
      <c r="H15" s="27" t="s">
        <v>107</v>
      </c>
      <c r="I15" s="27" t="s">
        <v>85</v>
      </c>
      <c r="J15" s="27">
        <v>5</v>
      </c>
      <c r="K15" s="27">
        <v>140</v>
      </c>
      <c r="M15" s="27">
        <v>0</v>
      </c>
      <c r="N15" s="27">
        <v>0</v>
      </c>
      <c r="O15" s="27">
        <v>0</v>
      </c>
      <c r="P15" s="27" t="s">
        <v>95</v>
      </c>
      <c r="Q15" s="27">
        <v>4.94876</v>
      </c>
      <c r="S15" s="27">
        <v>72</v>
      </c>
      <c r="T15" s="27">
        <v>37</v>
      </c>
      <c r="U15" s="27">
        <v>0.6606</v>
      </c>
      <c r="V15" s="27" t="s">
        <v>72</v>
      </c>
      <c r="W15" s="27">
        <v>10080</v>
      </c>
      <c r="X15" s="27">
        <v>4.290459</v>
      </c>
      <c r="Y15" s="27">
        <v>9.218408</v>
      </c>
      <c r="Z15" s="27">
        <v>6.0828</v>
      </c>
      <c r="AA15" s="27" t="s">
        <v>73</v>
      </c>
      <c r="AB15" s="27">
        <v>0</v>
      </c>
      <c r="AC15" s="27">
        <v>0</v>
      </c>
      <c r="AD15" s="27">
        <v>0</v>
      </c>
      <c r="AE15" s="27">
        <v>0</v>
      </c>
      <c r="AF15" s="27">
        <v>0</v>
      </c>
      <c r="AG15" s="27">
        <v>1</v>
      </c>
      <c r="AH15" s="27">
        <v>0</v>
      </c>
      <c r="AI15" s="27">
        <v>0</v>
      </c>
      <c r="AJ15" s="27">
        <v>0</v>
      </c>
      <c r="AK15" s="27">
        <v>0</v>
      </c>
      <c r="AL15" s="27">
        <v>0</v>
      </c>
      <c r="AM15" s="27">
        <v>0</v>
      </c>
      <c r="AN15" s="27">
        <v>0</v>
      </c>
      <c r="AO15" s="27">
        <v>0</v>
      </c>
      <c r="AP15" s="27">
        <v>0</v>
      </c>
      <c r="AQ15" s="27">
        <v>0</v>
      </c>
      <c r="AR15" s="27">
        <v>0</v>
      </c>
      <c r="AS15" s="27">
        <v>1</v>
      </c>
      <c r="AT15" s="27">
        <v>0</v>
      </c>
      <c r="AU15" s="27">
        <v>0</v>
      </c>
      <c r="AV15" s="27">
        <v>0</v>
      </c>
      <c r="AW15" s="27">
        <v>0</v>
      </c>
      <c r="AX15" s="27">
        <v>0</v>
      </c>
      <c r="AZ15" s="27">
        <v>1</v>
      </c>
      <c r="BA15" s="27">
        <v>0</v>
      </c>
      <c r="BB15" s="27">
        <v>55.43</v>
      </c>
      <c r="BC15" s="27" t="s">
        <v>164</v>
      </c>
      <c r="BD15" s="27" t="s">
        <v>165</v>
      </c>
      <c r="BE15" s="27" t="s">
        <v>166</v>
      </c>
      <c r="BF15" s="27" t="s">
        <v>77</v>
      </c>
      <c r="BG15" s="27">
        <v>168</v>
      </c>
      <c r="BH15" s="27">
        <v>11</v>
      </c>
      <c r="BI15" s="27">
        <v>0.9385</v>
      </c>
      <c r="BJ15" s="27">
        <v>0</v>
      </c>
      <c r="BK15" s="27">
        <v>12</v>
      </c>
      <c r="BL15" s="27">
        <v>96.7</v>
      </c>
    </row>
    <row r="16" customHeight="1" spans="1:64">
      <c r="A16" s="27" t="s">
        <v>167</v>
      </c>
      <c r="B16" s="27" t="s">
        <v>125</v>
      </c>
      <c r="E16" s="27" t="s">
        <v>122</v>
      </c>
      <c r="F16" s="27" t="s">
        <v>82</v>
      </c>
      <c r="G16" s="27" t="s">
        <v>117</v>
      </c>
      <c r="H16" s="27" t="s">
        <v>138</v>
      </c>
      <c r="I16" s="27" t="s">
        <v>85</v>
      </c>
      <c r="J16" s="27">
        <v>5</v>
      </c>
      <c r="K16" s="27">
        <v>26.99</v>
      </c>
      <c r="M16" s="27">
        <v>0</v>
      </c>
      <c r="N16" s="27">
        <v>0</v>
      </c>
      <c r="O16" s="27">
        <v>0</v>
      </c>
      <c r="P16" s="27" t="s">
        <v>86</v>
      </c>
      <c r="Q16" s="27">
        <v>3.331847</v>
      </c>
      <c r="S16" s="27">
        <v>256</v>
      </c>
      <c r="T16" s="27">
        <v>701</v>
      </c>
      <c r="U16" s="27">
        <v>0.2675</v>
      </c>
      <c r="V16" s="27" t="s">
        <v>154</v>
      </c>
      <c r="W16" s="27">
        <v>6909.44</v>
      </c>
      <c r="X16" s="27">
        <v>5.549076</v>
      </c>
      <c r="Y16" s="27">
        <v>8.840789</v>
      </c>
      <c r="Z16" s="27">
        <v>26.4764</v>
      </c>
      <c r="AA16" s="27" t="s">
        <v>125</v>
      </c>
      <c r="AB16" s="27">
        <v>0</v>
      </c>
      <c r="AC16" s="27">
        <v>0</v>
      </c>
      <c r="AD16" s="27">
        <v>0</v>
      </c>
      <c r="AE16" s="27">
        <v>0</v>
      </c>
      <c r="AF16" s="27">
        <v>1</v>
      </c>
      <c r="AG16" s="27">
        <v>0</v>
      </c>
      <c r="AH16" s="27">
        <v>0</v>
      </c>
      <c r="AI16" s="27">
        <v>0</v>
      </c>
      <c r="AJ16" s="27">
        <v>0</v>
      </c>
      <c r="AK16" s="27">
        <v>0</v>
      </c>
      <c r="AL16" s="27">
        <v>0</v>
      </c>
      <c r="AM16" s="27">
        <v>0</v>
      </c>
      <c r="AN16" s="27">
        <v>0</v>
      </c>
      <c r="AO16" s="27">
        <v>0</v>
      </c>
      <c r="AP16" s="27">
        <v>0</v>
      </c>
      <c r="AQ16" s="27">
        <v>0</v>
      </c>
      <c r="AR16" s="27">
        <v>0</v>
      </c>
      <c r="AS16" s="27">
        <v>1</v>
      </c>
      <c r="AT16" s="27">
        <v>0</v>
      </c>
      <c r="AU16" s="27">
        <v>0</v>
      </c>
      <c r="AV16" s="27">
        <v>0</v>
      </c>
      <c r="AW16" s="27">
        <v>1</v>
      </c>
      <c r="AX16" s="27">
        <v>0</v>
      </c>
      <c r="AZ16" s="27">
        <v>2</v>
      </c>
      <c r="BA16" s="27">
        <v>0</v>
      </c>
      <c r="BB16" s="27">
        <v>35.27</v>
      </c>
      <c r="BC16" s="27" t="s">
        <v>168</v>
      </c>
      <c r="BD16" s="27" t="s">
        <v>169</v>
      </c>
      <c r="BE16" s="27" t="s">
        <v>128</v>
      </c>
      <c r="BF16" s="27" t="s">
        <v>77</v>
      </c>
      <c r="BG16" s="27">
        <v>1</v>
      </c>
      <c r="BH16" s="27">
        <v>17</v>
      </c>
      <c r="BI16" s="27">
        <v>0.0556</v>
      </c>
      <c r="BJ16" s="27">
        <v>1</v>
      </c>
      <c r="BK16" s="27">
        <v>66</v>
      </c>
      <c r="BL16" s="27">
        <v>81.9</v>
      </c>
    </row>
    <row r="17" customHeight="1" spans="1:64">
      <c r="A17" s="27" t="s">
        <v>170</v>
      </c>
      <c r="B17" s="27" t="s">
        <v>171</v>
      </c>
      <c r="C17" s="27" t="s">
        <v>172</v>
      </c>
      <c r="E17" s="27" t="s">
        <v>173</v>
      </c>
      <c r="F17" s="27" t="s">
        <v>160</v>
      </c>
      <c r="G17" s="27" t="s">
        <v>83</v>
      </c>
      <c r="H17" s="27" t="s">
        <v>84</v>
      </c>
      <c r="I17" s="27" t="s">
        <v>85</v>
      </c>
      <c r="J17" s="27">
        <v>5</v>
      </c>
      <c r="K17" s="27">
        <v>274.99</v>
      </c>
      <c r="L17" s="27">
        <v>499.98</v>
      </c>
      <c r="M17" s="27">
        <v>45</v>
      </c>
      <c r="N17" s="27">
        <v>224.99</v>
      </c>
      <c r="O17" s="27">
        <v>1</v>
      </c>
      <c r="P17" s="27" t="s">
        <v>71</v>
      </c>
      <c r="Q17" s="27">
        <v>5.620365</v>
      </c>
      <c r="R17" s="27">
        <v>17.19</v>
      </c>
      <c r="S17" s="27">
        <v>233</v>
      </c>
      <c r="T17" s="27">
        <v>10</v>
      </c>
      <c r="U17" s="27">
        <v>0.9588</v>
      </c>
      <c r="V17" s="27" t="s">
        <v>154</v>
      </c>
      <c r="W17" s="27">
        <v>64072.67</v>
      </c>
      <c r="X17" s="27">
        <v>5.455321</v>
      </c>
      <c r="Y17" s="27">
        <v>11.067789</v>
      </c>
      <c r="Z17" s="27">
        <v>3.1623</v>
      </c>
      <c r="AA17" s="27" t="s">
        <v>73</v>
      </c>
      <c r="AB17" s="27">
        <v>1</v>
      </c>
      <c r="AC17" s="27">
        <v>1</v>
      </c>
      <c r="AD17" s="27">
        <v>0</v>
      </c>
      <c r="AE17" s="27">
        <v>0</v>
      </c>
      <c r="AF17" s="27">
        <v>0</v>
      </c>
      <c r="AG17" s="27">
        <v>1</v>
      </c>
      <c r="AH17" s="27">
        <v>0</v>
      </c>
      <c r="AI17" s="27">
        <v>1</v>
      </c>
      <c r="AJ17" s="27">
        <v>0</v>
      </c>
      <c r="AK17" s="27">
        <v>0</v>
      </c>
      <c r="AL17" s="27">
        <v>0</v>
      </c>
      <c r="AM17" s="27">
        <v>0</v>
      </c>
      <c r="AN17" s="27">
        <v>0</v>
      </c>
      <c r="AO17" s="27">
        <v>0</v>
      </c>
      <c r="AP17" s="27">
        <v>0</v>
      </c>
      <c r="AQ17" s="27">
        <v>1</v>
      </c>
      <c r="AR17" s="27">
        <v>0</v>
      </c>
      <c r="AS17" s="27">
        <v>0</v>
      </c>
      <c r="AT17" s="27">
        <v>0</v>
      </c>
      <c r="AU17" s="27">
        <v>0</v>
      </c>
      <c r="AV17" s="27">
        <v>1</v>
      </c>
      <c r="AW17" s="27">
        <v>1</v>
      </c>
      <c r="AX17" s="27">
        <v>0</v>
      </c>
      <c r="AY17" s="27">
        <v>16</v>
      </c>
      <c r="AZ17" s="27">
        <v>1</v>
      </c>
      <c r="BA17" s="27">
        <v>3</v>
      </c>
      <c r="BB17" s="27">
        <v>81.37</v>
      </c>
      <c r="BC17" s="27" t="s">
        <v>174</v>
      </c>
      <c r="BD17" s="27" t="s">
        <v>175</v>
      </c>
      <c r="BE17" s="27" t="s">
        <v>91</v>
      </c>
      <c r="BF17" s="27" t="s">
        <v>77</v>
      </c>
      <c r="BG17" s="27">
        <v>161</v>
      </c>
      <c r="BH17" s="27">
        <v>61</v>
      </c>
      <c r="BI17" s="27">
        <v>0.7252</v>
      </c>
      <c r="BJ17" s="27">
        <v>0</v>
      </c>
      <c r="BK17" s="27">
        <v>6</v>
      </c>
      <c r="BL17" s="27">
        <v>98.4</v>
      </c>
    </row>
    <row r="18" customHeight="1" spans="1:64">
      <c r="A18" s="27" t="s">
        <v>176</v>
      </c>
      <c r="B18" s="27" t="s">
        <v>125</v>
      </c>
      <c r="C18" s="27" t="s">
        <v>177</v>
      </c>
      <c r="E18" s="27" t="s">
        <v>178</v>
      </c>
      <c r="F18" s="27" t="s">
        <v>82</v>
      </c>
      <c r="G18" s="27" t="s">
        <v>117</v>
      </c>
      <c r="H18" s="27" t="s">
        <v>138</v>
      </c>
      <c r="I18" s="27" t="s">
        <v>85</v>
      </c>
      <c r="J18" s="27">
        <v>5</v>
      </c>
      <c r="K18" s="27">
        <v>32.95</v>
      </c>
      <c r="M18" s="27">
        <v>0</v>
      </c>
      <c r="N18" s="27">
        <v>0</v>
      </c>
      <c r="O18" s="27">
        <v>0</v>
      </c>
      <c r="P18" s="27" t="s">
        <v>86</v>
      </c>
      <c r="Q18" s="27">
        <v>3.524889</v>
      </c>
      <c r="S18" s="27">
        <v>87</v>
      </c>
      <c r="T18" s="27">
        <v>10</v>
      </c>
      <c r="U18" s="27">
        <v>0.8969</v>
      </c>
      <c r="V18" s="27" t="s">
        <v>72</v>
      </c>
      <c r="W18" s="27">
        <v>2866.65</v>
      </c>
      <c r="X18" s="27">
        <v>4.477337</v>
      </c>
      <c r="Y18" s="27">
        <v>7.961248</v>
      </c>
      <c r="Z18" s="27">
        <v>3.1623</v>
      </c>
      <c r="AA18" s="27" t="s">
        <v>125</v>
      </c>
      <c r="AB18" s="27">
        <v>0</v>
      </c>
      <c r="AC18" s="27">
        <v>0</v>
      </c>
      <c r="AD18" s="27">
        <v>0</v>
      </c>
      <c r="AE18" s="27">
        <v>0</v>
      </c>
      <c r="AF18" s="27">
        <v>1</v>
      </c>
      <c r="AG18" s="27">
        <v>0</v>
      </c>
      <c r="AH18" s="27">
        <v>0</v>
      </c>
      <c r="AI18" s="27">
        <v>0</v>
      </c>
      <c r="AJ18" s="27">
        <v>0</v>
      </c>
      <c r="AK18" s="27">
        <v>0</v>
      </c>
      <c r="AL18" s="27">
        <v>0</v>
      </c>
      <c r="AM18" s="27">
        <v>0</v>
      </c>
      <c r="AN18" s="27">
        <v>0</v>
      </c>
      <c r="AO18" s="27">
        <v>0</v>
      </c>
      <c r="AP18" s="27">
        <v>1</v>
      </c>
      <c r="AQ18" s="27">
        <v>0</v>
      </c>
      <c r="AR18" s="27">
        <v>0</v>
      </c>
      <c r="AS18" s="27">
        <v>1</v>
      </c>
      <c r="AT18" s="27">
        <v>0</v>
      </c>
      <c r="AU18" s="27">
        <v>0</v>
      </c>
      <c r="AV18" s="27">
        <v>0</v>
      </c>
      <c r="AW18" s="27">
        <v>1</v>
      </c>
      <c r="AX18" s="27">
        <v>0</v>
      </c>
      <c r="AZ18" s="27">
        <v>2</v>
      </c>
      <c r="BA18" s="27">
        <v>0</v>
      </c>
      <c r="BB18" s="27">
        <v>65.55</v>
      </c>
      <c r="BC18" s="27" t="s">
        <v>179</v>
      </c>
      <c r="BD18" s="27" t="s">
        <v>180</v>
      </c>
      <c r="BE18" s="27" t="s">
        <v>128</v>
      </c>
      <c r="BF18" s="27" t="s">
        <v>77</v>
      </c>
      <c r="BG18" s="27">
        <v>1</v>
      </c>
      <c r="BH18" s="27">
        <v>65</v>
      </c>
      <c r="BI18" s="27">
        <v>0.0152</v>
      </c>
      <c r="BJ18" s="27">
        <v>1</v>
      </c>
      <c r="BK18" s="27">
        <v>4</v>
      </c>
      <c r="BL18" s="27">
        <v>98.9</v>
      </c>
    </row>
    <row r="19" customHeight="1" spans="1:64">
      <c r="A19" s="27" t="s">
        <v>181</v>
      </c>
      <c r="B19" s="27" t="s">
        <v>125</v>
      </c>
      <c r="E19" s="27" t="s">
        <v>182</v>
      </c>
      <c r="F19" s="27" t="s">
        <v>82</v>
      </c>
      <c r="G19" s="27" t="s">
        <v>83</v>
      </c>
      <c r="H19" s="27" t="s">
        <v>138</v>
      </c>
      <c r="I19" s="27" t="s">
        <v>85</v>
      </c>
      <c r="J19" s="27">
        <v>5</v>
      </c>
      <c r="K19" s="27">
        <v>6.29</v>
      </c>
      <c r="M19" s="27">
        <v>0</v>
      </c>
      <c r="N19" s="27">
        <v>0</v>
      </c>
      <c r="O19" s="27">
        <v>0</v>
      </c>
      <c r="P19" s="27" t="s">
        <v>133</v>
      </c>
      <c r="Q19" s="27">
        <v>1.986504</v>
      </c>
      <c r="S19" s="27">
        <v>236</v>
      </c>
      <c r="T19" s="27">
        <v>10</v>
      </c>
      <c r="U19" s="27">
        <v>0.9593</v>
      </c>
      <c r="V19" s="27" t="s">
        <v>154</v>
      </c>
      <c r="W19" s="27">
        <v>1484.44</v>
      </c>
      <c r="X19" s="27">
        <v>5.46806</v>
      </c>
      <c r="Y19" s="27">
        <v>7.303466</v>
      </c>
      <c r="Z19" s="27">
        <v>3.1623</v>
      </c>
      <c r="AA19" s="27" t="s">
        <v>139</v>
      </c>
      <c r="AB19" s="27">
        <v>1</v>
      </c>
      <c r="AC19" s="27">
        <v>0</v>
      </c>
      <c r="AD19" s="27">
        <v>0</v>
      </c>
      <c r="AE19" s="27">
        <v>0</v>
      </c>
      <c r="AF19" s="27">
        <v>0</v>
      </c>
      <c r="AG19" s="27">
        <v>0</v>
      </c>
      <c r="AH19" s="27">
        <v>1</v>
      </c>
      <c r="AI19" s="27">
        <v>0</v>
      </c>
      <c r="AJ19" s="27">
        <v>0</v>
      </c>
      <c r="AK19" s="27">
        <v>0</v>
      </c>
      <c r="AL19" s="27">
        <v>0</v>
      </c>
      <c r="AM19" s="27">
        <v>0</v>
      </c>
      <c r="AN19" s="27">
        <v>0</v>
      </c>
      <c r="AO19" s="27">
        <v>0</v>
      </c>
      <c r="AP19" s="27">
        <v>0</v>
      </c>
      <c r="AQ19" s="27">
        <v>1</v>
      </c>
      <c r="AR19" s="27">
        <v>0</v>
      </c>
      <c r="AS19" s="27">
        <v>0</v>
      </c>
      <c r="AT19" s="27">
        <v>0</v>
      </c>
      <c r="AU19" s="27">
        <v>0</v>
      </c>
      <c r="AV19" s="27">
        <v>1</v>
      </c>
      <c r="AW19" s="27">
        <v>0</v>
      </c>
      <c r="AX19" s="27">
        <v>0</v>
      </c>
      <c r="AZ19" s="27">
        <v>1</v>
      </c>
      <c r="BA19" s="27">
        <v>3</v>
      </c>
      <c r="BB19" s="27">
        <v>67.89</v>
      </c>
      <c r="BC19" s="27" t="s">
        <v>183</v>
      </c>
      <c r="BD19" s="27" t="s">
        <v>184</v>
      </c>
      <c r="BE19" s="27" t="s">
        <v>128</v>
      </c>
      <c r="BF19" s="27" t="s">
        <v>77</v>
      </c>
      <c r="BG19" s="27">
        <v>1</v>
      </c>
      <c r="BH19" s="27">
        <v>73</v>
      </c>
      <c r="BI19" s="27">
        <v>0.0135</v>
      </c>
      <c r="BJ19" s="27">
        <v>1</v>
      </c>
      <c r="BK19" s="27">
        <v>6</v>
      </c>
      <c r="BL19" s="27">
        <v>98.4</v>
      </c>
    </row>
    <row r="20" customHeight="1" spans="1:64">
      <c r="A20" s="27" t="s">
        <v>185</v>
      </c>
      <c r="B20" s="27" t="s">
        <v>104</v>
      </c>
      <c r="C20" s="27" t="s">
        <v>186</v>
      </c>
      <c r="D20" s="27">
        <v>194644294090</v>
      </c>
      <c r="E20" s="27" t="s">
        <v>81</v>
      </c>
      <c r="F20" s="27" t="s">
        <v>82</v>
      </c>
      <c r="G20" s="27" t="s">
        <v>106</v>
      </c>
      <c r="H20" s="27" t="s">
        <v>107</v>
      </c>
      <c r="I20" s="27" t="s">
        <v>108</v>
      </c>
      <c r="J20" s="27">
        <v>3</v>
      </c>
      <c r="K20" s="27">
        <v>26.99</v>
      </c>
      <c r="L20" s="27">
        <v>34.99</v>
      </c>
      <c r="M20" s="27">
        <v>22.86</v>
      </c>
      <c r="N20" s="27">
        <v>8</v>
      </c>
      <c r="O20" s="27">
        <v>1</v>
      </c>
      <c r="P20" s="27" t="s">
        <v>86</v>
      </c>
      <c r="Q20" s="27">
        <v>3.331847</v>
      </c>
      <c r="S20" s="27">
        <v>1707</v>
      </c>
      <c r="T20" s="27">
        <v>400</v>
      </c>
      <c r="U20" s="27">
        <v>0.8102</v>
      </c>
      <c r="V20" s="27" t="s">
        <v>109</v>
      </c>
      <c r="W20" s="27">
        <v>46071.93</v>
      </c>
      <c r="X20" s="27">
        <v>7.443078</v>
      </c>
      <c r="Y20" s="27">
        <v>10.737981</v>
      </c>
      <c r="Z20" s="27">
        <v>20</v>
      </c>
      <c r="AA20" s="27" t="s">
        <v>187</v>
      </c>
      <c r="AB20" s="27">
        <v>1</v>
      </c>
      <c r="AC20" s="27">
        <v>0</v>
      </c>
      <c r="AD20" s="27">
        <v>0</v>
      </c>
      <c r="AE20" s="27">
        <v>0</v>
      </c>
      <c r="AF20" s="27">
        <v>0</v>
      </c>
      <c r="AG20" s="27">
        <v>0</v>
      </c>
      <c r="AH20" s="27">
        <v>0</v>
      </c>
      <c r="AI20" s="27">
        <v>0</v>
      </c>
      <c r="AJ20" s="27">
        <v>0</v>
      </c>
      <c r="AK20" s="27">
        <v>0</v>
      </c>
      <c r="AL20" s="27">
        <v>0</v>
      </c>
      <c r="AM20" s="27">
        <v>0</v>
      </c>
      <c r="AN20" s="27">
        <v>0</v>
      </c>
      <c r="AO20" s="27">
        <v>0</v>
      </c>
      <c r="AP20" s="27">
        <v>0</v>
      </c>
      <c r="AQ20" s="27">
        <v>0</v>
      </c>
      <c r="AR20" s="27">
        <v>0</v>
      </c>
      <c r="AS20" s="27">
        <v>0</v>
      </c>
      <c r="AT20" s="27">
        <v>0</v>
      </c>
      <c r="AU20" s="27">
        <v>1</v>
      </c>
      <c r="AV20" s="27">
        <v>0</v>
      </c>
      <c r="AW20" s="27">
        <v>0</v>
      </c>
      <c r="AX20" s="27">
        <v>1</v>
      </c>
      <c r="AZ20" s="27">
        <v>1</v>
      </c>
      <c r="BA20" s="27">
        <v>1</v>
      </c>
      <c r="BB20" s="27">
        <v>69.12</v>
      </c>
      <c r="BC20" s="27" t="s">
        <v>111</v>
      </c>
      <c r="BD20" s="27" t="s">
        <v>112</v>
      </c>
      <c r="BE20" s="27" t="s">
        <v>113</v>
      </c>
      <c r="BF20" s="27" t="s">
        <v>77</v>
      </c>
      <c r="BG20" s="27">
        <v>162</v>
      </c>
      <c r="BH20" s="27">
        <v>24</v>
      </c>
      <c r="BI20" s="27">
        <v>0.871</v>
      </c>
      <c r="BJ20" s="27">
        <v>0</v>
      </c>
      <c r="BK20" s="27">
        <v>2</v>
      </c>
      <c r="BL20" s="27">
        <v>99.5</v>
      </c>
    </row>
    <row r="21" customHeight="1" spans="1:64">
      <c r="A21" s="27" t="s">
        <v>188</v>
      </c>
      <c r="B21" s="27" t="s">
        <v>115</v>
      </c>
      <c r="C21" s="27" t="s">
        <v>121</v>
      </c>
      <c r="D21" s="27">
        <v>840414665354</v>
      </c>
      <c r="E21" s="27" t="s">
        <v>122</v>
      </c>
      <c r="F21" s="27" t="s">
        <v>82</v>
      </c>
      <c r="G21" s="27" t="s">
        <v>117</v>
      </c>
      <c r="H21" s="27" t="s">
        <v>107</v>
      </c>
      <c r="I21" s="27" t="s">
        <v>85</v>
      </c>
      <c r="J21" s="27">
        <v>5</v>
      </c>
      <c r="K21" s="27">
        <v>149.95</v>
      </c>
      <c r="M21" s="27">
        <v>0</v>
      </c>
      <c r="N21" s="27">
        <v>0</v>
      </c>
      <c r="O21" s="27">
        <v>0</v>
      </c>
      <c r="P21" s="27" t="s">
        <v>95</v>
      </c>
      <c r="Q21" s="27">
        <v>5.016949</v>
      </c>
      <c r="S21" s="27">
        <v>9</v>
      </c>
      <c r="T21" s="27">
        <v>1</v>
      </c>
      <c r="U21" s="27">
        <v>0.9</v>
      </c>
      <c r="V21" s="27" t="s">
        <v>87</v>
      </c>
      <c r="W21" s="27">
        <v>1349.55</v>
      </c>
      <c r="X21" s="27">
        <v>2.302585</v>
      </c>
      <c r="Y21" s="27">
        <v>7.208267</v>
      </c>
      <c r="Z21" s="27">
        <v>1</v>
      </c>
      <c r="AA21" s="27" t="s">
        <v>73</v>
      </c>
      <c r="AB21" s="27">
        <v>0</v>
      </c>
      <c r="AC21" s="27">
        <v>0</v>
      </c>
      <c r="AD21" s="27">
        <v>0</v>
      </c>
      <c r="AE21" s="27">
        <v>0</v>
      </c>
      <c r="AF21" s="27">
        <v>0</v>
      </c>
      <c r="AG21" s="27">
        <v>1</v>
      </c>
      <c r="AH21" s="27">
        <v>0</v>
      </c>
      <c r="AI21" s="27">
        <v>0</v>
      </c>
      <c r="AJ21" s="27">
        <v>0</v>
      </c>
      <c r="AK21" s="27">
        <v>0</v>
      </c>
      <c r="AL21" s="27">
        <v>0</v>
      </c>
      <c r="AM21" s="27">
        <v>0</v>
      </c>
      <c r="AN21" s="27">
        <v>0</v>
      </c>
      <c r="AO21" s="27">
        <v>0</v>
      </c>
      <c r="AP21" s="27">
        <v>0</v>
      </c>
      <c r="AQ21" s="27">
        <v>0</v>
      </c>
      <c r="AR21" s="27">
        <v>0</v>
      </c>
      <c r="AS21" s="27">
        <v>1</v>
      </c>
      <c r="AT21" s="27">
        <v>0</v>
      </c>
      <c r="AU21" s="27">
        <v>0</v>
      </c>
      <c r="AV21" s="27">
        <v>0</v>
      </c>
      <c r="AW21" s="27">
        <v>0</v>
      </c>
      <c r="AX21" s="27">
        <v>0</v>
      </c>
      <c r="AZ21" s="27">
        <v>1</v>
      </c>
      <c r="BA21" s="27">
        <v>0</v>
      </c>
      <c r="BB21" s="27">
        <v>36</v>
      </c>
      <c r="BC21" s="27" t="s">
        <v>189</v>
      </c>
      <c r="BD21" s="27" t="s">
        <v>190</v>
      </c>
      <c r="BE21" s="27" t="s">
        <v>91</v>
      </c>
      <c r="BF21" s="27" t="s">
        <v>77</v>
      </c>
      <c r="BG21" s="27">
        <v>162</v>
      </c>
      <c r="BH21" s="27">
        <v>22</v>
      </c>
      <c r="BI21" s="27">
        <v>0.8804</v>
      </c>
      <c r="BJ21" s="27">
        <v>0</v>
      </c>
    </row>
    <row r="22" customHeight="1" spans="1:64">
      <c r="A22" s="27" t="s">
        <v>191</v>
      </c>
      <c r="B22" s="27" t="s">
        <v>192</v>
      </c>
      <c r="E22" s="27" t="s">
        <v>131</v>
      </c>
      <c r="F22" s="27" t="s">
        <v>132</v>
      </c>
      <c r="G22" s="27" t="s">
        <v>83</v>
      </c>
      <c r="H22" s="27" t="s">
        <v>84</v>
      </c>
      <c r="I22" s="27" t="s">
        <v>85</v>
      </c>
      <c r="J22" s="27">
        <v>5</v>
      </c>
      <c r="K22" s="27">
        <v>10.55</v>
      </c>
      <c r="M22" s="27">
        <v>0</v>
      </c>
      <c r="N22" s="27">
        <v>0</v>
      </c>
      <c r="O22" s="27">
        <v>0</v>
      </c>
      <c r="P22" s="27" t="s">
        <v>133</v>
      </c>
      <c r="Q22" s="27">
        <v>2.446685</v>
      </c>
      <c r="S22" s="27">
        <v>69</v>
      </c>
      <c r="T22" s="27">
        <v>10</v>
      </c>
      <c r="U22" s="27">
        <v>0.8734</v>
      </c>
      <c r="V22" s="27" t="s">
        <v>72</v>
      </c>
      <c r="W22" s="27">
        <v>727.95</v>
      </c>
      <c r="X22" s="27">
        <v>4.248495</v>
      </c>
      <c r="Y22" s="27">
        <v>6.591605</v>
      </c>
      <c r="Z22" s="27">
        <v>3.1623</v>
      </c>
      <c r="AA22" s="27" t="s">
        <v>125</v>
      </c>
      <c r="AB22" s="27">
        <v>0</v>
      </c>
      <c r="AC22" s="27">
        <v>0</v>
      </c>
      <c r="AD22" s="27">
        <v>0</v>
      </c>
      <c r="AE22" s="27">
        <v>0</v>
      </c>
      <c r="AF22" s="27">
        <v>0</v>
      </c>
      <c r="AG22" s="27">
        <v>0</v>
      </c>
      <c r="AH22" s="27">
        <v>0</v>
      </c>
      <c r="AI22" s="27">
        <v>0</v>
      </c>
      <c r="AJ22" s="27">
        <v>0</v>
      </c>
      <c r="AK22" s="27">
        <v>0</v>
      </c>
      <c r="AL22" s="27">
        <v>0</v>
      </c>
      <c r="AM22" s="27">
        <v>0</v>
      </c>
      <c r="AN22" s="27">
        <v>0</v>
      </c>
      <c r="AO22" s="27">
        <v>0</v>
      </c>
      <c r="AP22" s="27">
        <v>0</v>
      </c>
      <c r="AQ22" s="27">
        <v>0</v>
      </c>
      <c r="AR22" s="27">
        <v>0</v>
      </c>
      <c r="AS22" s="27">
        <v>0</v>
      </c>
      <c r="AT22" s="27">
        <v>0</v>
      </c>
      <c r="AU22" s="27">
        <v>0</v>
      </c>
      <c r="AV22" s="27">
        <v>0</v>
      </c>
      <c r="AW22" s="27">
        <v>1</v>
      </c>
      <c r="AX22" s="27">
        <v>0</v>
      </c>
      <c r="AZ22" s="27">
        <v>1</v>
      </c>
      <c r="BA22" s="27">
        <v>0</v>
      </c>
      <c r="BB22" s="27">
        <v>58.94</v>
      </c>
      <c r="BC22" s="27" t="s">
        <v>193</v>
      </c>
      <c r="BD22" s="27" t="s">
        <v>135</v>
      </c>
      <c r="BE22" s="27" t="s">
        <v>150</v>
      </c>
      <c r="BF22" s="27" t="s">
        <v>77</v>
      </c>
      <c r="BG22" s="27">
        <v>191</v>
      </c>
      <c r="BH22" s="27">
        <v>14</v>
      </c>
      <c r="BI22" s="27">
        <v>0.9317</v>
      </c>
      <c r="BJ22" s="27">
        <v>0</v>
      </c>
      <c r="BK22" s="27">
        <v>73</v>
      </c>
      <c r="BL22" s="27">
        <v>80</v>
      </c>
    </row>
    <row r="23" customHeight="1" spans="1:64">
      <c r="A23" s="27" t="s">
        <v>194</v>
      </c>
      <c r="B23" s="27" t="s">
        <v>195</v>
      </c>
      <c r="C23" s="27" t="s">
        <v>196</v>
      </c>
      <c r="D23" s="27">
        <v>843261112149</v>
      </c>
      <c r="E23" s="27" t="s">
        <v>197</v>
      </c>
      <c r="F23" s="27" t="s">
        <v>198</v>
      </c>
      <c r="G23" s="27" t="s">
        <v>83</v>
      </c>
      <c r="H23" s="27" t="s">
        <v>84</v>
      </c>
      <c r="I23" s="27" t="s">
        <v>85</v>
      </c>
      <c r="J23" s="27">
        <v>5</v>
      </c>
      <c r="K23" s="27">
        <v>19.99</v>
      </c>
      <c r="M23" s="27">
        <v>0</v>
      </c>
      <c r="N23" s="27">
        <v>0</v>
      </c>
      <c r="O23" s="27">
        <v>0</v>
      </c>
      <c r="P23" s="27" t="s">
        <v>133</v>
      </c>
      <c r="Q23" s="27">
        <v>3.044046</v>
      </c>
      <c r="S23" s="27">
        <v>9</v>
      </c>
      <c r="T23" s="27">
        <v>10</v>
      </c>
      <c r="U23" s="27">
        <v>0.4737</v>
      </c>
      <c r="V23" s="27" t="s">
        <v>87</v>
      </c>
      <c r="W23" s="27">
        <v>179.91</v>
      </c>
      <c r="X23" s="27">
        <v>2.302585</v>
      </c>
      <c r="Y23" s="27">
        <v>5.198</v>
      </c>
      <c r="Z23" s="27">
        <v>3.1623</v>
      </c>
      <c r="AA23" s="27" t="s">
        <v>125</v>
      </c>
      <c r="AB23" s="27">
        <v>0</v>
      </c>
      <c r="AC23" s="27">
        <v>0</v>
      </c>
      <c r="AD23" s="27">
        <v>0</v>
      </c>
      <c r="AE23" s="27">
        <v>0</v>
      </c>
      <c r="AF23" s="27">
        <v>0</v>
      </c>
      <c r="AG23" s="27">
        <v>0</v>
      </c>
      <c r="AH23" s="27">
        <v>0</v>
      </c>
      <c r="AI23" s="27">
        <v>0</v>
      </c>
      <c r="AJ23" s="27">
        <v>0</v>
      </c>
      <c r="AK23" s="27">
        <v>0</v>
      </c>
      <c r="AL23" s="27">
        <v>0</v>
      </c>
      <c r="AM23" s="27">
        <v>0</v>
      </c>
      <c r="AN23" s="27">
        <v>0</v>
      </c>
      <c r="AO23" s="27">
        <v>0</v>
      </c>
      <c r="AP23" s="27">
        <v>0</v>
      </c>
      <c r="AQ23" s="27">
        <v>0</v>
      </c>
      <c r="AR23" s="27">
        <v>0</v>
      </c>
      <c r="AS23" s="27">
        <v>0</v>
      </c>
      <c r="AT23" s="27">
        <v>0</v>
      </c>
      <c r="AU23" s="27">
        <v>0</v>
      </c>
      <c r="AV23" s="27">
        <v>0</v>
      </c>
      <c r="AW23" s="27">
        <v>0</v>
      </c>
      <c r="AX23" s="27">
        <v>0</v>
      </c>
      <c r="AZ23" s="27">
        <v>1</v>
      </c>
      <c r="BA23" s="27">
        <v>0</v>
      </c>
      <c r="BB23" s="27">
        <v>18.95</v>
      </c>
      <c r="BC23" s="27" t="s">
        <v>199</v>
      </c>
      <c r="BD23" s="27" t="s">
        <v>127</v>
      </c>
      <c r="BE23" s="27" t="s">
        <v>113</v>
      </c>
      <c r="BF23" s="27" t="s">
        <v>77</v>
      </c>
      <c r="BG23" s="27">
        <v>182</v>
      </c>
      <c r="BH23" s="27">
        <v>28</v>
      </c>
      <c r="BI23" s="27">
        <v>0.8667</v>
      </c>
      <c r="BJ23" s="27">
        <v>0</v>
      </c>
    </row>
    <row r="24" customHeight="1" spans="1:64">
      <c r="A24" s="27" t="s">
        <v>200</v>
      </c>
      <c r="B24" s="27" t="s">
        <v>125</v>
      </c>
      <c r="E24" s="27" t="s">
        <v>81</v>
      </c>
      <c r="F24" s="27" t="s">
        <v>82</v>
      </c>
      <c r="G24" s="27" t="s">
        <v>83</v>
      </c>
      <c r="H24" s="27" t="s">
        <v>138</v>
      </c>
      <c r="I24" s="27" t="s">
        <v>85</v>
      </c>
      <c r="J24" s="27">
        <v>5</v>
      </c>
      <c r="K24" s="27">
        <v>59.97</v>
      </c>
      <c r="M24" s="27">
        <v>0</v>
      </c>
      <c r="N24" s="27">
        <v>0</v>
      </c>
      <c r="O24" s="27">
        <v>0</v>
      </c>
      <c r="P24" s="27" t="s">
        <v>86</v>
      </c>
      <c r="Q24" s="27">
        <v>4.110382</v>
      </c>
      <c r="S24" s="27">
        <v>56</v>
      </c>
      <c r="T24" s="27">
        <v>4</v>
      </c>
      <c r="U24" s="27">
        <v>0.9333</v>
      </c>
      <c r="V24" s="27" t="s">
        <v>72</v>
      </c>
      <c r="W24" s="27">
        <v>3358.32</v>
      </c>
      <c r="X24" s="27">
        <v>4.043051</v>
      </c>
      <c r="Y24" s="27">
        <v>8.119494</v>
      </c>
      <c r="Z24" s="27">
        <v>2</v>
      </c>
      <c r="AA24" s="27" t="s">
        <v>139</v>
      </c>
      <c r="AB24" s="27">
        <v>1</v>
      </c>
      <c r="AC24" s="27">
        <v>0</v>
      </c>
      <c r="AD24" s="27">
        <v>0</v>
      </c>
      <c r="AE24" s="27">
        <v>0</v>
      </c>
      <c r="AF24" s="27">
        <v>0</v>
      </c>
      <c r="AG24" s="27">
        <v>0</v>
      </c>
      <c r="AH24" s="27">
        <v>1</v>
      </c>
      <c r="AI24" s="27">
        <v>0</v>
      </c>
      <c r="AJ24" s="27">
        <v>1</v>
      </c>
      <c r="AK24" s="27">
        <v>0</v>
      </c>
      <c r="AL24" s="27">
        <v>0</v>
      </c>
      <c r="AM24" s="27">
        <v>0</v>
      </c>
      <c r="AN24" s="27">
        <v>0</v>
      </c>
      <c r="AO24" s="27">
        <v>0</v>
      </c>
      <c r="AP24" s="27">
        <v>0</v>
      </c>
      <c r="AQ24" s="27">
        <v>0</v>
      </c>
      <c r="AR24" s="27">
        <v>0</v>
      </c>
      <c r="AS24" s="27">
        <v>0</v>
      </c>
      <c r="AT24" s="27">
        <v>1</v>
      </c>
      <c r="AU24" s="27">
        <v>0</v>
      </c>
      <c r="AV24" s="27">
        <v>0</v>
      </c>
      <c r="AW24" s="27">
        <v>1</v>
      </c>
      <c r="AX24" s="27">
        <v>0</v>
      </c>
      <c r="AZ24" s="27">
        <v>1</v>
      </c>
      <c r="BA24" s="27">
        <v>2</v>
      </c>
      <c r="BB24" s="27">
        <v>67.18</v>
      </c>
      <c r="BC24" s="27" t="s">
        <v>140</v>
      </c>
      <c r="BD24" s="27" t="s">
        <v>141</v>
      </c>
      <c r="BE24" s="27" t="s">
        <v>142</v>
      </c>
      <c r="BF24" s="27" t="s">
        <v>77</v>
      </c>
      <c r="BG24" s="27">
        <v>1</v>
      </c>
      <c r="BH24" s="27">
        <v>27</v>
      </c>
      <c r="BI24" s="27">
        <v>0.0357</v>
      </c>
      <c r="BJ24" s="27">
        <v>1</v>
      </c>
      <c r="BK24" s="27">
        <v>2</v>
      </c>
      <c r="BL24" s="27">
        <v>99.5</v>
      </c>
    </row>
    <row r="25" customHeight="1" spans="1:64">
      <c r="A25" s="27" t="s">
        <v>201</v>
      </c>
      <c r="B25" s="27" t="s">
        <v>202</v>
      </c>
      <c r="E25" s="27" t="s">
        <v>81</v>
      </c>
      <c r="F25" s="27" t="s">
        <v>82</v>
      </c>
      <c r="G25" s="27" t="s">
        <v>83</v>
      </c>
      <c r="H25" s="27" t="s">
        <v>84</v>
      </c>
      <c r="I25" s="27" t="s">
        <v>203</v>
      </c>
      <c r="J25" s="27">
        <v>4</v>
      </c>
      <c r="K25" s="27">
        <v>39.95</v>
      </c>
      <c r="M25" s="27">
        <v>0</v>
      </c>
      <c r="N25" s="27">
        <v>0</v>
      </c>
      <c r="O25" s="27">
        <v>0</v>
      </c>
      <c r="P25" s="27" t="s">
        <v>86</v>
      </c>
      <c r="Q25" s="27">
        <v>3.712352</v>
      </c>
      <c r="S25" s="27">
        <v>20</v>
      </c>
      <c r="T25" s="27">
        <v>6</v>
      </c>
      <c r="U25" s="27">
        <v>0.7692</v>
      </c>
      <c r="V25" s="27" t="s">
        <v>72</v>
      </c>
      <c r="W25" s="27">
        <v>799</v>
      </c>
      <c r="X25" s="27">
        <v>3.044522</v>
      </c>
      <c r="Y25" s="27">
        <v>6.684612</v>
      </c>
      <c r="Z25" s="27">
        <v>2.4495</v>
      </c>
      <c r="AA25" s="27" t="s">
        <v>88</v>
      </c>
      <c r="AB25" s="27">
        <v>0</v>
      </c>
      <c r="AC25" s="27">
        <v>0</v>
      </c>
      <c r="AD25" s="27">
        <v>0</v>
      </c>
      <c r="AE25" s="27">
        <v>0</v>
      </c>
      <c r="AF25" s="27">
        <v>0</v>
      </c>
      <c r="AG25" s="27">
        <v>1</v>
      </c>
      <c r="AH25" s="27">
        <v>0</v>
      </c>
      <c r="AI25" s="27">
        <v>0</v>
      </c>
      <c r="AJ25" s="27">
        <v>0</v>
      </c>
      <c r="AK25" s="27">
        <v>0</v>
      </c>
      <c r="AL25" s="27">
        <v>0</v>
      </c>
      <c r="AM25" s="27">
        <v>0</v>
      </c>
      <c r="AN25" s="27">
        <v>0</v>
      </c>
      <c r="AO25" s="27">
        <v>0</v>
      </c>
      <c r="AP25" s="27">
        <v>1</v>
      </c>
      <c r="AQ25" s="27">
        <v>0</v>
      </c>
      <c r="AR25" s="27">
        <v>0</v>
      </c>
      <c r="AS25" s="27">
        <v>0</v>
      </c>
      <c r="AT25" s="27">
        <v>0</v>
      </c>
      <c r="AU25" s="27">
        <v>0</v>
      </c>
      <c r="AV25" s="27">
        <v>0</v>
      </c>
      <c r="AW25" s="27">
        <v>0</v>
      </c>
      <c r="AX25" s="27">
        <v>0</v>
      </c>
      <c r="AZ25" s="27">
        <v>1</v>
      </c>
      <c r="BA25" s="27">
        <v>0</v>
      </c>
      <c r="BB25" s="27">
        <v>57.08</v>
      </c>
      <c r="BC25" s="27" t="s">
        <v>204</v>
      </c>
      <c r="BD25" s="27" t="s">
        <v>205</v>
      </c>
      <c r="BE25" s="27" t="s">
        <v>206</v>
      </c>
      <c r="BF25" s="27" t="s">
        <v>77</v>
      </c>
      <c r="BG25" s="27">
        <v>162</v>
      </c>
      <c r="BH25" s="27">
        <v>53</v>
      </c>
      <c r="BI25" s="27">
        <v>0.7535</v>
      </c>
      <c r="BJ25" s="27">
        <v>0</v>
      </c>
      <c r="BK25" s="27">
        <v>45</v>
      </c>
      <c r="BL25" s="27">
        <v>87.7</v>
      </c>
    </row>
    <row r="26" customHeight="1" spans="1:64">
      <c r="A26" s="27" t="s">
        <v>207</v>
      </c>
      <c r="B26" s="27" t="s">
        <v>104</v>
      </c>
      <c r="C26" s="27" t="s">
        <v>208</v>
      </c>
      <c r="D26" s="27">
        <v>194644042523</v>
      </c>
      <c r="E26" s="27" t="s">
        <v>209</v>
      </c>
      <c r="F26" s="27" t="s">
        <v>68</v>
      </c>
      <c r="G26" s="27" t="s">
        <v>106</v>
      </c>
      <c r="H26" s="27" t="s">
        <v>107</v>
      </c>
      <c r="I26" s="27" t="s">
        <v>108</v>
      </c>
      <c r="J26" s="27">
        <v>3</v>
      </c>
      <c r="K26" s="27">
        <v>169.99</v>
      </c>
      <c r="L26" s="27">
        <v>379.99</v>
      </c>
      <c r="M26" s="27">
        <v>55.26</v>
      </c>
      <c r="N26" s="27">
        <v>210</v>
      </c>
      <c r="O26" s="27">
        <v>1</v>
      </c>
      <c r="P26" s="27" t="s">
        <v>95</v>
      </c>
      <c r="Q26" s="27">
        <v>5.141605</v>
      </c>
      <c r="S26" s="27">
        <v>646</v>
      </c>
      <c r="T26" s="27">
        <v>197</v>
      </c>
      <c r="U26" s="27">
        <v>0.7663</v>
      </c>
      <c r="V26" s="27" t="s">
        <v>154</v>
      </c>
      <c r="W26" s="27">
        <v>109813.54</v>
      </c>
      <c r="X26" s="27">
        <v>6.472346</v>
      </c>
      <c r="Y26" s="27">
        <v>11.606548</v>
      </c>
      <c r="Z26" s="27">
        <v>14.0357</v>
      </c>
      <c r="AA26" s="27" t="s">
        <v>187</v>
      </c>
      <c r="AB26" s="27">
        <v>0</v>
      </c>
      <c r="AC26" s="27">
        <v>0</v>
      </c>
      <c r="AD26" s="27">
        <v>0</v>
      </c>
      <c r="AE26" s="27">
        <v>1</v>
      </c>
      <c r="AF26" s="27">
        <v>0</v>
      </c>
      <c r="AG26" s="27">
        <v>0</v>
      </c>
      <c r="AH26" s="27">
        <v>1</v>
      </c>
      <c r="AI26" s="27">
        <v>0</v>
      </c>
      <c r="AJ26" s="27">
        <v>0</v>
      </c>
      <c r="AK26" s="27">
        <v>0</v>
      </c>
      <c r="AL26" s="27">
        <v>0</v>
      </c>
      <c r="AM26" s="27">
        <v>0</v>
      </c>
      <c r="AN26" s="27">
        <v>0</v>
      </c>
      <c r="AO26" s="27">
        <v>0</v>
      </c>
      <c r="AP26" s="27">
        <v>0</v>
      </c>
      <c r="AQ26" s="27">
        <v>0</v>
      </c>
      <c r="AR26" s="27">
        <v>0</v>
      </c>
      <c r="AS26" s="27">
        <v>0</v>
      </c>
      <c r="AT26" s="27">
        <v>1</v>
      </c>
      <c r="AU26" s="27">
        <v>0</v>
      </c>
      <c r="AV26" s="27">
        <v>0</v>
      </c>
      <c r="AW26" s="27">
        <v>1</v>
      </c>
      <c r="AX26" s="27">
        <v>0</v>
      </c>
      <c r="AZ26" s="27">
        <v>1</v>
      </c>
      <c r="BA26" s="27">
        <v>2</v>
      </c>
      <c r="BB26" s="27">
        <v>77.08</v>
      </c>
      <c r="BC26" s="27" t="s">
        <v>111</v>
      </c>
      <c r="BD26" s="27" t="s">
        <v>112</v>
      </c>
      <c r="BE26" s="27" t="s">
        <v>128</v>
      </c>
      <c r="BF26" s="27" t="s">
        <v>77</v>
      </c>
      <c r="BG26" s="27">
        <v>162</v>
      </c>
      <c r="BH26" s="27">
        <v>24</v>
      </c>
      <c r="BI26" s="27">
        <v>0.871</v>
      </c>
      <c r="BJ26" s="27">
        <v>0</v>
      </c>
      <c r="BK26" s="27">
        <v>2</v>
      </c>
      <c r="BL26" s="27">
        <v>99.5</v>
      </c>
    </row>
    <row r="27" customHeight="1" spans="1:64">
      <c r="A27" s="27" t="s">
        <v>210</v>
      </c>
      <c r="B27" s="27" t="s">
        <v>115</v>
      </c>
      <c r="D27" s="27">
        <v>840414648951</v>
      </c>
      <c r="E27" s="27" t="s">
        <v>81</v>
      </c>
      <c r="F27" s="27" t="s">
        <v>82</v>
      </c>
      <c r="G27" s="27" t="s">
        <v>117</v>
      </c>
      <c r="H27" s="27" t="s">
        <v>107</v>
      </c>
      <c r="I27" s="27" t="s">
        <v>85</v>
      </c>
      <c r="J27" s="27">
        <v>5</v>
      </c>
      <c r="K27" s="27">
        <v>148</v>
      </c>
      <c r="M27" s="27">
        <v>0</v>
      </c>
      <c r="N27" s="27">
        <v>0</v>
      </c>
      <c r="O27" s="27">
        <v>0</v>
      </c>
      <c r="P27" s="27" t="s">
        <v>95</v>
      </c>
      <c r="Q27" s="27">
        <v>5.003946</v>
      </c>
      <c r="S27" s="27">
        <v>50</v>
      </c>
      <c r="T27" s="27">
        <v>10</v>
      </c>
      <c r="U27" s="27">
        <v>0.8333</v>
      </c>
      <c r="V27" s="27" t="s">
        <v>72</v>
      </c>
      <c r="W27" s="27">
        <v>7400</v>
      </c>
      <c r="X27" s="27">
        <v>3.931826</v>
      </c>
      <c r="Y27" s="27">
        <v>8.90937</v>
      </c>
      <c r="Z27" s="27">
        <v>3.1623</v>
      </c>
      <c r="AA27" s="27" t="s">
        <v>73</v>
      </c>
      <c r="AB27" s="27">
        <v>0</v>
      </c>
      <c r="AC27" s="27">
        <v>0</v>
      </c>
      <c r="AD27" s="27">
        <v>0</v>
      </c>
      <c r="AE27" s="27">
        <v>0</v>
      </c>
      <c r="AF27" s="27">
        <v>0</v>
      </c>
      <c r="AG27" s="27">
        <v>1</v>
      </c>
      <c r="AH27" s="27">
        <v>0</v>
      </c>
      <c r="AI27" s="27">
        <v>0</v>
      </c>
      <c r="AJ27" s="27">
        <v>0</v>
      </c>
      <c r="AK27" s="27">
        <v>0</v>
      </c>
      <c r="AL27" s="27">
        <v>0</v>
      </c>
      <c r="AM27" s="27">
        <v>0</v>
      </c>
      <c r="AN27" s="27">
        <v>0</v>
      </c>
      <c r="AO27" s="27">
        <v>0</v>
      </c>
      <c r="AP27" s="27">
        <v>0</v>
      </c>
      <c r="AQ27" s="27">
        <v>0</v>
      </c>
      <c r="AR27" s="27">
        <v>0</v>
      </c>
      <c r="AS27" s="27">
        <v>0</v>
      </c>
      <c r="AT27" s="27">
        <v>1</v>
      </c>
      <c r="AU27" s="27">
        <v>0</v>
      </c>
      <c r="AV27" s="27">
        <v>0</v>
      </c>
      <c r="AW27" s="27">
        <v>0</v>
      </c>
      <c r="AX27" s="27">
        <v>0</v>
      </c>
      <c r="AZ27" s="27">
        <v>1</v>
      </c>
      <c r="BA27" s="27">
        <v>0</v>
      </c>
      <c r="BB27" s="27">
        <v>62.76</v>
      </c>
      <c r="BC27" s="27" t="s">
        <v>211</v>
      </c>
      <c r="BD27" s="27" t="s">
        <v>212</v>
      </c>
      <c r="BE27" s="27" t="s">
        <v>213</v>
      </c>
      <c r="BF27" s="27" t="s">
        <v>77</v>
      </c>
      <c r="BG27" s="27">
        <v>162</v>
      </c>
      <c r="BH27" s="27">
        <v>20</v>
      </c>
      <c r="BI27" s="27">
        <v>0.8901</v>
      </c>
      <c r="BJ27" s="27">
        <v>0</v>
      </c>
      <c r="BK27" s="27">
        <v>7</v>
      </c>
      <c r="BL27" s="27">
        <v>98.1</v>
      </c>
    </row>
    <row r="28" customHeight="1" spans="1:64">
      <c r="A28" s="27" t="s">
        <v>214</v>
      </c>
      <c r="B28" s="27" t="s">
        <v>215</v>
      </c>
      <c r="C28" s="27" t="s">
        <v>216</v>
      </c>
      <c r="D28" s="27">
        <v>845832029665</v>
      </c>
      <c r="E28" s="27" t="s">
        <v>217</v>
      </c>
      <c r="F28" s="27" t="s">
        <v>132</v>
      </c>
      <c r="G28" s="27" t="s">
        <v>83</v>
      </c>
      <c r="H28" s="27" t="s">
        <v>84</v>
      </c>
      <c r="I28" s="27" t="s">
        <v>85</v>
      </c>
      <c r="J28" s="27">
        <v>5</v>
      </c>
      <c r="K28" s="27">
        <v>7.19</v>
      </c>
      <c r="M28" s="27">
        <v>0</v>
      </c>
      <c r="N28" s="27">
        <v>0</v>
      </c>
      <c r="O28" s="27">
        <v>0</v>
      </c>
      <c r="P28" s="27" t="s">
        <v>133</v>
      </c>
      <c r="Q28" s="27">
        <v>2.102914</v>
      </c>
      <c r="S28" s="27">
        <v>480</v>
      </c>
      <c r="T28" s="27">
        <v>10</v>
      </c>
      <c r="U28" s="27">
        <v>0.9796</v>
      </c>
      <c r="V28" s="27" t="s">
        <v>154</v>
      </c>
      <c r="W28" s="27">
        <v>3451.2</v>
      </c>
      <c r="X28" s="27">
        <v>6.175867</v>
      </c>
      <c r="Y28" s="27">
        <v>8.146767</v>
      </c>
      <c r="Z28" s="27">
        <v>3.1623</v>
      </c>
      <c r="AA28" s="27" t="s">
        <v>125</v>
      </c>
      <c r="AB28" s="27">
        <v>0</v>
      </c>
      <c r="AC28" s="27">
        <v>0</v>
      </c>
      <c r="AD28" s="27">
        <v>0</v>
      </c>
      <c r="AE28" s="27">
        <v>0</v>
      </c>
      <c r="AF28" s="27">
        <v>0</v>
      </c>
      <c r="AG28" s="27">
        <v>0</v>
      </c>
      <c r="AH28" s="27">
        <v>0</v>
      </c>
      <c r="AI28" s="27">
        <v>0</v>
      </c>
      <c r="AJ28" s="27">
        <v>0</v>
      </c>
      <c r="AK28" s="27">
        <v>0</v>
      </c>
      <c r="AL28" s="27">
        <v>0</v>
      </c>
      <c r="AM28" s="27">
        <v>0</v>
      </c>
      <c r="AN28" s="27">
        <v>0</v>
      </c>
      <c r="AO28" s="27">
        <v>0</v>
      </c>
      <c r="AP28" s="27">
        <v>0</v>
      </c>
      <c r="AQ28" s="27">
        <v>0</v>
      </c>
      <c r="AR28" s="27">
        <v>0</v>
      </c>
      <c r="AS28" s="27">
        <v>0</v>
      </c>
      <c r="AT28" s="27">
        <v>0</v>
      </c>
      <c r="AU28" s="27">
        <v>0</v>
      </c>
      <c r="AV28" s="27">
        <v>0</v>
      </c>
      <c r="AW28" s="27">
        <v>0</v>
      </c>
      <c r="AX28" s="27">
        <v>0</v>
      </c>
      <c r="AZ28" s="27">
        <v>1</v>
      </c>
      <c r="BA28" s="27">
        <v>0</v>
      </c>
      <c r="BB28" s="27">
        <v>62.52</v>
      </c>
      <c r="BC28" s="27" t="s">
        <v>218</v>
      </c>
      <c r="BD28" s="27" t="s">
        <v>219</v>
      </c>
      <c r="BE28" s="27" t="s">
        <v>220</v>
      </c>
      <c r="BF28" s="27" t="s">
        <v>77</v>
      </c>
      <c r="BG28" s="27">
        <v>168</v>
      </c>
      <c r="BH28" s="27">
        <v>11</v>
      </c>
      <c r="BI28" s="27">
        <v>0.9385</v>
      </c>
      <c r="BJ28" s="27">
        <v>0</v>
      </c>
      <c r="BK28" s="27">
        <v>81</v>
      </c>
      <c r="BL28" s="27">
        <v>77.8</v>
      </c>
    </row>
    <row r="29" customHeight="1" spans="1:64">
      <c r="A29" s="27" t="s">
        <v>221</v>
      </c>
      <c r="B29" s="27" t="s">
        <v>222</v>
      </c>
      <c r="C29" s="27" t="s">
        <v>223</v>
      </c>
      <c r="E29" s="27" t="s">
        <v>81</v>
      </c>
      <c r="F29" s="27" t="s">
        <v>82</v>
      </c>
      <c r="G29" s="27" t="s">
        <v>83</v>
      </c>
      <c r="H29" s="27" t="s">
        <v>84</v>
      </c>
      <c r="I29" s="27" t="s">
        <v>85</v>
      </c>
      <c r="J29" s="27">
        <v>5</v>
      </c>
      <c r="K29" s="27">
        <v>219.99</v>
      </c>
      <c r="L29" s="27">
        <v>319.99</v>
      </c>
      <c r="M29" s="27">
        <v>31.25</v>
      </c>
      <c r="N29" s="27">
        <v>100</v>
      </c>
      <c r="O29" s="27">
        <v>1</v>
      </c>
      <c r="P29" s="27" t="s">
        <v>71</v>
      </c>
      <c r="Q29" s="27">
        <v>5.398117</v>
      </c>
      <c r="S29" s="27">
        <v>38</v>
      </c>
      <c r="T29" s="27">
        <v>20</v>
      </c>
      <c r="U29" s="27">
        <v>0.6552</v>
      </c>
      <c r="V29" s="27" t="s">
        <v>72</v>
      </c>
      <c r="W29" s="27">
        <v>8359.62</v>
      </c>
      <c r="X29" s="27">
        <v>3.663562</v>
      </c>
      <c r="Y29" s="27">
        <v>9.031288</v>
      </c>
      <c r="Z29" s="27">
        <v>4.4721</v>
      </c>
      <c r="AA29" s="27" t="s">
        <v>125</v>
      </c>
      <c r="AB29" s="27">
        <v>0</v>
      </c>
      <c r="AC29" s="27">
        <v>0</v>
      </c>
      <c r="AD29" s="27">
        <v>0</v>
      </c>
      <c r="AE29" s="27">
        <v>1</v>
      </c>
      <c r="AF29" s="27">
        <v>1</v>
      </c>
      <c r="AG29" s="27">
        <v>0</v>
      </c>
      <c r="AH29" s="27">
        <v>1</v>
      </c>
      <c r="AI29" s="27">
        <v>0</v>
      </c>
      <c r="AJ29" s="27">
        <v>0</v>
      </c>
      <c r="AK29" s="27">
        <v>0</v>
      </c>
      <c r="AL29" s="27">
        <v>0</v>
      </c>
      <c r="AM29" s="27">
        <v>0</v>
      </c>
      <c r="AN29" s="27">
        <v>0</v>
      </c>
      <c r="AO29" s="27">
        <v>0</v>
      </c>
      <c r="AP29" s="27">
        <v>0</v>
      </c>
      <c r="AQ29" s="27">
        <v>0</v>
      </c>
      <c r="AR29" s="27">
        <v>0</v>
      </c>
      <c r="AS29" s="27">
        <v>0</v>
      </c>
      <c r="AT29" s="27">
        <v>1</v>
      </c>
      <c r="AU29" s="27">
        <v>0</v>
      </c>
      <c r="AV29" s="27">
        <v>0</v>
      </c>
      <c r="AW29" s="27">
        <v>1</v>
      </c>
      <c r="AX29" s="27">
        <v>0</v>
      </c>
      <c r="AZ29" s="27">
        <v>1</v>
      </c>
      <c r="BA29" s="27">
        <v>2</v>
      </c>
      <c r="BB29" s="27">
        <v>65.43</v>
      </c>
      <c r="BC29" s="27" t="s">
        <v>224</v>
      </c>
      <c r="BD29" s="27" t="s">
        <v>225</v>
      </c>
      <c r="BE29" s="27" t="s">
        <v>226</v>
      </c>
      <c r="BF29" s="27" t="s">
        <v>77</v>
      </c>
      <c r="BG29" s="27">
        <v>1</v>
      </c>
      <c r="BH29" s="27">
        <v>150</v>
      </c>
      <c r="BI29" s="27">
        <v>0.0066</v>
      </c>
      <c r="BJ29" s="27">
        <v>1</v>
      </c>
      <c r="BK29" s="27">
        <v>2</v>
      </c>
      <c r="BL29" s="27">
        <v>99.5</v>
      </c>
    </row>
    <row r="30" customHeight="1" spans="1:64">
      <c r="A30" s="27" t="s">
        <v>227</v>
      </c>
      <c r="B30" s="27" t="s">
        <v>125</v>
      </c>
      <c r="E30" s="27" t="s">
        <v>228</v>
      </c>
      <c r="F30" s="27" t="s">
        <v>82</v>
      </c>
      <c r="G30" s="27" t="s">
        <v>83</v>
      </c>
      <c r="H30" s="27" t="s">
        <v>138</v>
      </c>
      <c r="I30" s="27" t="s">
        <v>85</v>
      </c>
      <c r="J30" s="27">
        <v>5</v>
      </c>
      <c r="K30" s="27">
        <v>13.99</v>
      </c>
      <c r="M30" s="27">
        <v>0</v>
      </c>
      <c r="N30" s="27">
        <v>0</v>
      </c>
      <c r="O30" s="27">
        <v>0</v>
      </c>
      <c r="P30" s="27" t="s">
        <v>133</v>
      </c>
      <c r="Q30" s="27">
        <v>2.707383</v>
      </c>
      <c r="S30" s="27">
        <v>22</v>
      </c>
      <c r="T30" s="27">
        <v>10</v>
      </c>
      <c r="U30" s="27">
        <v>0.6875</v>
      </c>
      <c r="V30" s="27" t="s">
        <v>72</v>
      </c>
      <c r="W30" s="27">
        <v>307.78</v>
      </c>
      <c r="X30" s="27">
        <v>3.135494</v>
      </c>
      <c r="Y30" s="27">
        <v>5.732629</v>
      </c>
      <c r="Z30" s="27">
        <v>3.1623</v>
      </c>
      <c r="AA30" s="27" t="s">
        <v>139</v>
      </c>
      <c r="AB30" s="27">
        <v>0</v>
      </c>
      <c r="AC30" s="27">
        <v>0</v>
      </c>
      <c r="AD30" s="27">
        <v>0</v>
      </c>
      <c r="AE30" s="27">
        <v>0</v>
      </c>
      <c r="AF30" s="27">
        <v>0</v>
      </c>
      <c r="AG30" s="27">
        <v>0</v>
      </c>
      <c r="AH30" s="27">
        <v>1</v>
      </c>
      <c r="AI30" s="27">
        <v>0</v>
      </c>
      <c r="AJ30" s="27">
        <v>1</v>
      </c>
      <c r="AK30" s="27">
        <v>0</v>
      </c>
      <c r="AL30" s="27">
        <v>0</v>
      </c>
      <c r="AM30" s="27">
        <v>0</v>
      </c>
      <c r="AN30" s="27">
        <v>0</v>
      </c>
      <c r="AO30" s="27">
        <v>0</v>
      </c>
      <c r="AP30" s="27">
        <v>0</v>
      </c>
      <c r="AQ30" s="27">
        <v>0</v>
      </c>
      <c r="AR30" s="27">
        <v>0</v>
      </c>
      <c r="AS30" s="27">
        <v>0</v>
      </c>
      <c r="AT30" s="27">
        <v>0</v>
      </c>
      <c r="AU30" s="27">
        <v>0</v>
      </c>
      <c r="AV30" s="27">
        <v>0</v>
      </c>
      <c r="AW30" s="27">
        <v>0</v>
      </c>
      <c r="AX30" s="27">
        <v>0</v>
      </c>
      <c r="AZ30" s="27">
        <v>1</v>
      </c>
      <c r="BA30" s="27">
        <v>1</v>
      </c>
      <c r="BB30" s="27">
        <v>56.75</v>
      </c>
      <c r="BC30" s="27" t="s">
        <v>229</v>
      </c>
      <c r="BG30" s="27">
        <v>0</v>
      </c>
      <c r="BH30" s="27">
        <v>0</v>
      </c>
      <c r="BJ30" s="27">
        <v>0</v>
      </c>
      <c r="BK30" s="27">
        <v>9</v>
      </c>
      <c r="BL30" s="27">
        <v>97.5</v>
      </c>
    </row>
    <row r="31" customHeight="1" spans="1:64">
      <c r="A31" s="27" t="s">
        <v>230</v>
      </c>
      <c r="B31" s="27" t="s">
        <v>115</v>
      </c>
      <c r="E31" s="27" t="s">
        <v>209</v>
      </c>
      <c r="F31" s="27" t="s">
        <v>82</v>
      </c>
      <c r="G31" s="27" t="s">
        <v>117</v>
      </c>
      <c r="H31" s="27" t="s">
        <v>107</v>
      </c>
      <c r="I31" s="27" t="s">
        <v>153</v>
      </c>
      <c r="J31" s="27">
        <v>2</v>
      </c>
      <c r="K31" s="27">
        <v>85</v>
      </c>
      <c r="M31" s="27">
        <v>0</v>
      </c>
      <c r="N31" s="27">
        <v>0</v>
      </c>
      <c r="O31" s="27">
        <v>0</v>
      </c>
      <c r="P31" s="27" t="s">
        <v>95</v>
      </c>
      <c r="Q31" s="27">
        <v>4.454347</v>
      </c>
      <c r="V31" s="27" t="s">
        <v>231</v>
      </c>
      <c r="W31" s="27">
        <v>0</v>
      </c>
      <c r="X31" s="27">
        <v>0</v>
      </c>
      <c r="Y31" s="27">
        <v>0</v>
      </c>
      <c r="Z31" s="27">
        <v>0</v>
      </c>
      <c r="AA31" s="27" t="s">
        <v>125</v>
      </c>
      <c r="AB31" s="27">
        <v>0</v>
      </c>
      <c r="AC31" s="27">
        <v>0</v>
      </c>
      <c r="AD31" s="27">
        <v>0</v>
      </c>
      <c r="AE31" s="27">
        <v>0</v>
      </c>
      <c r="AF31" s="27">
        <v>0</v>
      </c>
      <c r="AG31" s="27">
        <v>0</v>
      </c>
      <c r="AH31" s="27">
        <v>0</v>
      </c>
      <c r="AI31" s="27">
        <v>0</v>
      </c>
      <c r="AJ31" s="27">
        <v>0</v>
      </c>
      <c r="AK31" s="27">
        <v>0</v>
      </c>
      <c r="AL31" s="27">
        <v>0</v>
      </c>
      <c r="AM31" s="27">
        <v>0</v>
      </c>
      <c r="AN31" s="27">
        <v>0</v>
      </c>
      <c r="AO31" s="27">
        <v>0</v>
      </c>
      <c r="AP31" s="27">
        <v>0</v>
      </c>
      <c r="AQ31" s="27">
        <v>0</v>
      </c>
      <c r="AR31" s="27">
        <v>0</v>
      </c>
      <c r="AS31" s="27">
        <v>0</v>
      </c>
      <c r="AT31" s="27">
        <v>0</v>
      </c>
      <c r="AU31" s="27">
        <v>0</v>
      </c>
      <c r="AV31" s="27">
        <v>0</v>
      </c>
      <c r="AW31" s="27">
        <v>1</v>
      </c>
      <c r="AX31" s="27">
        <v>0</v>
      </c>
      <c r="AZ31" s="27">
        <v>1</v>
      </c>
      <c r="BA31" s="27">
        <v>0</v>
      </c>
      <c r="BB31" s="27">
        <v>0</v>
      </c>
      <c r="BC31" s="27" t="s">
        <v>232</v>
      </c>
      <c r="BG31" s="27">
        <v>0</v>
      </c>
      <c r="BH31" s="27">
        <v>0</v>
      </c>
      <c r="BJ31" s="27">
        <v>0</v>
      </c>
    </row>
    <row r="32" customHeight="1" spans="1:64">
      <c r="A32" s="27" t="s">
        <v>233</v>
      </c>
      <c r="B32" s="27" t="s">
        <v>234</v>
      </c>
      <c r="E32" s="27" t="s">
        <v>235</v>
      </c>
      <c r="F32" s="27" t="s">
        <v>198</v>
      </c>
      <c r="G32" s="27" t="s">
        <v>83</v>
      </c>
      <c r="H32" s="27" t="s">
        <v>84</v>
      </c>
      <c r="I32" s="27" t="s">
        <v>85</v>
      </c>
      <c r="J32" s="27">
        <v>5</v>
      </c>
      <c r="K32" s="27">
        <v>14.99</v>
      </c>
      <c r="M32" s="27">
        <v>0</v>
      </c>
      <c r="N32" s="27">
        <v>0</v>
      </c>
      <c r="O32" s="27">
        <v>0</v>
      </c>
      <c r="P32" s="27" t="s">
        <v>133</v>
      </c>
      <c r="Q32" s="27">
        <v>2.771964</v>
      </c>
      <c r="S32" s="27">
        <v>37</v>
      </c>
      <c r="T32" s="27">
        <v>10</v>
      </c>
      <c r="U32" s="27">
        <v>0.7872</v>
      </c>
      <c r="V32" s="27" t="s">
        <v>72</v>
      </c>
      <c r="W32" s="27">
        <v>554.63</v>
      </c>
      <c r="X32" s="27">
        <v>3.637586</v>
      </c>
      <c r="Y32" s="27">
        <v>6.320103</v>
      </c>
      <c r="Z32" s="27">
        <v>3.1623</v>
      </c>
      <c r="AA32" s="27" t="s">
        <v>125</v>
      </c>
      <c r="AB32" s="27">
        <v>0</v>
      </c>
      <c r="AC32" s="27">
        <v>0</v>
      </c>
      <c r="AD32" s="27">
        <v>0</v>
      </c>
      <c r="AE32" s="27">
        <v>0</v>
      </c>
      <c r="AF32" s="27">
        <v>0</v>
      </c>
      <c r="AG32" s="27">
        <v>0</v>
      </c>
      <c r="AH32" s="27">
        <v>1</v>
      </c>
      <c r="AI32" s="27">
        <v>0</v>
      </c>
      <c r="AJ32" s="27">
        <v>0</v>
      </c>
      <c r="AK32" s="27">
        <v>0</v>
      </c>
      <c r="AL32" s="27">
        <v>0</v>
      </c>
      <c r="AM32" s="27">
        <v>0</v>
      </c>
      <c r="AN32" s="27">
        <v>0</v>
      </c>
      <c r="AO32" s="27">
        <v>0</v>
      </c>
      <c r="AP32" s="27">
        <v>0</v>
      </c>
      <c r="AQ32" s="27">
        <v>0</v>
      </c>
      <c r="AR32" s="27">
        <v>0</v>
      </c>
      <c r="AS32" s="27">
        <v>0</v>
      </c>
      <c r="AT32" s="27">
        <v>0</v>
      </c>
      <c r="AU32" s="27">
        <v>0</v>
      </c>
      <c r="AV32" s="27">
        <v>0</v>
      </c>
      <c r="AW32" s="27">
        <v>1</v>
      </c>
      <c r="AX32" s="27">
        <v>0</v>
      </c>
      <c r="AZ32" s="27">
        <v>1</v>
      </c>
      <c r="BA32" s="27">
        <v>1</v>
      </c>
      <c r="BB32" s="27">
        <v>49.64</v>
      </c>
      <c r="BC32" s="27" t="s">
        <v>236</v>
      </c>
      <c r="BG32" s="27">
        <v>0</v>
      </c>
      <c r="BH32" s="27">
        <v>0</v>
      </c>
      <c r="BJ32" s="27">
        <v>0</v>
      </c>
      <c r="BK32" s="27">
        <v>144</v>
      </c>
      <c r="BL32" s="27">
        <v>60.5</v>
      </c>
    </row>
    <row r="33" customHeight="1" spans="1:64">
      <c r="A33" s="27" t="s">
        <v>237</v>
      </c>
      <c r="B33" s="27" t="s">
        <v>238</v>
      </c>
      <c r="E33" s="27" t="s">
        <v>239</v>
      </c>
      <c r="F33" s="27" t="s">
        <v>240</v>
      </c>
      <c r="G33" s="27" t="s">
        <v>83</v>
      </c>
      <c r="H33" s="27" t="s">
        <v>84</v>
      </c>
      <c r="I33" s="27" t="s">
        <v>153</v>
      </c>
      <c r="J33" s="27">
        <v>2</v>
      </c>
      <c r="K33" s="27">
        <v>140</v>
      </c>
      <c r="M33" s="27">
        <v>0</v>
      </c>
      <c r="N33" s="27">
        <v>0</v>
      </c>
      <c r="O33" s="27">
        <v>0</v>
      </c>
      <c r="P33" s="27" t="s">
        <v>95</v>
      </c>
      <c r="Q33" s="27">
        <v>4.94876</v>
      </c>
      <c r="S33" s="27">
        <v>1</v>
      </c>
      <c r="T33" s="27">
        <v>5</v>
      </c>
      <c r="U33" s="27">
        <v>0.1667</v>
      </c>
      <c r="V33" s="27" t="s">
        <v>87</v>
      </c>
      <c r="W33" s="27">
        <v>140</v>
      </c>
      <c r="X33" s="27">
        <v>0.693147</v>
      </c>
      <c r="Y33" s="27">
        <v>4.94876</v>
      </c>
      <c r="Z33" s="27">
        <v>2.2361</v>
      </c>
      <c r="AA33" s="27" t="s">
        <v>125</v>
      </c>
      <c r="AB33" s="27">
        <v>0</v>
      </c>
      <c r="AC33" s="27">
        <v>0</v>
      </c>
      <c r="AD33" s="27">
        <v>0</v>
      </c>
      <c r="AE33" s="27">
        <v>0</v>
      </c>
      <c r="AF33" s="27">
        <v>0</v>
      </c>
      <c r="AG33" s="27">
        <v>0</v>
      </c>
      <c r="AH33" s="27">
        <v>0</v>
      </c>
      <c r="AI33" s="27">
        <v>0</v>
      </c>
      <c r="AJ33" s="27">
        <v>0</v>
      </c>
      <c r="AK33" s="27">
        <v>0</v>
      </c>
      <c r="AL33" s="27">
        <v>0</v>
      </c>
      <c r="AM33" s="27">
        <v>0</v>
      </c>
      <c r="AN33" s="27">
        <v>0</v>
      </c>
      <c r="AO33" s="27">
        <v>0</v>
      </c>
      <c r="AP33" s="27">
        <v>0</v>
      </c>
      <c r="AQ33" s="27">
        <v>1</v>
      </c>
      <c r="AR33" s="27">
        <v>0</v>
      </c>
      <c r="AS33" s="27">
        <v>0</v>
      </c>
      <c r="AT33" s="27">
        <v>0</v>
      </c>
      <c r="AU33" s="27">
        <v>0</v>
      </c>
      <c r="AV33" s="27">
        <v>1</v>
      </c>
      <c r="AW33" s="27">
        <v>0</v>
      </c>
      <c r="AX33" s="27">
        <v>0</v>
      </c>
      <c r="AZ33" s="27">
        <v>1</v>
      </c>
      <c r="BA33" s="27">
        <v>1</v>
      </c>
      <c r="BB33" s="27">
        <v>33.46</v>
      </c>
      <c r="BC33" s="27" t="s">
        <v>241</v>
      </c>
      <c r="BD33" s="27" t="s">
        <v>242</v>
      </c>
      <c r="BE33" s="27" t="s">
        <v>243</v>
      </c>
      <c r="BF33" s="27" t="s">
        <v>77</v>
      </c>
      <c r="BG33" s="27">
        <v>168</v>
      </c>
      <c r="BH33" s="27">
        <v>11</v>
      </c>
      <c r="BI33" s="27">
        <v>0.9385</v>
      </c>
      <c r="BJ33" s="27">
        <v>0</v>
      </c>
      <c r="BK33" s="27">
        <v>39</v>
      </c>
      <c r="BL33" s="27">
        <v>89.3</v>
      </c>
    </row>
    <row r="34" customHeight="1" spans="1:64">
      <c r="A34" s="27" t="s">
        <v>244</v>
      </c>
      <c r="B34" s="27" t="s">
        <v>245</v>
      </c>
      <c r="C34" s="27" t="s">
        <v>246</v>
      </c>
      <c r="E34" s="27" t="s">
        <v>239</v>
      </c>
      <c r="F34" s="27" t="s">
        <v>160</v>
      </c>
      <c r="G34" s="27" t="s">
        <v>83</v>
      </c>
      <c r="H34" s="27" t="s">
        <v>84</v>
      </c>
      <c r="I34" s="27" t="s">
        <v>85</v>
      </c>
      <c r="J34" s="27">
        <v>5</v>
      </c>
      <c r="K34" s="27">
        <v>47.59</v>
      </c>
      <c r="L34" s="27">
        <v>55.99</v>
      </c>
      <c r="M34" s="27">
        <v>15</v>
      </c>
      <c r="N34" s="27">
        <v>8.4</v>
      </c>
      <c r="O34" s="27">
        <v>1</v>
      </c>
      <c r="P34" s="27" t="s">
        <v>86</v>
      </c>
      <c r="Q34" s="27">
        <v>3.883418</v>
      </c>
      <c r="R34" s="27">
        <v>5.95</v>
      </c>
      <c r="S34" s="27">
        <v>2484</v>
      </c>
      <c r="T34" s="27">
        <v>10</v>
      </c>
      <c r="U34" s="27">
        <v>0.996</v>
      </c>
      <c r="V34" s="27" t="s">
        <v>109</v>
      </c>
      <c r="W34" s="27">
        <v>118213.56</v>
      </c>
      <c r="X34" s="27">
        <v>7.818028</v>
      </c>
      <c r="Y34" s="27">
        <v>11.680257</v>
      </c>
      <c r="Z34" s="27">
        <v>3.1623</v>
      </c>
      <c r="AA34" s="27" t="s">
        <v>139</v>
      </c>
      <c r="AB34" s="27">
        <v>0</v>
      </c>
      <c r="AC34" s="27">
        <v>0</v>
      </c>
      <c r="AD34" s="27">
        <v>0</v>
      </c>
      <c r="AE34" s="27">
        <v>0</v>
      </c>
      <c r="AF34" s="27">
        <v>0</v>
      </c>
      <c r="AG34" s="27">
        <v>0</v>
      </c>
      <c r="AH34" s="27">
        <v>0</v>
      </c>
      <c r="AI34" s="27">
        <v>0</v>
      </c>
      <c r="AJ34" s="27">
        <v>0</v>
      </c>
      <c r="AK34" s="27">
        <v>0</v>
      </c>
      <c r="AL34" s="27">
        <v>0</v>
      </c>
      <c r="AM34" s="27">
        <v>0</v>
      </c>
      <c r="AN34" s="27">
        <v>0</v>
      </c>
      <c r="AO34" s="27">
        <v>0</v>
      </c>
      <c r="AP34" s="27">
        <v>0</v>
      </c>
      <c r="AQ34" s="27">
        <v>1</v>
      </c>
      <c r="AR34" s="27">
        <v>0</v>
      </c>
      <c r="AS34" s="27">
        <v>0</v>
      </c>
      <c r="AT34" s="27">
        <v>0</v>
      </c>
      <c r="AU34" s="27">
        <v>0</v>
      </c>
      <c r="AV34" s="27">
        <v>1</v>
      </c>
      <c r="AW34" s="27">
        <v>1</v>
      </c>
      <c r="AX34" s="27">
        <v>0</v>
      </c>
      <c r="AY34" s="27">
        <v>8</v>
      </c>
      <c r="AZ34" s="27">
        <v>1</v>
      </c>
      <c r="BA34" s="27">
        <v>1</v>
      </c>
      <c r="BB34" s="27">
        <v>73.86</v>
      </c>
      <c r="BC34" s="27" t="s">
        <v>247</v>
      </c>
      <c r="BD34" s="27" t="s">
        <v>175</v>
      </c>
      <c r="BE34" s="27" t="s">
        <v>91</v>
      </c>
      <c r="BF34" s="27" t="s">
        <v>77</v>
      </c>
      <c r="BG34" s="27">
        <v>162</v>
      </c>
      <c r="BH34" s="27">
        <v>60</v>
      </c>
      <c r="BI34" s="27">
        <v>0.7297</v>
      </c>
      <c r="BJ34" s="27">
        <v>0</v>
      </c>
      <c r="BK34" s="27">
        <v>6</v>
      </c>
      <c r="BL34" s="27">
        <v>98.4</v>
      </c>
    </row>
    <row r="35" customHeight="1" spans="1:64">
      <c r="A35" s="27" t="s">
        <v>248</v>
      </c>
      <c r="B35" s="27" t="s">
        <v>171</v>
      </c>
      <c r="C35" s="27" t="s">
        <v>249</v>
      </c>
      <c r="E35" s="27" t="s">
        <v>250</v>
      </c>
      <c r="F35" s="27" t="s">
        <v>160</v>
      </c>
      <c r="G35" s="27" t="s">
        <v>83</v>
      </c>
      <c r="H35" s="27" t="s">
        <v>84</v>
      </c>
      <c r="I35" s="27" t="s">
        <v>85</v>
      </c>
      <c r="J35" s="27">
        <v>5</v>
      </c>
      <c r="K35" s="27">
        <v>676.49</v>
      </c>
      <c r="M35" s="27">
        <v>0</v>
      </c>
      <c r="N35" s="27">
        <v>0</v>
      </c>
      <c r="O35" s="27">
        <v>0</v>
      </c>
      <c r="P35" s="27" t="s">
        <v>147</v>
      </c>
      <c r="Q35" s="27">
        <v>6.518395</v>
      </c>
      <c r="R35" s="27">
        <v>21.14</v>
      </c>
      <c r="S35" s="27">
        <v>8</v>
      </c>
      <c r="T35" s="27">
        <v>20</v>
      </c>
      <c r="U35" s="27">
        <v>0.2857</v>
      </c>
      <c r="V35" s="27" t="s">
        <v>87</v>
      </c>
      <c r="W35" s="27">
        <v>5411.92</v>
      </c>
      <c r="X35" s="27">
        <v>2.197225</v>
      </c>
      <c r="Y35" s="27">
        <v>8.596544</v>
      </c>
      <c r="Z35" s="27">
        <v>4.4721</v>
      </c>
      <c r="AA35" s="27" t="s">
        <v>73</v>
      </c>
      <c r="AB35" s="27">
        <v>1</v>
      </c>
      <c r="AC35" s="27">
        <v>1</v>
      </c>
      <c r="AD35" s="27">
        <v>0</v>
      </c>
      <c r="AE35" s="27">
        <v>0</v>
      </c>
      <c r="AF35" s="27">
        <v>0</v>
      </c>
      <c r="AG35" s="27">
        <v>1</v>
      </c>
      <c r="AH35" s="27">
        <v>0</v>
      </c>
      <c r="AI35" s="27">
        <v>1</v>
      </c>
      <c r="AJ35" s="27">
        <v>0</v>
      </c>
      <c r="AK35" s="27">
        <v>0</v>
      </c>
      <c r="AL35" s="27">
        <v>0</v>
      </c>
      <c r="AM35" s="27">
        <v>0</v>
      </c>
      <c r="AN35" s="27">
        <v>0</v>
      </c>
      <c r="AO35" s="27">
        <v>0</v>
      </c>
      <c r="AP35" s="27">
        <v>0</v>
      </c>
      <c r="AQ35" s="27">
        <v>1</v>
      </c>
      <c r="AR35" s="27">
        <v>0</v>
      </c>
      <c r="AS35" s="27">
        <v>0</v>
      </c>
      <c r="AT35" s="27">
        <v>0</v>
      </c>
      <c r="AU35" s="27">
        <v>0</v>
      </c>
      <c r="AV35" s="27">
        <v>1</v>
      </c>
      <c r="AW35" s="27">
        <v>1</v>
      </c>
      <c r="AX35" s="27">
        <v>0</v>
      </c>
      <c r="AY35" s="27">
        <v>32</v>
      </c>
      <c r="AZ35" s="27">
        <v>1</v>
      </c>
      <c r="BA35" s="27">
        <v>3</v>
      </c>
      <c r="BB35" s="27">
        <v>40.44</v>
      </c>
      <c r="BC35" s="27" t="s">
        <v>251</v>
      </c>
      <c r="BD35" s="27" t="s">
        <v>175</v>
      </c>
      <c r="BE35" s="27" t="s">
        <v>91</v>
      </c>
      <c r="BF35" s="27" t="s">
        <v>77</v>
      </c>
      <c r="BG35" s="27">
        <v>161</v>
      </c>
      <c r="BH35" s="27">
        <v>61</v>
      </c>
      <c r="BI35" s="27">
        <v>0.7252</v>
      </c>
      <c r="BJ35" s="27">
        <v>0</v>
      </c>
      <c r="BK35" s="27">
        <v>12</v>
      </c>
      <c r="BL35" s="27">
        <v>96.7</v>
      </c>
    </row>
    <row r="36" customHeight="1" spans="1:64">
      <c r="A36" s="27" t="s">
        <v>252</v>
      </c>
      <c r="B36" s="27" t="s">
        <v>253</v>
      </c>
      <c r="C36" s="27" t="s">
        <v>254</v>
      </c>
      <c r="E36" s="27" t="s">
        <v>255</v>
      </c>
      <c r="F36" s="27" t="s">
        <v>82</v>
      </c>
      <c r="G36" s="27" t="s">
        <v>83</v>
      </c>
      <c r="H36" s="27" t="s">
        <v>84</v>
      </c>
      <c r="I36" s="27" t="s">
        <v>85</v>
      </c>
      <c r="J36" s="27">
        <v>5</v>
      </c>
      <c r="K36" s="27">
        <v>325</v>
      </c>
      <c r="M36" s="27">
        <v>0</v>
      </c>
      <c r="N36" s="27">
        <v>0</v>
      </c>
      <c r="O36" s="27">
        <v>0</v>
      </c>
      <c r="P36" s="27" t="s">
        <v>71</v>
      </c>
      <c r="Q36" s="27">
        <v>5.786897</v>
      </c>
      <c r="V36" s="27" t="s">
        <v>231</v>
      </c>
      <c r="W36" s="27">
        <v>0</v>
      </c>
      <c r="X36" s="27">
        <v>0</v>
      </c>
      <c r="Y36" s="27">
        <v>0</v>
      </c>
      <c r="Z36" s="27">
        <v>0</v>
      </c>
      <c r="AA36" s="27" t="s">
        <v>125</v>
      </c>
      <c r="AB36" s="27">
        <v>0</v>
      </c>
      <c r="AC36" s="27">
        <v>0</v>
      </c>
      <c r="AD36" s="27">
        <v>0</v>
      </c>
      <c r="AE36" s="27">
        <v>0</v>
      </c>
      <c r="AF36" s="27">
        <v>0</v>
      </c>
      <c r="AG36" s="27">
        <v>0</v>
      </c>
      <c r="AH36" s="27">
        <v>0</v>
      </c>
      <c r="AI36" s="27">
        <v>0</v>
      </c>
      <c r="AJ36" s="27">
        <v>0</v>
      </c>
      <c r="AK36" s="27">
        <v>0</v>
      </c>
      <c r="AL36" s="27">
        <v>0</v>
      </c>
      <c r="AM36" s="27">
        <v>0</v>
      </c>
      <c r="AN36" s="27">
        <v>0</v>
      </c>
      <c r="AO36" s="27">
        <v>0</v>
      </c>
      <c r="AP36" s="27">
        <v>0</v>
      </c>
      <c r="AQ36" s="27">
        <v>0</v>
      </c>
      <c r="AR36" s="27">
        <v>0</v>
      </c>
      <c r="AS36" s="27">
        <v>0</v>
      </c>
      <c r="AT36" s="27">
        <v>1</v>
      </c>
      <c r="AU36" s="27">
        <v>0</v>
      </c>
      <c r="AV36" s="27">
        <v>0</v>
      </c>
      <c r="AW36" s="27">
        <v>0</v>
      </c>
      <c r="AX36" s="27">
        <v>0</v>
      </c>
      <c r="AZ36" s="27">
        <v>1</v>
      </c>
      <c r="BA36" s="27">
        <v>0</v>
      </c>
      <c r="BB36" s="27">
        <v>0</v>
      </c>
      <c r="BC36" s="27" t="s">
        <v>256</v>
      </c>
      <c r="BD36" s="27" t="s">
        <v>257</v>
      </c>
      <c r="BE36" s="27" t="s">
        <v>113</v>
      </c>
      <c r="BF36" s="27" t="s">
        <v>77</v>
      </c>
      <c r="BG36" s="27">
        <v>168</v>
      </c>
      <c r="BH36" s="27">
        <v>11</v>
      </c>
      <c r="BI36" s="27">
        <v>0.9385</v>
      </c>
      <c r="BJ36" s="27">
        <v>0</v>
      </c>
    </row>
    <row r="37" customHeight="1" spans="1:64">
      <c r="A37" s="27" t="s">
        <v>258</v>
      </c>
      <c r="B37" s="27" t="s">
        <v>125</v>
      </c>
      <c r="E37" s="27" t="s">
        <v>259</v>
      </c>
      <c r="F37" s="27" t="s">
        <v>198</v>
      </c>
      <c r="G37" s="27" t="s">
        <v>83</v>
      </c>
      <c r="H37" s="27" t="s">
        <v>138</v>
      </c>
      <c r="I37" s="27" t="s">
        <v>85</v>
      </c>
      <c r="J37" s="27">
        <v>5</v>
      </c>
      <c r="K37" s="27">
        <v>15.89</v>
      </c>
      <c r="M37" s="27">
        <v>0</v>
      </c>
      <c r="N37" s="27">
        <v>0</v>
      </c>
      <c r="O37" s="27">
        <v>0</v>
      </c>
      <c r="P37" s="27" t="s">
        <v>133</v>
      </c>
      <c r="Q37" s="27">
        <v>2.826722</v>
      </c>
      <c r="S37" s="27">
        <v>2108</v>
      </c>
      <c r="T37" s="27">
        <v>10</v>
      </c>
      <c r="U37" s="27">
        <v>0.9953</v>
      </c>
      <c r="V37" s="27" t="s">
        <v>109</v>
      </c>
      <c r="W37" s="27">
        <v>33496.12</v>
      </c>
      <c r="X37" s="27">
        <v>7.653969</v>
      </c>
      <c r="Y37" s="27">
        <v>10.419215</v>
      </c>
      <c r="Z37" s="27">
        <v>3.1623</v>
      </c>
      <c r="AA37" s="27" t="s">
        <v>125</v>
      </c>
      <c r="AB37" s="27">
        <v>1</v>
      </c>
      <c r="AC37" s="27">
        <v>0</v>
      </c>
      <c r="AD37" s="27">
        <v>0</v>
      </c>
      <c r="AE37" s="27">
        <v>0</v>
      </c>
      <c r="AF37" s="27">
        <v>0</v>
      </c>
      <c r="AG37" s="27">
        <v>0</v>
      </c>
      <c r="AH37" s="27">
        <v>1</v>
      </c>
      <c r="AI37" s="27">
        <v>0</v>
      </c>
      <c r="AJ37" s="27">
        <v>0</v>
      </c>
      <c r="AK37" s="27">
        <v>0</v>
      </c>
      <c r="AL37" s="27">
        <v>0</v>
      </c>
      <c r="AM37" s="27">
        <v>0</v>
      </c>
      <c r="AN37" s="27">
        <v>0</v>
      </c>
      <c r="AO37" s="27">
        <v>0</v>
      </c>
      <c r="AP37" s="27">
        <v>0</v>
      </c>
      <c r="AQ37" s="27">
        <v>0</v>
      </c>
      <c r="AR37" s="27">
        <v>0</v>
      </c>
      <c r="AS37" s="27">
        <v>0</v>
      </c>
      <c r="AT37" s="27">
        <v>0</v>
      </c>
      <c r="AU37" s="27">
        <v>0</v>
      </c>
      <c r="AV37" s="27">
        <v>0</v>
      </c>
      <c r="AW37" s="27">
        <v>1</v>
      </c>
      <c r="AX37" s="27">
        <v>0</v>
      </c>
      <c r="AZ37" s="27">
        <v>1</v>
      </c>
      <c r="BA37" s="27">
        <v>2</v>
      </c>
      <c r="BB37" s="27">
        <v>67.11</v>
      </c>
      <c r="BC37" s="27" t="s">
        <v>260</v>
      </c>
      <c r="BD37" s="27" t="s">
        <v>261</v>
      </c>
      <c r="BE37" s="27" t="s">
        <v>262</v>
      </c>
      <c r="BF37" s="27" t="s">
        <v>77</v>
      </c>
      <c r="BG37" s="27">
        <v>1</v>
      </c>
      <c r="BH37" s="27">
        <v>27</v>
      </c>
      <c r="BI37" s="27">
        <v>0.0357</v>
      </c>
      <c r="BJ37" s="27">
        <v>1</v>
      </c>
      <c r="BK37" s="27">
        <v>33</v>
      </c>
      <c r="BL37" s="27">
        <v>91</v>
      </c>
    </row>
    <row r="38" customHeight="1" spans="1:64">
      <c r="A38" s="27" t="s">
        <v>263</v>
      </c>
      <c r="B38" s="27" t="s">
        <v>264</v>
      </c>
      <c r="E38" s="27" t="s">
        <v>163</v>
      </c>
      <c r="F38" s="27" t="s">
        <v>82</v>
      </c>
      <c r="G38" s="27" t="s">
        <v>117</v>
      </c>
      <c r="H38" s="27" t="s">
        <v>84</v>
      </c>
      <c r="I38" s="27" t="s">
        <v>85</v>
      </c>
      <c r="J38" s="27">
        <v>5</v>
      </c>
      <c r="K38" s="27">
        <v>15.95</v>
      </c>
      <c r="M38" s="27">
        <v>0</v>
      </c>
      <c r="N38" s="27">
        <v>0</v>
      </c>
      <c r="O38" s="27">
        <v>0</v>
      </c>
      <c r="P38" s="27" t="s">
        <v>133</v>
      </c>
      <c r="Q38" s="27">
        <v>2.830268</v>
      </c>
      <c r="S38" s="27">
        <v>1</v>
      </c>
      <c r="T38" s="27">
        <v>10</v>
      </c>
      <c r="U38" s="27">
        <v>0.0909</v>
      </c>
      <c r="V38" s="27" t="s">
        <v>87</v>
      </c>
      <c r="W38" s="27">
        <v>15.95</v>
      </c>
      <c r="X38" s="27">
        <v>0.693147</v>
      </c>
      <c r="Y38" s="27">
        <v>2.830268</v>
      </c>
      <c r="Z38" s="27">
        <v>3.1623</v>
      </c>
      <c r="AA38" s="27" t="s">
        <v>125</v>
      </c>
      <c r="AB38" s="27">
        <v>0</v>
      </c>
      <c r="AC38" s="27">
        <v>0</v>
      </c>
      <c r="AD38" s="27">
        <v>0</v>
      </c>
      <c r="AE38" s="27">
        <v>0</v>
      </c>
      <c r="AF38" s="27">
        <v>0</v>
      </c>
      <c r="AG38" s="27">
        <v>0</v>
      </c>
      <c r="AH38" s="27">
        <v>0</v>
      </c>
      <c r="AI38" s="27">
        <v>0</v>
      </c>
      <c r="AJ38" s="27">
        <v>0</v>
      </c>
      <c r="AK38" s="27">
        <v>0</v>
      </c>
      <c r="AL38" s="27">
        <v>0</v>
      </c>
      <c r="AM38" s="27">
        <v>0</v>
      </c>
      <c r="AN38" s="27">
        <v>0</v>
      </c>
      <c r="AO38" s="27">
        <v>0</v>
      </c>
      <c r="AP38" s="27">
        <v>0</v>
      </c>
      <c r="AQ38" s="27">
        <v>0</v>
      </c>
      <c r="AR38" s="27">
        <v>0</v>
      </c>
      <c r="AS38" s="27">
        <v>0</v>
      </c>
      <c r="AT38" s="27">
        <v>1</v>
      </c>
      <c r="AU38" s="27">
        <v>0</v>
      </c>
      <c r="AV38" s="27">
        <v>0</v>
      </c>
      <c r="AW38" s="27">
        <v>0</v>
      </c>
      <c r="AX38" s="27">
        <v>0</v>
      </c>
      <c r="AZ38" s="27">
        <v>1</v>
      </c>
      <c r="BA38" s="27">
        <v>0</v>
      </c>
      <c r="BB38" s="27">
        <v>15.88</v>
      </c>
      <c r="BC38" s="27" t="s">
        <v>265</v>
      </c>
      <c r="BD38" s="27" t="s">
        <v>266</v>
      </c>
      <c r="BE38" s="27" t="s">
        <v>267</v>
      </c>
      <c r="BF38" s="27" t="s">
        <v>77</v>
      </c>
      <c r="BG38" s="27">
        <v>208</v>
      </c>
      <c r="BH38" s="27">
        <v>11</v>
      </c>
      <c r="BI38" s="27">
        <v>0.9498</v>
      </c>
      <c r="BJ38" s="27">
        <v>0</v>
      </c>
      <c r="BK38" s="27">
        <v>216</v>
      </c>
      <c r="BL38" s="27">
        <v>40.8</v>
      </c>
    </row>
    <row r="39" customHeight="1" spans="1:64">
      <c r="A39" s="27" t="s">
        <v>268</v>
      </c>
      <c r="B39" s="27" t="s">
        <v>269</v>
      </c>
      <c r="C39" s="27" t="s">
        <v>270</v>
      </c>
      <c r="E39" s="27" t="s">
        <v>81</v>
      </c>
      <c r="F39" s="27" t="s">
        <v>82</v>
      </c>
      <c r="G39" s="27" t="s">
        <v>83</v>
      </c>
      <c r="H39" s="27" t="s">
        <v>84</v>
      </c>
      <c r="I39" s="27" t="s">
        <v>85</v>
      </c>
      <c r="J39" s="27">
        <v>5</v>
      </c>
      <c r="K39" s="27">
        <v>139.99</v>
      </c>
      <c r="M39" s="27">
        <v>0</v>
      </c>
      <c r="N39" s="27">
        <v>0</v>
      </c>
      <c r="O39" s="27">
        <v>0</v>
      </c>
      <c r="P39" s="27" t="s">
        <v>95</v>
      </c>
      <c r="Q39" s="27">
        <v>4.948689</v>
      </c>
      <c r="S39" s="27">
        <v>100</v>
      </c>
      <c r="T39" s="27">
        <v>5</v>
      </c>
      <c r="U39" s="27">
        <v>0.9524</v>
      </c>
      <c r="V39" s="27" t="s">
        <v>72</v>
      </c>
      <c r="W39" s="27">
        <v>13999</v>
      </c>
      <c r="X39" s="27">
        <v>4.615121</v>
      </c>
      <c r="Y39" s="27">
        <v>9.546813</v>
      </c>
      <c r="Z39" s="27">
        <v>2.2361</v>
      </c>
      <c r="AA39" s="27" t="s">
        <v>88</v>
      </c>
      <c r="AB39" s="27">
        <v>0</v>
      </c>
      <c r="AC39" s="27">
        <v>0</v>
      </c>
      <c r="AD39" s="27">
        <v>0</v>
      </c>
      <c r="AE39" s="27">
        <v>1</v>
      </c>
      <c r="AF39" s="27">
        <v>1</v>
      </c>
      <c r="AG39" s="27">
        <v>0</v>
      </c>
      <c r="AH39" s="27">
        <v>1</v>
      </c>
      <c r="AI39" s="27">
        <v>0</v>
      </c>
      <c r="AJ39" s="27">
        <v>0</v>
      </c>
      <c r="AK39" s="27">
        <v>0</v>
      </c>
      <c r="AL39" s="27">
        <v>0</v>
      </c>
      <c r="AM39" s="27">
        <v>0</v>
      </c>
      <c r="AN39" s="27">
        <v>0</v>
      </c>
      <c r="AO39" s="27">
        <v>0</v>
      </c>
      <c r="AP39" s="27">
        <v>0</v>
      </c>
      <c r="AQ39" s="27">
        <v>0</v>
      </c>
      <c r="AR39" s="27">
        <v>0</v>
      </c>
      <c r="AS39" s="27">
        <v>0</v>
      </c>
      <c r="AT39" s="27">
        <v>1</v>
      </c>
      <c r="AU39" s="27">
        <v>0</v>
      </c>
      <c r="AV39" s="27">
        <v>0</v>
      </c>
      <c r="AW39" s="27">
        <v>0</v>
      </c>
      <c r="AX39" s="27">
        <v>0</v>
      </c>
      <c r="AZ39" s="27">
        <v>1</v>
      </c>
      <c r="BA39" s="27">
        <v>2</v>
      </c>
      <c r="BB39" s="27">
        <v>67.95</v>
      </c>
      <c r="BC39" s="27" t="s">
        <v>271</v>
      </c>
      <c r="BD39" s="27" t="s">
        <v>90</v>
      </c>
      <c r="BE39" s="27" t="s">
        <v>91</v>
      </c>
      <c r="BF39" s="27" t="s">
        <v>77</v>
      </c>
      <c r="BG39" s="27">
        <v>162</v>
      </c>
      <c r="BH39" s="27">
        <v>59</v>
      </c>
      <c r="BI39" s="27">
        <v>0.733</v>
      </c>
      <c r="BJ39" s="27">
        <v>0</v>
      </c>
      <c r="BK39" s="27">
        <v>2</v>
      </c>
      <c r="BL39" s="27">
        <v>99.5</v>
      </c>
    </row>
    <row r="40" customHeight="1" spans="1:64">
      <c r="A40" s="27" t="s">
        <v>272</v>
      </c>
      <c r="B40" s="27" t="s">
        <v>273</v>
      </c>
      <c r="C40" s="27" t="s">
        <v>274</v>
      </c>
      <c r="E40" s="27" t="s">
        <v>275</v>
      </c>
      <c r="F40" s="27" t="s">
        <v>276</v>
      </c>
      <c r="G40" s="27" t="s">
        <v>83</v>
      </c>
      <c r="H40" s="27" t="s">
        <v>84</v>
      </c>
      <c r="I40" s="27" t="s">
        <v>85</v>
      </c>
      <c r="J40" s="27">
        <v>5</v>
      </c>
      <c r="K40" s="27">
        <v>11.99</v>
      </c>
      <c r="M40" s="27">
        <v>0</v>
      </c>
      <c r="N40" s="27">
        <v>0</v>
      </c>
      <c r="O40" s="27">
        <v>0</v>
      </c>
      <c r="P40" s="27" t="s">
        <v>133</v>
      </c>
      <c r="Q40" s="27">
        <v>2.56418</v>
      </c>
      <c r="S40" s="27">
        <v>45</v>
      </c>
      <c r="T40" s="27">
        <v>10</v>
      </c>
      <c r="U40" s="27">
        <v>0.8182</v>
      </c>
      <c r="V40" s="27" t="s">
        <v>72</v>
      </c>
      <c r="W40" s="27">
        <v>539.55</v>
      </c>
      <c r="X40" s="27">
        <v>3.828641</v>
      </c>
      <c r="Y40" s="27">
        <v>6.292587</v>
      </c>
      <c r="Z40" s="27">
        <v>3.1623</v>
      </c>
      <c r="AA40" s="27" t="s">
        <v>125</v>
      </c>
      <c r="AB40" s="27">
        <v>0</v>
      </c>
      <c r="AC40" s="27">
        <v>0</v>
      </c>
      <c r="AD40" s="27">
        <v>0</v>
      </c>
      <c r="AE40" s="27">
        <v>0</v>
      </c>
      <c r="AF40" s="27">
        <v>0</v>
      </c>
      <c r="AG40" s="27">
        <v>0</v>
      </c>
      <c r="AH40" s="27">
        <v>0</v>
      </c>
      <c r="AI40" s="27">
        <v>0</v>
      </c>
      <c r="AJ40" s="27">
        <v>0</v>
      </c>
      <c r="AK40" s="27">
        <v>0</v>
      </c>
      <c r="AL40" s="27">
        <v>0</v>
      </c>
      <c r="AM40" s="27">
        <v>0</v>
      </c>
      <c r="AN40" s="27">
        <v>0</v>
      </c>
      <c r="AO40" s="27">
        <v>0</v>
      </c>
      <c r="AP40" s="27">
        <v>0</v>
      </c>
      <c r="AQ40" s="27">
        <v>0</v>
      </c>
      <c r="AR40" s="27">
        <v>0</v>
      </c>
      <c r="AS40" s="27">
        <v>0</v>
      </c>
      <c r="AT40" s="27">
        <v>0</v>
      </c>
      <c r="AU40" s="27">
        <v>0</v>
      </c>
      <c r="AV40" s="27">
        <v>0</v>
      </c>
      <c r="AW40" s="27">
        <v>0</v>
      </c>
      <c r="AX40" s="27">
        <v>0</v>
      </c>
      <c r="AZ40" s="27">
        <v>1</v>
      </c>
      <c r="BA40" s="27">
        <v>0</v>
      </c>
      <c r="BB40" s="27">
        <v>60.99</v>
      </c>
      <c r="BC40" s="27" t="s">
        <v>277</v>
      </c>
      <c r="BD40" s="27" t="s">
        <v>278</v>
      </c>
      <c r="BE40" s="27" t="s">
        <v>113</v>
      </c>
      <c r="BF40" s="27" t="s">
        <v>77</v>
      </c>
      <c r="BG40" s="27">
        <v>170</v>
      </c>
      <c r="BH40" s="27">
        <v>11</v>
      </c>
      <c r="BI40" s="27">
        <v>0.9392</v>
      </c>
      <c r="BJ40" s="27">
        <v>0</v>
      </c>
      <c r="BK40" s="27">
        <v>21</v>
      </c>
      <c r="BL40" s="27">
        <v>94.2</v>
      </c>
    </row>
    <row r="41" customHeight="1" spans="1:64">
      <c r="A41" s="27" t="s">
        <v>279</v>
      </c>
      <c r="B41" s="27" t="s">
        <v>280</v>
      </c>
      <c r="C41" s="27">
        <v>530119</v>
      </c>
      <c r="E41" s="27" t="s">
        <v>217</v>
      </c>
      <c r="F41" s="27" t="s">
        <v>132</v>
      </c>
      <c r="G41" s="27" t="s">
        <v>83</v>
      </c>
      <c r="H41" s="27" t="s">
        <v>84</v>
      </c>
      <c r="I41" s="27" t="s">
        <v>85</v>
      </c>
      <c r="J41" s="27">
        <v>5</v>
      </c>
      <c r="K41" s="27">
        <v>99.89</v>
      </c>
      <c r="M41" s="27">
        <v>0</v>
      </c>
      <c r="N41" s="27">
        <v>0</v>
      </c>
      <c r="O41" s="27">
        <v>0</v>
      </c>
      <c r="P41" s="27" t="s">
        <v>95</v>
      </c>
      <c r="Q41" s="27">
        <v>4.614031</v>
      </c>
      <c r="S41" s="27">
        <v>176</v>
      </c>
      <c r="T41" s="27">
        <v>10</v>
      </c>
      <c r="U41" s="27">
        <v>0.9462</v>
      </c>
      <c r="V41" s="27" t="s">
        <v>154</v>
      </c>
      <c r="W41" s="27">
        <v>17580.64</v>
      </c>
      <c r="X41" s="27">
        <v>5.17615</v>
      </c>
      <c r="Y41" s="27">
        <v>9.77461</v>
      </c>
      <c r="Z41" s="27">
        <v>3.1623</v>
      </c>
      <c r="AA41" s="27" t="s">
        <v>125</v>
      </c>
      <c r="AB41" s="27">
        <v>0</v>
      </c>
      <c r="AC41" s="27">
        <v>0</v>
      </c>
      <c r="AD41" s="27">
        <v>0</v>
      </c>
      <c r="AE41" s="27">
        <v>0</v>
      </c>
      <c r="AF41" s="27">
        <v>0</v>
      </c>
      <c r="AG41" s="27">
        <v>0</v>
      </c>
      <c r="AH41" s="27">
        <v>0</v>
      </c>
      <c r="AI41" s="27">
        <v>0</v>
      </c>
      <c r="AJ41" s="27">
        <v>0</v>
      </c>
      <c r="AK41" s="27">
        <v>0</v>
      </c>
      <c r="AL41" s="27">
        <v>0</v>
      </c>
      <c r="AM41" s="27">
        <v>0</v>
      </c>
      <c r="AN41" s="27">
        <v>0</v>
      </c>
      <c r="AO41" s="27">
        <v>0</v>
      </c>
      <c r="AP41" s="27">
        <v>0</v>
      </c>
      <c r="AQ41" s="27">
        <v>0</v>
      </c>
      <c r="AR41" s="27">
        <v>0</v>
      </c>
      <c r="AS41" s="27">
        <v>0</v>
      </c>
      <c r="AT41" s="27">
        <v>0</v>
      </c>
      <c r="AU41" s="27">
        <v>0</v>
      </c>
      <c r="AV41" s="27">
        <v>0</v>
      </c>
      <c r="AW41" s="27">
        <v>1</v>
      </c>
      <c r="AX41" s="27">
        <v>0</v>
      </c>
      <c r="AZ41" s="27">
        <v>1</v>
      </c>
      <c r="BA41" s="27">
        <v>0</v>
      </c>
      <c r="BB41" s="27">
        <v>56.27</v>
      </c>
      <c r="BC41" s="27" t="s">
        <v>134</v>
      </c>
      <c r="BD41" s="27" t="s">
        <v>135</v>
      </c>
      <c r="BE41" s="27" t="s">
        <v>150</v>
      </c>
      <c r="BF41" s="27" t="s">
        <v>77</v>
      </c>
      <c r="BG41" s="27">
        <v>208</v>
      </c>
      <c r="BH41" s="27">
        <v>11</v>
      </c>
      <c r="BI41" s="27">
        <v>0.9498</v>
      </c>
      <c r="BJ41" s="27">
        <v>0</v>
      </c>
      <c r="BK41" s="27">
        <v>141</v>
      </c>
      <c r="BL41" s="27">
        <v>61.4</v>
      </c>
    </row>
    <row r="42" customHeight="1" spans="1:64">
      <c r="A42" s="27" t="s">
        <v>281</v>
      </c>
      <c r="B42" s="27" t="s">
        <v>282</v>
      </c>
      <c r="C42" s="27" t="s">
        <v>283</v>
      </c>
      <c r="E42" s="27" t="s">
        <v>284</v>
      </c>
      <c r="F42" s="27" t="s">
        <v>132</v>
      </c>
      <c r="G42" s="27" t="s">
        <v>83</v>
      </c>
      <c r="H42" s="27" t="s">
        <v>84</v>
      </c>
      <c r="I42" s="27" t="s">
        <v>85</v>
      </c>
      <c r="J42" s="27">
        <v>5</v>
      </c>
      <c r="K42" s="27">
        <v>12.99</v>
      </c>
      <c r="M42" s="27">
        <v>0</v>
      </c>
      <c r="N42" s="27">
        <v>0</v>
      </c>
      <c r="O42" s="27">
        <v>0</v>
      </c>
      <c r="P42" s="27" t="s">
        <v>133</v>
      </c>
      <c r="Q42" s="27">
        <v>2.638343</v>
      </c>
      <c r="S42" s="27">
        <v>785</v>
      </c>
      <c r="T42" s="27">
        <v>10</v>
      </c>
      <c r="U42" s="27">
        <v>0.9874</v>
      </c>
      <c r="V42" s="27" t="s">
        <v>154</v>
      </c>
      <c r="W42" s="27">
        <v>10197.15</v>
      </c>
      <c r="X42" s="27">
        <v>6.666957</v>
      </c>
      <c r="Y42" s="27">
        <v>9.229962</v>
      </c>
      <c r="Z42" s="27">
        <v>3.1623</v>
      </c>
      <c r="AA42" s="27" t="s">
        <v>125</v>
      </c>
      <c r="AB42" s="27">
        <v>0</v>
      </c>
      <c r="AC42" s="27">
        <v>0</v>
      </c>
      <c r="AD42" s="27">
        <v>0</v>
      </c>
      <c r="AE42" s="27">
        <v>0</v>
      </c>
      <c r="AF42" s="27">
        <v>0</v>
      </c>
      <c r="AG42" s="27">
        <v>0</v>
      </c>
      <c r="AH42" s="27">
        <v>0</v>
      </c>
      <c r="AI42" s="27">
        <v>0</v>
      </c>
      <c r="AJ42" s="27">
        <v>0</v>
      </c>
      <c r="AK42" s="27">
        <v>0</v>
      </c>
      <c r="AL42" s="27">
        <v>0</v>
      </c>
      <c r="AM42" s="27">
        <v>0</v>
      </c>
      <c r="AN42" s="27">
        <v>0</v>
      </c>
      <c r="AO42" s="27">
        <v>0</v>
      </c>
      <c r="AP42" s="27">
        <v>0</v>
      </c>
      <c r="AQ42" s="27">
        <v>0</v>
      </c>
      <c r="AR42" s="27">
        <v>0</v>
      </c>
      <c r="AS42" s="27">
        <v>0</v>
      </c>
      <c r="AT42" s="27">
        <v>0</v>
      </c>
      <c r="AU42" s="27">
        <v>0</v>
      </c>
      <c r="AV42" s="27">
        <v>0</v>
      </c>
      <c r="AW42" s="27">
        <v>0</v>
      </c>
      <c r="AX42" s="27">
        <v>0</v>
      </c>
      <c r="AZ42" s="27">
        <v>1</v>
      </c>
      <c r="BA42" s="27">
        <v>0</v>
      </c>
      <c r="BB42" s="27">
        <v>69.26</v>
      </c>
      <c r="BC42" s="27" t="s">
        <v>285</v>
      </c>
      <c r="BD42" s="27" t="s">
        <v>286</v>
      </c>
      <c r="BE42" s="27" t="s">
        <v>287</v>
      </c>
      <c r="BF42" s="27" t="s">
        <v>77</v>
      </c>
      <c r="BG42" s="27">
        <v>1</v>
      </c>
      <c r="BH42" s="27">
        <v>20</v>
      </c>
      <c r="BI42" s="27">
        <v>0.0476</v>
      </c>
      <c r="BJ42" s="27">
        <v>1</v>
      </c>
      <c r="BK42" s="27">
        <v>3</v>
      </c>
      <c r="BL42" s="27">
        <v>99.2</v>
      </c>
    </row>
    <row r="43" customHeight="1" spans="1:64">
      <c r="A43" s="27" t="s">
        <v>288</v>
      </c>
      <c r="B43" s="27" t="s">
        <v>171</v>
      </c>
      <c r="C43" s="27" t="s">
        <v>289</v>
      </c>
      <c r="E43" s="27" t="s">
        <v>290</v>
      </c>
      <c r="F43" s="27" t="s">
        <v>160</v>
      </c>
      <c r="G43" s="27" t="s">
        <v>83</v>
      </c>
      <c r="H43" s="27" t="s">
        <v>84</v>
      </c>
      <c r="I43" s="27" t="s">
        <v>85</v>
      </c>
      <c r="J43" s="27">
        <v>5</v>
      </c>
      <c r="K43" s="27">
        <v>205.39</v>
      </c>
      <c r="M43" s="27">
        <v>0</v>
      </c>
      <c r="N43" s="27">
        <v>0</v>
      </c>
      <c r="O43" s="27">
        <v>0</v>
      </c>
      <c r="P43" s="27" t="s">
        <v>71</v>
      </c>
      <c r="Q43" s="27">
        <v>5.329768</v>
      </c>
      <c r="R43" s="27">
        <v>25.67</v>
      </c>
      <c r="S43" s="27">
        <v>544</v>
      </c>
      <c r="T43" s="27">
        <v>100</v>
      </c>
      <c r="U43" s="27">
        <v>0.8447</v>
      </c>
      <c r="V43" s="27" t="s">
        <v>154</v>
      </c>
      <c r="W43" s="27">
        <v>111732.16</v>
      </c>
      <c r="X43" s="27">
        <v>6.300786</v>
      </c>
      <c r="Y43" s="27">
        <v>11.623869</v>
      </c>
      <c r="Z43" s="27">
        <v>10</v>
      </c>
      <c r="AA43" s="27" t="s">
        <v>291</v>
      </c>
      <c r="AB43" s="27">
        <v>0</v>
      </c>
      <c r="AC43" s="27">
        <v>0</v>
      </c>
      <c r="AD43" s="27">
        <v>0</v>
      </c>
      <c r="AE43" s="27">
        <v>0</v>
      </c>
      <c r="AF43" s="27">
        <v>0</v>
      </c>
      <c r="AG43" s="27">
        <v>1</v>
      </c>
      <c r="AH43" s="27">
        <v>0</v>
      </c>
      <c r="AI43" s="27">
        <v>1</v>
      </c>
      <c r="AJ43" s="27">
        <v>0</v>
      </c>
      <c r="AK43" s="27">
        <v>0</v>
      </c>
      <c r="AL43" s="27">
        <v>0</v>
      </c>
      <c r="AM43" s="27">
        <v>0</v>
      </c>
      <c r="AN43" s="27">
        <v>0</v>
      </c>
      <c r="AO43" s="27">
        <v>0</v>
      </c>
      <c r="AP43" s="27">
        <v>0</v>
      </c>
      <c r="AQ43" s="27">
        <v>1</v>
      </c>
      <c r="AR43" s="27">
        <v>0</v>
      </c>
      <c r="AS43" s="27">
        <v>0</v>
      </c>
      <c r="AT43" s="27">
        <v>0</v>
      </c>
      <c r="AU43" s="27">
        <v>0</v>
      </c>
      <c r="AV43" s="27">
        <v>1</v>
      </c>
      <c r="AW43" s="27">
        <v>1</v>
      </c>
      <c r="AX43" s="27">
        <v>0</v>
      </c>
      <c r="AY43" s="27">
        <v>8</v>
      </c>
      <c r="AZ43" s="27">
        <v>1</v>
      </c>
      <c r="BA43" s="27">
        <v>1</v>
      </c>
      <c r="BB43" s="27">
        <v>63.31</v>
      </c>
      <c r="BC43" s="27" t="s">
        <v>251</v>
      </c>
      <c r="BD43" s="27" t="s">
        <v>175</v>
      </c>
      <c r="BE43" s="27" t="s">
        <v>91</v>
      </c>
      <c r="BF43" s="27" t="s">
        <v>77</v>
      </c>
      <c r="BG43" s="27">
        <v>161</v>
      </c>
      <c r="BH43" s="27">
        <v>61</v>
      </c>
      <c r="BI43" s="27">
        <v>0.7252</v>
      </c>
      <c r="BJ43" s="27">
        <v>0</v>
      </c>
      <c r="BK43" s="27">
        <v>6</v>
      </c>
      <c r="BL43" s="27">
        <v>98.4</v>
      </c>
    </row>
    <row r="44" customHeight="1" spans="1:64">
      <c r="A44" s="27" t="s">
        <v>292</v>
      </c>
      <c r="B44" s="27" t="s">
        <v>293</v>
      </c>
      <c r="E44" s="27" t="s">
        <v>294</v>
      </c>
      <c r="F44" s="27" t="s">
        <v>198</v>
      </c>
      <c r="G44" s="27" t="s">
        <v>83</v>
      </c>
      <c r="H44" s="27" t="s">
        <v>84</v>
      </c>
      <c r="I44" s="27" t="s">
        <v>85</v>
      </c>
      <c r="J44" s="27">
        <v>5</v>
      </c>
      <c r="K44" s="27">
        <v>49.99</v>
      </c>
      <c r="M44" s="27">
        <v>0</v>
      </c>
      <c r="N44" s="27">
        <v>0</v>
      </c>
      <c r="O44" s="27">
        <v>0</v>
      </c>
      <c r="P44" s="27" t="s">
        <v>86</v>
      </c>
      <c r="Q44" s="27">
        <v>3.93163</v>
      </c>
      <c r="S44" s="27">
        <v>205</v>
      </c>
      <c r="T44" s="27">
        <v>45</v>
      </c>
      <c r="U44" s="27">
        <v>0.82</v>
      </c>
      <c r="V44" s="27" t="s">
        <v>154</v>
      </c>
      <c r="W44" s="27">
        <v>10247.95</v>
      </c>
      <c r="X44" s="27">
        <v>5.327876</v>
      </c>
      <c r="Y44" s="27">
        <v>9.234931</v>
      </c>
      <c r="Z44" s="27">
        <v>6.7082</v>
      </c>
      <c r="AA44" s="27" t="s">
        <v>125</v>
      </c>
      <c r="AB44" s="27">
        <v>0</v>
      </c>
      <c r="AC44" s="27">
        <v>0</v>
      </c>
      <c r="AD44" s="27">
        <v>0</v>
      </c>
      <c r="AE44" s="27">
        <v>0</v>
      </c>
      <c r="AF44" s="27">
        <v>0</v>
      </c>
      <c r="AG44" s="27">
        <v>0</v>
      </c>
      <c r="AH44" s="27">
        <v>1</v>
      </c>
      <c r="AI44" s="27">
        <v>0</v>
      </c>
      <c r="AJ44" s="27">
        <v>0</v>
      </c>
      <c r="AK44" s="27">
        <v>0</v>
      </c>
      <c r="AL44" s="27">
        <v>0</v>
      </c>
      <c r="AM44" s="27">
        <v>0</v>
      </c>
      <c r="AN44" s="27">
        <v>0</v>
      </c>
      <c r="AO44" s="27">
        <v>0</v>
      </c>
      <c r="AP44" s="27">
        <v>0</v>
      </c>
      <c r="AQ44" s="27">
        <v>0</v>
      </c>
      <c r="AR44" s="27">
        <v>0</v>
      </c>
      <c r="AS44" s="27">
        <v>0</v>
      </c>
      <c r="AT44" s="27">
        <v>0</v>
      </c>
      <c r="AU44" s="27">
        <v>0</v>
      </c>
      <c r="AV44" s="27">
        <v>0</v>
      </c>
      <c r="AW44" s="27">
        <v>0</v>
      </c>
      <c r="AX44" s="27">
        <v>0</v>
      </c>
      <c r="AZ44" s="27">
        <v>1</v>
      </c>
      <c r="BA44" s="27">
        <v>1</v>
      </c>
      <c r="BB44" s="27">
        <v>60.91</v>
      </c>
      <c r="BC44" s="27" t="s">
        <v>295</v>
      </c>
      <c r="BD44" s="27" t="s">
        <v>97</v>
      </c>
      <c r="BE44" s="27" t="s">
        <v>76</v>
      </c>
      <c r="BF44" s="27" t="s">
        <v>77</v>
      </c>
      <c r="BG44" s="27">
        <v>168</v>
      </c>
      <c r="BH44" s="27">
        <v>18</v>
      </c>
      <c r="BI44" s="27">
        <v>0.9032</v>
      </c>
      <c r="BJ44" s="27">
        <v>0</v>
      </c>
      <c r="BK44" s="27">
        <v>23</v>
      </c>
      <c r="BL44" s="27">
        <v>93.7</v>
      </c>
    </row>
    <row r="45" customHeight="1" spans="1:64">
      <c r="A45" s="27" t="s">
        <v>296</v>
      </c>
      <c r="B45" s="27" t="s">
        <v>297</v>
      </c>
      <c r="D45" s="27">
        <v>6901425854312</v>
      </c>
      <c r="E45" s="27" t="s">
        <v>298</v>
      </c>
      <c r="F45" s="27" t="s">
        <v>160</v>
      </c>
      <c r="G45" s="27" t="s">
        <v>83</v>
      </c>
      <c r="H45" s="27" t="s">
        <v>84</v>
      </c>
      <c r="I45" s="27" t="s">
        <v>85</v>
      </c>
      <c r="J45" s="27">
        <v>5</v>
      </c>
      <c r="K45" s="27">
        <v>229.49</v>
      </c>
      <c r="M45" s="27">
        <v>0</v>
      </c>
      <c r="N45" s="27">
        <v>0</v>
      </c>
      <c r="O45" s="27">
        <v>0</v>
      </c>
      <c r="P45" s="27" t="s">
        <v>71</v>
      </c>
      <c r="Q45" s="27">
        <v>5.440207</v>
      </c>
      <c r="R45" s="27">
        <v>22.95</v>
      </c>
      <c r="T45" s="27">
        <v>5</v>
      </c>
      <c r="U45" s="27">
        <v>0</v>
      </c>
      <c r="V45" s="27" t="s">
        <v>231</v>
      </c>
      <c r="W45" s="27">
        <v>0</v>
      </c>
      <c r="X45" s="27">
        <v>0</v>
      </c>
      <c r="Y45" s="27">
        <v>0</v>
      </c>
      <c r="Z45" s="27">
        <v>2.2361</v>
      </c>
      <c r="AA45" s="27" t="s">
        <v>110</v>
      </c>
      <c r="AB45" s="27">
        <v>0</v>
      </c>
      <c r="AC45" s="27">
        <v>0</v>
      </c>
      <c r="AD45" s="27">
        <v>0</v>
      </c>
      <c r="AE45" s="27">
        <v>0</v>
      </c>
      <c r="AF45" s="27">
        <v>0</v>
      </c>
      <c r="AG45" s="27">
        <v>0</v>
      </c>
      <c r="AH45" s="27">
        <v>1</v>
      </c>
      <c r="AI45" s="27">
        <v>0</v>
      </c>
      <c r="AJ45" s="27">
        <v>0</v>
      </c>
      <c r="AK45" s="27">
        <v>0</v>
      </c>
      <c r="AL45" s="27">
        <v>0</v>
      </c>
      <c r="AM45" s="27">
        <v>0</v>
      </c>
      <c r="AN45" s="27">
        <v>0</v>
      </c>
      <c r="AO45" s="27">
        <v>0</v>
      </c>
      <c r="AP45" s="27">
        <v>0</v>
      </c>
      <c r="AQ45" s="27">
        <v>1</v>
      </c>
      <c r="AR45" s="27">
        <v>0</v>
      </c>
      <c r="AS45" s="27">
        <v>0</v>
      </c>
      <c r="AT45" s="27">
        <v>0</v>
      </c>
      <c r="AU45" s="27">
        <v>0</v>
      </c>
      <c r="AV45" s="27">
        <v>1</v>
      </c>
      <c r="AW45" s="27">
        <v>0</v>
      </c>
      <c r="AX45" s="27">
        <v>0</v>
      </c>
      <c r="AY45" s="27">
        <v>10</v>
      </c>
      <c r="AZ45" s="27">
        <v>8</v>
      </c>
      <c r="BA45" s="27">
        <v>2</v>
      </c>
      <c r="BB45" s="27">
        <v>28.02</v>
      </c>
      <c r="BC45" s="27" t="s">
        <v>299</v>
      </c>
      <c r="BD45" s="27" t="s">
        <v>169</v>
      </c>
      <c r="BE45" s="27" t="s">
        <v>113</v>
      </c>
      <c r="BF45" s="27" t="s">
        <v>77</v>
      </c>
      <c r="BG45" s="27">
        <v>161</v>
      </c>
      <c r="BH45" s="27">
        <v>50</v>
      </c>
      <c r="BI45" s="27">
        <v>0.763</v>
      </c>
      <c r="BJ45" s="27">
        <v>0</v>
      </c>
      <c r="BK45" s="27">
        <v>24</v>
      </c>
      <c r="BL45" s="27">
        <v>93.4</v>
      </c>
    </row>
    <row r="46" customHeight="1" spans="1:64">
      <c r="A46" s="27" t="s">
        <v>300</v>
      </c>
      <c r="B46" s="27" t="s">
        <v>301</v>
      </c>
      <c r="E46" s="27" t="s">
        <v>302</v>
      </c>
      <c r="F46" s="27" t="s">
        <v>240</v>
      </c>
      <c r="G46" s="27" t="s">
        <v>83</v>
      </c>
      <c r="H46" s="27" t="s">
        <v>84</v>
      </c>
      <c r="I46" s="27" t="s">
        <v>153</v>
      </c>
      <c r="J46" s="27">
        <v>2</v>
      </c>
      <c r="K46" s="27">
        <v>85</v>
      </c>
      <c r="M46" s="27">
        <v>0</v>
      </c>
      <c r="N46" s="27">
        <v>0</v>
      </c>
      <c r="O46" s="27">
        <v>0</v>
      </c>
      <c r="P46" s="27" t="s">
        <v>95</v>
      </c>
      <c r="Q46" s="27">
        <v>4.454347</v>
      </c>
      <c r="R46" s="27">
        <v>10.62</v>
      </c>
      <c r="V46" s="27" t="s">
        <v>231</v>
      </c>
      <c r="W46" s="27">
        <v>0</v>
      </c>
      <c r="X46" s="27">
        <v>0</v>
      </c>
      <c r="Y46" s="27">
        <v>0</v>
      </c>
      <c r="Z46" s="27">
        <v>0</v>
      </c>
      <c r="AA46" s="27" t="s">
        <v>125</v>
      </c>
      <c r="AB46" s="27">
        <v>0</v>
      </c>
      <c r="AC46" s="27">
        <v>0</v>
      </c>
      <c r="AD46" s="27">
        <v>0</v>
      </c>
      <c r="AE46" s="27">
        <v>0</v>
      </c>
      <c r="AF46" s="27">
        <v>0</v>
      </c>
      <c r="AG46" s="27">
        <v>0</v>
      </c>
      <c r="AH46" s="27">
        <v>0</v>
      </c>
      <c r="AI46" s="27">
        <v>0</v>
      </c>
      <c r="AJ46" s="27">
        <v>0</v>
      </c>
      <c r="AK46" s="27">
        <v>0</v>
      </c>
      <c r="AL46" s="27">
        <v>0</v>
      </c>
      <c r="AM46" s="27">
        <v>0</v>
      </c>
      <c r="AN46" s="27">
        <v>0</v>
      </c>
      <c r="AO46" s="27">
        <v>0</v>
      </c>
      <c r="AP46" s="27">
        <v>0</v>
      </c>
      <c r="AQ46" s="27">
        <v>1</v>
      </c>
      <c r="AR46" s="27">
        <v>0</v>
      </c>
      <c r="AS46" s="27">
        <v>0</v>
      </c>
      <c r="AT46" s="27">
        <v>0</v>
      </c>
      <c r="AU46" s="27">
        <v>0</v>
      </c>
      <c r="AV46" s="27">
        <v>1</v>
      </c>
      <c r="AW46" s="27">
        <v>1</v>
      </c>
      <c r="AX46" s="27">
        <v>0</v>
      </c>
      <c r="AY46" s="27">
        <v>8</v>
      </c>
      <c r="AZ46" s="27">
        <v>1</v>
      </c>
      <c r="BA46" s="27">
        <v>1</v>
      </c>
      <c r="BB46" s="27">
        <v>5.76</v>
      </c>
      <c r="BC46" s="27" t="s">
        <v>303</v>
      </c>
      <c r="BD46" s="27" t="s">
        <v>304</v>
      </c>
      <c r="BE46" s="27" t="s">
        <v>128</v>
      </c>
      <c r="BF46" s="27" t="s">
        <v>77</v>
      </c>
      <c r="BG46" s="27">
        <v>46</v>
      </c>
      <c r="BH46" s="27">
        <v>11</v>
      </c>
      <c r="BI46" s="27">
        <v>0.807</v>
      </c>
      <c r="BJ46" s="27">
        <v>0</v>
      </c>
      <c r="BK46" s="27">
        <v>295</v>
      </c>
      <c r="BL46" s="27">
        <v>19.2</v>
      </c>
    </row>
    <row r="47" customHeight="1" spans="1:64">
      <c r="A47" s="27" t="s">
        <v>305</v>
      </c>
      <c r="B47" s="27" t="s">
        <v>104</v>
      </c>
      <c r="C47" s="27" t="s">
        <v>306</v>
      </c>
      <c r="E47" s="27" t="s">
        <v>209</v>
      </c>
      <c r="F47" s="27" t="s">
        <v>160</v>
      </c>
      <c r="G47" s="27" t="s">
        <v>106</v>
      </c>
      <c r="H47" s="27" t="s">
        <v>107</v>
      </c>
      <c r="I47" s="27" t="s">
        <v>85</v>
      </c>
      <c r="J47" s="27">
        <v>5</v>
      </c>
      <c r="K47" s="27">
        <v>149.99</v>
      </c>
      <c r="M47" s="27">
        <v>0</v>
      </c>
      <c r="N47" s="27">
        <v>0</v>
      </c>
      <c r="O47" s="27">
        <v>0</v>
      </c>
      <c r="P47" s="27" t="s">
        <v>95</v>
      </c>
      <c r="Q47" s="27">
        <v>5.017214</v>
      </c>
      <c r="S47" s="27">
        <v>185</v>
      </c>
      <c r="T47" s="27">
        <v>10</v>
      </c>
      <c r="U47" s="27">
        <v>0.9487</v>
      </c>
      <c r="V47" s="27" t="s">
        <v>154</v>
      </c>
      <c r="W47" s="27">
        <v>27748.15</v>
      </c>
      <c r="X47" s="27">
        <v>5.225747</v>
      </c>
      <c r="Y47" s="27">
        <v>10.23096</v>
      </c>
      <c r="Z47" s="27">
        <v>3.1623</v>
      </c>
      <c r="AA47" s="27" t="s">
        <v>139</v>
      </c>
      <c r="AB47" s="27">
        <v>0</v>
      </c>
      <c r="AC47" s="27">
        <v>0</v>
      </c>
      <c r="AD47" s="27">
        <v>0</v>
      </c>
      <c r="AE47" s="27">
        <v>0</v>
      </c>
      <c r="AF47" s="27">
        <v>1</v>
      </c>
      <c r="AG47" s="27">
        <v>0</v>
      </c>
      <c r="AH47" s="27">
        <v>1</v>
      </c>
      <c r="AI47" s="27">
        <v>0</v>
      </c>
      <c r="AJ47" s="27">
        <v>0</v>
      </c>
      <c r="AK47" s="27">
        <v>0</v>
      </c>
      <c r="AL47" s="27">
        <v>0</v>
      </c>
      <c r="AM47" s="27">
        <v>0</v>
      </c>
      <c r="AN47" s="27">
        <v>0</v>
      </c>
      <c r="AO47" s="27">
        <v>1</v>
      </c>
      <c r="AP47" s="27">
        <v>0</v>
      </c>
      <c r="AQ47" s="27">
        <v>0</v>
      </c>
      <c r="AR47" s="27">
        <v>0</v>
      </c>
      <c r="AS47" s="27">
        <v>0</v>
      </c>
      <c r="AT47" s="27">
        <v>0</v>
      </c>
      <c r="AU47" s="27">
        <v>0</v>
      </c>
      <c r="AV47" s="27">
        <v>0</v>
      </c>
      <c r="AW47" s="27">
        <v>1</v>
      </c>
      <c r="AX47" s="27">
        <v>0</v>
      </c>
      <c r="AZ47" s="27">
        <v>1</v>
      </c>
      <c r="BA47" s="27">
        <v>2</v>
      </c>
      <c r="BB47" s="27">
        <v>67.8</v>
      </c>
      <c r="BC47" s="27" t="s">
        <v>161</v>
      </c>
      <c r="BD47" s="27" t="s">
        <v>112</v>
      </c>
      <c r="BE47" s="27" t="s">
        <v>113</v>
      </c>
      <c r="BF47" s="27" t="s">
        <v>77</v>
      </c>
      <c r="BG47" s="27">
        <v>147</v>
      </c>
      <c r="BH47" s="27">
        <v>39</v>
      </c>
      <c r="BI47" s="27">
        <v>0.7903</v>
      </c>
      <c r="BJ47" s="27">
        <v>0</v>
      </c>
      <c r="BK47" s="27">
        <v>2</v>
      </c>
      <c r="BL47" s="27">
        <v>99.5</v>
      </c>
    </row>
    <row r="48" customHeight="1" spans="1:64">
      <c r="A48" s="27" t="s">
        <v>307</v>
      </c>
      <c r="B48" s="27" t="s">
        <v>125</v>
      </c>
      <c r="E48" s="27" t="s">
        <v>308</v>
      </c>
      <c r="F48" s="27" t="s">
        <v>160</v>
      </c>
      <c r="G48" s="27" t="s">
        <v>83</v>
      </c>
      <c r="H48" s="27" t="s">
        <v>138</v>
      </c>
      <c r="I48" s="27" t="s">
        <v>85</v>
      </c>
      <c r="J48" s="27">
        <v>5</v>
      </c>
      <c r="K48" s="27">
        <v>69.99</v>
      </c>
      <c r="L48" s="27">
        <v>111.1</v>
      </c>
      <c r="M48" s="27">
        <v>37</v>
      </c>
      <c r="N48" s="27">
        <v>41.11</v>
      </c>
      <c r="O48" s="27">
        <v>1</v>
      </c>
      <c r="P48" s="27" t="s">
        <v>86</v>
      </c>
      <c r="Q48" s="27">
        <v>4.262539</v>
      </c>
      <c r="R48" s="27">
        <v>17.5</v>
      </c>
      <c r="S48" s="27">
        <v>11</v>
      </c>
      <c r="T48" s="27">
        <v>2</v>
      </c>
      <c r="U48" s="27">
        <v>0.8462</v>
      </c>
      <c r="V48" s="27" t="s">
        <v>72</v>
      </c>
      <c r="W48" s="27">
        <v>769.89</v>
      </c>
      <c r="X48" s="27">
        <v>2.484907</v>
      </c>
      <c r="Y48" s="27">
        <v>6.647546</v>
      </c>
      <c r="Z48" s="27">
        <v>1.4142</v>
      </c>
      <c r="AA48" s="27" t="s">
        <v>88</v>
      </c>
      <c r="AB48" s="27">
        <v>0</v>
      </c>
      <c r="AC48" s="27">
        <v>0</v>
      </c>
      <c r="AD48" s="27">
        <v>0</v>
      </c>
      <c r="AE48" s="27">
        <v>0</v>
      </c>
      <c r="AF48" s="27">
        <v>0</v>
      </c>
      <c r="AG48" s="27">
        <v>1</v>
      </c>
      <c r="AH48" s="27">
        <v>0</v>
      </c>
      <c r="AI48" s="27">
        <v>1</v>
      </c>
      <c r="AJ48" s="27">
        <v>0</v>
      </c>
      <c r="AK48" s="27">
        <v>0</v>
      </c>
      <c r="AL48" s="27">
        <v>0</v>
      </c>
      <c r="AM48" s="27">
        <v>0</v>
      </c>
      <c r="AN48" s="27">
        <v>0</v>
      </c>
      <c r="AO48" s="27">
        <v>0</v>
      </c>
      <c r="AP48" s="27">
        <v>0</v>
      </c>
      <c r="AQ48" s="27">
        <v>1</v>
      </c>
      <c r="AR48" s="27">
        <v>0</v>
      </c>
      <c r="AS48" s="27">
        <v>0</v>
      </c>
      <c r="AT48" s="27">
        <v>1</v>
      </c>
      <c r="AU48" s="27">
        <v>0</v>
      </c>
      <c r="AV48" s="27">
        <v>1</v>
      </c>
      <c r="AW48" s="27">
        <v>1</v>
      </c>
      <c r="AX48" s="27">
        <v>0</v>
      </c>
      <c r="AY48" s="27">
        <v>4</v>
      </c>
      <c r="AZ48" s="27">
        <v>4</v>
      </c>
      <c r="BA48" s="27">
        <v>1</v>
      </c>
      <c r="BB48" s="27">
        <v>74.8</v>
      </c>
      <c r="BC48" s="27" t="s">
        <v>309</v>
      </c>
      <c r="BD48" s="27" t="s">
        <v>97</v>
      </c>
      <c r="BE48" s="27" t="s">
        <v>98</v>
      </c>
      <c r="BF48" s="27" t="s">
        <v>77</v>
      </c>
      <c r="BG48" s="27">
        <v>1</v>
      </c>
      <c r="BH48" s="27">
        <v>28</v>
      </c>
      <c r="BI48" s="27">
        <v>0.0345</v>
      </c>
      <c r="BJ48" s="27">
        <v>1</v>
      </c>
      <c r="BK48" s="27">
        <v>2</v>
      </c>
      <c r="BL48" s="27">
        <v>99.5</v>
      </c>
    </row>
    <row r="49" customHeight="1" spans="1:64">
      <c r="A49" s="27" t="s">
        <v>310</v>
      </c>
      <c r="B49" s="27" t="s">
        <v>311</v>
      </c>
      <c r="E49" s="27" t="s">
        <v>312</v>
      </c>
      <c r="F49" s="27" t="s">
        <v>240</v>
      </c>
      <c r="G49" s="27" t="s">
        <v>83</v>
      </c>
      <c r="H49" s="27" t="s">
        <v>84</v>
      </c>
      <c r="I49" s="27" t="s">
        <v>85</v>
      </c>
      <c r="J49" s="27">
        <v>5</v>
      </c>
      <c r="K49" s="27">
        <v>79.11</v>
      </c>
      <c r="M49" s="27">
        <v>0</v>
      </c>
      <c r="N49" s="27">
        <v>0</v>
      </c>
      <c r="O49" s="27">
        <v>0</v>
      </c>
      <c r="P49" s="27" t="s">
        <v>95</v>
      </c>
      <c r="Q49" s="27">
        <v>4.383401</v>
      </c>
      <c r="R49" s="27">
        <v>9.89</v>
      </c>
      <c r="S49" s="27">
        <v>34</v>
      </c>
      <c r="T49" s="27">
        <v>9</v>
      </c>
      <c r="U49" s="27">
        <v>0.7907</v>
      </c>
      <c r="V49" s="27" t="s">
        <v>72</v>
      </c>
      <c r="W49" s="27">
        <v>2689.74</v>
      </c>
      <c r="X49" s="27">
        <v>3.555348</v>
      </c>
      <c r="Y49" s="27">
        <v>7.897572</v>
      </c>
      <c r="Z49" s="27">
        <v>3</v>
      </c>
      <c r="AA49" s="27" t="s">
        <v>313</v>
      </c>
      <c r="AB49" s="27">
        <v>0</v>
      </c>
      <c r="AC49" s="27">
        <v>0</v>
      </c>
      <c r="AD49" s="27">
        <v>0</v>
      </c>
      <c r="AE49" s="27">
        <v>0</v>
      </c>
      <c r="AF49" s="27">
        <v>0</v>
      </c>
      <c r="AG49" s="27">
        <v>0</v>
      </c>
      <c r="AH49" s="27">
        <v>0</v>
      </c>
      <c r="AI49" s="27">
        <v>0</v>
      </c>
      <c r="AJ49" s="27">
        <v>0</v>
      </c>
      <c r="AK49" s="27">
        <v>0</v>
      </c>
      <c r="AL49" s="27">
        <v>0</v>
      </c>
      <c r="AM49" s="27">
        <v>0</v>
      </c>
      <c r="AN49" s="27">
        <v>0</v>
      </c>
      <c r="AO49" s="27">
        <v>0</v>
      </c>
      <c r="AP49" s="27">
        <v>0</v>
      </c>
      <c r="AQ49" s="27">
        <v>1</v>
      </c>
      <c r="AR49" s="27">
        <v>0</v>
      </c>
      <c r="AS49" s="27">
        <v>0</v>
      </c>
      <c r="AT49" s="27">
        <v>0</v>
      </c>
      <c r="AU49" s="27">
        <v>0</v>
      </c>
      <c r="AV49" s="27">
        <v>1</v>
      </c>
      <c r="AW49" s="27">
        <v>1</v>
      </c>
      <c r="AX49" s="27">
        <v>0</v>
      </c>
      <c r="AY49" s="27">
        <v>8</v>
      </c>
      <c r="AZ49" s="27">
        <v>1</v>
      </c>
      <c r="BA49" s="27">
        <v>1</v>
      </c>
      <c r="BB49" s="27">
        <v>60.97</v>
      </c>
      <c r="BC49" s="27" t="s">
        <v>314</v>
      </c>
      <c r="BD49" s="27" t="s">
        <v>91</v>
      </c>
      <c r="BE49" s="27" t="s">
        <v>77</v>
      </c>
      <c r="BF49" s="27" t="s">
        <v>77</v>
      </c>
      <c r="BG49" s="27">
        <v>1</v>
      </c>
      <c r="BH49" s="27">
        <v>28</v>
      </c>
      <c r="BI49" s="27">
        <v>0.0345</v>
      </c>
      <c r="BJ49" s="27">
        <v>1</v>
      </c>
      <c r="BK49" s="27">
        <v>8</v>
      </c>
      <c r="BL49" s="27">
        <v>97.8</v>
      </c>
    </row>
    <row r="50" customHeight="1" spans="1:64">
      <c r="A50" s="27" t="s">
        <v>315</v>
      </c>
      <c r="B50" s="27" t="s">
        <v>316</v>
      </c>
      <c r="E50" s="27" t="s">
        <v>317</v>
      </c>
      <c r="F50" s="27" t="s">
        <v>240</v>
      </c>
      <c r="G50" s="27" t="s">
        <v>83</v>
      </c>
      <c r="H50" s="27" t="s">
        <v>84</v>
      </c>
      <c r="I50" s="27" t="s">
        <v>203</v>
      </c>
      <c r="J50" s="27">
        <v>4</v>
      </c>
      <c r="K50" s="27">
        <v>45</v>
      </c>
      <c r="M50" s="27">
        <v>0</v>
      </c>
      <c r="N50" s="27">
        <v>0</v>
      </c>
      <c r="O50" s="27">
        <v>0</v>
      </c>
      <c r="P50" s="27" t="s">
        <v>86</v>
      </c>
      <c r="Q50" s="27">
        <v>3.828641</v>
      </c>
      <c r="R50" s="27">
        <v>5.62</v>
      </c>
      <c r="V50" s="27" t="s">
        <v>231</v>
      </c>
      <c r="W50" s="27">
        <v>0</v>
      </c>
      <c r="X50" s="27">
        <v>0</v>
      </c>
      <c r="Y50" s="27">
        <v>0</v>
      </c>
      <c r="Z50" s="27">
        <v>0</v>
      </c>
      <c r="AA50" s="27" t="s">
        <v>125</v>
      </c>
      <c r="AB50" s="27">
        <v>0</v>
      </c>
      <c r="AC50" s="27">
        <v>0</v>
      </c>
      <c r="AD50" s="27">
        <v>0</v>
      </c>
      <c r="AE50" s="27">
        <v>0</v>
      </c>
      <c r="AF50" s="27">
        <v>0</v>
      </c>
      <c r="AG50" s="27">
        <v>0</v>
      </c>
      <c r="AH50" s="27">
        <v>0</v>
      </c>
      <c r="AI50" s="27">
        <v>0</v>
      </c>
      <c r="AJ50" s="27">
        <v>0</v>
      </c>
      <c r="AK50" s="27">
        <v>0</v>
      </c>
      <c r="AL50" s="27">
        <v>0</v>
      </c>
      <c r="AM50" s="27">
        <v>0</v>
      </c>
      <c r="AN50" s="27">
        <v>0</v>
      </c>
      <c r="AO50" s="27">
        <v>0</v>
      </c>
      <c r="AP50" s="27">
        <v>0</v>
      </c>
      <c r="AQ50" s="27">
        <v>1</v>
      </c>
      <c r="AR50" s="27">
        <v>0</v>
      </c>
      <c r="AS50" s="27">
        <v>0</v>
      </c>
      <c r="AT50" s="27">
        <v>0</v>
      </c>
      <c r="AU50" s="27">
        <v>0</v>
      </c>
      <c r="AV50" s="27">
        <v>1</v>
      </c>
      <c r="AW50" s="27">
        <v>1</v>
      </c>
      <c r="AX50" s="27">
        <v>0</v>
      </c>
      <c r="AY50" s="27">
        <v>8</v>
      </c>
      <c r="AZ50" s="27">
        <v>1</v>
      </c>
      <c r="BA50" s="27">
        <v>1</v>
      </c>
      <c r="BB50" s="27">
        <v>17.58</v>
      </c>
      <c r="BC50" s="27" t="s">
        <v>318</v>
      </c>
      <c r="BD50" s="27" t="s">
        <v>319</v>
      </c>
      <c r="BE50" s="27" t="s">
        <v>166</v>
      </c>
      <c r="BF50" s="27" t="s">
        <v>77</v>
      </c>
      <c r="BG50" s="27">
        <v>168</v>
      </c>
      <c r="BH50" s="27">
        <v>11</v>
      </c>
      <c r="BI50" s="27">
        <v>0.9385</v>
      </c>
      <c r="BJ50" s="27">
        <v>0</v>
      </c>
      <c r="BK50" s="27">
        <v>151</v>
      </c>
      <c r="BL50" s="27">
        <v>58.6</v>
      </c>
    </row>
    <row r="51" customHeight="1" spans="1:64">
      <c r="A51" s="27" t="s">
        <v>320</v>
      </c>
      <c r="B51" s="27" t="s">
        <v>125</v>
      </c>
      <c r="D51" s="27">
        <v>313097460412</v>
      </c>
      <c r="E51" s="27" t="s">
        <v>163</v>
      </c>
      <c r="F51" s="27" t="s">
        <v>160</v>
      </c>
      <c r="G51" s="27" t="s">
        <v>83</v>
      </c>
      <c r="H51" s="27" t="s">
        <v>138</v>
      </c>
      <c r="I51" s="27" t="s">
        <v>85</v>
      </c>
      <c r="J51" s="27">
        <v>5</v>
      </c>
      <c r="K51" s="27">
        <v>118.43</v>
      </c>
      <c r="M51" s="27">
        <v>0</v>
      </c>
      <c r="N51" s="27">
        <v>0</v>
      </c>
      <c r="O51" s="27">
        <v>0</v>
      </c>
      <c r="P51" s="27" t="s">
        <v>95</v>
      </c>
      <c r="Q51" s="27">
        <v>4.78273</v>
      </c>
      <c r="S51" s="27">
        <v>1</v>
      </c>
      <c r="T51" s="27">
        <v>1</v>
      </c>
      <c r="U51" s="27">
        <v>0.5</v>
      </c>
      <c r="V51" s="27" t="s">
        <v>87</v>
      </c>
      <c r="W51" s="27">
        <v>118.43</v>
      </c>
      <c r="X51" s="27">
        <v>0.693147</v>
      </c>
      <c r="Y51" s="27">
        <v>4.78273</v>
      </c>
      <c r="Z51" s="27">
        <v>1</v>
      </c>
      <c r="AA51" s="27" t="s">
        <v>125</v>
      </c>
      <c r="AB51" s="27">
        <v>0</v>
      </c>
      <c r="AC51" s="27">
        <v>0</v>
      </c>
      <c r="AD51" s="27">
        <v>0</v>
      </c>
      <c r="AE51" s="27">
        <v>0</v>
      </c>
      <c r="AF51" s="27">
        <v>0</v>
      </c>
      <c r="AG51" s="27">
        <v>0</v>
      </c>
      <c r="AH51" s="27">
        <v>1</v>
      </c>
      <c r="AI51" s="27">
        <v>0</v>
      </c>
      <c r="AJ51" s="27">
        <v>1</v>
      </c>
      <c r="AK51" s="27">
        <v>0</v>
      </c>
      <c r="AL51" s="27">
        <v>0</v>
      </c>
      <c r="AM51" s="27">
        <v>0</v>
      </c>
      <c r="AN51" s="27">
        <v>0</v>
      </c>
      <c r="AO51" s="27">
        <v>0</v>
      </c>
      <c r="AP51" s="27">
        <v>0</v>
      </c>
      <c r="AQ51" s="27">
        <v>0</v>
      </c>
      <c r="AR51" s="27">
        <v>0</v>
      </c>
      <c r="AS51" s="27">
        <v>0</v>
      </c>
      <c r="AT51" s="27">
        <v>0</v>
      </c>
      <c r="AU51" s="27">
        <v>0</v>
      </c>
      <c r="AV51" s="27">
        <v>0</v>
      </c>
      <c r="AW51" s="27">
        <v>1</v>
      </c>
      <c r="AX51" s="27">
        <v>0</v>
      </c>
      <c r="AZ51" s="27">
        <v>1</v>
      </c>
      <c r="BA51" s="27">
        <v>1</v>
      </c>
      <c r="BB51" s="27">
        <v>49.76</v>
      </c>
      <c r="BC51" s="27" t="s">
        <v>321</v>
      </c>
      <c r="BD51" s="27" t="s">
        <v>322</v>
      </c>
      <c r="BE51" s="27" t="s">
        <v>98</v>
      </c>
      <c r="BF51" s="27" t="s">
        <v>77</v>
      </c>
      <c r="BG51" s="27">
        <v>1</v>
      </c>
      <c r="BH51" s="27">
        <v>15</v>
      </c>
      <c r="BI51" s="27">
        <v>0.0625</v>
      </c>
      <c r="BJ51" s="27">
        <v>1</v>
      </c>
      <c r="BK51" s="27">
        <v>3</v>
      </c>
      <c r="BL51" s="27">
        <v>99.2</v>
      </c>
    </row>
    <row r="52" customHeight="1" spans="1:64">
      <c r="A52" s="27" t="s">
        <v>323</v>
      </c>
      <c r="B52" s="27" t="s">
        <v>171</v>
      </c>
      <c r="C52" s="27" t="s">
        <v>324</v>
      </c>
      <c r="E52" s="27" t="s">
        <v>325</v>
      </c>
      <c r="F52" s="27" t="s">
        <v>160</v>
      </c>
      <c r="G52" s="27" t="s">
        <v>83</v>
      </c>
      <c r="H52" s="27" t="s">
        <v>84</v>
      </c>
      <c r="I52" s="27" t="s">
        <v>85</v>
      </c>
      <c r="J52" s="27">
        <v>5</v>
      </c>
      <c r="K52" s="27">
        <v>110.41</v>
      </c>
      <c r="L52" s="27">
        <v>129.89</v>
      </c>
      <c r="M52" s="27">
        <v>15</v>
      </c>
      <c r="N52" s="27">
        <v>19.48</v>
      </c>
      <c r="O52" s="27">
        <v>1</v>
      </c>
      <c r="P52" s="27" t="s">
        <v>95</v>
      </c>
      <c r="Q52" s="27">
        <v>4.713217</v>
      </c>
      <c r="R52" s="27">
        <v>13.8</v>
      </c>
      <c r="S52" s="27">
        <v>37</v>
      </c>
      <c r="T52" s="27">
        <v>10</v>
      </c>
      <c r="U52" s="27">
        <v>0.7872</v>
      </c>
      <c r="V52" s="27" t="s">
        <v>72</v>
      </c>
      <c r="W52" s="27">
        <v>4085.17</v>
      </c>
      <c r="X52" s="27">
        <v>3.637586</v>
      </c>
      <c r="Y52" s="27">
        <v>8.315363</v>
      </c>
      <c r="Z52" s="27">
        <v>3.1623</v>
      </c>
      <c r="AA52" s="27" t="s">
        <v>73</v>
      </c>
      <c r="AB52" s="27">
        <v>0</v>
      </c>
      <c r="AC52" s="27">
        <v>0</v>
      </c>
      <c r="AD52" s="27">
        <v>0</v>
      </c>
      <c r="AE52" s="27">
        <v>0</v>
      </c>
      <c r="AF52" s="27">
        <v>0</v>
      </c>
      <c r="AG52" s="27">
        <v>0</v>
      </c>
      <c r="AH52" s="27">
        <v>0</v>
      </c>
      <c r="AI52" s="27">
        <v>0</v>
      </c>
      <c r="AJ52" s="27">
        <v>0</v>
      </c>
      <c r="AK52" s="27">
        <v>0</v>
      </c>
      <c r="AL52" s="27">
        <v>0</v>
      </c>
      <c r="AM52" s="27">
        <v>0</v>
      </c>
      <c r="AN52" s="27">
        <v>0</v>
      </c>
      <c r="AO52" s="27">
        <v>0</v>
      </c>
      <c r="AP52" s="27">
        <v>0</v>
      </c>
      <c r="AQ52" s="27">
        <v>1</v>
      </c>
      <c r="AR52" s="27">
        <v>0</v>
      </c>
      <c r="AS52" s="27">
        <v>0</v>
      </c>
      <c r="AT52" s="27">
        <v>0</v>
      </c>
      <c r="AU52" s="27">
        <v>0</v>
      </c>
      <c r="AV52" s="27">
        <v>1</v>
      </c>
      <c r="AW52" s="27">
        <v>1</v>
      </c>
      <c r="AX52" s="27">
        <v>0</v>
      </c>
      <c r="AY52" s="27">
        <v>8</v>
      </c>
      <c r="AZ52" s="27">
        <v>1</v>
      </c>
      <c r="BA52" s="27">
        <v>1</v>
      </c>
      <c r="BB52" s="27">
        <v>65.84</v>
      </c>
      <c r="BC52" s="27" t="s">
        <v>326</v>
      </c>
      <c r="BD52" s="27" t="s">
        <v>175</v>
      </c>
      <c r="BE52" s="27" t="s">
        <v>91</v>
      </c>
      <c r="BF52" s="27" t="s">
        <v>77</v>
      </c>
      <c r="BG52" s="27">
        <v>161</v>
      </c>
      <c r="BH52" s="27">
        <v>61</v>
      </c>
      <c r="BI52" s="27">
        <v>0.7252</v>
      </c>
      <c r="BJ52" s="27">
        <v>0</v>
      </c>
      <c r="BK52" s="27">
        <v>2</v>
      </c>
      <c r="BL52" s="27">
        <v>99.5</v>
      </c>
    </row>
    <row r="53" customHeight="1" spans="1:64">
      <c r="A53" s="27" t="s">
        <v>327</v>
      </c>
      <c r="B53" s="27" t="s">
        <v>328</v>
      </c>
      <c r="E53" s="27" t="s">
        <v>329</v>
      </c>
      <c r="F53" s="27" t="s">
        <v>160</v>
      </c>
      <c r="G53" s="27" t="s">
        <v>83</v>
      </c>
      <c r="H53" s="27" t="s">
        <v>84</v>
      </c>
      <c r="I53" s="27" t="s">
        <v>85</v>
      </c>
      <c r="J53" s="27">
        <v>5</v>
      </c>
      <c r="K53" s="27">
        <v>309.99</v>
      </c>
      <c r="M53" s="27">
        <v>0</v>
      </c>
      <c r="N53" s="27">
        <v>0</v>
      </c>
      <c r="O53" s="27">
        <v>0</v>
      </c>
      <c r="P53" s="27" t="s">
        <v>71</v>
      </c>
      <c r="Q53" s="27">
        <v>5.739761</v>
      </c>
      <c r="S53" s="27">
        <v>6</v>
      </c>
      <c r="T53" s="27">
        <v>6</v>
      </c>
      <c r="U53" s="27">
        <v>0.5</v>
      </c>
      <c r="V53" s="27" t="s">
        <v>87</v>
      </c>
      <c r="W53" s="27">
        <v>1859.94</v>
      </c>
      <c r="X53" s="27">
        <v>1.94591</v>
      </c>
      <c r="Y53" s="27">
        <v>7.528837</v>
      </c>
      <c r="Z53" s="27">
        <v>2.4495</v>
      </c>
      <c r="AA53" s="27" t="s">
        <v>125</v>
      </c>
      <c r="AB53" s="27">
        <v>0</v>
      </c>
      <c r="AC53" s="27">
        <v>0</v>
      </c>
      <c r="AD53" s="27">
        <v>0</v>
      </c>
      <c r="AE53" s="27">
        <v>1</v>
      </c>
      <c r="AF53" s="27">
        <v>0</v>
      </c>
      <c r="AG53" s="27">
        <v>0</v>
      </c>
      <c r="AH53" s="27">
        <v>1</v>
      </c>
      <c r="AI53" s="27">
        <v>0</v>
      </c>
      <c r="AJ53" s="27">
        <v>0</v>
      </c>
      <c r="AK53" s="27">
        <v>0</v>
      </c>
      <c r="AL53" s="27">
        <v>0</v>
      </c>
      <c r="AM53" s="27">
        <v>0</v>
      </c>
      <c r="AN53" s="27">
        <v>0</v>
      </c>
      <c r="AO53" s="27">
        <v>0</v>
      </c>
      <c r="AP53" s="27">
        <v>0</v>
      </c>
      <c r="AQ53" s="27">
        <v>1</v>
      </c>
      <c r="AR53" s="27">
        <v>0</v>
      </c>
      <c r="AS53" s="27">
        <v>0</v>
      </c>
      <c r="AT53" s="27">
        <v>1</v>
      </c>
      <c r="AU53" s="27">
        <v>0</v>
      </c>
      <c r="AV53" s="27">
        <v>1</v>
      </c>
      <c r="AW53" s="27">
        <v>1</v>
      </c>
      <c r="AX53" s="27">
        <v>0</v>
      </c>
      <c r="AZ53" s="27">
        <v>1</v>
      </c>
      <c r="BA53" s="27">
        <v>3</v>
      </c>
      <c r="BB53" s="27">
        <v>49.76</v>
      </c>
      <c r="BC53" s="27" t="s">
        <v>330</v>
      </c>
      <c r="BD53" s="27" t="s">
        <v>331</v>
      </c>
      <c r="BE53" s="27" t="s">
        <v>136</v>
      </c>
      <c r="BF53" s="27" t="s">
        <v>77</v>
      </c>
      <c r="BG53" s="27">
        <v>162</v>
      </c>
      <c r="BH53" s="27">
        <v>60</v>
      </c>
      <c r="BI53" s="27">
        <v>0.7297</v>
      </c>
      <c r="BJ53" s="27">
        <v>0</v>
      </c>
      <c r="BK53" s="27">
        <v>3</v>
      </c>
      <c r="BL53" s="27">
        <v>99.2</v>
      </c>
    </row>
    <row r="54" customHeight="1" spans="1:64">
      <c r="A54" s="27" t="s">
        <v>332</v>
      </c>
      <c r="B54" s="27" t="s">
        <v>171</v>
      </c>
      <c r="C54" s="27" t="s">
        <v>333</v>
      </c>
      <c r="D54" s="27">
        <v>713651297148</v>
      </c>
      <c r="E54" s="27" t="s">
        <v>131</v>
      </c>
      <c r="F54" s="27" t="s">
        <v>132</v>
      </c>
      <c r="G54" s="27" t="s">
        <v>83</v>
      </c>
      <c r="H54" s="27" t="s">
        <v>84</v>
      </c>
      <c r="I54" s="27" t="s">
        <v>85</v>
      </c>
      <c r="J54" s="27">
        <v>5</v>
      </c>
      <c r="K54" s="27">
        <v>25.19</v>
      </c>
      <c r="M54" s="27">
        <v>0</v>
      </c>
      <c r="N54" s="27">
        <v>0</v>
      </c>
      <c r="O54" s="27">
        <v>0</v>
      </c>
      <c r="P54" s="27" t="s">
        <v>86</v>
      </c>
      <c r="Q54" s="27">
        <v>3.265378</v>
      </c>
      <c r="S54" s="27">
        <v>1450</v>
      </c>
      <c r="T54" s="27">
        <v>10</v>
      </c>
      <c r="U54" s="27">
        <v>0.9932</v>
      </c>
      <c r="V54" s="27" t="s">
        <v>109</v>
      </c>
      <c r="W54" s="27">
        <v>36525.5</v>
      </c>
      <c r="X54" s="27">
        <v>7.280008</v>
      </c>
      <c r="Y54" s="27">
        <v>10.505793</v>
      </c>
      <c r="Z54" s="27">
        <v>3.1623</v>
      </c>
      <c r="AA54" s="27" t="s">
        <v>125</v>
      </c>
      <c r="AB54" s="27">
        <v>0</v>
      </c>
      <c r="AC54" s="27">
        <v>0</v>
      </c>
      <c r="AD54" s="27">
        <v>0</v>
      </c>
      <c r="AE54" s="27">
        <v>0</v>
      </c>
      <c r="AF54" s="27">
        <v>0</v>
      </c>
      <c r="AG54" s="27">
        <v>0</v>
      </c>
      <c r="AH54" s="27">
        <v>0</v>
      </c>
      <c r="AI54" s="27">
        <v>0</v>
      </c>
      <c r="AJ54" s="27">
        <v>0</v>
      </c>
      <c r="AK54" s="27">
        <v>0</v>
      </c>
      <c r="AL54" s="27">
        <v>0</v>
      </c>
      <c r="AM54" s="27">
        <v>0</v>
      </c>
      <c r="AN54" s="27">
        <v>0</v>
      </c>
      <c r="AO54" s="27">
        <v>0</v>
      </c>
      <c r="AP54" s="27">
        <v>0</v>
      </c>
      <c r="AQ54" s="27">
        <v>0</v>
      </c>
      <c r="AR54" s="27">
        <v>0</v>
      </c>
      <c r="AS54" s="27">
        <v>0</v>
      </c>
      <c r="AT54" s="27">
        <v>0</v>
      </c>
      <c r="AU54" s="27">
        <v>0</v>
      </c>
      <c r="AV54" s="27">
        <v>0</v>
      </c>
      <c r="AW54" s="27">
        <v>1</v>
      </c>
      <c r="AX54" s="27">
        <v>0</v>
      </c>
      <c r="AZ54" s="27">
        <v>4</v>
      </c>
      <c r="BA54" s="27">
        <v>0</v>
      </c>
      <c r="BB54" s="27">
        <v>69.25</v>
      </c>
      <c r="BC54" s="27" t="s">
        <v>174</v>
      </c>
      <c r="BD54" s="27" t="s">
        <v>175</v>
      </c>
      <c r="BE54" s="27" t="s">
        <v>91</v>
      </c>
      <c r="BF54" s="27" t="s">
        <v>77</v>
      </c>
      <c r="BG54" s="27">
        <v>162</v>
      </c>
      <c r="BH54" s="27">
        <v>60</v>
      </c>
      <c r="BI54" s="27">
        <v>0.7297</v>
      </c>
      <c r="BJ54" s="27">
        <v>0</v>
      </c>
      <c r="BK54" s="27">
        <v>6</v>
      </c>
      <c r="BL54" s="27">
        <v>98.4</v>
      </c>
    </row>
    <row r="55" customHeight="1" spans="1:64">
      <c r="A55" s="27" t="s">
        <v>334</v>
      </c>
      <c r="B55" s="27" t="s">
        <v>335</v>
      </c>
      <c r="E55" s="27" t="s">
        <v>81</v>
      </c>
      <c r="F55" s="27" t="s">
        <v>160</v>
      </c>
      <c r="G55" s="27" t="s">
        <v>83</v>
      </c>
      <c r="H55" s="27" t="s">
        <v>84</v>
      </c>
      <c r="I55" s="27" t="s">
        <v>85</v>
      </c>
      <c r="J55" s="27">
        <v>5</v>
      </c>
      <c r="K55" s="27">
        <v>228.79</v>
      </c>
      <c r="L55" s="27">
        <v>259.99</v>
      </c>
      <c r="M55" s="27">
        <v>12</v>
      </c>
      <c r="N55" s="27">
        <v>31.2</v>
      </c>
      <c r="O55" s="27">
        <v>1</v>
      </c>
      <c r="P55" s="27" t="s">
        <v>71</v>
      </c>
      <c r="Q55" s="27">
        <v>5.437166</v>
      </c>
      <c r="R55" s="27">
        <v>22.88</v>
      </c>
      <c r="S55" s="27">
        <v>17</v>
      </c>
      <c r="T55" s="27">
        <v>10</v>
      </c>
      <c r="U55" s="27">
        <v>0.6296</v>
      </c>
      <c r="V55" s="27" t="s">
        <v>72</v>
      </c>
      <c r="W55" s="27">
        <v>3889.43</v>
      </c>
      <c r="X55" s="27">
        <v>2.890372</v>
      </c>
      <c r="Y55" s="27">
        <v>8.266275</v>
      </c>
      <c r="Z55" s="27">
        <v>3.1623</v>
      </c>
      <c r="AA55" s="27" t="s">
        <v>313</v>
      </c>
      <c r="AB55" s="27">
        <v>0</v>
      </c>
      <c r="AC55" s="27">
        <v>0</v>
      </c>
      <c r="AD55" s="27">
        <v>0</v>
      </c>
      <c r="AE55" s="27">
        <v>0</v>
      </c>
      <c r="AF55" s="27">
        <v>0</v>
      </c>
      <c r="AG55" s="27">
        <v>0</v>
      </c>
      <c r="AH55" s="27">
        <v>1</v>
      </c>
      <c r="AI55" s="27">
        <v>0</v>
      </c>
      <c r="AJ55" s="27">
        <v>0</v>
      </c>
      <c r="AK55" s="27">
        <v>0</v>
      </c>
      <c r="AL55" s="27">
        <v>0</v>
      </c>
      <c r="AM55" s="27">
        <v>0</v>
      </c>
      <c r="AN55" s="27">
        <v>0</v>
      </c>
      <c r="AO55" s="27">
        <v>0</v>
      </c>
      <c r="AP55" s="27">
        <v>0</v>
      </c>
      <c r="AQ55" s="27">
        <v>1</v>
      </c>
      <c r="AR55" s="27">
        <v>0</v>
      </c>
      <c r="AS55" s="27">
        <v>0</v>
      </c>
      <c r="AT55" s="27">
        <v>1</v>
      </c>
      <c r="AU55" s="27">
        <v>0</v>
      </c>
      <c r="AV55" s="27">
        <v>1</v>
      </c>
      <c r="AW55" s="27">
        <v>1</v>
      </c>
      <c r="AX55" s="27">
        <v>0</v>
      </c>
      <c r="AY55" s="27">
        <v>10</v>
      </c>
      <c r="AZ55" s="27">
        <v>1</v>
      </c>
      <c r="BA55" s="27">
        <v>2</v>
      </c>
      <c r="BB55" s="27">
        <v>58.36</v>
      </c>
      <c r="BC55" s="27" t="s">
        <v>336</v>
      </c>
      <c r="BD55" s="27" t="s">
        <v>337</v>
      </c>
      <c r="BE55" s="27" t="s">
        <v>76</v>
      </c>
      <c r="BF55" s="27" t="s">
        <v>77</v>
      </c>
      <c r="BG55" s="27">
        <v>168</v>
      </c>
      <c r="BH55" s="27">
        <v>12</v>
      </c>
      <c r="BI55" s="27">
        <v>0.9333</v>
      </c>
      <c r="BJ55" s="27">
        <v>0</v>
      </c>
      <c r="BK55" s="27">
        <v>5</v>
      </c>
      <c r="BL55" s="27">
        <v>98.6</v>
      </c>
    </row>
    <row r="56" customHeight="1" spans="1:64">
      <c r="A56" s="27" t="s">
        <v>338</v>
      </c>
      <c r="B56" s="27" t="s">
        <v>339</v>
      </c>
      <c r="E56" s="27" t="s">
        <v>340</v>
      </c>
      <c r="F56" s="27" t="s">
        <v>198</v>
      </c>
      <c r="G56" s="27" t="s">
        <v>83</v>
      </c>
      <c r="H56" s="27" t="s">
        <v>84</v>
      </c>
      <c r="I56" s="27" t="s">
        <v>153</v>
      </c>
      <c r="J56" s="27">
        <v>2</v>
      </c>
      <c r="K56" s="27">
        <v>179.95</v>
      </c>
      <c r="M56" s="27">
        <v>0</v>
      </c>
      <c r="N56" s="27">
        <v>0</v>
      </c>
      <c r="O56" s="27">
        <v>0</v>
      </c>
      <c r="P56" s="27" t="s">
        <v>95</v>
      </c>
      <c r="Q56" s="27">
        <v>5.198221</v>
      </c>
      <c r="S56" s="27">
        <v>6</v>
      </c>
      <c r="T56" s="27">
        <v>4</v>
      </c>
      <c r="U56" s="27">
        <v>0.6</v>
      </c>
      <c r="V56" s="27" t="s">
        <v>87</v>
      </c>
      <c r="W56" s="27">
        <v>1079.7</v>
      </c>
      <c r="X56" s="27">
        <v>1.94591</v>
      </c>
      <c r="Y56" s="27">
        <v>6.985364</v>
      </c>
      <c r="Z56" s="27">
        <v>2</v>
      </c>
      <c r="AA56" s="27" t="s">
        <v>125</v>
      </c>
      <c r="AB56" s="27">
        <v>0</v>
      </c>
      <c r="AC56" s="27">
        <v>0</v>
      </c>
      <c r="AD56" s="27">
        <v>0</v>
      </c>
      <c r="AE56" s="27">
        <v>0</v>
      </c>
      <c r="AF56" s="27">
        <v>0</v>
      </c>
      <c r="AG56" s="27">
        <v>0</v>
      </c>
      <c r="AH56" s="27">
        <v>1</v>
      </c>
      <c r="AI56" s="27">
        <v>0</v>
      </c>
      <c r="AJ56" s="27">
        <v>1</v>
      </c>
      <c r="AK56" s="27">
        <v>0</v>
      </c>
      <c r="AL56" s="27">
        <v>0</v>
      </c>
      <c r="AM56" s="27">
        <v>0</v>
      </c>
      <c r="AN56" s="27">
        <v>0</v>
      </c>
      <c r="AO56" s="27">
        <v>0</v>
      </c>
      <c r="AP56" s="27">
        <v>0</v>
      </c>
      <c r="AQ56" s="27">
        <v>0</v>
      </c>
      <c r="AR56" s="27">
        <v>0</v>
      </c>
      <c r="AS56" s="27">
        <v>0</v>
      </c>
      <c r="AT56" s="27">
        <v>0</v>
      </c>
      <c r="AU56" s="27">
        <v>0</v>
      </c>
      <c r="AV56" s="27">
        <v>0</v>
      </c>
      <c r="AW56" s="27">
        <v>0</v>
      </c>
      <c r="AX56" s="27">
        <v>0</v>
      </c>
      <c r="AZ56" s="27">
        <v>1</v>
      </c>
      <c r="BA56" s="27">
        <v>1</v>
      </c>
      <c r="BB56" s="27">
        <v>49.8</v>
      </c>
      <c r="BC56" s="27" t="s">
        <v>341</v>
      </c>
      <c r="BD56" s="27" t="s">
        <v>342</v>
      </c>
      <c r="BE56" s="27" t="s">
        <v>76</v>
      </c>
      <c r="BF56" s="27" t="s">
        <v>77</v>
      </c>
      <c r="BG56" s="27">
        <v>168</v>
      </c>
      <c r="BH56" s="27">
        <v>11</v>
      </c>
      <c r="BI56" s="27">
        <v>0.9385</v>
      </c>
      <c r="BJ56" s="27">
        <v>0</v>
      </c>
      <c r="BK56" s="27">
        <v>51</v>
      </c>
      <c r="BL56" s="27">
        <v>86</v>
      </c>
    </row>
    <row r="57" customHeight="1" spans="1:64">
      <c r="A57" s="27" t="s">
        <v>343</v>
      </c>
      <c r="B57" s="27" t="s">
        <v>344</v>
      </c>
      <c r="C57" s="27" t="s">
        <v>345</v>
      </c>
      <c r="E57" s="27" t="s">
        <v>81</v>
      </c>
      <c r="F57" s="27" t="s">
        <v>82</v>
      </c>
      <c r="G57" s="27" t="s">
        <v>346</v>
      </c>
      <c r="H57" s="27" t="s">
        <v>107</v>
      </c>
      <c r="I57" s="27" t="s">
        <v>85</v>
      </c>
      <c r="J57" s="27">
        <v>5</v>
      </c>
      <c r="K57" s="27">
        <v>65.99</v>
      </c>
      <c r="M57" s="27">
        <v>0</v>
      </c>
      <c r="N57" s="27">
        <v>0</v>
      </c>
      <c r="O57" s="27">
        <v>0</v>
      </c>
      <c r="P57" s="27" t="s">
        <v>86</v>
      </c>
      <c r="Q57" s="27">
        <v>4.204543</v>
      </c>
      <c r="S57" s="27">
        <v>120</v>
      </c>
      <c r="T57" s="27">
        <v>7</v>
      </c>
      <c r="U57" s="27">
        <v>0.9449</v>
      </c>
      <c r="V57" s="27" t="s">
        <v>72</v>
      </c>
      <c r="W57" s="27">
        <v>7918.8</v>
      </c>
      <c r="X57" s="27">
        <v>4.795791</v>
      </c>
      <c r="Y57" s="27">
        <v>8.977121</v>
      </c>
      <c r="Z57" s="27">
        <v>2.6458</v>
      </c>
      <c r="AA57" s="27" t="s">
        <v>187</v>
      </c>
      <c r="AB57" s="27">
        <v>1</v>
      </c>
      <c r="AC57" s="27">
        <v>0</v>
      </c>
      <c r="AD57" s="27">
        <v>0</v>
      </c>
      <c r="AE57" s="27">
        <v>0</v>
      </c>
      <c r="AF57" s="27">
        <v>0</v>
      </c>
      <c r="AG57" s="27">
        <v>0</v>
      </c>
      <c r="AH57" s="27">
        <v>0</v>
      </c>
      <c r="AI57" s="27">
        <v>0</v>
      </c>
      <c r="AJ57" s="27">
        <v>0</v>
      </c>
      <c r="AK57" s="27">
        <v>0</v>
      </c>
      <c r="AL57" s="27">
        <v>0</v>
      </c>
      <c r="AM57" s="27">
        <v>0</v>
      </c>
      <c r="AN57" s="27">
        <v>0</v>
      </c>
      <c r="AO57" s="27">
        <v>0</v>
      </c>
      <c r="AP57" s="27">
        <v>0</v>
      </c>
      <c r="AQ57" s="27">
        <v>0</v>
      </c>
      <c r="AR57" s="27">
        <v>0</v>
      </c>
      <c r="AS57" s="27">
        <v>0</v>
      </c>
      <c r="AT57" s="27">
        <v>0</v>
      </c>
      <c r="AU57" s="27">
        <v>0</v>
      </c>
      <c r="AV57" s="27">
        <v>0</v>
      </c>
      <c r="AW57" s="27">
        <v>0</v>
      </c>
      <c r="AX57" s="27">
        <v>0</v>
      </c>
      <c r="AZ57" s="27">
        <v>1</v>
      </c>
      <c r="BA57" s="27">
        <v>1</v>
      </c>
      <c r="BB57" s="27">
        <v>67.14</v>
      </c>
      <c r="BC57" s="27" t="s">
        <v>347</v>
      </c>
      <c r="BD57" s="27" t="s">
        <v>348</v>
      </c>
      <c r="BE57" s="27" t="s">
        <v>150</v>
      </c>
      <c r="BF57" s="27" t="s">
        <v>77</v>
      </c>
      <c r="BG57" s="27">
        <v>1</v>
      </c>
      <c r="BH57" s="27">
        <v>51</v>
      </c>
      <c r="BI57" s="27">
        <v>0.0192</v>
      </c>
      <c r="BJ57" s="27">
        <v>1</v>
      </c>
      <c r="BK57" s="27">
        <v>8</v>
      </c>
      <c r="BL57" s="27">
        <v>97.8</v>
      </c>
    </row>
    <row r="58" customHeight="1" spans="1:64">
      <c r="A58" s="27" t="s">
        <v>349</v>
      </c>
      <c r="B58" s="27" t="s">
        <v>350</v>
      </c>
      <c r="C58" s="27" t="s">
        <v>351</v>
      </c>
      <c r="E58" s="27" t="s">
        <v>250</v>
      </c>
      <c r="F58" s="27" t="s">
        <v>352</v>
      </c>
      <c r="G58" s="27" t="s">
        <v>83</v>
      </c>
      <c r="H58" s="27" t="s">
        <v>84</v>
      </c>
      <c r="I58" s="27" t="s">
        <v>85</v>
      </c>
      <c r="J58" s="27">
        <v>5</v>
      </c>
      <c r="K58" s="27">
        <v>21.95</v>
      </c>
      <c r="M58" s="27">
        <v>0</v>
      </c>
      <c r="N58" s="27">
        <v>0</v>
      </c>
      <c r="O58" s="27">
        <v>0</v>
      </c>
      <c r="P58" s="27" t="s">
        <v>133</v>
      </c>
      <c r="Q58" s="27">
        <v>3.133318</v>
      </c>
      <c r="S58" s="27">
        <v>2346</v>
      </c>
      <c r="T58" s="27">
        <v>10</v>
      </c>
      <c r="U58" s="27">
        <v>0.9958</v>
      </c>
      <c r="V58" s="27" t="s">
        <v>109</v>
      </c>
      <c r="W58" s="27">
        <v>51494.7</v>
      </c>
      <c r="X58" s="27">
        <v>7.760893</v>
      </c>
      <c r="Y58" s="27">
        <v>10.849254</v>
      </c>
      <c r="Z58" s="27">
        <v>3.1623</v>
      </c>
      <c r="AA58" s="27" t="s">
        <v>125</v>
      </c>
      <c r="AB58" s="27">
        <v>1</v>
      </c>
      <c r="AC58" s="27">
        <v>0</v>
      </c>
      <c r="AD58" s="27">
        <v>0</v>
      </c>
      <c r="AE58" s="27">
        <v>0</v>
      </c>
      <c r="AF58" s="27">
        <v>0</v>
      </c>
      <c r="AG58" s="27">
        <v>0</v>
      </c>
      <c r="AH58" s="27">
        <v>0</v>
      </c>
      <c r="AI58" s="27">
        <v>0</v>
      </c>
      <c r="AJ58" s="27">
        <v>0</v>
      </c>
      <c r="AK58" s="27">
        <v>0</v>
      </c>
      <c r="AL58" s="27">
        <v>0</v>
      </c>
      <c r="AM58" s="27">
        <v>0</v>
      </c>
      <c r="AN58" s="27">
        <v>0</v>
      </c>
      <c r="AO58" s="27">
        <v>0</v>
      </c>
      <c r="AP58" s="27">
        <v>0</v>
      </c>
      <c r="AQ58" s="27">
        <v>0</v>
      </c>
      <c r="AR58" s="27">
        <v>0</v>
      </c>
      <c r="AS58" s="27">
        <v>0</v>
      </c>
      <c r="AT58" s="27">
        <v>0</v>
      </c>
      <c r="AU58" s="27">
        <v>0</v>
      </c>
      <c r="AV58" s="27">
        <v>0</v>
      </c>
      <c r="AW58" s="27">
        <v>1</v>
      </c>
      <c r="AX58" s="27">
        <v>0</v>
      </c>
      <c r="AZ58" s="27">
        <v>4</v>
      </c>
      <c r="BA58" s="27">
        <v>1</v>
      </c>
      <c r="BB58" s="27">
        <v>67.46</v>
      </c>
      <c r="BC58" s="27" t="s">
        <v>353</v>
      </c>
      <c r="BD58" s="27" t="s">
        <v>261</v>
      </c>
      <c r="BE58" s="27" t="s">
        <v>262</v>
      </c>
      <c r="BF58" s="27" t="s">
        <v>77</v>
      </c>
      <c r="BG58" s="27">
        <v>1</v>
      </c>
      <c r="BH58" s="27">
        <v>27</v>
      </c>
      <c r="BI58" s="27">
        <v>0.0357</v>
      </c>
      <c r="BJ58" s="27">
        <v>1</v>
      </c>
      <c r="BK58" s="27">
        <v>29</v>
      </c>
      <c r="BL58" s="27">
        <v>92.1</v>
      </c>
    </row>
    <row r="59" customHeight="1" spans="1:64">
      <c r="A59" s="27" t="s">
        <v>354</v>
      </c>
      <c r="B59" s="27" t="s">
        <v>125</v>
      </c>
      <c r="E59" s="27" t="s">
        <v>82</v>
      </c>
      <c r="F59" s="27" t="s">
        <v>82</v>
      </c>
      <c r="G59" s="27" t="s">
        <v>83</v>
      </c>
      <c r="H59" s="27" t="s">
        <v>138</v>
      </c>
      <c r="I59" s="27" t="s">
        <v>85</v>
      </c>
      <c r="J59" s="27">
        <v>5</v>
      </c>
      <c r="K59" s="27">
        <v>20.99</v>
      </c>
      <c r="M59" s="27">
        <v>0</v>
      </c>
      <c r="N59" s="27">
        <v>0</v>
      </c>
      <c r="O59" s="27">
        <v>0</v>
      </c>
      <c r="P59" s="27" t="s">
        <v>133</v>
      </c>
      <c r="Q59" s="27">
        <v>3.090588</v>
      </c>
      <c r="S59" s="27">
        <v>8</v>
      </c>
      <c r="T59" s="27">
        <v>7</v>
      </c>
      <c r="U59" s="27">
        <v>0.5333</v>
      </c>
      <c r="V59" s="27" t="s">
        <v>87</v>
      </c>
      <c r="W59" s="27">
        <v>167.92</v>
      </c>
      <c r="X59" s="27">
        <v>2.197225</v>
      </c>
      <c r="Y59" s="27">
        <v>5.129425</v>
      </c>
      <c r="Z59" s="27">
        <v>2.6458</v>
      </c>
      <c r="AA59" s="27" t="s">
        <v>139</v>
      </c>
      <c r="AB59" s="27">
        <v>0</v>
      </c>
      <c r="AC59" s="27">
        <v>0</v>
      </c>
      <c r="AD59" s="27">
        <v>0</v>
      </c>
      <c r="AE59" s="27">
        <v>0</v>
      </c>
      <c r="AF59" s="27">
        <v>0</v>
      </c>
      <c r="AG59" s="27">
        <v>0</v>
      </c>
      <c r="AH59" s="27">
        <v>0</v>
      </c>
      <c r="AI59" s="27">
        <v>0</v>
      </c>
      <c r="AJ59" s="27">
        <v>0</v>
      </c>
      <c r="AK59" s="27">
        <v>0</v>
      </c>
      <c r="AL59" s="27">
        <v>1</v>
      </c>
      <c r="AM59" s="27">
        <v>0</v>
      </c>
      <c r="AN59" s="27">
        <v>0</v>
      </c>
      <c r="AO59" s="27">
        <v>0</v>
      </c>
      <c r="AP59" s="27">
        <v>0</v>
      </c>
      <c r="AQ59" s="27">
        <v>0</v>
      </c>
      <c r="AR59" s="27">
        <v>0</v>
      </c>
      <c r="AS59" s="27">
        <v>0</v>
      </c>
      <c r="AT59" s="27">
        <v>0</v>
      </c>
      <c r="AU59" s="27">
        <v>0</v>
      </c>
      <c r="AV59" s="27">
        <v>0</v>
      </c>
      <c r="AW59" s="27">
        <v>0</v>
      </c>
      <c r="AX59" s="27">
        <v>0</v>
      </c>
      <c r="AZ59" s="27">
        <v>1</v>
      </c>
      <c r="BA59" s="27">
        <v>0</v>
      </c>
      <c r="BB59" s="27">
        <v>50.58</v>
      </c>
      <c r="BC59" s="27" t="s">
        <v>355</v>
      </c>
      <c r="BD59" s="27" t="s">
        <v>356</v>
      </c>
      <c r="BE59" s="27" t="s">
        <v>287</v>
      </c>
      <c r="BF59" s="27" t="s">
        <v>77</v>
      </c>
      <c r="BG59" s="27">
        <v>2</v>
      </c>
      <c r="BH59" s="27">
        <v>220</v>
      </c>
      <c r="BI59" s="27">
        <v>0.009</v>
      </c>
      <c r="BJ59" s="27">
        <v>0</v>
      </c>
      <c r="BK59" s="27">
        <v>9</v>
      </c>
      <c r="BL59" s="27">
        <v>97.5</v>
      </c>
    </row>
    <row r="60" customHeight="1" spans="1:64">
      <c r="A60" s="27" t="s">
        <v>357</v>
      </c>
      <c r="B60" s="27" t="s">
        <v>245</v>
      </c>
      <c r="C60" s="27" t="s">
        <v>358</v>
      </c>
      <c r="E60" s="27" t="s">
        <v>239</v>
      </c>
      <c r="F60" s="27" t="s">
        <v>160</v>
      </c>
      <c r="G60" s="27" t="s">
        <v>83</v>
      </c>
      <c r="H60" s="27" t="s">
        <v>84</v>
      </c>
      <c r="I60" s="27" t="s">
        <v>85</v>
      </c>
      <c r="J60" s="27">
        <v>5</v>
      </c>
      <c r="K60" s="27">
        <v>95.39</v>
      </c>
      <c r="L60" s="27">
        <v>105.99</v>
      </c>
      <c r="M60" s="27">
        <v>10</v>
      </c>
      <c r="N60" s="27">
        <v>10.6</v>
      </c>
      <c r="O60" s="27">
        <v>1</v>
      </c>
      <c r="P60" s="27" t="s">
        <v>95</v>
      </c>
      <c r="Q60" s="27">
        <v>4.568402</v>
      </c>
      <c r="R60" s="27">
        <v>11.92</v>
      </c>
      <c r="S60" s="27">
        <v>91</v>
      </c>
      <c r="T60" s="27">
        <v>10</v>
      </c>
      <c r="U60" s="27">
        <v>0.901</v>
      </c>
      <c r="V60" s="27" t="s">
        <v>72</v>
      </c>
      <c r="W60" s="27">
        <v>8680.49</v>
      </c>
      <c r="X60" s="27">
        <v>4.521789</v>
      </c>
      <c r="Y60" s="27">
        <v>9.068948</v>
      </c>
      <c r="Z60" s="27">
        <v>3.1623</v>
      </c>
      <c r="AA60" s="27" t="s">
        <v>139</v>
      </c>
      <c r="AB60" s="27">
        <v>0</v>
      </c>
      <c r="AC60" s="27">
        <v>0</v>
      </c>
      <c r="AD60" s="27">
        <v>0</v>
      </c>
      <c r="AE60" s="27">
        <v>0</v>
      </c>
      <c r="AF60" s="27">
        <v>0</v>
      </c>
      <c r="AG60" s="27">
        <v>0</v>
      </c>
      <c r="AH60" s="27">
        <v>0</v>
      </c>
      <c r="AI60" s="27">
        <v>0</v>
      </c>
      <c r="AJ60" s="27">
        <v>0</v>
      </c>
      <c r="AK60" s="27">
        <v>0</v>
      </c>
      <c r="AL60" s="27">
        <v>0</v>
      </c>
      <c r="AM60" s="27">
        <v>0</v>
      </c>
      <c r="AN60" s="27">
        <v>0</v>
      </c>
      <c r="AO60" s="27">
        <v>0</v>
      </c>
      <c r="AP60" s="27">
        <v>0</v>
      </c>
      <c r="AQ60" s="27">
        <v>1</v>
      </c>
      <c r="AR60" s="27">
        <v>0</v>
      </c>
      <c r="AS60" s="27">
        <v>0</v>
      </c>
      <c r="AT60" s="27">
        <v>0</v>
      </c>
      <c r="AU60" s="27">
        <v>0</v>
      </c>
      <c r="AV60" s="27">
        <v>1</v>
      </c>
      <c r="AW60" s="27">
        <v>1</v>
      </c>
      <c r="AX60" s="27">
        <v>0</v>
      </c>
      <c r="AY60" s="27">
        <v>8</v>
      </c>
      <c r="AZ60" s="27">
        <v>1</v>
      </c>
      <c r="BA60" s="27">
        <v>1</v>
      </c>
      <c r="BB60" s="27">
        <v>68.56</v>
      </c>
      <c r="BC60" s="27" t="s">
        <v>359</v>
      </c>
      <c r="BD60" s="27" t="s">
        <v>175</v>
      </c>
      <c r="BE60" s="27" t="s">
        <v>91</v>
      </c>
      <c r="BF60" s="27" t="s">
        <v>77</v>
      </c>
      <c r="BG60" s="27">
        <v>162</v>
      </c>
      <c r="BH60" s="27">
        <v>60</v>
      </c>
      <c r="BI60" s="27">
        <v>0.7297</v>
      </c>
      <c r="BJ60" s="27">
        <v>0</v>
      </c>
      <c r="BK60" s="27">
        <v>6</v>
      </c>
      <c r="BL60" s="27">
        <v>98.4</v>
      </c>
    </row>
    <row r="61" customHeight="1" spans="1:64">
      <c r="A61" s="27" t="s">
        <v>360</v>
      </c>
      <c r="B61" s="27" t="s">
        <v>125</v>
      </c>
      <c r="E61" s="27" t="s">
        <v>81</v>
      </c>
      <c r="F61" s="27" t="s">
        <v>82</v>
      </c>
      <c r="G61" s="27" t="s">
        <v>117</v>
      </c>
      <c r="H61" s="27" t="s">
        <v>138</v>
      </c>
      <c r="I61" s="27" t="s">
        <v>85</v>
      </c>
      <c r="J61" s="27">
        <v>5</v>
      </c>
      <c r="K61" s="27">
        <v>24.99</v>
      </c>
      <c r="M61" s="27">
        <v>0</v>
      </c>
      <c r="N61" s="27">
        <v>0</v>
      </c>
      <c r="O61" s="27">
        <v>0</v>
      </c>
      <c r="P61" s="27" t="s">
        <v>133</v>
      </c>
      <c r="Q61" s="27">
        <v>3.257712</v>
      </c>
      <c r="S61" s="27">
        <v>35</v>
      </c>
      <c r="T61" s="27">
        <v>10</v>
      </c>
      <c r="U61" s="27">
        <v>0.7778</v>
      </c>
      <c r="V61" s="27" t="s">
        <v>72</v>
      </c>
      <c r="W61" s="27">
        <v>874.65</v>
      </c>
      <c r="X61" s="27">
        <v>3.583519</v>
      </c>
      <c r="Y61" s="27">
        <v>6.774966</v>
      </c>
      <c r="Z61" s="27">
        <v>3.1623</v>
      </c>
      <c r="AA61" s="27" t="s">
        <v>125</v>
      </c>
      <c r="AB61" s="27">
        <v>0</v>
      </c>
      <c r="AC61" s="27">
        <v>0</v>
      </c>
      <c r="AD61" s="27">
        <v>0</v>
      </c>
      <c r="AE61" s="27">
        <v>0</v>
      </c>
      <c r="AF61" s="27">
        <v>0</v>
      </c>
      <c r="AG61" s="27">
        <v>0</v>
      </c>
      <c r="AH61" s="27">
        <v>0</v>
      </c>
      <c r="AI61" s="27">
        <v>0</v>
      </c>
      <c r="AJ61" s="27">
        <v>0</v>
      </c>
      <c r="AK61" s="27">
        <v>0</v>
      </c>
      <c r="AL61" s="27">
        <v>0</v>
      </c>
      <c r="AM61" s="27">
        <v>0</v>
      </c>
      <c r="AN61" s="27">
        <v>0</v>
      </c>
      <c r="AO61" s="27">
        <v>0</v>
      </c>
      <c r="AP61" s="27">
        <v>0</v>
      </c>
      <c r="AQ61" s="27">
        <v>0</v>
      </c>
      <c r="AR61" s="27">
        <v>0</v>
      </c>
      <c r="AS61" s="27">
        <v>0</v>
      </c>
      <c r="AT61" s="27">
        <v>0</v>
      </c>
      <c r="AU61" s="27">
        <v>1</v>
      </c>
      <c r="AV61" s="27">
        <v>0</v>
      </c>
      <c r="AW61" s="27">
        <v>0</v>
      </c>
      <c r="AX61" s="27">
        <v>0</v>
      </c>
      <c r="AZ61" s="27">
        <v>1</v>
      </c>
      <c r="BA61" s="27">
        <v>0</v>
      </c>
      <c r="BB61" s="27">
        <v>56.43</v>
      </c>
      <c r="BC61" s="27" t="s">
        <v>361</v>
      </c>
      <c r="BD61" s="27" t="s">
        <v>362</v>
      </c>
      <c r="BE61" s="27" t="s">
        <v>363</v>
      </c>
      <c r="BF61" s="27" t="s">
        <v>77</v>
      </c>
      <c r="BG61" s="27">
        <v>168</v>
      </c>
      <c r="BH61" s="27">
        <v>11</v>
      </c>
      <c r="BI61" s="27">
        <v>0.9385</v>
      </c>
      <c r="BJ61" s="27">
        <v>0</v>
      </c>
      <c r="BK61" s="27">
        <v>57</v>
      </c>
      <c r="BL61" s="27">
        <v>84.4</v>
      </c>
    </row>
    <row r="62" customHeight="1" spans="1:64">
      <c r="A62" s="27" t="s">
        <v>364</v>
      </c>
      <c r="B62" s="27" t="s">
        <v>365</v>
      </c>
      <c r="C62" s="27" t="s">
        <v>366</v>
      </c>
      <c r="D62" s="27">
        <v>810010073013</v>
      </c>
      <c r="E62" s="27" t="s">
        <v>255</v>
      </c>
      <c r="F62" s="27" t="s">
        <v>82</v>
      </c>
      <c r="G62" s="27" t="s">
        <v>83</v>
      </c>
      <c r="H62" s="27" t="s">
        <v>84</v>
      </c>
      <c r="I62" s="27" t="s">
        <v>85</v>
      </c>
      <c r="J62" s="27">
        <v>5</v>
      </c>
      <c r="K62" s="27">
        <v>149.99</v>
      </c>
      <c r="M62" s="27">
        <v>0</v>
      </c>
      <c r="N62" s="27">
        <v>0</v>
      </c>
      <c r="O62" s="27">
        <v>0</v>
      </c>
      <c r="P62" s="27" t="s">
        <v>95</v>
      </c>
      <c r="Q62" s="27">
        <v>5.017214</v>
      </c>
      <c r="S62" s="27">
        <v>4</v>
      </c>
      <c r="T62" s="27">
        <v>3</v>
      </c>
      <c r="U62" s="27">
        <v>0.5714</v>
      </c>
      <c r="V62" s="27" t="s">
        <v>87</v>
      </c>
      <c r="W62" s="27">
        <v>599.96</v>
      </c>
      <c r="X62" s="27">
        <v>1.609438</v>
      </c>
      <c r="Y62" s="27">
        <v>6.398528</v>
      </c>
      <c r="Z62" s="27">
        <v>1.7321</v>
      </c>
      <c r="AA62" s="27" t="s">
        <v>125</v>
      </c>
      <c r="AB62" s="27">
        <v>0</v>
      </c>
      <c r="AC62" s="27">
        <v>0</v>
      </c>
      <c r="AD62" s="27">
        <v>0</v>
      </c>
      <c r="AE62" s="27">
        <v>0</v>
      </c>
      <c r="AF62" s="27">
        <v>0</v>
      </c>
      <c r="AG62" s="27">
        <v>1</v>
      </c>
      <c r="AH62" s="27">
        <v>0</v>
      </c>
      <c r="AI62" s="27">
        <v>1</v>
      </c>
      <c r="AJ62" s="27">
        <v>0</v>
      </c>
      <c r="AK62" s="27">
        <v>0</v>
      </c>
      <c r="AL62" s="27">
        <v>0</v>
      </c>
      <c r="AM62" s="27">
        <v>0</v>
      </c>
      <c r="AN62" s="27">
        <v>0</v>
      </c>
      <c r="AO62" s="27">
        <v>0</v>
      </c>
      <c r="AP62" s="27">
        <v>0</v>
      </c>
      <c r="AQ62" s="27">
        <v>0</v>
      </c>
      <c r="AR62" s="27">
        <v>0</v>
      </c>
      <c r="AS62" s="27">
        <v>0</v>
      </c>
      <c r="AT62" s="27">
        <v>0</v>
      </c>
      <c r="AU62" s="27">
        <v>0</v>
      </c>
      <c r="AV62" s="27">
        <v>0</v>
      </c>
      <c r="AW62" s="27">
        <v>0</v>
      </c>
      <c r="AX62" s="27">
        <v>0</v>
      </c>
      <c r="AZ62" s="27">
        <v>1</v>
      </c>
      <c r="BA62" s="27">
        <v>0</v>
      </c>
      <c r="BB62" s="27">
        <v>52.71</v>
      </c>
      <c r="BC62" s="27" t="s">
        <v>367</v>
      </c>
      <c r="BD62" s="27" t="s">
        <v>368</v>
      </c>
      <c r="BE62" s="27" t="s">
        <v>98</v>
      </c>
      <c r="BF62" s="27" t="s">
        <v>77</v>
      </c>
      <c r="BG62" s="27">
        <v>1</v>
      </c>
      <c r="BH62" s="27">
        <v>27</v>
      </c>
      <c r="BI62" s="27">
        <v>0.0357</v>
      </c>
      <c r="BJ62" s="27">
        <v>1</v>
      </c>
      <c r="BK62" s="27">
        <v>2</v>
      </c>
      <c r="BL62" s="27">
        <v>99.5</v>
      </c>
    </row>
    <row r="63" customHeight="1" spans="1:64">
      <c r="A63" s="27" t="s">
        <v>369</v>
      </c>
      <c r="B63" s="27" t="s">
        <v>370</v>
      </c>
      <c r="E63" s="27" t="s">
        <v>371</v>
      </c>
      <c r="F63" s="27" t="s">
        <v>240</v>
      </c>
      <c r="G63" s="27" t="s">
        <v>83</v>
      </c>
      <c r="H63" s="27" t="s">
        <v>84</v>
      </c>
      <c r="I63" s="27" t="s">
        <v>153</v>
      </c>
      <c r="J63" s="27">
        <v>2</v>
      </c>
      <c r="K63" s="27">
        <v>150</v>
      </c>
      <c r="M63" s="27">
        <v>0</v>
      </c>
      <c r="N63" s="27">
        <v>0</v>
      </c>
      <c r="O63" s="27">
        <v>0</v>
      </c>
      <c r="P63" s="27" t="s">
        <v>95</v>
      </c>
      <c r="Q63" s="27">
        <v>5.01728</v>
      </c>
      <c r="T63" s="27">
        <v>4</v>
      </c>
      <c r="U63" s="27">
        <v>0</v>
      </c>
      <c r="V63" s="27" t="s">
        <v>231</v>
      </c>
      <c r="W63" s="27">
        <v>0</v>
      </c>
      <c r="X63" s="27">
        <v>0</v>
      </c>
      <c r="Y63" s="27">
        <v>0</v>
      </c>
      <c r="Z63" s="27">
        <v>2</v>
      </c>
      <c r="AA63" s="27" t="s">
        <v>125</v>
      </c>
      <c r="AB63" s="27">
        <v>0</v>
      </c>
      <c r="AC63" s="27">
        <v>0</v>
      </c>
      <c r="AD63" s="27">
        <v>0</v>
      </c>
      <c r="AE63" s="27">
        <v>0</v>
      </c>
      <c r="AF63" s="27">
        <v>0</v>
      </c>
      <c r="AG63" s="27">
        <v>0</v>
      </c>
      <c r="AH63" s="27">
        <v>0</v>
      </c>
      <c r="AI63" s="27">
        <v>0</v>
      </c>
      <c r="AJ63" s="27">
        <v>0</v>
      </c>
      <c r="AK63" s="27">
        <v>0</v>
      </c>
      <c r="AL63" s="27">
        <v>0</v>
      </c>
      <c r="AM63" s="27">
        <v>0</v>
      </c>
      <c r="AN63" s="27">
        <v>0</v>
      </c>
      <c r="AO63" s="27">
        <v>0</v>
      </c>
      <c r="AP63" s="27">
        <v>0</v>
      </c>
      <c r="AQ63" s="27">
        <v>0</v>
      </c>
      <c r="AR63" s="27">
        <v>0</v>
      </c>
      <c r="AS63" s="27">
        <v>0</v>
      </c>
      <c r="AT63" s="27">
        <v>0</v>
      </c>
      <c r="AU63" s="27">
        <v>0</v>
      </c>
      <c r="AV63" s="27">
        <v>0</v>
      </c>
      <c r="AW63" s="27">
        <v>0</v>
      </c>
      <c r="AX63" s="27">
        <v>0</v>
      </c>
      <c r="AZ63" s="27">
        <v>1</v>
      </c>
      <c r="BA63" s="27">
        <v>0</v>
      </c>
      <c r="BB63" s="27">
        <v>0</v>
      </c>
      <c r="BC63" s="27" t="s">
        <v>372</v>
      </c>
      <c r="BD63" s="27" t="s">
        <v>373</v>
      </c>
      <c r="BE63" s="27" t="s">
        <v>91</v>
      </c>
      <c r="BF63" s="27" t="s">
        <v>77</v>
      </c>
      <c r="BG63" s="27">
        <v>168</v>
      </c>
      <c r="BH63" s="27">
        <v>11</v>
      </c>
      <c r="BI63" s="27">
        <v>0.9385</v>
      </c>
      <c r="BJ63" s="27">
        <v>0</v>
      </c>
    </row>
    <row r="64" customHeight="1" spans="1:64">
      <c r="A64" s="27" t="s">
        <v>374</v>
      </c>
      <c r="B64" s="27" t="s">
        <v>282</v>
      </c>
      <c r="E64" s="27" t="s">
        <v>375</v>
      </c>
      <c r="F64" s="27" t="s">
        <v>160</v>
      </c>
      <c r="G64" s="27" t="s">
        <v>83</v>
      </c>
      <c r="H64" s="27" t="s">
        <v>84</v>
      </c>
      <c r="I64" s="27" t="s">
        <v>85</v>
      </c>
      <c r="J64" s="27">
        <v>5</v>
      </c>
      <c r="K64" s="27">
        <v>339.99</v>
      </c>
      <c r="M64" s="27">
        <v>0</v>
      </c>
      <c r="N64" s="27">
        <v>0</v>
      </c>
      <c r="O64" s="27">
        <v>0</v>
      </c>
      <c r="P64" s="27" t="s">
        <v>71</v>
      </c>
      <c r="Q64" s="27">
        <v>5.831853</v>
      </c>
      <c r="R64" s="27">
        <v>42.5</v>
      </c>
      <c r="S64" s="27">
        <v>26</v>
      </c>
      <c r="T64" s="27">
        <v>10</v>
      </c>
      <c r="U64" s="27">
        <v>0.7222</v>
      </c>
      <c r="V64" s="27" t="s">
        <v>72</v>
      </c>
      <c r="W64" s="27">
        <v>8839.74</v>
      </c>
      <c r="X64" s="27">
        <v>3.295837</v>
      </c>
      <c r="Y64" s="27">
        <v>9.087126</v>
      </c>
      <c r="Z64" s="27">
        <v>3.1623</v>
      </c>
      <c r="AA64" s="27" t="s">
        <v>73</v>
      </c>
      <c r="AB64" s="27">
        <v>1</v>
      </c>
      <c r="AC64" s="27">
        <v>0</v>
      </c>
      <c r="AD64" s="27">
        <v>0</v>
      </c>
      <c r="AE64" s="27">
        <v>0</v>
      </c>
      <c r="AF64" s="27">
        <v>0</v>
      </c>
      <c r="AG64" s="27">
        <v>1</v>
      </c>
      <c r="AH64" s="27">
        <v>0</v>
      </c>
      <c r="AI64" s="27">
        <v>1</v>
      </c>
      <c r="AJ64" s="27">
        <v>0</v>
      </c>
      <c r="AK64" s="27">
        <v>0</v>
      </c>
      <c r="AL64" s="27">
        <v>1</v>
      </c>
      <c r="AM64" s="27">
        <v>1</v>
      </c>
      <c r="AN64" s="27">
        <v>0</v>
      </c>
      <c r="AO64" s="27">
        <v>0</v>
      </c>
      <c r="AP64" s="27">
        <v>0</v>
      </c>
      <c r="AQ64" s="27">
        <v>1</v>
      </c>
      <c r="AR64" s="27">
        <v>0</v>
      </c>
      <c r="AS64" s="27">
        <v>0</v>
      </c>
      <c r="AT64" s="27">
        <v>0</v>
      </c>
      <c r="AU64" s="27">
        <v>0</v>
      </c>
      <c r="AV64" s="27">
        <v>1</v>
      </c>
      <c r="AW64" s="27">
        <v>1</v>
      </c>
      <c r="AX64" s="27">
        <v>0</v>
      </c>
      <c r="AY64" s="27">
        <v>8</v>
      </c>
      <c r="AZ64" s="27">
        <v>1</v>
      </c>
      <c r="BA64" s="27">
        <v>3</v>
      </c>
      <c r="BB64" s="27">
        <v>58.23</v>
      </c>
      <c r="BC64" s="27" t="s">
        <v>285</v>
      </c>
      <c r="BD64" s="27" t="s">
        <v>286</v>
      </c>
      <c r="BE64" s="27" t="s">
        <v>287</v>
      </c>
      <c r="BF64" s="27" t="s">
        <v>77</v>
      </c>
      <c r="BG64" s="27">
        <v>1</v>
      </c>
      <c r="BH64" s="27">
        <v>20</v>
      </c>
      <c r="BI64" s="27">
        <v>0.0476</v>
      </c>
      <c r="BJ64" s="27">
        <v>1</v>
      </c>
      <c r="BK64" s="27">
        <v>8</v>
      </c>
      <c r="BL64" s="27">
        <v>97.8</v>
      </c>
    </row>
    <row r="65" customHeight="1" spans="1:64">
      <c r="A65" s="27" t="s">
        <v>376</v>
      </c>
      <c r="B65" s="27" t="s">
        <v>377</v>
      </c>
      <c r="E65" s="27" t="s">
        <v>378</v>
      </c>
      <c r="F65" s="27" t="s">
        <v>132</v>
      </c>
      <c r="G65" s="27" t="s">
        <v>117</v>
      </c>
      <c r="H65" s="27" t="s">
        <v>84</v>
      </c>
      <c r="I65" s="27" t="s">
        <v>85</v>
      </c>
      <c r="J65" s="27">
        <v>5</v>
      </c>
      <c r="K65" s="27">
        <v>7.95</v>
      </c>
      <c r="M65" s="27">
        <v>0</v>
      </c>
      <c r="N65" s="27">
        <v>0</v>
      </c>
      <c r="O65" s="27">
        <v>0</v>
      </c>
      <c r="P65" s="27" t="s">
        <v>133</v>
      </c>
      <c r="Q65" s="27">
        <v>2.191654</v>
      </c>
      <c r="S65" s="27">
        <v>39</v>
      </c>
      <c r="T65" s="27">
        <v>10</v>
      </c>
      <c r="U65" s="27">
        <v>0.7959</v>
      </c>
      <c r="V65" s="27" t="s">
        <v>72</v>
      </c>
      <c r="W65" s="27">
        <v>310.05</v>
      </c>
      <c r="X65" s="27">
        <v>3.688879</v>
      </c>
      <c r="Y65" s="27">
        <v>5.739954</v>
      </c>
      <c r="Z65" s="27">
        <v>3.1623</v>
      </c>
      <c r="AA65" s="27" t="s">
        <v>125</v>
      </c>
      <c r="AB65" s="27">
        <v>0</v>
      </c>
      <c r="AC65" s="27">
        <v>0</v>
      </c>
      <c r="AD65" s="27">
        <v>0</v>
      </c>
      <c r="AE65" s="27">
        <v>0</v>
      </c>
      <c r="AF65" s="27">
        <v>0</v>
      </c>
      <c r="AG65" s="27">
        <v>0</v>
      </c>
      <c r="AH65" s="27">
        <v>0</v>
      </c>
      <c r="AI65" s="27">
        <v>0</v>
      </c>
      <c r="AJ65" s="27">
        <v>0</v>
      </c>
      <c r="AK65" s="27">
        <v>0</v>
      </c>
      <c r="AL65" s="27">
        <v>0</v>
      </c>
      <c r="AM65" s="27">
        <v>0</v>
      </c>
      <c r="AN65" s="27">
        <v>0</v>
      </c>
      <c r="AO65" s="27">
        <v>0</v>
      </c>
      <c r="AP65" s="27">
        <v>0</v>
      </c>
      <c r="AQ65" s="27">
        <v>0</v>
      </c>
      <c r="AR65" s="27">
        <v>0</v>
      </c>
      <c r="AS65" s="27">
        <v>1</v>
      </c>
      <c r="AT65" s="27">
        <v>0</v>
      </c>
      <c r="AU65" s="27">
        <v>0</v>
      </c>
      <c r="AV65" s="27">
        <v>0</v>
      </c>
      <c r="AW65" s="27">
        <v>0</v>
      </c>
      <c r="AX65" s="27">
        <v>0</v>
      </c>
      <c r="AZ65" s="27">
        <v>1</v>
      </c>
      <c r="BA65" s="27">
        <v>0</v>
      </c>
      <c r="BB65" s="27">
        <v>31.84</v>
      </c>
      <c r="BC65" s="27" t="s">
        <v>379</v>
      </c>
      <c r="BD65" s="27" t="s">
        <v>380</v>
      </c>
      <c r="BE65" s="27" t="s">
        <v>381</v>
      </c>
      <c r="BF65" s="27" t="s">
        <v>382</v>
      </c>
      <c r="BG65" s="27">
        <v>1</v>
      </c>
      <c r="BH65" s="27">
        <v>16</v>
      </c>
      <c r="BI65" s="27">
        <v>0.0588</v>
      </c>
      <c r="BJ65" s="27">
        <v>1</v>
      </c>
    </row>
    <row r="66" customHeight="1" spans="1:64">
      <c r="A66" s="27" t="s">
        <v>383</v>
      </c>
      <c r="B66" s="27" t="s">
        <v>384</v>
      </c>
      <c r="E66" s="27" t="s">
        <v>250</v>
      </c>
      <c r="F66" s="27" t="s">
        <v>160</v>
      </c>
      <c r="G66" s="27" t="s">
        <v>83</v>
      </c>
      <c r="H66" s="27" t="s">
        <v>84</v>
      </c>
      <c r="I66" s="27" t="s">
        <v>85</v>
      </c>
      <c r="J66" s="27">
        <v>5</v>
      </c>
      <c r="K66" s="27">
        <v>299.69</v>
      </c>
      <c r="L66" s="27">
        <v>332.99</v>
      </c>
      <c r="M66" s="27">
        <v>10</v>
      </c>
      <c r="N66" s="27">
        <v>33.3</v>
      </c>
      <c r="O66" s="27">
        <v>1</v>
      </c>
      <c r="P66" s="27" t="s">
        <v>71</v>
      </c>
      <c r="Q66" s="27">
        <v>5.70608</v>
      </c>
      <c r="R66" s="27">
        <v>29.97</v>
      </c>
      <c r="S66" s="27">
        <v>15</v>
      </c>
      <c r="T66" s="27">
        <v>10</v>
      </c>
      <c r="U66" s="27">
        <v>0.6</v>
      </c>
      <c r="V66" s="27" t="s">
        <v>72</v>
      </c>
      <c r="W66" s="27">
        <v>4495.35</v>
      </c>
      <c r="X66" s="27">
        <v>2.772589</v>
      </c>
      <c r="Y66" s="27">
        <v>8.411021</v>
      </c>
      <c r="Z66" s="27">
        <v>3.1623</v>
      </c>
      <c r="AA66" s="27" t="s">
        <v>313</v>
      </c>
      <c r="AB66" s="27">
        <v>0</v>
      </c>
      <c r="AC66" s="27">
        <v>0</v>
      </c>
      <c r="AD66" s="27">
        <v>0</v>
      </c>
      <c r="AE66" s="27">
        <v>0</v>
      </c>
      <c r="AF66" s="27">
        <v>0</v>
      </c>
      <c r="AG66" s="27">
        <v>0</v>
      </c>
      <c r="AH66" s="27">
        <v>1</v>
      </c>
      <c r="AI66" s="27">
        <v>0</v>
      </c>
      <c r="AJ66" s="27">
        <v>0</v>
      </c>
      <c r="AK66" s="27">
        <v>0</v>
      </c>
      <c r="AL66" s="27">
        <v>0</v>
      </c>
      <c r="AM66" s="27">
        <v>0</v>
      </c>
      <c r="AN66" s="27">
        <v>0</v>
      </c>
      <c r="AO66" s="27">
        <v>0</v>
      </c>
      <c r="AP66" s="27">
        <v>0</v>
      </c>
      <c r="AQ66" s="27">
        <v>1</v>
      </c>
      <c r="AR66" s="27">
        <v>0</v>
      </c>
      <c r="AS66" s="27">
        <v>0</v>
      </c>
      <c r="AT66" s="27">
        <v>1</v>
      </c>
      <c r="AU66" s="27">
        <v>0</v>
      </c>
      <c r="AV66" s="27">
        <v>1</v>
      </c>
      <c r="AW66" s="27">
        <v>1</v>
      </c>
      <c r="AX66" s="27">
        <v>0</v>
      </c>
      <c r="AY66" s="27">
        <v>10</v>
      </c>
      <c r="AZ66" s="27">
        <v>1</v>
      </c>
      <c r="BA66" s="27">
        <v>2</v>
      </c>
      <c r="BB66" s="27">
        <v>56.76</v>
      </c>
      <c r="BC66" s="27" t="s">
        <v>385</v>
      </c>
      <c r="BD66" s="27" t="s">
        <v>386</v>
      </c>
      <c r="BE66" s="27" t="s">
        <v>226</v>
      </c>
      <c r="BF66" s="27" t="s">
        <v>77</v>
      </c>
      <c r="BG66" s="27">
        <v>1</v>
      </c>
      <c r="BH66" s="27">
        <v>28</v>
      </c>
      <c r="BI66" s="27">
        <v>0.0345</v>
      </c>
      <c r="BJ66" s="27">
        <v>1</v>
      </c>
      <c r="BK66" s="27">
        <v>3</v>
      </c>
      <c r="BL66" s="27">
        <v>99.2</v>
      </c>
    </row>
    <row r="67" customHeight="1" spans="1:64">
      <c r="A67" s="27" t="s">
        <v>387</v>
      </c>
      <c r="B67" s="27" t="s">
        <v>171</v>
      </c>
      <c r="C67" s="27" t="s">
        <v>388</v>
      </c>
      <c r="E67" s="27" t="s">
        <v>173</v>
      </c>
      <c r="F67" s="27" t="s">
        <v>160</v>
      </c>
      <c r="G67" s="27" t="s">
        <v>83</v>
      </c>
      <c r="H67" s="27" t="s">
        <v>84</v>
      </c>
      <c r="I67" s="27" t="s">
        <v>85</v>
      </c>
      <c r="J67" s="27">
        <v>5</v>
      </c>
      <c r="K67" s="27">
        <v>274.99</v>
      </c>
      <c r="L67" s="27">
        <v>499.99</v>
      </c>
      <c r="M67" s="27">
        <v>45</v>
      </c>
      <c r="N67" s="27">
        <v>225</v>
      </c>
      <c r="O67" s="27">
        <v>1</v>
      </c>
      <c r="P67" s="27" t="s">
        <v>71</v>
      </c>
      <c r="Q67" s="27">
        <v>5.620365</v>
      </c>
      <c r="R67" s="27">
        <v>34.37</v>
      </c>
      <c r="S67" s="27">
        <v>35</v>
      </c>
      <c r="T67" s="27">
        <v>10</v>
      </c>
      <c r="U67" s="27">
        <v>0.7778</v>
      </c>
      <c r="V67" s="27" t="s">
        <v>72</v>
      </c>
      <c r="W67" s="27">
        <v>9624.65</v>
      </c>
      <c r="X67" s="27">
        <v>3.583519</v>
      </c>
      <c r="Y67" s="27">
        <v>9.172187</v>
      </c>
      <c r="Z67" s="27">
        <v>3.1623</v>
      </c>
      <c r="AA67" s="27" t="s">
        <v>73</v>
      </c>
      <c r="AB67" s="27">
        <v>1</v>
      </c>
      <c r="AC67" s="27">
        <v>1</v>
      </c>
      <c r="AD67" s="27">
        <v>0</v>
      </c>
      <c r="AE67" s="27">
        <v>0</v>
      </c>
      <c r="AF67" s="27">
        <v>0</v>
      </c>
      <c r="AG67" s="27">
        <v>1</v>
      </c>
      <c r="AH67" s="27">
        <v>0</v>
      </c>
      <c r="AI67" s="27">
        <v>1</v>
      </c>
      <c r="AJ67" s="27">
        <v>0</v>
      </c>
      <c r="AK67" s="27">
        <v>0</v>
      </c>
      <c r="AL67" s="27">
        <v>0</v>
      </c>
      <c r="AM67" s="27">
        <v>0</v>
      </c>
      <c r="AN67" s="27">
        <v>0</v>
      </c>
      <c r="AO67" s="27">
        <v>0</v>
      </c>
      <c r="AP67" s="27">
        <v>0</v>
      </c>
      <c r="AQ67" s="27">
        <v>1</v>
      </c>
      <c r="AR67" s="27">
        <v>0</v>
      </c>
      <c r="AS67" s="27">
        <v>0</v>
      </c>
      <c r="AT67" s="27">
        <v>1</v>
      </c>
      <c r="AU67" s="27">
        <v>0</v>
      </c>
      <c r="AV67" s="27">
        <v>1</v>
      </c>
      <c r="AW67" s="27">
        <v>1</v>
      </c>
      <c r="AX67" s="27">
        <v>0</v>
      </c>
      <c r="AY67" s="27">
        <v>8</v>
      </c>
      <c r="AZ67" s="27">
        <v>1</v>
      </c>
      <c r="BA67" s="27">
        <v>3</v>
      </c>
      <c r="BB67" s="27">
        <v>73.8</v>
      </c>
      <c r="BC67" s="27" t="s">
        <v>174</v>
      </c>
      <c r="BD67" s="27" t="s">
        <v>175</v>
      </c>
      <c r="BE67" s="27" t="s">
        <v>91</v>
      </c>
      <c r="BF67" s="27" t="s">
        <v>77</v>
      </c>
      <c r="BG67" s="27">
        <v>161</v>
      </c>
      <c r="BH67" s="27">
        <v>61</v>
      </c>
      <c r="BI67" s="27">
        <v>0.7252</v>
      </c>
      <c r="BJ67" s="27">
        <v>0</v>
      </c>
      <c r="BK67" s="27">
        <v>10</v>
      </c>
      <c r="BL67" s="27">
        <v>97.3</v>
      </c>
    </row>
    <row r="68" customHeight="1" spans="1:64">
      <c r="A68" s="27" t="s">
        <v>389</v>
      </c>
      <c r="B68" s="27" t="s">
        <v>125</v>
      </c>
      <c r="E68" s="27" t="s">
        <v>390</v>
      </c>
      <c r="F68" s="27" t="s">
        <v>240</v>
      </c>
      <c r="G68" s="27" t="s">
        <v>83</v>
      </c>
      <c r="H68" s="27" t="s">
        <v>138</v>
      </c>
      <c r="I68" s="27" t="s">
        <v>85</v>
      </c>
      <c r="J68" s="27">
        <v>5</v>
      </c>
      <c r="K68" s="27">
        <v>29.98</v>
      </c>
      <c r="M68" s="27">
        <v>0</v>
      </c>
      <c r="N68" s="27">
        <v>0</v>
      </c>
      <c r="O68" s="27">
        <v>0</v>
      </c>
      <c r="P68" s="27" t="s">
        <v>86</v>
      </c>
      <c r="Q68" s="27">
        <v>3.433342</v>
      </c>
      <c r="S68" s="27">
        <v>34</v>
      </c>
      <c r="T68" s="27">
        <v>10</v>
      </c>
      <c r="U68" s="27">
        <v>0.7727</v>
      </c>
      <c r="V68" s="27" t="s">
        <v>72</v>
      </c>
      <c r="W68" s="27">
        <v>1019.32</v>
      </c>
      <c r="X68" s="27">
        <v>3.555348</v>
      </c>
      <c r="Y68" s="27">
        <v>6.927872</v>
      </c>
      <c r="Z68" s="27">
        <v>3.1623</v>
      </c>
      <c r="AA68" s="27" t="s">
        <v>125</v>
      </c>
      <c r="AB68" s="27">
        <v>0</v>
      </c>
      <c r="AC68" s="27">
        <v>0</v>
      </c>
      <c r="AD68" s="27">
        <v>0</v>
      </c>
      <c r="AE68" s="27">
        <v>0</v>
      </c>
      <c r="AF68" s="27">
        <v>0</v>
      </c>
      <c r="AG68" s="27">
        <v>0</v>
      </c>
      <c r="AH68" s="27">
        <v>0</v>
      </c>
      <c r="AI68" s="27">
        <v>0</v>
      </c>
      <c r="AJ68" s="27">
        <v>0</v>
      </c>
      <c r="AK68" s="27">
        <v>0</v>
      </c>
      <c r="AL68" s="27">
        <v>0</v>
      </c>
      <c r="AM68" s="27">
        <v>0</v>
      </c>
      <c r="AN68" s="27">
        <v>0</v>
      </c>
      <c r="AO68" s="27">
        <v>0</v>
      </c>
      <c r="AP68" s="27">
        <v>0</v>
      </c>
      <c r="AQ68" s="27">
        <v>1</v>
      </c>
      <c r="AR68" s="27">
        <v>0</v>
      </c>
      <c r="AS68" s="27">
        <v>0</v>
      </c>
      <c r="AT68" s="27">
        <v>0</v>
      </c>
      <c r="AU68" s="27">
        <v>0</v>
      </c>
      <c r="AV68" s="27">
        <v>1</v>
      </c>
      <c r="AW68" s="27">
        <v>0</v>
      </c>
      <c r="AX68" s="27">
        <v>0</v>
      </c>
      <c r="AZ68" s="27">
        <v>1</v>
      </c>
      <c r="BA68" s="27">
        <v>1</v>
      </c>
      <c r="BB68" s="27">
        <v>60.76</v>
      </c>
      <c r="BC68" s="27" t="s">
        <v>391</v>
      </c>
      <c r="BD68" s="27" t="s">
        <v>392</v>
      </c>
      <c r="BE68" s="27" t="s">
        <v>393</v>
      </c>
      <c r="BF68" s="27" t="s">
        <v>77</v>
      </c>
      <c r="BG68" s="27">
        <v>1</v>
      </c>
      <c r="BH68" s="27">
        <v>226</v>
      </c>
      <c r="BI68" s="27">
        <v>0.0044</v>
      </c>
      <c r="BJ68" s="27">
        <v>1</v>
      </c>
      <c r="BK68" s="27">
        <v>2</v>
      </c>
      <c r="BL68" s="27">
        <v>99.5</v>
      </c>
    </row>
    <row r="69" customHeight="1" spans="1:64">
      <c r="A69" s="27" t="s">
        <v>394</v>
      </c>
      <c r="B69" s="27" t="s">
        <v>115</v>
      </c>
      <c r="C69" s="27" t="s">
        <v>395</v>
      </c>
      <c r="D69" s="27">
        <v>840268930653</v>
      </c>
      <c r="E69" s="27" t="s">
        <v>81</v>
      </c>
      <c r="F69" s="27" t="s">
        <v>68</v>
      </c>
      <c r="G69" s="27" t="s">
        <v>117</v>
      </c>
      <c r="H69" s="27" t="s">
        <v>107</v>
      </c>
      <c r="I69" s="27" t="s">
        <v>85</v>
      </c>
      <c r="J69" s="27">
        <v>5</v>
      </c>
      <c r="K69" s="27">
        <v>199.99</v>
      </c>
      <c r="M69" s="27">
        <v>0</v>
      </c>
      <c r="N69" s="27">
        <v>0</v>
      </c>
      <c r="O69" s="27">
        <v>0</v>
      </c>
      <c r="P69" s="27" t="s">
        <v>95</v>
      </c>
      <c r="Q69" s="27">
        <v>5.303255</v>
      </c>
      <c r="V69" s="27" t="s">
        <v>231</v>
      </c>
      <c r="W69" s="27">
        <v>0</v>
      </c>
      <c r="X69" s="27">
        <v>0</v>
      </c>
      <c r="Y69" s="27">
        <v>0</v>
      </c>
      <c r="Z69" s="27">
        <v>0</v>
      </c>
      <c r="AA69" s="27" t="s">
        <v>125</v>
      </c>
      <c r="AB69" s="27">
        <v>0</v>
      </c>
      <c r="AC69" s="27">
        <v>0</v>
      </c>
      <c r="AD69" s="27">
        <v>0</v>
      </c>
      <c r="AE69" s="27">
        <v>0</v>
      </c>
      <c r="AF69" s="27">
        <v>1</v>
      </c>
      <c r="AG69" s="27">
        <v>0</v>
      </c>
      <c r="AH69" s="27">
        <v>0</v>
      </c>
      <c r="AI69" s="27">
        <v>0</v>
      </c>
      <c r="AJ69" s="27">
        <v>0</v>
      </c>
      <c r="AK69" s="27">
        <v>0</v>
      </c>
      <c r="AL69" s="27">
        <v>0</v>
      </c>
      <c r="AM69" s="27">
        <v>0</v>
      </c>
      <c r="AN69" s="27">
        <v>0</v>
      </c>
      <c r="AO69" s="27">
        <v>0</v>
      </c>
      <c r="AP69" s="27">
        <v>1</v>
      </c>
      <c r="AQ69" s="27">
        <v>0</v>
      </c>
      <c r="AR69" s="27">
        <v>0</v>
      </c>
      <c r="AS69" s="27">
        <v>0</v>
      </c>
      <c r="AT69" s="27">
        <v>1</v>
      </c>
      <c r="AU69" s="27">
        <v>0</v>
      </c>
      <c r="AV69" s="27">
        <v>0</v>
      </c>
      <c r="AW69" s="27">
        <v>1</v>
      </c>
      <c r="AX69" s="27">
        <v>0</v>
      </c>
      <c r="AZ69" s="27">
        <v>1</v>
      </c>
      <c r="BA69" s="27">
        <v>0</v>
      </c>
      <c r="BB69" s="27">
        <v>0</v>
      </c>
      <c r="BC69" s="27" t="s">
        <v>396</v>
      </c>
      <c r="BD69" s="27" t="s">
        <v>397</v>
      </c>
      <c r="BE69" s="27" t="s">
        <v>398</v>
      </c>
      <c r="BF69" s="27" t="s">
        <v>77</v>
      </c>
      <c r="BG69" s="27">
        <v>1</v>
      </c>
      <c r="BH69" s="27">
        <v>11</v>
      </c>
      <c r="BI69" s="27">
        <v>0.0833</v>
      </c>
      <c r="BJ69" s="27">
        <v>1</v>
      </c>
    </row>
    <row r="70" customHeight="1" spans="1:64">
      <c r="A70" s="27" t="s">
        <v>399</v>
      </c>
      <c r="B70" s="27" t="s">
        <v>245</v>
      </c>
      <c r="C70" s="27" t="s">
        <v>400</v>
      </c>
      <c r="E70" s="27" t="s">
        <v>250</v>
      </c>
      <c r="F70" s="27" t="s">
        <v>160</v>
      </c>
      <c r="G70" s="27" t="s">
        <v>83</v>
      </c>
      <c r="H70" s="27" t="s">
        <v>84</v>
      </c>
      <c r="I70" s="27" t="s">
        <v>85</v>
      </c>
      <c r="J70" s="27">
        <v>5</v>
      </c>
      <c r="K70" s="27">
        <v>119.99</v>
      </c>
      <c r="M70" s="27">
        <v>0</v>
      </c>
      <c r="N70" s="27">
        <v>0</v>
      </c>
      <c r="O70" s="27">
        <v>0</v>
      </c>
      <c r="P70" s="27" t="s">
        <v>95</v>
      </c>
      <c r="Q70" s="27">
        <v>4.795708</v>
      </c>
      <c r="R70" s="27">
        <v>15</v>
      </c>
      <c r="S70" s="27">
        <v>67</v>
      </c>
      <c r="T70" s="27">
        <v>100</v>
      </c>
      <c r="U70" s="27">
        <v>0.4012</v>
      </c>
      <c r="V70" s="27" t="s">
        <v>72</v>
      </c>
      <c r="W70" s="27">
        <v>8039.33</v>
      </c>
      <c r="X70" s="27">
        <v>4.219508</v>
      </c>
      <c r="Y70" s="27">
        <v>8.992225</v>
      </c>
      <c r="Z70" s="27">
        <v>10</v>
      </c>
      <c r="AA70" s="27" t="s">
        <v>73</v>
      </c>
      <c r="AB70" s="27">
        <v>0</v>
      </c>
      <c r="AC70" s="27">
        <v>0</v>
      </c>
      <c r="AD70" s="27">
        <v>0</v>
      </c>
      <c r="AE70" s="27">
        <v>0</v>
      </c>
      <c r="AF70" s="27">
        <v>0</v>
      </c>
      <c r="AG70" s="27">
        <v>1</v>
      </c>
      <c r="AH70" s="27">
        <v>0</v>
      </c>
      <c r="AI70" s="27">
        <v>1</v>
      </c>
      <c r="AJ70" s="27">
        <v>0</v>
      </c>
      <c r="AK70" s="27">
        <v>0</v>
      </c>
      <c r="AL70" s="27">
        <v>1</v>
      </c>
      <c r="AM70" s="27">
        <v>1</v>
      </c>
      <c r="AN70" s="27">
        <v>1</v>
      </c>
      <c r="AO70" s="27">
        <v>0</v>
      </c>
      <c r="AP70" s="27">
        <v>0</v>
      </c>
      <c r="AQ70" s="27">
        <v>1</v>
      </c>
      <c r="AR70" s="27">
        <v>0</v>
      </c>
      <c r="AS70" s="27">
        <v>0</v>
      </c>
      <c r="AT70" s="27">
        <v>0</v>
      </c>
      <c r="AU70" s="27">
        <v>0</v>
      </c>
      <c r="AV70" s="27">
        <v>1</v>
      </c>
      <c r="AW70" s="27">
        <v>1</v>
      </c>
      <c r="AX70" s="27">
        <v>0</v>
      </c>
      <c r="AY70" s="27">
        <v>8</v>
      </c>
      <c r="AZ70" s="27">
        <v>1</v>
      </c>
      <c r="BA70" s="27">
        <v>3</v>
      </c>
      <c r="BB70" s="27">
        <v>45.57</v>
      </c>
      <c r="BC70" s="27" t="s">
        <v>251</v>
      </c>
      <c r="BD70" s="27" t="s">
        <v>175</v>
      </c>
      <c r="BE70" s="27" t="s">
        <v>91</v>
      </c>
      <c r="BF70" s="27" t="s">
        <v>77</v>
      </c>
      <c r="BG70" s="27">
        <v>161</v>
      </c>
      <c r="BH70" s="27">
        <v>61</v>
      </c>
      <c r="BI70" s="27">
        <v>0.7252</v>
      </c>
      <c r="BJ70" s="27">
        <v>0</v>
      </c>
      <c r="BK70" s="27">
        <v>6</v>
      </c>
      <c r="BL70" s="27">
        <v>98.4</v>
      </c>
    </row>
    <row r="71" customHeight="1" spans="1:64">
      <c r="A71" s="27" t="s">
        <v>401</v>
      </c>
      <c r="B71" s="27" t="s">
        <v>104</v>
      </c>
      <c r="C71" s="27" t="s">
        <v>402</v>
      </c>
      <c r="D71" s="27">
        <v>194644293987</v>
      </c>
      <c r="E71" s="27" t="s">
        <v>81</v>
      </c>
      <c r="F71" s="27" t="s">
        <v>82</v>
      </c>
      <c r="G71" s="27" t="s">
        <v>106</v>
      </c>
      <c r="H71" s="27" t="s">
        <v>107</v>
      </c>
      <c r="I71" s="27" t="s">
        <v>108</v>
      </c>
      <c r="J71" s="27">
        <v>3</v>
      </c>
      <c r="K71" s="27">
        <v>24.99</v>
      </c>
      <c r="L71" s="27">
        <v>29.99</v>
      </c>
      <c r="M71" s="27">
        <v>16.67</v>
      </c>
      <c r="N71" s="27">
        <v>5</v>
      </c>
      <c r="O71" s="27">
        <v>1</v>
      </c>
      <c r="P71" s="27" t="s">
        <v>133</v>
      </c>
      <c r="Q71" s="27">
        <v>3.257712</v>
      </c>
      <c r="S71" s="27">
        <v>2762</v>
      </c>
      <c r="T71" s="27">
        <v>4</v>
      </c>
      <c r="U71" s="27">
        <v>0.9986</v>
      </c>
      <c r="V71" s="27" t="s">
        <v>109</v>
      </c>
      <c r="W71" s="27">
        <v>69022.38</v>
      </c>
      <c r="X71" s="27">
        <v>7.924072</v>
      </c>
      <c r="Y71" s="27">
        <v>11.142201</v>
      </c>
      <c r="Z71" s="27">
        <v>2</v>
      </c>
      <c r="AA71" s="27" t="s">
        <v>139</v>
      </c>
      <c r="AB71" s="27">
        <v>1</v>
      </c>
      <c r="AC71" s="27">
        <v>0</v>
      </c>
      <c r="AD71" s="27">
        <v>0</v>
      </c>
      <c r="AE71" s="27">
        <v>0</v>
      </c>
      <c r="AF71" s="27">
        <v>0</v>
      </c>
      <c r="AG71" s="27">
        <v>0</v>
      </c>
      <c r="AH71" s="27">
        <v>0</v>
      </c>
      <c r="AI71" s="27">
        <v>0</v>
      </c>
      <c r="AJ71" s="27">
        <v>0</v>
      </c>
      <c r="AK71" s="27">
        <v>1</v>
      </c>
      <c r="AL71" s="27">
        <v>0</v>
      </c>
      <c r="AM71" s="27">
        <v>0</v>
      </c>
      <c r="AN71" s="27">
        <v>0</v>
      </c>
      <c r="AO71" s="27">
        <v>0</v>
      </c>
      <c r="AP71" s="27">
        <v>0</v>
      </c>
      <c r="AQ71" s="27">
        <v>0</v>
      </c>
      <c r="AR71" s="27">
        <v>0</v>
      </c>
      <c r="AS71" s="27">
        <v>0</v>
      </c>
      <c r="AT71" s="27">
        <v>0</v>
      </c>
      <c r="AU71" s="27">
        <v>1</v>
      </c>
      <c r="AV71" s="27">
        <v>0</v>
      </c>
      <c r="AW71" s="27">
        <v>0</v>
      </c>
      <c r="AX71" s="27">
        <v>1</v>
      </c>
      <c r="AZ71" s="27">
        <v>1</v>
      </c>
      <c r="BA71" s="27">
        <v>2</v>
      </c>
      <c r="BB71" s="27">
        <v>74.8</v>
      </c>
      <c r="BC71" s="27" t="s">
        <v>111</v>
      </c>
      <c r="BD71" s="27" t="s">
        <v>112</v>
      </c>
      <c r="BE71" s="27" t="s">
        <v>113</v>
      </c>
      <c r="BF71" s="27" t="s">
        <v>77</v>
      </c>
      <c r="BG71" s="27">
        <v>162</v>
      </c>
      <c r="BH71" s="27">
        <v>24</v>
      </c>
      <c r="BI71" s="27">
        <v>0.871</v>
      </c>
      <c r="BJ71" s="27">
        <v>0</v>
      </c>
      <c r="BK71" s="27">
        <v>2</v>
      </c>
      <c r="BL71" s="27">
        <v>99.5</v>
      </c>
    </row>
    <row r="72" customHeight="1" spans="1:64">
      <c r="A72" s="27" t="s">
        <v>403</v>
      </c>
      <c r="B72" s="27" t="s">
        <v>404</v>
      </c>
      <c r="E72" s="27" t="s">
        <v>131</v>
      </c>
      <c r="F72" s="27" t="s">
        <v>132</v>
      </c>
      <c r="G72" s="27" t="s">
        <v>83</v>
      </c>
      <c r="H72" s="27" t="s">
        <v>84</v>
      </c>
      <c r="I72" s="27" t="s">
        <v>85</v>
      </c>
      <c r="J72" s="27">
        <v>5</v>
      </c>
      <c r="K72" s="27">
        <v>9.99</v>
      </c>
      <c r="M72" s="27">
        <v>0</v>
      </c>
      <c r="N72" s="27">
        <v>0</v>
      </c>
      <c r="O72" s="27">
        <v>0</v>
      </c>
      <c r="P72" s="27" t="s">
        <v>133</v>
      </c>
      <c r="Q72" s="27">
        <v>2.396986</v>
      </c>
      <c r="S72" s="27">
        <v>952</v>
      </c>
      <c r="T72" s="27">
        <v>10</v>
      </c>
      <c r="U72" s="27">
        <v>0.9896</v>
      </c>
      <c r="V72" s="27" t="s">
        <v>154</v>
      </c>
      <c r="W72" s="27">
        <v>9510.48</v>
      </c>
      <c r="X72" s="27">
        <v>6.859615</v>
      </c>
      <c r="Y72" s="27">
        <v>9.160255</v>
      </c>
      <c r="Z72" s="27">
        <v>3.1623</v>
      </c>
      <c r="AA72" s="27" t="s">
        <v>125</v>
      </c>
      <c r="AB72" s="27">
        <v>0</v>
      </c>
      <c r="AC72" s="27">
        <v>0</v>
      </c>
      <c r="AD72" s="27">
        <v>0</v>
      </c>
      <c r="AE72" s="27">
        <v>0</v>
      </c>
      <c r="AF72" s="27">
        <v>0</v>
      </c>
      <c r="AG72" s="27">
        <v>0</v>
      </c>
      <c r="AH72" s="27">
        <v>1</v>
      </c>
      <c r="AI72" s="27">
        <v>0</v>
      </c>
      <c r="AJ72" s="27">
        <v>0</v>
      </c>
      <c r="AK72" s="27">
        <v>0</v>
      </c>
      <c r="AL72" s="27">
        <v>0</v>
      </c>
      <c r="AM72" s="27">
        <v>0</v>
      </c>
      <c r="AN72" s="27">
        <v>0</v>
      </c>
      <c r="AO72" s="27">
        <v>0</v>
      </c>
      <c r="AP72" s="27">
        <v>0</v>
      </c>
      <c r="AQ72" s="27">
        <v>0</v>
      </c>
      <c r="AR72" s="27">
        <v>0</v>
      </c>
      <c r="AS72" s="27">
        <v>0</v>
      </c>
      <c r="AT72" s="27">
        <v>0</v>
      </c>
      <c r="AU72" s="27">
        <v>0</v>
      </c>
      <c r="AV72" s="27">
        <v>0</v>
      </c>
      <c r="AW72" s="27">
        <v>0</v>
      </c>
      <c r="AX72" s="27">
        <v>0</v>
      </c>
      <c r="AZ72" s="27">
        <v>1</v>
      </c>
      <c r="BA72" s="27">
        <v>1</v>
      </c>
      <c r="BB72" s="27">
        <v>61.21</v>
      </c>
      <c r="BC72" s="27" t="s">
        <v>405</v>
      </c>
      <c r="BD72" s="27" t="s">
        <v>406</v>
      </c>
      <c r="BE72" s="27" t="s">
        <v>407</v>
      </c>
      <c r="BF72" s="27" t="s">
        <v>77</v>
      </c>
      <c r="BG72" s="27">
        <v>163</v>
      </c>
      <c r="BH72" s="27">
        <v>59</v>
      </c>
      <c r="BI72" s="27">
        <v>0.7342</v>
      </c>
      <c r="BJ72" s="27">
        <v>0</v>
      </c>
      <c r="BK72" s="27">
        <v>102</v>
      </c>
      <c r="BL72" s="27">
        <v>72.1</v>
      </c>
    </row>
    <row r="73" customHeight="1" spans="1:64">
      <c r="A73" s="27" t="s">
        <v>408</v>
      </c>
      <c r="B73" s="27" t="s">
        <v>125</v>
      </c>
      <c r="E73" s="27" t="s">
        <v>250</v>
      </c>
      <c r="F73" s="27" t="s">
        <v>82</v>
      </c>
      <c r="G73" s="27" t="s">
        <v>83</v>
      </c>
      <c r="H73" s="27" t="s">
        <v>138</v>
      </c>
      <c r="I73" s="27" t="s">
        <v>85</v>
      </c>
      <c r="J73" s="27">
        <v>5</v>
      </c>
      <c r="K73" s="27">
        <v>27.99</v>
      </c>
      <c r="M73" s="27">
        <v>0</v>
      </c>
      <c r="N73" s="27">
        <v>0</v>
      </c>
      <c r="O73" s="27">
        <v>0</v>
      </c>
      <c r="P73" s="27" t="s">
        <v>86</v>
      </c>
      <c r="Q73" s="27">
        <v>3.366951</v>
      </c>
      <c r="S73" s="27">
        <v>123</v>
      </c>
      <c r="T73" s="27">
        <v>72</v>
      </c>
      <c r="U73" s="27">
        <v>0.6308</v>
      </c>
      <c r="V73" s="27" t="s">
        <v>72</v>
      </c>
      <c r="W73" s="27">
        <v>3442.77</v>
      </c>
      <c r="X73" s="27">
        <v>4.820282</v>
      </c>
      <c r="Y73" s="27">
        <v>8.144322</v>
      </c>
      <c r="Z73" s="27">
        <v>8.4853</v>
      </c>
      <c r="AA73" s="27" t="s">
        <v>88</v>
      </c>
      <c r="AB73" s="27">
        <v>1</v>
      </c>
      <c r="AC73" s="27">
        <v>0</v>
      </c>
      <c r="AD73" s="27">
        <v>0</v>
      </c>
      <c r="AE73" s="27">
        <v>0</v>
      </c>
      <c r="AF73" s="27">
        <v>0</v>
      </c>
      <c r="AG73" s="27">
        <v>1</v>
      </c>
      <c r="AH73" s="27">
        <v>0</v>
      </c>
      <c r="AI73" s="27">
        <v>1</v>
      </c>
      <c r="AJ73" s="27">
        <v>0</v>
      </c>
      <c r="AK73" s="27">
        <v>0</v>
      </c>
      <c r="AL73" s="27">
        <v>0</v>
      </c>
      <c r="AM73" s="27">
        <v>0</v>
      </c>
      <c r="AN73" s="27">
        <v>0</v>
      </c>
      <c r="AO73" s="27">
        <v>0</v>
      </c>
      <c r="AP73" s="27">
        <v>0</v>
      </c>
      <c r="AQ73" s="27">
        <v>0</v>
      </c>
      <c r="AR73" s="27">
        <v>0</v>
      </c>
      <c r="AS73" s="27">
        <v>0</v>
      </c>
      <c r="AT73" s="27">
        <v>1</v>
      </c>
      <c r="AU73" s="27">
        <v>1</v>
      </c>
      <c r="AV73" s="27">
        <v>0</v>
      </c>
      <c r="AW73" s="27">
        <v>0</v>
      </c>
      <c r="AX73" s="27">
        <v>0</v>
      </c>
      <c r="AZ73" s="27">
        <v>1</v>
      </c>
      <c r="BA73" s="27">
        <v>1</v>
      </c>
      <c r="BB73" s="27">
        <v>53.43</v>
      </c>
      <c r="BC73" s="27" t="s">
        <v>409</v>
      </c>
      <c r="BD73" s="27" t="s">
        <v>410</v>
      </c>
      <c r="BE73" s="27" t="s">
        <v>407</v>
      </c>
      <c r="BF73" s="27" t="s">
        <v>77</v>
      </c>
      <c r="BG73" s="27">
        <v>162</v>
      </c>
      <c r="BH73" s="27">
        <v>19</v>
      </c>
      <c r="BI73" s="27">
        <v>0.895</v>
      </c>
      <c r="BJ73" s="27">
        <v>0</v>
      </c>
      <c r="BK73" s="27">
        <v>22</v>
      </c>
      <c r="BL73" s="27">
        <v>94</v>
      </c>
    </row>
    <row r="74" customHeight="1" spans="1:64">
      <c r="A74" s="27" t="s">
        <v>411</v>
      </c>
      <c r="B74" s="27" t="s">
        <v>245</v>
      </c>
      <c r="C74" s="27" t="s">
        <v>412</v>
      </c>
      <c r="E74" s="27" t="s">
        <v>413</v>
      </c>
      <c r="F74" s="27" t="s">
        <v>160</v>
      </c>
      <c r="G74" s="27" t="s">
        <v>83</v>
      </c>
      <c r="H74" s="27" t="s">
        <v>84</v>
      </c>
      <c r="I74" s="27" t="s">
        <v>85</v>
      </c>
      <c r="J74" s="27">
        <v>5</v>
      </c>
      <c r="K74" s="27">
        <v>69.99</v>
      </c>
      <c r="M74" s="27">
        <v>0</v>
      </c>
      <c r="N74" s="27">
        <v>0</v>
      </c>
      <c r="O74" s="27">
        <v>0</v>
      </c>
      <c r="P74" s="27" t="s">
        <v>86</v>
      </c>
      <c r="Q74" s="27">
        <v>4.262539</v>
      </c>
      <c r="R74" s="27">
        <v>4.37</v>
      </c>
      <c r="S74" s="27">
        <v>708</v>
      </c>
      <c r="T74" s="27">
        <v>100</v>
      </c>
      <c r="U74" s="27">
        <v>0.8762</v>
      </c>
      <c r="V74" s="27" t="s">
        <v>154</v>
      </c>
      <c r="W74" s="27">
        <v>49552.92</v>
      </c>
      <c r="X74" s="27">
        <v>6.563856</v>
      </c>
      <c r="Y74" s="27">
        <v>10.810817</v>
      </c>
      <c r="Z74" s="27">
        <v>10</v>
      </c>
      <c r="AA74" s="27" t="s">
        <v>291</v>
      </c>
      <c r="AB74" s="27">
        <v>0</v>
      </c>
      <c r="AC74" s="27">
        <v>0</v>
      </c>
      <c r="AD74" s="27">
        <v>0</v>
      </c>
      <c r="AE74" s="27">
        <v>0</v>
      </c>
      <c r="AF74" s="27">
        <v>0</v>
      </c>
      <c r="AG74" s="27">
        <v>0</v>
      </c>
      <c r="AH74" s="27">
        <v>1</v>
      </c>
      <c r="AI74" s="27">
        <v>0</v>
      </c>
      <c r="AJ74" s="27">
        <v>0</v>
      </c>
      <c r="AK74" s="27">
        <v>0</v>
      </c>
      <c r="AL74" s="27">
        <v>0</v>
      </c>
      <c r="AM74" s="27">
        <v>0</v>
      </c>
      <c r="AN74" s="27">
        <v>1</v>
      </c>
      <c r="AO74" s="27">
        <v>0</v>
      </c>
      <c r="AP74" s="27">
        <v>0</v>
      </c>
      <c r="AQ74" s="27">
        <v>1</v>
      </c>
      <c r="AR74" s="27">
        <v>0</v>
      </c>
      <c r="AS74" s="27">
        <v>0</v>
      </c>
      <c r="AT74" s="27">
        <v>0</v>
      </c>
      <c r="AU74" s="27">
        <v>0</v>
      </c>
      <c r="AV74" s="27">
        <v>1</v>
      </c>
      <c r="AW74" s="27">
        <v>1</v>
      </c>
      <c r="AX74" s="27">
        <v>0</v>
      </c>
      <c r="AY74" s="27">
        <v>16</v>
      </c>
      <c r="AZ74" s="27">
        <v>1</v>
      </c>
      <c r="BA74" s="27">
        <v>3</v>
      </c>
      <c r="BB74" s="27">
        <v>64.39</v>
      </c>
      <c r="BC74" s="27" t="s">
        <v>251</v>
      </c>
      <c r="BD74" s="27" t="s">
        <v>175</v>
      </c>
      <c r="BE74" s="27" t="s">
        <v>91</v>
      </c>
      <c r="BF74" s="27" t="s">
        <v>77</v>
      </c>
      <c r="BG74" s="27">
        <v>161</v>
      </c>
      <c r="BH74" s="27">
        <v>61</v>
      </c>
      <c r="BI74" s="27">
        <v>0.7252</v>
      </c>
      <c r="BJ74" s="27">
        <v>0</v>
      </c>
      <c r="BK74" s="27">
        <v>8</v>
      </c>
      <c r="BL74" s="27">
        <v>97.8</v>
      </c>
    </row>
    <row r="75" customHeight="1" spans="1:64">
      <c r="A75" s="27" t="s">
        <v>414</v>
      </c>
      <c r="B75" s="27" t="s">
        <v>93</v>
      </c>
      <c r="E75" s="27" t="s">
        <v>415</v>
      </c>
      <c r="F75" s="27" t="s">
        <v>82</v>
      </c>
      <c r="G75" s="27" t="s">
        <v>93</v>
      </c>
      <c r="H75" s="27" t="s">
        <v>69</v>
      </c>
      <c r="I75" s="27" t="s">
        <v>85</v>
      </c>
      <c r="J75" s="27">
        <v>5</v>
      </c>
      <c r="K75" s="27">
        <v>139.99</v>
      </c>
      <c r="M75" s="27">
        <v>0</v>
      </c>
      <c r="N75" s="27">
        <v>0</v>
      </c>
      <c r="O75" s="27">
        <v>0</v>
      </c>
      <c r="P75" s="27" t="s">
        <v>95</v>
      </c>
      <c r="Q75" s="27">
        <v>4.948689</v>
      </c>
      <c r="S75" s="27">
        <v>64</v>
      </c>
      <c r="T75" s="27">
        <v>9</v>
      </c>
      <c r="U75" s="27">
        <v>0.8767</v>
      </c>
      <c r="V75" s="27" t="s">
        <v>72</v>
      </c>
      <c r="W75" s="27">
        <v>8959.36</v>
      </c>
      <c r="X75" s="27">
        <v>4.174387</v>
      </c>
      <c r="Y75" s="27">
        <v>9.100566</v>
      </c>
      <c r="Z75" s="27">
        <v>3</v>
      </c>
      <c r="AA75" s="27" t="s">
        <v>73</v>
      </c>
      <c r="AB75" s="27">
        <v>1</v>
      </c>
      <c r="AC75" s="27">
        <v>1</v>
      </c>
      <c r="AD75" s="27">
        <v>0</v>
      </c>
      <c r="AE75" s="27">
        <v>0</v>
      </c>
      <c r="AF75" s="27">
        <v>0</v>
      </c>
      <c r="AG75" s="27">
        <v>1</v>
      </c>
      <c r="AH75" s="27">
        <v>1</v>
      </c>
      <c r="AI75" s="27">
        <v>0</v>
      </c>
      <c r="AJ75" s="27">
        <v>0</v>
      </c>
      <c r="AK75" s="27">
        <v>0</v>
      </c>
      <c r="AL75" s="27">
        <v>0</v>
      </c>
      <c r="AM75" s="27">
        <v>0</v>
      </c>
      <c r="AN75" s="27">
        <v>0</v>
      </c>
      <c r="AO75" s="27">
        <v>0</v>
      </c>
      <c r="AP75" s="27">
        <v>0</v>
      </c>
      <c r="AQ75" s="27">
        <v>0</v>
      </c>
      <c r="AR75" s="27">
        <v>0</v>
      </c>
      <c r="AS75" s="27">
        <v>0</v>
      </c>
      <c r="AT75" s="27">
        <v>0</v>
      </c>
      <c r="AU75" s="27">
        <v>0</v>
      </c>
      <c r="AV75" s="27">
        <v>0</v>
      </c>
      <c r="AW75" s="27">
        <v>0</v>
      </c>
      <c r="AX75" s="27">
        <v>0</v>
      </c>
      <c r="AZ75" s="27">
        <v>1</v>
      </c>
      <c r="BA75" s="27">
        <v>3</v>
      </c>
      <c r="BB75" s="27">
        <v>64.92</v>
      </c>
      <c r="BC75" s="27" t="s">
        <v>96</v>
      </c>
      <c r="BD75" s="27" t="s">
        <v>97</v>
      </c>
      <c r="BE75" s="27" t="s">
        <v>98</v>
      </c>
      <c r="BF75" s="27" t="s">
        <v>77</v>
      </c>
      <c r="BG75" s="27">
        <v>1</v>
      </c>
      <c r="BH75" s="27">
        <v>28</v>
      </c>
      <c r="BI75" s="27">
        <v>0.0345</v>
      </c>
      <c r="BJ75" s="27">
        <v>1</v>
      </c>
      <c r="BK75" s="27">
        <v>2</v>
      </c>
      <c r="BL75" s="27">
        <v>99.5</v>
      </c>
    </row>
    <row r="76" customHeight="1" spans="1:64">
      <c r="A76" s="27" t="s">
        <v>416</v>
      </c>
      <c r="B76" s="27" t="s">
        <v>115</v>
      </c>
      <c r="C76" s="27" t="s">
        <v>417</v>
      </c>
      <c r="D76" s="27">
        <v>840414626881</v>
      </c>
      <c r="E76" s="27" t="s">
        <v>116</v>
      </c>
      <c r="F76" s="27" t="s">
        <v>82</v>
      </c>
      <c r="G76" s="27" t="s">
        <v>117</v>
      </c>
      <c r="H76" s="27" t="s">
        <v>107</v>
      </c>
      <c r="I76" s="27" t="s">
        <v>85</v>
      </c>
      <c r="J76" s="27">
        <v>5</v>
      </c>
      <c r="K76" s="27">
        <v>185</v>
      </c>
      <c r="M76" s="27">
        <v>0</v>
      </c>
      <c r="N76" s="27">
        <v>0</v>
      </c>
      <c r="O76" s="27">
        <v>0</v>
      </c>
      <c r="P76" s="27" t="s">
        <v>95</v>
      </c>
      <c r="Q76" s="27">
        <v>5.225747</v>
      </c>
      <c r="S76" s="27">
        <v>36</v>
      </c>
      <c r="T76" s="27">
        <v>4</v>
      </c>
      <c r="U76" s="27">
        <v>0.9</v>
      </c>
      <c r="V76" s="27" t="s">
        <v>72</v>
      </c>
      <c r="W76" s="27">
        <v>6660</v>
      </c>
      <c r="X76" s="27">
        <v>3.610918</v>
      </c>
      <c r="Y76" s="27">
        <v>8.804025</v>
      </c>
      <c r="Z76" s="27">
        <v>2</v>
      </c>
      <c r="AA76" s="27" t="s">
        <v>73</v>
      </c>
      <c r="AB76" s="27">
        <v>0</v>
      </c>
      <c r="AC76" s="27">
        <v>0</v>
      </c>
      <c r="AD76" s="27">
        <v>0</v>
      </c>
      <c r="AE76" s="27">
        <v>0</v>
      </c>
      <c r="AF76" s="27">
        <v>0</v>
      </c>
      <c r="AG76" s="27">
        <v>1</v>
      </c>
      <c r="AH76" s="27">
        <v>0</v>
      </c>
      <c r="AI76" s="27">
        <v>0</v>
      </c>
      <c r="AJ76" s="27">
        <v>0</v>
      </c>
      <c r="AK76" s="27">
        <v>0</v>
      </c>
      <c r="AL76" s="27">
        <v>0</v>
      </c>
      <c r="AM76" s="27">
        <v>0</v>
      </c>
      <c r="AN76" s="27">
        <v>0</v>
      </c>
      <c r="AO76" s="27">
        <v>0</v>
      </c>
      <c r="AP76" s="27">
        <v>1</v>
      </c>
      <c r="AQ76" s="27">
        <v>0</v>
      </c>
      <c r="AR76" s="27">
        <v>0</v>
      </c>
      <c r="AS76" s="27">
        <v>0</v>
      </c>
      <c r="AT76" s="27">
        <v>0</v>
      </c>
      <c r="AU76" s="27">
        <v>0</v>
      </c>
      <c r="AV76" s="27">
        <v>0</v>
      </c>
      <c r="AW76" s="27">
        <v>0</v>
      </c>
      <c r="AX76" s="27">
        <v>0</v>
      </c>
      <c r="AZ76" s="27">
        <v>1</v>
      </c>
      <c r="BA76" s="27">
        <v>0</v>
      </c>
      <c r="BB76" s="27">
        <v>65.67</v>
      </c>
      <c r="BC76" s="27" t="s">
        <v>418</v>
      </c>
      <c r="BD76" s="27" t="s">
        <v>150</v>
      </c>
      <c r="BE76" s="27" t="s">
        <v>136</v>
      </c>
      <c r="BF76" s="27" t="s">
        <v>77</v>
      </c>
      <c r="BG76" s="27">
        <v>168</v>
      </c>
      <c r="BH76" s="27">
        <v>11</v>
      </c>
      <c r="BI76" s="27">
        <v>0.9385</v>
      </c>
      <c r="BJ76" s="27">
        <v>0</v>
      </c>
      <c r="BK76" s="27">
        <v>4</v>
      </c>
      <c r="BL76" s="27">
        <v>98.9</v>
      </c>
    </row>
    <row r="77" customHeight="1" spans="1:64">
      <c r="A77" s="27" t="s">
        <v>419</v>
      </c>
      <c r="B77" s="27" t="s">
        <v>100</v>
      </c>
      <c r="D77" s="27">
        <v>769230880102</v>
      </c>
      <c r="E77" s="27" t="s">
        <v>209</v>
      </c>
      <c r="F77" s="27" t="s">
        <v>160</v>
      </c>
      <c r="G77" s="27" t="s">
        <v>83</v>
      </c>
      <c r="H77" s="27" t="s">
        <v>102</v>
      </c>
      <c r="I77" s="27" t="s">
        <v>85</v>
      </c>
      <c r="J77" s="27">
        <v>5</v>
      </c>
      <c r="K77" s="27">
        <v>128.99</v>
      </c>
      <c r="M77" s="27">
        <v>0</v>
      </c>
      <c r="N77" s="27">
        <v>0</v>
      </c>
      <c r="O77" s="27">
        <v>0</v>
      </c>
      <c r="P77" s="27" t="s">
        <v>95</v>
      </c>
      <c r="Q77" s="27">
        <v>4.867458</v>
      </c>
      <c r="S77" s="27">
        <v>66</v>
      </c>
      <c r="T77" s="27">
        <v>10</v>
      </c>
      <c r="U77" s="27">
        <v>0.8684</v>
      </c>
      <c r="V77" s="27" t="s">
        <v>72</v>
      </c>
      <c r="W77" s="27">
        <v>8513.34</v>
      </c>
      <c r="X77" s="27">
        <v>4.204693</v>
      </c>
      <c r="Y77" s="27">
        <v>9.049507</v>
      </c>
      <c r="Z77" s="27">
        <v>3.1623</v>
      </c>
      <c r="AA77" s="27" t="s">
        <v>125</v>
      </c>
      <c r="AB77" s="27">
        <v>0</v>
      </c>
      <c r="AC77" s="27">
        <v>0</v>
      </c>
      <c r="AD77" s="27">
        <v>0</v>
      </c>
      <c r="AE77" s="27">
        <v>1</v>
      </c>
      <c r="AF77" s="27">
        <v>1</v>
      </c>
      <c r="AG77" s="27">
        <v>0</v>
      </c>
      <c r="AH77" s="27">
        <v>1</v>
      </c>
      <c r="AI77" s="27">
        <v>0</v>
      </c>
      <c r="AJ77" s="27">
        <v>0</v>
      </c>
      <c r="AK77" s="27">
        <v>0</v>
      </c>
      <c r="AL77" s="27">
        <v>0</v>
      </c>
      <c r="AM77" s="27">
        <v>0</v>
      </c>
      <c r="AN77" s="27">
        <v>0</v>
      </c>
      <c r="AO77" s="27">
        <v>0</v>
      </c>
      <c r="AP77" s="27">
        <v>0</v>
      </c>
      <c r="AQ77" s="27">
        <v>0</v>
      </c>
      <c r="AR77" s="27">
        <v>0</v>
      </c>
      <c r="AS77" s="27">
        <v>0</v>
      </c>
      <c r="AT77" s="27">
        <v>1</v>
      </c>
      <c r="AU77" s="27">
        <v>0</v>
      </c>
      <c r="AV77" s="27">
        <v>0</v>
      </c>
      <c r="AW77" s="27">
        <v>1</v>
      </c>
      <c r="AX77" s="27">
        <v>0</v>
      </c>
      <c r="AZ77" s="27">
        <v>4</v>
      </c>
      <c r="BA77" s="27">
        <v>2</v>
      </c>
      <c r="BB77" s="27">
        <v>64.59</v>
      </c>
      <c r="BC77" s="27" t="s">
        <v>89</v>
      </c>
      <c r="BD77" s="27" t="s">
        <v>420</v>
      </c>
      <c r="BE77" s="27" t="s">
        <v>113</v>
      </c>
      <c r="BF77" s="27" t="s">
        <v>77</v>
      </c>
      <c r="BG77" s="27">
        <v>162</v>
      </c>
      <c r="BH77" s="27">
        <v>59</v>
      </c>
      <c r="BI77" s="27">
        <v>0.733</v>
      </c>
      <c r="BJ77" s="27">
        <v>0</v>
      </c>
      <c r="BK77" s="27">
        <v>2</v>
      </c>
      <c r="BL77" s="27">
        <v>99.5</v>
      </c>
    </row>
    <row r="78" customHeight="1" spans="1:64">
      <c r="A78" s="27" t="s">
        <v>421</v>
      </c>
      <c r="B78" s="27" t="s">
        <v>171</v>
      </c>
      <c r="C78" s="27" t="s">
        <v>422</v>
      </c>
      <c r="E78" s="27" t="s">
        <v>255</v>
      </c>
      <c r="F78" s="27" t="s">
        <v>160</v>
      </c>
      <c r="G78" s="27" t="s">
        <v>83</v>
      </c>
      <c r="H78" s="27" t="s">
        <v>84</v>
      </c>
      <c r="I78" s="27" t="s">
        <v>85</v>
      </c>
      <c r="J78" s="27">
        <v>5</v>
      </c>
      <c r="K78" s="27">
        <v>139.79</v>
      </c>
      <c r="L78" s="27">
        <v>236.93</v>
      </c>
      <c r="M78" s="27">
        <v>41</v>
      </c>
      <c r="N78" s="27">
        <v>97.14</v>
      </c>
      <c r="O78" s="27">
        <v>1</v>
      </c>
      <c r="P78" s="27" t="s">
        <v>95</v>
      </c>
      <c r="Q78" s="27">
        <v>4.947269</v>
      </c>
      <c r="R78" s="27">
        <v>17.47</v>
      </c>
      <c r="S78" s="27">
        <v>6</v>
      </c>
      <c r="T78" s="27">
        <v>12</v>
      </c>
      <c r="U78" s="27">
        <v>0.3333</v>
      </c>
      <c r="V78" s="27" t="s">
        <v>87</v>
      </c>
      <c r="W78" s="27">
        <v>838.74</v>
      </c>
      <c r="X78" s="27">
        <v>1.94591</v>
      </c>
      <c r="Y78" s="27">
        <v>6.733092</v>
      </c>
      <c r="Z78" s="27">
        <v>3.4641</v>
      </c>
      <c r="AA78" s="27" t="s">
        <v>73</v>
      </c>
      <c r="AB78" s="27">
        <v>0</v>
      </c>
      <c r="AC78" s="27">
        <v>0</v>
      </c>
      <c r="AD78" s="27">
        <v>0</v>
      </c>
      <c r="AE78" s="27">
        <v>0</v>
      </c>
      <c r="AF78" s="27">
        <v>0</v>
      </c>
      <c r="AG78" s="27">
        <v>1</v>
      </c>
      <c r="AH78" s="27">
        <v>0</v>
      </c>
      <c r="AI78" s="27">
        <v>1</v>
      </c>
      <c r="AJ78" s="27">
        <v>0</v>
      </c>
      <c r="AK78" s="27">
        <v>0</v>
      </c>
      <c r="AL78" s="27">
        <v>0</v>
      </c>
      <c r="AM78" s="27">
        <v>1</v>
      </c>
      <c r="AN78" s="27">
        <v>0</v>
      </c>
      <c r="AO78" s="27">
        <v>0</v>
      </c>
      <c r="AP78" s="27">
        <v>0</v>
      </c>
      <c r="AQ78" s="27">
        <v>1</v>
      </c>
      <c r="AR78" s="27">
        <v>0</v>
      </c>
      <c r="AS78" s="27">
        <v>0</v>
      </c>
      <c r="AT78" s="27">
        <v>0</v>
      </c>
      <c r="AU78" s="27">
        <v>0</v>
      </c>
      <c r="AV78" s="27">
        <v>1</v>
      </c>
      <c r="AW78" s="27">
        <v>1</v>
      </c>
      <c r="AX78" s="27">
        <v>0</v>
      </c>
      <c r="AY78" s="27">
        <v>8</v>
      </c>
      <c r="AZ78" s="27">
        <v>1</v>
      </c>
      <c r="BA78" s="27">
        <v>2</v>
      </c>
      <c r="BB78" s="27">
        <v>50.53</v>
      </c>
      <c r="BC78" s="27" t="s">
        <v>251</v>
      </c>
      <c r="BD78" s="27" t="s">
        <v>356</v>
      </c>
      <c r="BE78" s="27" t="s">
        <v>423</v>
      </c>
      <c r="BF78" s="27" t="s">
        <v>77</v>
      </c>
      <c r="BG78" s="27">
        <v>161</v>
      </c>
      <c r="BH78" s="27">
        <v>61</v>
      </c>
      <c r="BI78" s="27">
        <v>0.7252</v>
      </c>
      <c r="BJ78" s="27">
        <v>0</v>
      </c>
      <c r="BK78" s="27">
        <v>62</v>
      </c>
      <c r="BL78" s="27">
        <v>83</v>
      </c>
    </row>
    <row r="79" customHeight="1" spans="1:64">
      <c r="A79" s="27" t="s">
        <v>424</v>
      </c>
      <c r="B79" s="27" t="s">
        <v>125</v>
      </c>
      <c r="C79" s="27" t="s">
        <v>425</v>
      </c>
      <c r="E79" s="27" t="s">
        <v>426</v>
      </c>
      <c r="F79" s="27" t="s">
        <v>132</v>
      </c>
      <c r="G79" s="27" t="s">
        <v>427</v>
      </c>
      <c r="H79" s="27" t="s">
        <v>138</v>
      </c>
      <c r="I79" s="27" t="s">
        <v>85</v>
      </c>
      <c r="J79" s="27">
        <v>5</v>
      </c>
      <c r="K79" s="27">
        <v>41.99</v>
      </c>
      <c r="M79" s="27">
        <v>0</v>
      </c>
      <c r="N79" s="27">
        <v>0</v>
      </c>
      <c r="O79" s="27">
        <v>0</v>
      </c>
      <c r="P79" s="27" t="s">
        <v>86</v>
      </c>
      <c r="Q79" s="27">
        <v>3.760968</v>
      </c>
      <c r="S79" s="27">
        <v>107</v>
      </c>
      <c r="T79" s="27">
        <v>10</v>
      </c>
      <c r="U79" s="27">
        <v>0.9145</v>
      </c>
      <c r="V79" s="27" t="s">
        <v>72</v>
      </c>
      <c r="W79" s="27">
        <v>4492.93</v>
      </c>
      <c r="X79" s="27">
        <v>4.682131</v>
      </c>
      <c r="Y79" s="27">
        <v>8.410483</v>
      </c>
      <c r="Z79" s="27">
        <v>3.1623</v>
      </c>
      <c r="AA79" s="27" t="s">
        <v>125</v>
      </c>
      <c r="AB79" s="27">
        <v>0</v>
      </c>
      <c r="AC79" s="27">
        <v>0</v>
      </c>
      <c r="AD79" s="27">
        <v>0</v>
      </c>
      <c r="AE79" s="27">
        <v>0</v>
      </c>
      <c r="AF79" s="27">
        <v>1</v>
      </c>
      <c r="AG79" s="27">
        <v>0</v>
      </c>
      <c r="AH79" s="27">
        <v>0</v>
      </c>
      <c r="AI79" s="27">
        <v>0</v>
      </c>
      <c r="AJ79" s="27">
        <v>0</v>
      </c>
      <c r="AK79" s="27">
        <v>0</v>
      </c>
      <c r="AL79" s="27">
        <v>0</v>
      </c>
      <c r="AM79" s="27">
        <v>0</v>
      </c>
      <c r="AN79" s="27">
        <v>0</v>
      </c>
      <c r="AO79" s="27">
        <v>0</v>
      </c>
      <c r="AP79" s="27">
        <v>0</v>
      </c>
      <c r="AQ79" s="27">
        <v>0</v>
      </c>
      <c r="AR79" s="27">
        <v>0</v>
      </c>
      <c r="AS79" s="27">
        <v>0</v>
      </c>
      <c r="AT79" s="27">
        <v>0</v>
      </c>
      <c r="AU79" s="27">
        <v>0</v>
      </c>
      <c r="AV79" s="27">
        <v>0</v>
      </c>
      <c r="AW79" s="27">
        <v>1</v>
      </c>
      <c r="AX79" s="27">
        <v>0</v>
      </c>
      <c r="AZ79" s="27">
        <v>2</v>
      </c>
      <c r="BA79" s="27">
        <v>0</v>
      </c>
      <c r="BB79" s="27">
        <v>66.25</v>
      </c>
      <c r="BC79" s="27" t="s">
        <v>428</v>
      </c>
      <c r="BD79" s="27" t="s">
        <v>225</v>
      </c>
      <c r="BE79" s="27" t="s">
        <v>226</v>
      </c>
      <c r="BF79" s="27" t="s">
        <v>77</v>
      </c>
      <c r="BG79" s="27">
        <v>1</v>
      </c>
      <c r="BH79" s="27">
        <v>14</v>
      </c>
      <c r="BI79" s="27">
        <v>0.0667</v>
      </c>
      <c r="BJ79" s="27">
        <v>1</v>
      </c>
      <c r="BK79" s="27">
        <v>4</v>
      </c>
      <c r="BL79" s="27">
        <v>98.9</v>
      </c>
    </row>
    <row r="80" customHeight="1" spans="1:64">
      <c r="A80" s="27" t="s">
        <v>429</v>
      </c>
      <c r="B80" s="27" t="s">
        <v>427</v>
      </c>
      <c r="C80" s="27" t="s">
        <v>430</v>
      </c>
      <c r="D80" s="27">
        <v>193108148504</v>
      </c>
      <c r="E80" s="27" t="s">
        <v>81</v>
      </c>
      <c r="F80" s="27" t="s">
        <v>82</v>
      </c>
      <c r="G80" s="27" t="s">
        <v>427</v>
      </c>
      <c r="H80" s="27" t="s">
        <v>107</v>
      </c>
      <c r="I80" s="27" t="s">
        <v>85</v>
      </c>
      <c r="J80" s="27">
        <v>5</v>
      </c>
      <c r="K80" s="27">
        <v>59.97</v>
      </c>
      <c r="M80" s="27">
        <v>0</v>
      </c>
      <c r="N80" s="27">
        <v>0</v>
      </c>
      <c r="O80" s="27">
        <v>0</v>
      </c>
      <c r="P80" s="27" t="s">
        <v>86</v>
      </c>
      <c r="Q80" s="27">
        <v>4.110382</v>
      </c>
      <c r="S80" s="27">
        <v>2</v>
      </c>
      <c r="T80" s="27">
        <v>1</v>
      </c>
      <c r="U80" s="27">
        <v>0.6667</v>
      </c>
      <c r="V80" s="27" t="s">
        <v>87</v>
      </c>
      <c r="W80" s="27">
        <v>119.94</v>
      </c>
      <c r="X80" s="27">
        <v>1.098612</v>
      </c>
      <c r="Y80" s="27">
        <v>4.795295</v>
      </c>
      <c r="Z80" s="27">
        <v>1</v>
      </c>
      <c r="AA80" s="27" t="s">
        <v>187</v>
      </c>
      <c r="AB80" s="27">
        <v>0</v>
      </c>
      <c r="AC80" s="27">
        <v>0</v>
      </c>
      <c r="AD80" s="27">
        <v>0</v>
      </c>
      <c r="AE80" s="27">
        <v>0</v>
      </c>
      <c r="AF80" s="27">
        <v>0</v>
      </c>
      <c r="AG80" s="27">
        <v>0</v>
      </c>
      <c r="AH80" s="27">
        <v>0</v>
      </c>
      <c r="AI80" s="27">
        <v>0</v>
      </c>
      <c r="AJ80" s="27">
        <v>0</v>
      </c>
      <c r="AK80" s="27">
        <v>1</v>
      </c>
      <c r="AL80" s="27">
        <v>0</v>
      </c>
      <c r="AM80" s="27">
        <v>0</v>
      </c>
      <c r="AN80" s="27">
        <v>0</v>
      </c>
      <c r="AO80" s="27">
        <v>0</v>
      </c>
      <c r="AP80" s="27">
        <v>0</v>
      </c>
      <c r="AQ80" s="27">
        <v>0</v>
      </c>
      <c r="AR80" s="27">
        <v>0</v>
      </c>
      <c r="AS80" s="27">
        <v>0</v>
      </c>
      <c r="AT80" s="27">
        <v>0</v>
      </c>
      <c r="AU80" s="27">
        <v>1</v>
      </c>
      <c r="AV80" s="27">
        <v>0</v>
      </c>
      <c r="AW80" s="27">
        <v>0</v>
      </c>
      <c r="AX80" s="27">
        <v>0</v>
      </c>
      <c r="AZ80" s="27">
        <v>1</v>
      </c>
      <c r="BA80" s="27">
        <v>1</v>
      </c>
      <c r="BB80" s="27">
        <v>56.01</v>
      </c>
      <c r="BC80" s="27" t="s">
        <v>431</v>
      </c>
      <c r="BG80" s="27">
        <v>0</v>
      </c>
      <c r="BH80" s="27">
        <v>0</v>
      </c>
      <c r="BJ80" s="27">
        <v>0</v>
      </c>
      <c r="BK80" s="27">
        <v>8</v>
      </c>
      <c r="BL80" s="27">
        <v>97.8</v>
      </c>
    </row>
    <row r="81" customHeight="1" spans="1:64">
      <c r="A81" s="27" t="s">
        <v>432</v>
      </c>
      <c r="B81" s="27" t="s">
        <v>171</v>
      </c>
      <c r="C81" s="27" t="s">
        <v>433</v>
      </c>
      <c r="E81" s="27" t="s">
        <v>434</v>
      </c>
      <c r="F81" s="27" t="s">
        <v>160</v>
      </c>
      <c r="G81" s="27" t="s">
        <v>83</v>
      </c>
      <c r="H81" s="27" t="s">
        <v>84</v>
      </c>
      <c r="I81" s="27" t="s">
        <v>85</v>
      </c>
      <c r="J81" s="27">
        <v>5</v>
      </c>
      <c r="K81" s="27">
        <v>107.99</v>
      </c>
      <c r="L81" s="27">
        <v>179.99</v>
      </c>
      <c r="M81" s="27">
        <v>40</v>
      </c>
      <c r="N81" s="27">
        <v>72</v>
      </c>
      <c r="O81" s="27">
        <v>1</v>
      </c>
      <c r="P81" s="27" t="s">
        <v>95</v>
      </c>
      <c r="Q81" s="27">
        <v>4.691256</v>
      </c>
      <c r="R81" s="27">
        <v>6.75</v>
      </c>
      <c r="S81" s="27">
        <v>77</v>
      </c>
      <c r="T81" s="27">
        <v>10</v>
      </c>
      <c r="U81" s="27">
        <v>0.8851</v>
      </c>
      <c r="V81" s="27" t="s">
        <v>72</v>
      </c>
      <c r="W81" s="27">
        <v>8315.23</v>
      </c>
      <c r="X81" s="27">
        <v>4.356709</v>
      </c>
      <c r="Y81" s="27">
        <v>9.025964</v>
      </c>
      <c r="Z81" s="27">
        <v>3.1623</v>
      </c>
      <c r="AA81" s="27" t="s">
        <v>73</v>
      </c>
      <c r="AB81" s="27">
        <v>0</v>
      </c>
      <c r="AC81" s="27">
        <v>0</v>
      </c>
      <c r="AD81" s="27">
        <v>0</v>
      </c>
      <c r="AE81" s="27">
        <v>0</v>
      </c>
      <c r="AF81" s="27">
        <v>0</v>
      </c>
      <c r="AG81" s="27">
        <v>0</v>
      </c>
      <c r="AH81" s="27">
        <v>0</v>
      </c>
      <c r="AI81" s="27">
        <v>0</v>
      </c>
      <c r="AJ81" s="27">
        <v>0</v>
      </c>
      <c r="AK81" s="27">
        <v>0</v>
      </c>
      <c r="AL81" s="27">
        <v>0</v>
      </c>
      <c r="AM81" s="27">
        <v>0</v>
      </c>
      <c r="AN81" s="27">
        <v>0</v>
      </c>
      <c r="AO81" s="27">
        <v>0</v>
      </c>
      <c r="AP81" s="27">
        <v>0</v>
      </c>
      <c r="AQ81" s="27">
        <v>1</v>
      </c>
      <c r="AR81" s="27">
        <v>0</v>
      </c>
      <c r="AS81" s="27">
        <v>0</v>
      </c>
      <c r="AT81" s="27">
        <v>0</v>
      </c>
      <c r="AU81" s="27">
        <v>0</v>
      </c>
      <c r="AV81" s="27">
        <v>1</v>
      </c>
      <c r="AW81" s="27">
        <v>1</v>
      </c>
      <c r="AX81" s="27">
        <v>0</v>
      </c>
      <c r="AY81" s="27">
        <v>16</v>
      </c>
      <c r="AZ81" s="27">
        <v>1</v>
      </c>
      <c r="BA81" s="27">
        <v>1</v>
      </c>
      <c r="BB81" s="27">
        <v>71.88</v>
      </c>
      <c r="BC81" s="27" t="s">
        <v>174</v>
      </c>
      <c r="BG81" s="27">
        <v>0</v>
      </c>
      <c r="BH81" s="27">
        <v>0</v>
      </c>
      <c r="BJ81" s="27">
        <v>0</v>
      </c>
      <c r="BK81" s="27">
        <v>67</v>
      </c>
      <c r="BL81" s="27">
        <v>81.6</v>
      </c>
    </row>
    <row r="82" customHeight="1" spans="1:64">
      <c r="A82" s="27" t="s">
        <v>435</v>
      </c>
      <c r="B82" s="27" t="s">
        <v>93</v>
      </c>
      <c r="E82" s="27" t="s">
        <v>250</v>
      </c>
      <c r="F82" s="27" t="s">
        <v>82</v>
      </c>
      <c r="G82" s="27" t="s">
        <v>93</v>
      </c>
      <c r="H82" s="27" t="s">
        <v>69</v>
      </c>
      <c r="I82" s="27" t="s">
        <v>85</v>
      </c>
      <c r="J82" s="27">
        <v>5</v>
      </c>
      <c r="K82" s="27">
        <v>149.99</v>
      </c>
      <c r="M82" s="27">
        <v>0</v>
      </c>
      <c r="N82" s="27">
        <v>0</v>
      </c>
      <c r="O82" s="27">
        <v>0</v>
      </c>
      <c r="P82" s="27" t="s">
        <v>95</v>
      </c>
      <c r="Q82" s="27">
        <v>5.017214</v>
      </c>
      <c r="S82" s="27">
        <v>78</v>
      </c>
      <c r="T82" s="27">
        <v>20</v>
      </c>
      <c r="U82" s="27">
        <v>0.7959</v>
      </c>
      <c r="V82" s="27" t="s">
        <v>72</v>
      </c>
      <c r="W82" s="27">
        <v>11699.22</v>
      </c>
      <c r="X82" s="27">
        <v>4.369448</v>
      </c>
      <c r="Y82" s="27">
        <v>9.367363</v>
      </c>
      <c r="Z82" s="27">
        <v>4.4721</v>
      </c>
      <c r="AA82" s="27" t="s">
        <v>73</v>
      </c>
      <c r="AB82" s="27">
        <v>0</v>
      </c>
      <c r="AC82" s="27">
        <v>0</v>
      </c>
      <c r="AD82" s="27">
        <v>0</v>
      </c>
      <c r="AE82" s="27">
        <v>0</v>
      </c>
      <c r="AF82" s="27">
        <v>0</v>
      </c>
      <c r="AG82" s="27">
        <v>1</v>
      </c>
      <c r="AH82" s="27">
        <v>0</v>
      </c>
      <c r="AI82" s="27">
        <v>1</v>
      </c>
      <c r="AJ82" s="27">
        <v>0</v>
      </c>
      <c r="AK82" s="27">
        <v>0</v>
      </c>
      <c r="AL82" s="27">
        <v>0</v>
      </c>
      <c r="AM82" s="27">
        <v>0</v>
      </c>
      <c r="AN82" s="27">
        <v>0</v>
      </c>
      <c r="AO82" s="27">
        <v>0</v>
      </c>
      <c r="AP82" s="27">
        <v>0</v>
      </c>
      <c r="AQ82" s="27">
        <v>0</v>
      </c>
      <c r="AR82" s="27">
        <v>0</v>
      </c>
      <c r="AS82" s="27">
        <v>0</v>
      </c>
      <c r="AT82" s="27">
        <v>1</v>
      </c>
      <c r="AU82" s="27">
        <v>0</v>
      </c>
      <c r="AV82" s="27">
        <v>0</v>
      </c>
      <c r="AW82" s="27">
        <v>1</v>
      </c>
      <c r="AX82" s="27">
        <v>0</v>
      </c>
      <c r="AZ82" s="27">
        <v>1</v>
      </c>
      <c r="BA82" s="27">
        <v>0</v>
      </c>
      <c r="BB82" s="27">
        <v>61.6</v>
      </c>
      <c r="BC82" s="27" t="s">
        <v>96</v>
      </c>
      <c r="BD82" s="27" t="s">
        <v>97</v>
      </c>
      <c r="BE82" s="27" t="s">
        <v>98</v>
      </c>
      <c r="BF82" s="27" t="s">
        <v>77</v>
      </c>
      <c r="BG82" s="27">
        <v>1</v>
      </c>
      <c r="BH82" s="27">
        <v>28</v>
      </c>
      <c r="BI82" s="27">
        <v>0.0345</v>
      </c>
      <c r="BJ82" s="27">
        <v>1</v>
      </c>
      <c r="BK82" s="27">
        <v>3</v>
      </c>
      <c r="BL82" s="27">
        <v>99.2</v>
      </c>
    </row>
    <row r="83" customHeight="1" spans="1:64">
      <c r="A83" s="27" t="s">
        <v>436</v>
      </c>
      <c r="B83" s="27" t="s">
        <v>437</v>
      </c>
      <c r="E83" s="27" t="s">
        <v>438</v>
      </c>
      <c r="F83" s="27" t="s">
        <v>240</v>
      </c>
      <c r="G83" s="27" t="s">
        <v>83</v>
      </c>
      <c r="H83" s="27" t="s">
        <v>84</v>
      </c>
      <c r="I83" s="27" t="s">
        <v>203</v>
      </c>
      <c r="J83" s="27">
        <v>4</v>
      </c>
      <c r="K83" s="27">
        <v>129.99</v>
      </c>
      <c r="M83" s="27">
        <v>0</v>
      </c>
      <c r="N83" s="27">
        <v>0</v>
      </c>
      <c r="O83" s="27">
        <v>0</v>
      </c>
      <c r="P83" s="27" t="s">
        <v>95</v>
      </c>
      <c r="Q83" s="27">
        <v>4.875121</v>
      </c>
      <c r="V83" s="27" t="s">
        <v>231</v>
      </c>
      <c r="W83" s="27">
        <v>0</v>
      </c>
      <c r="X83" s="27">
        <v>0</v>
      </c>
      <c r="Y83" s="27">
        <v>0</v>
      </c>
      <c r="Z83" s="27">
        <v>0</v>
      </c>
      <c r="AA83" s="27" t="s">
        <v>125</v>
      </c>
      <c r="AB83" s="27">
        <v>0</v>
      </c>
      <c r="AC83" s="27">
        <v>0</v>
      </c>
      <c r="AD83" s="27">
        <v>0</v>
      </c>
      <c r="AE83" s="27">
        <v>0</v>
      </c>
      <c r="AF83" s="27">
        <v>0</v>
      </c>
      <c r="AG83" s="27">
        <v>0</v>
      </c>
      <c r="AH83" s="27">
        <v>0</v>
      </c>
      <c r="AI83" s="27">
        <v>0</v>
      </c>
      <c r="AJ83" s="27">
        <v>0</v>
      </c>
      <c r="AK83" s="27">
        <v>0</v>
      </c>
      <c r="AL83" s="27">
        <v>0</v>
      </c>
      <c r="AM83" s="27">
        <v>0</v>
      </c>
      <c r="AN83" s="27">
        <v>0</v>
      </c>
      <c r="AO83" s="27">
        <v>0</v>
      </c>
      <c r="AP83" s="27">
        <v>0</v>
      </c>
      <c r="AQ83" s="27">
        <v>1</v>
      </c>
      <c r="AR83" s="27">
        <v>0</v>
      </c>
      <c r="AS83" s="27">
        <v>0</v>
      </c>
      <c r="AT83" s="27">
        <v>0</v>
      </c>
      <c r="AU83" s="27">
        <v>0</v>
      </c>
      <c r="AV83" s="27">
        <v>1</v>
      </c>
      <c r="AW83" s="27">
        <v>0</v>
      </c>
      <c r="AX83" s="27">
        <v>0</v>
      </c>
      <c r="AZ83" s="27">
        <v>1</v>
      </c>
      <c r="BA83" s="27">
        <v>1</v>
      </c>
      <c r="BB83" s="27">
        <v>0</v>
      </c>
      <c r="BC83" s="27" t="s">
        <v>439</v>
      </c>
      <c r="BD83" s="27" t="s">
        <v>440</v>
      </c>
      <c r="BE83" s="27" t="s">
        <v>76</v>
      </c>
      <c r="BF83" s="27" t="s">
        <v>77</v>
      </c>
      <c r="BG83" s="27">
        <v>168</v>
      </c>
      <c r="BH83" s="27">
        <v>11</v>
      </c>
      <c r="BI83" s="27">
        <v>0.9385</v>
      </c>
      <c r="BJ83" s="27">
        <v>0</v>
      </c>
    </row>
    <row r="84" customHeight="1" spans="1:64">
      <c r="A84" s="27" t="s">
        <v>441</v>
      </c>
      <c r="B84" s="27" t="s">
        <v>442</v>
      </c>
      <c r="E84" s="27" t="s">
        <v>438</v>
      </c>
      <c r="F84" s="27" t="s">
        <v>240</v>
      </c>
      <c r="G84" s="27" t="s">
        <v>83</v>
      </c>
      <c r="H84" s="27" t="s">
        <v>84</v>
      </c>
      <c r="I84" s="27" t="s">
        <v>153</v>
      </c>
      <c r="J84" s="27">
        <v>2</v>
      </c>
      <c r="K84" s="27">
        <v>69.99</v>
      </c>
      <c r="M84" s="27">
        <v>0</v>
      </c>
      <c r="N84" s="27">
        <v>0</v>
      </c>
      <c r="O84" s="27">
        <v>0</v>
      </c>
      <c r="P84" s="27" t="s">
        <v>86</v>
      </c>
      <c r="Q84" s="27">
        <v>4.262539</v>
      </c>
      <c r="R84" s="27">
        <v>8.75</v>
      </c>
      <c r="V84" s="27" t="s">
        <v>231</v>
      </c>
      <c r="W84" s="27">
        <v>0</v>
      </c>
      <c r="X84" s="27">
        <v>0</v>
      </c>
      <c r="Y84" s="27">
        <v>0</v>
      </c>
      <c r="Z84" s="27">
        <v>0</v>
      </c>
      <c r="AA84" s="27" t="s">
        <v>125</v>
      </c>
      <c r="AB84" s="27">
        <v>0</v>
      </c>
      <c r="AC84" s="27">
        <v>0</v>
      </c>
      <c r="AD84" s="27">
        <v>0</v>
      </c>
      <c r="AE84" s="27">
        <v>0</v>
      </c>
      <c r="AF84" s="27">
        <v>0</v>
      </c>
      <c r="AG84" s="27">
        <v>0</v>
      </c>
      <c r="AH84" s="27">
        <v>1</v>
      </c>
      <c r="AI84" s="27">
        <v>0</v>
      </c>
      <c r="AJ84" s="27">
        <v>0</v>
      </c>
      <c r="AK84" s="27">
        <v>0</v>
      </c>
      <c r="AL84" s="27">
        <v>0</v>
      </c>
      <c r="AM84" s="27">
        <v>0</v>
      </c>
      <c r="AN84" s="27">
        <v>0</v>
      </c>
      <c r="AO84" s="27">
        <v>0</v>
      </c>
      <c r="AP84" s="27">
        <v>0</v>
      </c>
      <c r="AQ84" s="27">
        <v>1</v>
      </c>
      <c r="AR84" s="27">
        <v>0</v>
      </c>
      <c r="AS84" s="27">
        <v>0</v>
      </c>
      <c r="AT84" s="27">
        <v>0</v>
      </c>
      <c r="AU84" s="27">
        <v>0</v>
      </c>
      <c r="AV84" s="27">
        <v>1</v>
      </c>
      <c r="AW84" s="27">
        <v>0</v>
      </c>
      <c r="AX84" s="27">
        <v>0</v>
      </c>
      <c r="AY84" s="27">
        <v>8</v>
      </c>
      <c r="AZ84" s="27">
        <v>1</v>
      </c>
      <c r="BA84" s="27">
        <v>2</v>
      </c>
      <c r="BB84" s="27">
        <v>0</v>
      </c>
      <c r="BC84" s="27" t="s">
        <v>443</v>
      </c>
      <c r="BD84" s="27" t="s">
        <v>444</v>
      </c>
      <c r="BE84" s="27" t="s">
        <v>166</v>
      </c>
      <c r="BF84" s="27" t="s">
        <v>77</v>
      </c>
      <c r="BG84" s="27">
        <v>168</v>
      </c>
      <c r="BH84" s="27">
        <v>11</v>
      </c>
      <c r="BI84" s="27">
        <v>0.9385</v>
      </c>
      <c r="BJ84" s="27">
        <v>0</v>
      </c>
    </row>
    <row r="85" customHeight="1" spans="1:64">
      <c r="A85" s="27" t="s">
        <v>445</v>
      </c>
      <c r="B85" s="27" t="s">
        <v>104</v>
      </c>
      <c r="C85" s="27" t="s">
        <v>446</v>
      </c>
      <c r="D85" s="27">
        <v>194644190903</v>
      </c>
      <c r="E85" s="27" t="s">
        <v>81</v>
      </c>
      <c r="F85" s="27" t="s">
        <v>82</v>
      </c>
      <c r="G85" s="27" t="s">
        <v>106</v>
      </c>
      <c r="H85" s="27" t="s">
        <v>107</v>
      </c>
      <c r="I85" s="27" t="s">
        <v>108</v>
      </c>
      <c r="J85" s="27">
        <v>3</v>
      </c>
      <c r="K85" s="27">
        <v>135.99</v>
      </c>
      <c r="L85" s="27">
        <v>259.99</v>
      </c>
      <c r="M85" s="27">
        <v>47.69</v>
      </c>
      <c r="N85" s="27">
        <v>124</v>
      </c>
      <c r="O85" s="27">
        <v>1</v>
      </c>
      <c r="P85" s="27" t="s">
        <v>95</v>
      </c>
      <c r="Q85" s="27">
        <v>4.919908</v>
      </c>
      <c r="S85" s="27">
        <v>192</v>
      </c>
      <c r="T85" s="27">
        <v>244</v>
      </c>
      <c r="U85" s="27">
        <v>0.4404</v>
      </c>
      <c r="V85" s="27" t="s">
        <v>154</v>
      </c>
      <c r="W85" s="27">
        <v>26110.08</v>
      </c>
      <c r="X85" s="27">
        <v>5.26269</v>
      </c>
      <c r="Y85" s="27">
        <v>10.170115</v>
      </c>
      <c r="Z85" s="27">
        <v>15.6205</v>
      </c>
      <c r="AA85" s="27" t="s">
        <v>73</v>
      </c>
      <c r="AB85" s="27">
        <v>0</v>
      </c>
      <c r="AC85" s="27">
        <v>0</v>
      </c>
      <c r="AD85" s="27">
        <v>0</v>
      </c>
      <c r="AE85" s="27">
        <v>0</v>
      </c>
      <c r="AF85" s="27">
        <v>0</v>
      </c>
      <c r="AG85" s="27">
        <v>0</v>
      </c>
      <c r="AH85" s="27">
        <v>0</v>
      </c>
      <c r="AI85" s="27">
        <v>0</v>
      </c>
      <c r="AJ85" s="27">
        <v>0</v>
      </c>
      <c r="AK85" s="27">
        <v>0</v>
      </c>
      <c r="AL85" s="27">
        <v>0</v>
      </c>
      <c r="AM85" s="27">
        <v>0</v>
      </c>
      <c r="AN85" s="27">
        <v>0</v>
      </c>
      <c r="AO85" s="27">
        <v>0</v>
      </c>
      <c r="AP85" s="27">
        <v>0</v>
      </c>
      <c r="AQ85" s="27">
        <v>0</v>
      </c>
      <c r="AR85" s="27">
        <v>0</v>
      </c>
      <c r="AS85" s="27">
        <v>0</v>
      </c>
      <c r="AT85" s="27">
        <v>0</v>
      </c>
      <c r="AU85" s="27">
        <v>1</v>
      </c>
      <c r="AV85" s="27">
        <v>0</v>
      </c>
      <c r="AW85" s="27">
        <v>0</v>
      </c>
      <c r="AX85" s="27">
        <v>0</v>
      </c>
      <c r="AZ85" s="27">
        <v>1</v>
      </c>
      <c r="BA85" s="27">
        <v>0</v>
      </c>
      <c r="BB85" s="27">
        <v>61.77</v>
      </c>
      <c r="BC85" s="27" t="s">
        <v>111</v>
      </c>
      <c r="BD85" s="27" t="s">
        <v>112</v>
      </c>
      <c r="BE85" s="27" t="s">
        <v>113</v>
      </c>
      <c r="BF85" s="27" t="s">
        <v>77</v>
      </c>
      <c r="BG85" s="27">
        <v>162</v>
      </c>
      <c r="BH85" s="27">
        <v>24</v>
      </c>
      <c r="BI85" s="27">
        <v>0.871</v>
      </c>
      <c r="BJ85" s="27">
        <v>0</v>
      </c>
      <c r="BK85" s="27">
        <v>2</v>
      </c>
      <c r="BL85" s="27">
        <v>99.5</v>
      </c>
    </row>
    <row r="86" customHeight="1" spans="1:64">
      <c r="A86" s="27" t="s">
        <v>447</v>
      </c>
      <c r="B86" s="27" t="s">
        <v>448</v>
      </c>
      <c r="E86" s="27" t="s">
        <v>449</v>
      </c>
      <c r="F86" s="27" t="s">
        <v>82</v>
      </c>
      <c r="G86" s="27" t="s">
        <v>83</v>
      </c>
      <c r="H86" s="27" t="s">
        <v>450</v>
      </c>
      <c r="I86" s="27" t="s">
        <v>153</v>
      </c>
      <c r="J86" s="27">
        <v>2</v>
      </c>
      <c r="K86" s="27">
        <v>45</v>
      </c>
      <c r="M86" s="27">
        <v>0</v>
      </c>
      <c r="N86" s="27">
        <v>0</v>
      </c>
      <c r="O86" s="27">
        <v>0</v>
      </c>
      <c r="P86" s="27" t="s">
        <v>86</v>
      </c>
      <c r="Q86" s="27">
        <v>3.828641</v>
      </c>
      <c r="V86" s="27" t="s">
        <v>231</v>
      </c>
      <c r="W86" s="27">
        <v>0</v>
      </c>
      <c r="X86" s="27">
        <v>0</v>
      </c>
      <c r="Y86" s="27">
        <v>0</v>
      </c>
      <c r="Z86" s="27">
        <v>0</v>
      </c>
      <c r="AA86" s="27" t="s">
        <v>125</v>
      </c>
      <c r="AB86" s="27">
        <v>0</v>
      </c>
      <c r="AC86" s="27">
        <v>0</v>
      </c>
      <c r="AD86" s="27">
        <v>0</v>
      </c>
      <c r="AE86" s="27">
        <v>0</v>
      </c>
      <c r="AF86" s="27">
        <v>0</v>
      </c>
      <c r="AG86" s="27">
        <v>0</v>
      </c>
      <c r="AH86" s="27">
        <v>0</v>
      </c>
      <c r="AI86" s="27">
        <v>0</v>
      </c>
      <c r="AJ86" s="27">
        <v>0</v>
      </c>
      <c r="AK86" s="27">
        <v>0</v>
      </c>
      <c r="AL86" s="27">
        <v>0</v>
      </c>
      <c r="AM86" s="27">
        <v>0</v>
      </c>
      <c r="AN86" s="27">
        <v>0</v>
      </c>
      <c r="AO86" s="27">
        <v>0</v>
      </c>
      <c r="AP86" s="27">
        <v>0</v>
      </c>
      <c r="AQ86" s="27">
        <v>0</v>
      </c>
      <c r="AR86" s="27">
        <v>0</v>
      </c>
      <c r="AS86" s="27">
        <v>0</v>
      </c>
      <c r="AT86" s="27">
        <v>0</v>
      </c>
      <c r="AU86" s="27">
        <v>0</v>
      </c>
      <c r="AV86" s="27">
        <v>0</v>
      </c>
      <c r="AW86" s="27">
        <v>0</v>
      </c>
      <c r="AX86" s="27">
        <v>0</v>
      </c>
      <c r="AZ86" s="27">
        <v>1</v>
      </c>
      <c r="BA86" s="27">
        <v>0</v>
      </c>
      <c r="BB86" s="27">
        <v>0</v>
      </c>
      <c r="BC86" s="27" t="s">
        <v>451</v>
      </c>
      <c r="BD86" s="27" t="s">
        <v>452</v>
      </c>
      <c r="BE86" s="27" t="s">
        <v>453</v>
      </c>
      <c r="BF86" s="27" t="s">
        <v>77</v>
      </c>
      <c r="BG86" s="27">
        <v>1</v>
      </c>
      <c r="BH86" s="27">
        <v>11</v>
      </c>
      <c r="BI86" s="27">
        <v>0.0833</v>
      </c>
      <c r="BJ86" s="27">
        <v>1</v>
      </c>
    </row>
    <row r="87" customHeight="1" spans="1:64">
      <c r="A87" s="27" t="s">
        <v>454</v>
      </c>
      <c r="B87" s="27" t="s">
        <v>455</v>
      </c>
      <c r="E87" s="27" t="s">
        <v>456</v>
      </c>
      <c r="F87" s="27" t="s">
        <v>240</v>
      </c>
      <c r="G87" s="27" t="s">
        <v>83</v>
      </c>
      <c r="H87" s="27" t="s">
        <v>84</v>
      </c>
      <c r="I87" s="27" t="s">
        <v>153</v>
      </c>
      <c r="J87" s="27">
        <v>2</v>
      </c>
      <c r="K87" s="27">
        <v>40</v>
      </c>
      <c r="M87" s="27">
        <v>0</v>
      </c>
      <c r="N87" s="27">
        <v>0</v>
      </c>
      <c r="O87" s="27">
        <v>0</v>
      </c>
      <c r="P87" s="27" t="s">
        <v>86</v>
      </c>
      <c r="Q87" s="27">
        <v>3.713572</v>
      </c>
      <c r="R87" s="27">
        <v>10</v>
      </c>
      <c r="V87" s="27" t="s">
        <v>231</v>
      </c>
      <c r="W87" s="27">
        <v>0</v>
      </c>
      <c r="X87" s="27">
        <v>0</v>
      </c>
      <c r="Y87" s="27">
        <v>0</v>
      </c>
      <c r="Z87" s="27">
        <v>0</v>
      </c>
      <c r="AA87" s="27" t="s">
        <v>125</v>
      </c>
      <c r="AB87" s="27">
        <v>0</v>
      </c>
      <c r="AC87" s="27">
        <v>0</v>
      </c>
      <c r="AD87" s="27">
        <v>0</v>
      </c>
      <c r="AE87" s="27">
        <v>0</v>
      </c>
      <c r="AF87" s="27">
        <v>0</v>
      </c>
      <c r="AG87" s="27">
        <v>0</v>
      </c>
      <c r="AH87" s="27">
        <v>0</v>
      </c>
      <c r="AI87" s="27">
        <v>0</v>
      </c>
      <c r="AJ87" s="27">
        <v>0</v>
      </c>
      <c r="AK87" s="27">
        <v>0</v>
      </c>
      <c r="AL87" s="27">
        <v>0</v>
      </c>
      <c r="AM87" s="27">
        <v>0</v>
      </c>
      <c r="AN87" s="27">
        <v>0</v>
      </c>
      <c r="AO87" s="27">
        <v>0</v>
      </c>
      <c r="AP87" s="27">
        <v>0</v>
      </c>
      <c r="AQ87" s="27">
        <v>1</v>
      </c>
      <c r="AR87" s="27">
        <v>0</v>
      </c>
      <c r="AS87" s="27">
        <v>0</v>
      </c>
      <c r="AT87" s="27">
        <v>0</v>
      </c>
      <c r="AU87" s="27">
        <v>0</v>
      </c>
      <c r="AV87" s="27">
        <v>1</v>
      </c>
      <c r="AW87" s="27">
        <v>1</v>
      </c>
      <c r="AX87" s="27">
        <v>0</v>
      </c>
      <c r="AY87" s="27">
        <v>4</v>
      </c>
      <c r="AZ87" s="27">
        <v>1</v>
      </c>
      <c r="BA87" s="27">
        <v>1</v>
      </c>
      <c r="BB87" s="27">
        <v>26.04</v>
      </c>
      <c r="BC87" s="27" t="s">
        <v>457</v>
      </c>
      <c r="BD87" s="27" t="s">
        <v>458</v>
      </c>
      <c r="BE87" s="27" t="s">
        <v>136</v>
      </c>
      <c r="BF87" s="27" t="s">
        <v>77</v>
      </c>
      <c r="BG87" s="27">
        <v>168</v>
      </c>
      <c r="BH87" s="27">
        <v>11</v>
      </c>
      <c r="BI87" s="27">
        <v>0.9385</v>
      </c>
      <c r="BJ87" s="27">
        <v>0</v>
      </c>
      <c r="BK87" s="27">
        <v>48</v>
      </c>
      <c r="BL87" s="27">
        <v>86.8</v>
      </c>
    </row>
    <row r="88" customHeight="1" spans="1:64">
      <c r="A88" s="27" t="s">
        <v>459</v>
      </c>
      <c r="B88" s="27" t="s">
        <v>335</v>
      </c>
      <c r="E88" s="27" t="s">
        <v>81</v>
      </c>
      <c r="F88" s="27" t="s">
        <v>160</v>
      </c>
      <c r="G88" s="27" t="s">
        <v>83</v>
      </c>
      <c r="H88" s="27" t="s">
        <v>84</v>
      </c>
      <c r="I88" s="27" t="s">
        <v>85</v>
      </c>
      <c r="J88" s="27">
        <v>5</v>
      </c>
      <c r="K88" s="27">
        <v>43.11</v>
      </c>
      <c r="M88" s="27">
        <v>0</v>
      </c>
      <c r="N88" s="27">
        <v>0</v>
      </c>
      <c r="O88" s="27">
        <v>0</v>
      </c>
      <c r="P88" s="27" t="s">
        <v>86</v>
      </c>
      <c r="Q88" s="27">
        <v>3.786687</v>
      </c>
      <c r="R88" s="27">
        <v>4.31</v>
      </c>
      <c r="S88" s="27">
        <v>15</v>
      </c>
      <c r="T88" s="27">
        <v>10</v>
      </c>
      <c r="U88" s="27">
        <v>0.6</v>
      </c>
      <c r="V88" s="27" t="s">
        <v>72</v>
      </c>
      <c r="W88" s="27">
        <v>646.65</v>
      </c>
      <c r="X88" s="27">
        <v>2.772589</v>
      </c>
      <c r="Y88" s="27">
        <v>6.47335</v>
      </c>
      <c r="Z88" s="27">
        <v>3.1623</v>
      </c>
      <c r="AA88" s="27" t="s">
        <v>313</v>
      </c>
      <c r="AB88" s="27">
        <v>0</v>
      </c>
      <c r="AC88" s="27">
        <v>0</v>
      </c>
      <c r="AD88" s="27">
        <v>0</v>
      </c>
      <c r="AE88" s="27">
        <v>0</v>
      </c>
      <c r="AF88" s="27">
        <v>0</v>
      </c>
      <c r="AG88" s="27">
        <v>0</v>
      </c>
      <c r="AH88" s="27">
        <v>1</v>
      </c>
      <c r="AI88" s="27">
        <v>0</v>
      </c>
      <c r="AJ88" s="27">
        <v>0</v>
      </c>
      <c r="AK88" s="27">
        <v>0</v>
      </c>
      <c r="AL88" s="27">
        <v>0</v>
      </c>
      <c r="AM88" s="27">
        <v>0</v>
      </c>
      <c r="AN88" s="27">
        <v>0</v>
      </c>
      <c r="AO88" s="27">
        <v>0</v>
      </c>
      <c r="AP88" s="27">
        <v>0</v>
      </c>
      <c r="AQ88" s="27">
        <v>1</v>
      </c>
      <c r="AR88" s="27">
        <v>0</v>
      </c>
      <c r="AS88" s="27">
        <v>0</v>
      </c>
      <c r="AT88" s="27">
        <v>1</v>
      </c>
      <c r="AU88" s="27">
        <v>0</v>
      </c>
      <c r="AV88" s="27">
        <v>1</v>
      </c>
      <c r="AW88" s="27">
        <v>1</v>
      </c>
      <c r="AX88" s="27">
        <v>0</v>
      </c>
      <c r="AY88" s="27">
        <v>10</v>
      </c>
      <c r="AZ88" s="27">
        <v>1</v>
      </c>
      <c r="BA88" s="27">
        <v>2</v>
      </c>
      <c r="BB88" s="27">
        <v>51.63</v>
      </c>
      <c r="BC88" s="27" t="s">
        <v>460</v>
      </c>
      <c r="BD88" s="27" t="s">
        <v>337</v>
      </c>
      <c r="BE88" s="27" t="s">
        <v>76</v>
      </c>
      <c r="BF88" s="27" t="s">
        <v>77</v>
      </c>
      <c r="BG88" s="27">
        <v>168</v>
      </c>
      <c r="BH88" s="27">
        <v>12</v>
      </c>
      <c r="BI88" s="27">
        <v>0.9333</v>
      </c>
      <c r="BJ88" s="27">
        <v>0</v>
      </c>
      <c r="BK88" s="27">
        <v>29</v>
      </c>
      <c r="BL88" s="27">
        <v>92.1</v>
      </c>
    </row>
    <row r="89" customHeight="1" spans="1:64">
      <c r="A89" s="27" t="s">
        <v>461</v>
      </c>
      <c r="B89" s="27" t="s">
        <v>335</v>
      </c>
      <c r="E89" s="27" t="s">
        <v>449</v>
      </c>
      <c r="F89" s="27" t="s">
        <v>462</v>
      </c>
      <c r="G89" s="27" t="s">
        <v>83</v>
      </c>
      <c r="H89" s="27" t="s">
        <v>84</v>
      </c>
      <c r="I89" s="27" t="s">
        <v>108</v>
      </c>
      <c r="J89" s="27">
        <v>3</v>
      </c>
      <c r="K89" s="27">
        <v>189.99</v>
      </c>
      <c r="L89" s="27">
        <v>199.99</v>
      </c>
      <c r="M89" s="27">
        <v>5</v>
      </c>
      <c r="N89" s="27">
        <v>10</v>
      </c>
      <c r="O89" s="27">
        <v>1</v>
      </c>
      <c r="P89" s="27" t="s">
        <v>95</v>
      </c>
      <c r="Q89" s="27">
        <v>5.252221</v>
      </c>
      <c r="S89" s="27">
        <v>3</v>
      </c>
      <c r="T89" s="27">
        <v>10</v>
      </c>
      <c r="U89" s="27">
        <v>0.2308</v>
      </c>
      <c r="V89" s="27" t="s">
        <v>87</v>
      </c>
      <c r="W89" s="27">
        <v>569.97</v>
      </c>
      <c r="X89" s="27">
        <v>1.386294</v>
      </c>
      <c r="Y89" s="27">
        <v>6.347337</v>
      </c>
      <c r="Z89" s="27">
        <v>3.1623</v>
      </c>
      <c r="AA89" s="27" t="s">
        <v>313</v>
      </c>
      <c r="AB89" s="27">
        <v>1</v>
      </c>
      <c r="AC89" s="27">
        <v>0</v>
      </c>
      <c r="AD89" s="27">
        <v>0</v>
      </c>
      <c r="AE89" s="27">
        <v>0</v>
      </c>
      <c r="AF89" s="27">
        <v>0</v>
      </c>
      <c r="AG89" s="27">
        <v>0</v>
      </c>
      <c r="AH89" s="27">
        <v>1</v>
      </c>
      <c r="AI89" s="27">
        <v>0</v>
      </c>
      <c r="AJ89" s="27">
        <v>0</v>
      </c>
      <c r="AK89" s="27">
        <v>0</v>
      </c>
      <c r="AL89" s="27">
        <v>0</v>
      </c>
      <c r="AM89" s="27">
        <v>0</v>
      </c>
      <c r="AN89" s="27">
        <v>1</v>
      </c>
      <c r="AO89" s="27">
        <v>0</v>
      </c>
      <c r="AP89" s="27">
        <v>0</v>
      </c>
      <c r="AQ89" s="27">
        <v>1</v>
      </c>
      <c r="AR89" s="27">
        <v>0</v>
      </c>
      <c r="AS89" s="27">
        <v>0</v>
      </c>
      <c r="AT89" s="27">
        <v>1</v>
      </c>
      <c r="AU89" s="27">
        <v>0</v>
      </c>
      <c r="AV89" s="27">
        <v>1</v>
      </c>
      <c r="AW89" s="27">
        <v>1</v>
      </c>
      <c r="AX89" s="27">
        <v>0</v>
      </c>
      <c r="AZ89" s="27">
        <v>1</v>
      </c>
      <c r="BA89" s="27">
        <v>4</v>
      </c>
      <c r="BB89" s="27">
        <v>38.93</v>
      </c>
      <c r="BC89" s="27" t="s">
        <v>336</v>
      </c>
      <c r="BD89" s="27" t="s">
        <v>337</v>
      </c>
      <c r="BE89" s="27" t="s">
        <v>76</v>
      </c>
      <c r="BF89" s="27" t="s">
        <v>77</v>
      </c>
      <c r="BG89" s="27">
        <v>168</v>
      </c>
      <c r="BH89" s="27">
        <v>52</v>
      </c>
      <c r="BI89" s="27">
        <v>0.7636</v>
      </c>
      <c r="BJ89" s="27">
        <v>0</v>
      </c>
      <c r="BK89" s="27">
        <v>22</v>
      </c>
      <c r="BL89" s="27">
        <v>94</v>
      </c>
    </row>
    <row r="90" customHeight="1" spans="1:64">
      <c r="A90" s="27" t="s">
        <v>463</v>
      </c>
      <c r="B90" s="27" t="s">
        <v>245</v>
      </c>
      <c r="C90" s="27" t="s">
        <v>464</v>
      </c>
      <c r="E90" s="27" t="s">
        <v>325</v>
      </c>
      <c r="F90" s="27" t="s">
        <v>160</v>
      </c>
      <c r="G90" s="27" t="s">
        <v>83</v>
      </c>
      <c r="H90" s="27" t="s">
        <v>84</v>
      </c>
      <c r="I90" s="27" t="s">
        <v>85</v>
      </c>
      <c r="J90" s="27">
        <v>5</v>
      </c>
      <c r="K90" s="27">
        <v>129.99</v>
      </c>
      <c r="M90" s="27">
        <v>0</v>
      </c>
      <c r="N90" s="27">
        <v>0</v>
      </c>
      <c r="O90" s="27">
        <v>0</v>
      </c>
      <c r="P90" s="27" t="s">
        <v>95</v>
      </c>
      <c r="Q90" s="27">
        <v>4.875121</v>
      </c>
      <c r="R90" s="27">
        <v>32.5</v>
      </c>
      <c r="S90" s="27">
        <v>367</v>
      </c>
      <c r="T90" s="27">
        <v>50</v>
      </c>
      <c r="U90" s="27">
        <v>0.8801</v>
      </c>
      <c r="V90" s="27" t="s">
        <v>154</v>
      </c>
      <c r="W90" s="27">
        <v>47706.33</v>
      </c>
      <c r="X90" s="27">
        <v>5.908083</v>
      </c>
      <c r="Y90" s="27">
        <v>10.77284</v>
      </c>
      <c r="Z90" s="27">
        <v>7.0711</v>
      </c>
      <c r="AA90" s="27" t="s">
        <v>139</v>
      </c>
      <c r="AB90" s="27">
        <v>0</v>
      </c>
      <c r="AC90" s="27">
        <v>0</v>
      </c>
      <c r="AD90" s="27">
        <v>0</v>
      </c>
      <c r="AE90" s="27">
        <v>0</v>
      </c>
      <c r="AF90" s="27">
        <v>0</v>
      </c>
      <c r="AG90" s="27">
        <v>0</v>
      </c>
      <c r="AH90" s="27">
        <v>0</v>
      </c>
      <c r="AI90" s="27">
        <v>0</v>
      </c>
      <c r="AJ90" s="27">
        <v>0</v>
      </c>
      <c r="AK90" s="27">
        <v>0</v>
      </c>
      <c r="AL90" s="27">
        <v>0</v>
      </c>
      <c r="AM90" s="27">
        <v>0</v>
      </c>
      <c r="AN90" s="27">
        <v>0</v>
      </c>
      <c r="AO90" s="27">
        <v>0</v>
      </c>
      <c r="AP90" s="27">
        <v>0</v>
      </c>
      <c r="AQ90" s="27">
        <v>1</v>
      </c>
      <c r="AR90" s="27">
        <v>0</v>
      </c>
      <c r="AS90" s="27">
        <v>0</v>
      </c>
      <c r="AT90" s="27">
        <v>0</v>
      </c>
      <c r="AU90" s="27">
        <v>0</v>
      </c>
      <c r="AV90" s="27">
        <v>1</v>
      </c>
      <c r="AW90" s="27">
        <v>1</v>
      </c>
      <c r="AX90" s="27">
        <v>0</v>
      </c>
      <c r="AY90" s="27">
        <v>4</v>
      </c>
      <c r="AZ90" s="27">
        <v>1</v>
      </c>
      <c r="BA90" s="27">
        <v>1</v>
      </c>
      <c r="BB90" s="27">
        <v>65.05</v>
      </c>
      <c r="BC90" s="27" t="s">
        <v>251</v>
      </c>
      <c r="BD90" s="27" t="s">
        <v>175</v>
      </c>
      <c r="BE90" s="27" t="s">
        <v>91</v>
      </c>
      <c r="BF90" s="27" t="s">
        <v>77</v>
      </c>
      <c r="BG90" s="27">
        <v>161</v>
      </c>
      <c r="BH90" s="27">
        <v>61</v>
      </c>
      <c r="BI90" s="27">
        <v>0.7252</v>
      </c>
      <c r="BJ90" s="27">
        <v>0</v>
      </c>
      <c r="BK90" s="27">
        <v>2</v>
      </c>
      <c r="BL90" s="27">
        <v>99.5</v>
      </c>
    </row>
    <row r="91" customHeight="1" spans="1:64">
      <c r="A91" s="27" t="s">
        <v>465</v>
      </c>
      <c r="B91" s="27" t="s">
        <v>466</v>
      </c>
      <c r="C91" s="27" t="s">
        <v>467</v>
      </c>
      <c r="D91" s="27">
        <v>765066008291</v>
      </c>
      <c r="E91" s="27" t="s">
        <v>239</v>
      </c>
      <c r="F91" s="27" t="s">
        <v>240</v>
      </c>
      <c r="G91" s="27" t="s">
        <v>83</v>
      </c>
      <c r="H91" s="27" t="s">
        <v>84</v>
      </c>
      <c r="I91" s="27" t="s">
        <v>203</v>
      </c>
      <c r="J91" s="27">
        <v>4</v>
      </c>
      <c r="K91" s="27">
        <v>193.99</v>
      </c>
      <c r="M91" s="27">
        <v>0</v>
      </c>
      <c r="N91" s="27">
        <v>0</v>
      </c>
      <c r="O91" s="27">
        <v>0</v>
      </c>
      <c r="P91" s="27" t="s">
        <v>95</v>
      </c>
      <c r="Q91" s="27">
        <v>5.272948</v>
      </c>
      <c r="V91" s="27" t="s">
        <v>231</v>
      </c>
      <c r="W91" s="27">
        <v>0</v>
      </c>
      <c r="X91" s="27">
        <v>0</v>
      </c>
      <c r="Y91" s="27">
        <v>0</v>
      </c>
      <c r="Z91" s="27">
        <v>0</v>
      </c>
      <c r="AA91" s="27" t="s">
        <v>125</v>
      </c>
      <c r="AB91" s="27">
        <v>0</v>
      </c>
      <c r="AC91" s="27">
        <v>0</v>
      </c>
      <c r="AD91" s="27">
        <v>0</v>
      </c>
      <c r="AE91" s="27">
        <v>0</v>
      </c>
      <c r="AF91" s="27">
        <v>0</v>
      </c>
      <c r="AG91" s="27">
        <v>0</v>
      </c>
      <c r="AH91" s="27">
        <v>0</v>
      </c>
      <c r="AI91" s="27">
        <v>0</v>
      </c>
      <c r="AJ91" s="27">
        <v>0</v>
      </c>
      <c r="AK91" s="27">
        <v>0</v>
      </c>
      <c r="AL91" s="27">
        <v>0</v>
      </c>
      <c r="AM91" s="27">
        <v>0</v>
      </c>
      <c r="AN91" s="27">
        <v>0</v>
      </c>
      <c r="AO91" s="27">
        <v>0</v>
      </c>
      <c r="AP91" s="27">
        <v>0</v>
      </c>
      <c r="AQ91" s="27">
        <v>0</v>
      </c>
      <c r="AR91" s="27">
        <v>0</v>
      </c>
      <c r="AS91" s="27">
        <v>0</v>
      </c>
      <c r="AT91" s="27">
        <v>0</v>
      </c>
      <c r="AU91" s="27">
        <v>0</v>
      </c>
      <c r="AV91" s="27">
        <v>1</v>
      </c>
      <c r="AW91" s="27">
        <v>0</v>
      </c>
      <c r="AX91" s="27">
        <v>0</v>
      </c>
      <c r="AZ91" s="27">
        <v>1</v>
      </c>
      <c r="BA91" s="27">
        <v>0</v>
      </c>
      <c r="BB91" s="27">
        <v>29.85</v>
      </c>
      <c r="BC91" s="27" t="s">
        <v>468</v>
      </c>
      <c r="BD91" s="27" t="s">
        <v>469</v>
      </c>
      <c r="BE91" s="27" t="s">
        <v>267</v>
      </c>
      <c r="BF91" s="27" t="s">
        <v>77</v>
      </c>
      <c r="BG91" s="27">
        <v>7</v>
      </c>
      <c r="BH91" s="27">
        <v>14</v>
      </c>
      <c r="BI91" s="27">
        <v>0.3333</v>
      </c>
      <c r="BJ91" s="27">
        <v>0</v>
      </c>
      <c r="BK91" s="27">
        <v>2</v>
      </c>
      <c r="BL91" s="27">
        <v>99.5</v>
      </c>
    </row>
    <row r="92" customHeight="1" spans="1:64">
      <c r="A92" s="27" t="s">
        <v>470</v>
      </c>
      <c r="B92" s="27" t="s">
        <v>471</v>
      </c>
      <c r="E92" s="27" t="s">
        <v>472</v>
      </c>
      <c r="F92" s="27" t="s">
        <v>132</v>
      </c>
      <c r="G92" s="27" t="s">
        <v>83</v>
      </c>
      <c r="H92" s="27" t="s">
        <v>84</v>
      </c>
      <c r="I92" s="27" t="s">
        <v>85</v>
      </c>
      <c r="J92" s="27">
        <v>5</v>
      </c>
      <c r="K92" s="27">
        <v>140</v>
      </c>
      <c r="M92" s="27">
        <v>0</v>
      </c>
      <c r="N92" s="27">
        <v>0</v>
      </c>
      <c r="O92" s="27">
        <v>0</v>
      </c>
      <c r="P92" s="27" t="s">
        <v>95</v>
      </c>
      <c r="Q92" s="27">
        <v>4.94876</v>
      </c>
      <c r="S92" s="27">
        <v>31</v>
      </c>
      <c r="T92" s="27">
        <v>10</v>
      </c>
      <c r="U92" s="27">
        <v>0.7561</v>
      </c>
      <c r="V92" s="27" t="s">
        <v>72</v>
      </c>
      <c r="W92" s="27">
        <v>4340</v>
      </c>
      <c r="X92" s="27">
        <v>3.465736</v>
      </c>
      <c r="Y92" s="27">
        <v>8.37586</v>
      </c>
      <c r="Z92" s="27">
        <v>3.1623</v>
      </c>
      <c r="AA92" s="27" t="s">
        <v>125</v>
      </c>
      <c r="AB92" s="27">
        <v>0</v>
      </c>
      <c r="AC92" s="27">
        <v>0</v>
      </c>
      <c r="AD92" s="27">
        <v>0</v>
      </c>
      <c r="AE92" s="27">
        <v>0</v>
      </c>
      <c r="AF92" s="27">
        <v>0</v>
      </c>
      <c r="AG92" s="27">
        <v>0</v>
      </c>
      <c r="AH92" s="27">
        <v>0</v>
      </c>
      <c r="AI92" s="27">
        <v>0</v>
      </c>
      <c r="AJ92" s="27">
        <v>0</v>
      </c>
      <c r="AK92" s="27">
        <v>0</v>
      </c>
      <c r="AL92" s="27">
        <v>0</v>
      </c>
      <c r="AM92" s="27">
        <v>0</v>
      </c>
      <c r="AN92" s="27">
        <v>0</v>
      </c>
      <c r="AO92" s="27">
        <v>0</v>
      </c>
      <c r="AP92" s="27">
        <v>0</v>
      </c>
      <c r="AQ92" s="27">
        <v>0</v>
      </c>
      <c r="AR92" s="27">
        <v>0</v>
      </c>
      <c r="AS92" s="27">
        <v>0</v>
      </c>
      <c r="AT92" s="27">
        <v>0</v>
      </c>
      <c r="AU92" s="27">
        <v>0</v>
      </c>
      <c r="AV92" s="27">
        <v>0</v>
      </c>
      <c r="AW92" s="27">
        <v>0</v>
      </c>
      <c r="AX92" s="27">
        <v>0</v>
      </c>
      <c r="AZ92" s="27">
        <v>1</v>
      </c>
      <c r="BA92" s="27">
        <v>0</v>
      </c>
      <c r="BB92" s="27">
        <v>60.09</v>
      </c>
      <c r="BC92" s="27" t="s">
        <v>473</v>
      </c>
      <c r="BD92" s="27" t="s">
        <v>474</v>
      </c>
      <c r="BE92" s="27" t="s">
        <v>113</v>
      </c>
      <c r="BF92" s="27" t="s">
        <v>77</v>
      </c>
      <c r="BG92" s="27">
        <v>169</v>
      </c>
      <c r="BH92" s="27">
        <v>24</v>
      </c>
      <c r="BI92" s="27">
        <v>0.8756</v>
      </c>
      <c r="BJ92" s="27">
        <v>0</v>
      </c>
      <c r="BK92" s="27">
        <v>2</v>
      </c>
      <c r="BL92" s="27">
        <v>99.5</v>
      </c>
    </row>
    <row r="93" customHeight="1" spans="1:64">
      <c r="A93" s="27" t="s">
        <v>475</v>
      </c>
      <c r="B93" s="27" t="s">
        <v>476</v>
      </c>
      <c r="E93" s="27" t="s">
        <v>477</v>
      </c>
      <c r="F93" s="27" t="s">
        <v>82</v>
      </c>
      <c r="G93" s="27" t="s">
        <v>83</v>
      </c>
      <c r="H93" s="27" t="s">
        <v>84</v>
      </c>
      <c r="I93" s="27" t="s">
        <v>85</v>
      </c>
      <c r="J93" s="27">
        <v>5</v>
      </c>
      <c r="K93" s="27">
        <v>89.99</v>
      </c>
      <c r="M93" s="27">
        <v>0</v>
      </c>
      <c r="N93" s="27">
        <v>0</v>
      </c>
      <c r="O93" s="27">
        <v>0</v>
      </c>
      <c r="P93" s="27" t="s">
        <v>95</v>
      </c>
      <c r="Q93" s="27">
        <v>4.51075</v>
      </c>
      <c r="S93" s="27">
        <v>40</v>
      </c>
      <c r="T93" s="27">
        <v>8</v>
      </c>
      <c r="U93" s="27">
        <v>0.8333</v>
      </c>
      <c r="V93" s="27" t="s">
        <v>72</v>
      </c>
      <c r="W93" s="27">
        <v>3599.6</v>
      </c>
      <c r="X93" s="27">
        <v>3.713572</v>
      </c>
      <c r="Y93" s="27">
        <v>8.188856</v>
      </c>
      <c r="Z93" s="27">
        <v>2.8284</v>
      </c>
      <c r="AA93" s="27" t="s">
        <v>139</v>
      </c>
      <c r="AB93" s="27">
        <v>0</v>
      </c>
      <c r="AC93" s="27">
        <v>0</v>
      </c>
      <c r="AD93" s="27">
        <v>0</v>
      </c>
      <c r="AE93" s="27">
        <v>0</v>
      </c>
      <c r="AF93" s="27">
        <v>0</v>
      </c>
      <c r="AG93" s="27">
        <v>0</v>
      </c>
      <c r="AH93" s="27">
        <v>1</v>
      </c>
      <c r="AI93" s="27">
        <v>0</v>
      </c>
      <c r="AJ93" s="27">
        <v>0</v>
      </c>
      <c r="AK93" s="27">
        <v>0</v>
      </c>
      <c r="AL93" s="27">
        <v>0</v>
      </c>
      <c r="AM93" s="27">
        <v>0</v>
      </c>
      <c r="AN93" s="27">
        <v>0</v>
      </c>
      <c r="AO93" s="27">
        <v>0</v>
      </c>
      <c r="AP93" s="27">
        <v>0</v>
      </c>
      <c r="AQ93" s="27">
        <v>0</v>
      </c>
      <c r="AR93" s="27">
        <v>0</v>
      </c>
      <c r="AS93" s="27">
        <v>0</v>
      </c>
      <c r="AT93" s="27">
        <v>1</v>
      </c>
      <c r="AU93" s="27">
        <v>0</v>
      </c>
      <c r="AV93" s="27">
        <v>0</v>
      </c>
      <c r="AW93" s="27">
        <v>0</v>
      </c>
      <c r="AX93" s="27">
        <v>0</v>
      </c>
      <c r="AZ93" s="27">
        <v>1</v>
      </c>
      <c r="BA93" s="27">
        <v>1</v>
      </c>
      <c r="BB93" s="27">
        <v>61.53</v>
      </c>
      <c r="BC93" s="27" t="s">
        <v>478</v>
      </c>
      <c r="BD93" s="27" t="s">
        <v>469</v>
      </c>
      <c r="BE93" s="27" t="s">
        <v>243</v>
      </c>
      <c r="BF93" s="27" t="s">
        <v>77</v>
      </c>
      <c r="BG93" s="27">
        <v>208</v>
      </c>
      <c r="BH93" s="27">
        <v>11</v>
      </c>
      <c r="BI93" s="27">
        <v>0.9498</v>
      </c>
      <c r="BJ93" s="27">
        <v>0</v>
      </c>
      <c r="BK93" s="27">
        <v>22</v>
      </c>
      <c r="BL93" s="27">
        <v>94</v>
      </c>
    </row>
    <row r="94" customHeight="1" spans="1:64">
      <c r="A94" s="27" t="s">
        <v>479</v>
      </c>
      <c r="B94" s="27" t="s">
        <v>480</v>
      </c>
      <c r="C94" s="27" t="s">
        <v>481</v>
      </c>
      <c r="E94" s="27" t="s">
        <v>482</v>
      </c>
      <c r="F94" s="27" t="s">
        <v>132</v>
      </c>
      <c r="G94" s="27" t="s">
        <v>83</v>
      </c>
      <c r="H94" s="27" t="s">
        <v>84</v>
      </c>
      <c r="I94" s="27" t="s">
        <v>85</v>
      </c>
      <c r="J94" s="27">
        <v>5</v>
      </c>
      <c r="K94" s="27">
        <v>24.99</v>
      </c>
      <c r="M94" s="27">
        <v>0</v>
      </c>
      <c r="N94" s="27">
        <v>0</v>
      </c>
      <c r="O94" s="27">
        <v>0</v>
      </c>
      <c r="P94" s="27" t="s">
        <v>133</v>
      </c>
      <c r="Q94" s="27">
        <v>3.257712</v>
      </c>
      <c r="S94" s="27">
        <v>10872</v>
      </c>
      <c r="T94" s="27">
        <v>10</v>
      </c>
      <c r="U94" s="27">
        <v>0.9991</v>
      </c>
      <c r="V94" s="27" t="s">
        <v>109</v>
      </c>
      <c r="W94" s="27">
        <v>271691.28</v>
      </c>
      <c r="X94" s="27">
        <v>9.294038</v>
      </c>
      <c r="Y94" s="27">
        <v>12.512425</v>
      </c>
      <c r="Z94" s="27">
        <v>3.1623</v>
      </c>
      <c r="AA94" s="27" t="s">
        <v>483</v>
      </c>
      <c r="AB94" s="27">
        <v>0</v>
      </c>
      <c r="AC94" s="27">
        <v>0</v>
      </c>
      <c r="AD94" s="27">
        <v>0</v>
      </c>
      <c r="AE94" s="27">
        <v>0</v>
      </c>
      <c r="AF94" s="27">
        <v>0</v>
      </c>
      <c r="AG94" s="27">
        <v>0</v>
      </c>
      <c r="AH94" s="27">
        <v>0</v>
      </c>
      <c r="AI94" s="27">
        <v>0</v>
      </c>
      <c r="AJ94" s="27">
        <v>0</v>
      </c>
      <c r="AK94" s="27">
        <v>0</v>
      </c>
      <c r="AL94" s="27">
        <v>0</v>
      </c>
      <c r="AM94" s="27">
        <v>0</v>
      </c>
      <c r="AN94" s="27">
        <v>0</v>
      </c>
      <c r="AO94" s="27">
        <v>0</v>
      </c>
      <c r="AP94" s="27">
        <v>0</v>
      </c>
      <c r="AQ94" s="27">
        <v>1</v>
      </c>
      <c r="AR94" s="27">
        <v>0</v>
      </c>
      <c r="AS94" s="27">
        <v>0</v>
      </c>
      <c r="AT94" s="27">
        <v>0</v>
      </c>
      <c r="AU94" s="27">
        <v>0</v>
      </c>
      <c r="AV94" s="27">
        <v>1</v>
      </c>
      <c r="AW94" s="27">
        <v>1</v>
      </c>
      <c r="AX94" s="27">
        <v>0</v>
      </c>
      <c r="AZ94" s="27">
        <v>1</v>
      </c>
      <c r="BA94" s="27">
        <v>1</v>
      </c>
      <c r="BB94" s="27">
        <v>69.63</v>
      </c>
      <c r="BC94" s="27" t="s">
        <v>484</v>
      </c>
      <c r="BD94" s="27" t="s">
        <v>485</v>
      </c>
      <c r="BE94" s="27" t="s">
        <v>166</v>
      </c>
      <c r="BF94" s="27" t="s">
        <v>77</v>
      </c>
      <c r="BG94" s="27">
        <v>168</v>
      </c>
      <c r="BH94" s="27">
        <v>11</v>
      </c>
      <c r="BI94" s="27">
        <v>0.9385</v>
      </c>
      <c r="BJ94" s="27">
        <v>0</v>
      </c>
      <c r="BK94" s="27">
        <v>4</v>
      </c>
      <c r="BL94" s="27">
        <v>98.9</v>
      </c>
    </row>
    <row r="95" customHeight="1" spans="1:64">
      <c r="A95" s="27" t="s">
        <v>486</v>
      </c>
      <c r="B95" s="27" t="s">
        <v>487</v>
      </c>
      <c r="E95" s="27" t="s">
        <v>488</v>
      </c>
      <c r="F95" s="27" t="s">
        <v>160</v>
      </c>
      <c r="G95" s="27" t="s">
        <v>83</v>
      </c>
      <c r="H95" s="27" t="s">
        <v>84</v>
      </c>
      <c r="I95" s="27" t="s">
        <v>85</v>
      </c>
      <c r="J95" s="27">
        <v>5</v>
      </c>
      <c r="K95" s="27">
        <v>13.96</v>
      </c>
      <c r="M95" s="27">
        <v>0</v>
      </c>
      <c r="N95" s="27">
        <v>0</v>
      </c>
      <c r="O95" s="27">
        <v>0</v>
      </c>
      <c r="P95" s="27" t="s">
        <v>133</v>
      </c>
      <c r="Q95" s="27">
        <v>2.70538</v>
      </c>
      <c r="S95" s="27">
        <v>3314</v>
      </c>
      <c r="T95" s="27">
        <v>10</v>
      </c>
      <c r="U95" s="27">
        <v>0.997</v>
      </c>
      <c r="V95" s="27" t="s">
        <v>109</v>
      </c>
      <c r="W95" s="27">
        <v>46263.44</v>
      </c>
      <c r="X95" s="27">
        <v>8.106213</v>
      </c>
      <c r="Y95" s="27">
        <v>10.742129</v>
      </c>
      <c r="Z95" s="27">
        <v>3.1623</v>
      </c>
      <c r="AA95" s="27" t="s">
        <v>125</v>
      </c>
      <c r="AB95" s="27">
        <v>0</v>
      </c>
      <c r="AC95" s="27">
        <v>0</v>
      </c>
      <c r="AD95" s="27">
        <v>0</v>
      </c>
      <c r="AE95" s="27">
        <v>1</v>
      </c>
      <c r="AF95" s="27">
        <v>0</v>
      </c>
      <c r="AG95" s="27">
        <v>0</v>
      </c>
      <c r="AH95" s="27">
        <v>1</v>
      </c>
      <c r="AI95" s="27">
        <v>0</v>
      </c>
      <c r="AJ95" s="27">
        <v>0</v>
      </c>
      <c r="AK95" s="27">
        <v>0</v>
      </c>
      <c r="AL95" s="27">
        <v>0</v>
      </c>
      <c r="AM95" s="27">
        <v>0</v>
      </c>
      <c r="AN95" s="27">
        <v>0</v>
      </c>
      <c r="AO95" s="27">
        <v>0</v>
      </c>
      <c r="AP95" s="27">
        <v>0</v>
      </c>
      <c r="AQ95" s="27">
        <v>0</v>
      </c>
      <c r="AR95" s="27">
        <v>0</v>
      </c>
      <c r="AS95" s="27">
        <v>0</v>
      </c>
      <c r="AT95" s="27">
        <v>1</v>
      </c>
      <c r="AU95" s="27">
        <v>0</v>
      </c>
      <c r="AV95" s="27">
        <v>0</v>
      </c>
      <c r="AW95" s="27">
        <v>0</v>
      </c>
      <c r="AX95" s="27">
        <v>0</v>
      </c>
      <c r="AZ95" s="27">
        <v>1</v>
      </c>
      <c r="BA95" s="27">
        <v>2</v>
      </c>
      <c r="BB95" s="27">
        <v>69.64</v>
      </c>
      <c r="BC95" s="27" t="s">
        <v>489</v>
      </c>
      <c r="BD95" s="27" t="s">
        <v>420</v>
      </c>
      <c r="BE95" s="27" t="s">
        <v>113</v>
      </c>
      <c r="BF95" s="27" t="s">
        <v>77</v>
      </c>
      <c r="BG95" s="27">
        <v>168</v>
      </c>
      <c r="BH95" s="27">
        <v>11</v>
      </c>
      <c r="BI95" s="27">
        <v>0.9385</v>
      </c>
      <c r="BJ95" s="27">
        <v>0</v>
      </c>
      <c r="BK95" s="27">
        <v>3</v>
      </c>
      <c r="BL95" s="27">
        <v>99.2</v>
      </c>
    </row>
    <row r="96" customHeight="1" spans="1:64">
      <c r="A96" s="27" t="s">
        <v>490</v>
      </c>
      <c r="B96" s="27" t="s">
        <v>365</v>
      </c>
      <c r="E96" s="27" t="s">
        <v>491</v>
      </c>
      <c r="F96" s="27" t="s">
        <v>276</v>
      </c>
      <c r="G96" s="27" t="s">
        <v>83</v>
      </c>
      <c r="H96" s="27" t="s">
        <v>84</v>
      </c>
      <c r="I96" s="27" t="s">
        <v>85</v>
      </c>
      <c r="J96" s="27">
        <v>5</v>
      </c>
      <c r="K96" s="27">
        <v>18</v>
      </c>
      <c r="M96" s="27">
        <v>0</v>
      </c>
      <c r="N96" s="27">
        <v>0</v>
      </c>
      <c r="O96" s="27">
        <v>0</v>
      </c>
      <c r="P96" s="27" t="s">
        <v>133</v>
      </c>
      <c r="Q96" s="27">
        <v>2.944439</v>
      </c>
      <c r="S96" s="27">
        <v>26</v>
      </c>
      <c r="T96" s="27">
        <v>10</v>
      </c>
      <c r="U96" s="27">
        <v>0.7222</v>
      </c>
      <c r="V96" s="27" t="s">
        <v>72</v>
      </c>
      <c r="W96" s="27">
        <v>468</v>
      </c>
      <c r="X96" s="27">
        <v>3.295837</v>
      </c>
      <c r="Y96" s="27">
        <v>6.150603</v>
      </c>
      <c r="Z96" s="27">
        <v>3.1623</v>
      </c>
      <c r="AA96" s="27" t="s">
        <v>125</v>
      </c>
      <c r="AB96" s="27">
        <v>0</v>
      </c>
      <c r="AC96" s="27">
        <v>0</v>
      </c>
      <c r="AD96" s="27">
        <v>0</v>
      </c>
      <c r="AE96" s="27">
        <v>0</v>
      </c>
      <c r="AF96" s="27">
        <v>0</v>
      </c>
      <c r="AG96" s="27">
        <v>0</v>
      </c>
      <c r="AH96" s="27">
        <v>0</v>
      </c>
      <c r="AI96" s="27">
        <v>0</v>
      </c>
      <c r="AJ96" s="27">
        <v>0</v>
      </c>
      <c r="AK96" s="27">
        <v>1</v>
      </c>
      <c r="AL96" s="27">
        <v>0</v>
      </c>
      <c r="AM96" s="27">
        <v>0</v>
      </c>
      <c r="AN96" s="27">
        <v>0</v>
      </c>
      <c r="AO96" s="27">
        <v>0</v>
      </c>
      <c r="AP96" s="27">
        <v>0</v>
      </c>
      <c r="AQ96" s="27">
        <v>0</v>
      </c>
      <c r="AR96" s="27">
        <v>0</v>
      </c>
      <c r="AS96" s="27">
        <v>0</v>
      </c>
      <c r="AT96" s="27">
        <v>0</v>
      </c>
      <c r="AU96" s="27">
        <v>0</v>
      </c>
      <c r="AV96" s="27">
        <v>0</v>
      </c>
      <c r="AW96" s="27">
        <v>0</v>
      </c>
      <c r="AX96" s="27">
        <v>0</v>
      </c>
      <c r="AZ96" s="27">
        <v>1</v>
      </c>
      <c r="BA96" s="27">
        <v>1</v>
      </c>
      <c r="BB96" s="27">
        <v>58.74</v>
      </c>
      <c r="BC96" s="27" t="s">
        <v>492</v>
      </c>
      <c r="BD96" s="27" t="s">
        <v>97</v>
      </c>
      <c r="BE96" s="27" t="s">
        <v>76</v>
      </c>
      <c r="BF96" s="27" t="s">
        <v>77</v>
      </c>
      <c r="BG96" s="27">
        <v>170</v>
      </c>
      <c r="BH96" s="27">
        <v>11</v>
      </c>
      <c r="BI96" s="27">
        <v>0.9392</v>
      </c>
      <c r="BJ96" s="27">
        <v>0</v>
      </c>
      <c r="BK96" s="27">
        <v>2</v>
      </c>
      <c r="BL96" s="27">
        <v>99.5</v>
      </c>
    </row>
    <row r="97" customHeight="1" spans="1:64">
      <c r="A97" s="27" t="s">
        <v>493</v>
      </c>
      <c r="B97" s="27" t="s">
        <v>384</v>
      </c>
      <c r="E97" s="27" t="s">
        <v>81</v>
      </c>
      <c r="F97" s="27" t="s">
        <v>160</v>
      </c>
      <c r="G97" s="27" t="s">
        <v>83</v>
      </c>
      <c r="H97" s="27" t="s">
        <v>84</v>
      </c>
      <c r="I97" s="27" t="s">
        <v>85</v>
      </c>
      <c r="J97" s="27">
        <v>5</v>
      </c>
      <c r="K97" s="27">
        <v>220.99</v>
      </c>
      <c r="L97" s="27">
        <v>245.54</v>
      </c>
      <c r="M97" s="27">
        <v>10</v>
      </c>
      <c r="N97" s="27">
        <v>24.55</v>
      </c>
      <c r="O97" s="27">
        <v>1</v>
      </c>
      <c r="P97" s="27" t="s">
        <v>71</v>
      </c>
      <c r="Q97" s="27">
        <v>5.402632</v>
      </c>
      <c r="R97" s="27">
        <v>22.1</v>
      </c>
      <c r="S97" s="27">
        <v>81</v>
      </c>
      <c r="T97" s="27">
        <v>10</v>
      </c>
      <c r="U97" s="27">
        <v>0.8901</v>
      </c>
      <c r="V97" s="27" t="s">
        <v>72</v>
      </c>
      <c r="W97" s="27">
        <v>17900.19</v>
      </c>
      <c r="X97" s="27">
        <v>4.406719</v>
      </c>
      <c r="Y97" s="27">
        <v>9.792622</v>
      </c>
      <c r="Z97" s="27">
        <v>3.1623</v>
      </c>
      <c r="AA97" s="27" t="s">
        <v>125</v>
      </c>
      <c r="AB97" s="27">
        <v>0</v>
      </c>
      <c r="AC97" s="27">
        <v>0</v>
      </c>
      <c r="AD97" s="27">
        <v>0</v>
      </c>
      <c r="AE97" s="27">
        <v>0</v>
      </c>
      <c r="AF97" s="27">
        <v>0</v>
      </c>
      <c r="AG97" s="27">
        <v>0</v>
      </c>
      <c r="AH97" s="27">
        <v>1</v>
      </c>
      <c r="AI97" s="27">
        <v>0</v>
      </c>
      <c r="AJ97" s="27">
        <v>0</v>
      </c>
      <c r="AK97" s="27">
        <v>0</v>
      </c>
      <c r="AL97" s="27">
        <v>0</v>
      </c>
      <c r="AM97" s="27">
        <v>0</v>
      </c>
      <c r="AN97" s="27">
        <v>0</v>
      </c>
      <c r="AO97" s="27">
        <v>0</v>
      </c>
      <c r="AP97" s="27">
        <v>0</v>
      </c>
      <c r="AQ97" s="27">
        <v>1</v>
      </c>
      <c r="AR97" s="27">
        <v>0</v>
      </c>
      <c r="AS97" s="27">
        <v>0</v>
      </c>
      <c r="AT97" s="27">
        <v>1</v>
      </c>
      <c r="AU97" s="27">
        <v>0</v>
      </c>
      <c r="AV97" s="27">
        <v>1</v>
      </c>
      <c r="AW97" s="27">
        <v>1</v>
      </c>
      <c r="AX97" s="27">
        <v>0</v>
      </c>
      <c r="AY97" s="27">
        <v>10</v>
      </c>
      <c r="AZ97" s="27">
        <v>1</v>
      </c>
      <c r="BA97" s="27">
        <v>2</v>
      </c>
      <c r="BB97" s="27">
        <v>68.18</v>
      </c>
      <c r="BC97" s="27" t="s">
        <v>385</v>
      </c>
      <c r="BD97" s="27" t="s">
        <v>386</v>
      </c>
      <c r="BE97" s="27" t="s">
        <v>226</v>
      </c>
      <c r="BF97" s="27" t="s">
        <v>77</v>
      </c>
      <c r="BG97" s="27">
        <v>1</v>
      </c>
      <c r="BH97" s="27">
        <v>28</v>
      </c>
      <c r="BI97" s="27">
        <v>0.0345</v>
      </c>
      <c r="BJ97" s="27">
        <v>1</v>
      </c>
      <c r="BK97" s="27">
        <v>5</v>
      </c>
      <c r="BL97" s="27">
        <v>98.6</v>
      </c>
    </row>
    <row r="98" customHeight="1" spans="1:64">
      <c r="A98" s="27" t="s">
        <v>494</v>
      </c>
      <c r="B98" s="27" t="s">
        <v>104</v>
      </c>
      <c r="C98" s="27" t="s">
        <v>495</v>
      </c>
      <c r="D98" s="27">
        <v>194644036287</v>
      </c>
      <c r="E98" s="27" t="s">
        <v>81</v>
      </c>
      <c r="F98" s="27" t="s">
        <v>82</v>
      </c>
      <c r="G98" s="27" t="s">
        <v>106</v>
      </c>
      <c r="H98" s="27" t="s">
        <v>107</v>
      </c>
      <c r="I98" s="27" t="s">
        <v>108</v>
      </c>
      <c r="J98" s="27">
        <v>3</v>
      </c>
      <c r="K98" s="27">
        <v>145.99</v>
      </c>
      <c r="L98" s="27">
        <v>449.99</v>
      </c>
      <c r="M98" s="27">
        <v>67.56</v>
      </c>
      <c r="N98" s="27">
        <v>304</v>
      </c>
      <c r="O98" s="27">
        <v>1</v>
      </c>
      <c r="P98" s="27" t="s">
        <v>95</v>
      </c>
      <c r="Q98" s="27">
        <v>4.990365</v>
      </c>
      <c r="S98" s="27">
        <v>1230</v>
      </c>
      <c r="T98" s="27">
        <v>400</v>
      </c>
      <c r="U98" s="27">
        <v>0.7546</v>
      </c>
      <c r="V98" s="27" t="s">
        <v>109</v>
      </c>
      <c r="W98" s="27">
        <v>179567.7</v>
      </c>
      <c r="X98" s="27">
        <v>7.115582</v>
      </c>
      <c r="Y98" s="27">
        <v>12.098313</v>
      </c>
      <c r="Z98" s="27">
        <v>20</v>
      </c>
      <c r="AA98" s="27" t="s">
        <v>187</v>
      </c>
      <c r="AB98" s="27">
        <v>1</v>
      </c>
      <c r="AC98" s="27">
        <v>0</v>
      </c>
      <c r="AD98" s="27">
        <v>0</v>
      </c>
      <c r="AE98" s="27">
        <v>1</v>
      </c>
      <c r="AF98" s="27">
        <v>0</v>
      </c>
      <c r="AG98" s="27">
        <v>0</v>
      </c>
      <c r="AH98" s="27">
        <v>0</v>
      </c>
      <c r="AI98" s="27">
        <v>0</v>
      </c>
      <c r="AJ98" s="27">
        <v>0</v>
      </c>
      <c r="AK98" s="27">
        <v>0</v>
      </c>
      <c r="AL98" s="27">
        <v>0</v>
      </c>
      <c r="AM98" s="27">
        <v>0</v>
      </c>
      <c r="AN98" s="27">
        <v>0</v>
      </c>
      <c r="AO98" s="27">
        <v>0</v>
      </c>
      <c r="AP98" s="27">
        <v>1</v>
      </c>
      <c r="AQ98" s="27">
        <v>0</v>
      </c>
      <c r="AR98" s="27">
        <v>0</v>
      </c>
      <c r="AS98" s="27">
        <v>0</v>
      </c>
      <c r="AT98" s="27">
        <v>1</v>
      </c>
      <c r="AU98" s="27">
        <v>0</v>
      </c>
      <c r="AV98" s="27">
        <v>0</v>
      </c>
      <c r="AW98" s="27">
        <v>0</v>
      </c>
      <c r="AX98" s="27">
        <v>0</v>
      </c>
      <c r="AZ98" s="27">
        <v>1</v>
      </c>
      <c r="BA98" s="27">
        <v>2</v>
      </c>
      <c r="BB98" s="27">
        <v>80.3</v>
      </c>
      <c r="BC98" s="27" t="s">
        <v>111</v>
      </c>
      <c r="BD98" s="27" t="s">
        <v>112</v>
      </c>
      <c r="BE98" s="27" t="s">
        <v>113</v>
      </c>
      <c r="BF98" s="27" t="s">
        <v>77</v>
      </c>
      <c r="BG98" s="27">
        <v>162</v>
      </c>
      <c r="BH98" s="27">
        <v>24</v>
      </c>
      <c r="BI98" s="27">
        <v>0.871</v>
      </c>
      <c r="BJ98" s="27">
        <v>0</v>
      </c>
      <c r="BK98" s="27">
        <v>2</v>
      </c>
      <c r="BL98" s="27">
        <v>99.5</v>
      </c>
    </row>
    <row r="99" customHeight="1" spans="1:64">
      <c r="A99" s="27" t="s">
        <v>496</v>
      </c>
      <c r="B99" s="27" t="s">
        <v>125</v>
      </c>
      <c r="C99" s="27" t="s">
        <v>497</v>
      </c>
      <c r="E99" s="27" t="s">
        <v>426</v>
      </c>
      <c r="F99" s="27" t="s">
        <v>132</v>
      </c>
      <c r="G99" s="27" t="s">
        <v>427</v>
      </c>
      <c r="H99" s="27" t="s">
        <v>138</v>
      </c>
      <c r="I99" s="27" t="s">
        <v>85</v>
      </c>
      <c r="J99" s="27">
        <v>5</v>
      </c>
      <c r="K99" s="27">
        <v>21.9</v>
      </c>
      <c r="M99" s="27">
        <v>0</v>
      </c>
      <c r="N99" s="27">
        <v>0</v>
      </c>
      <c r="O99" s="27">
        <v>0</v>
      </c>
      <c r="P99" s="27" t="s">
        <v>133</v>
      </c>
      <c r="Q99" s="27">
        <v>3.131137</v>
      </c>
      <c r="S99" s="27">
        <v>600</v>
      </c>
      <c r="T99" s="27">
        <v>10</v>
      </c>
      <c r="U99" s="27">
        <v>0.9836</v>
      </c>
      <c r="V99" s="27" t="s">
        <v>154</v>
      </c>
      <c r="W99" s="27">
        <v>13140</v>
      </c>
      <c r="X99" s="27">
        <v>6.398595</v>
      </c>
      <c r="Y99" s="27">
        <v>9.483492</v>
      </c>
      <c r="Z99" s="27">
        <v>3.1623</v>
      </c>
      <c r="AA99" s="27" t="s">
        <v>125</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v>0</v>
      </c>
      <c r="AS99" s="27">
        <v>0</v>
      </c>
      <c r="AT99" s="27">
        <v>0</v>
      </c>
      <c r="AU99" s="27">
        <v>0</v>
      </c>
      <c r="AV99" s="27">
        <v>0</v>
      </c>
      <c r="AW99" s="27">
        <v>0</v>
      </c>
      <c r="AX99" s="27">
        <v>0</v>
      </c>
      <c r="AZ99" s="27">
        <v>1</v>
      </c>
      <c r="BA99" s="27">
        <v>0</v>
      </c>
      <c r="BB99" s="27">
        <v>66.46</v>
      </c>
      <c r="BC99" s="27" t="s">
        <v>428</v>
      </c>
      <c r="BD99" s="27" t="s">
        <v>225</v>
      </c>
      <c r="BE99" s="27" t="s">
        <v>226</v>
      </c>
      <c r="BF99" s="27" t="s">
        <v>77</v>
      </c>
      <c r="BG99" s="27">
        <v>1</v>
      </c>
      <c r="BH99" s="27">
        <v>14</v>
      </c>
      <c r="BI99" s="27">
        <v>0.0667</v>
      </c>
      <c r="BJ99" s="27">
        <v>1</v>
      </c>
      <c r="BK99" s="27">
        <v>35</v>
      </c>
      <c r="BL99" s="27">
        <v>90.4</v>
      </c>
    </row>
    <row r="100" customHeight="1" spans="1:64">
      <c r="A100" s="27" t="s">
        <v>498</v>
      </c>
      <c r="B100" s="27" t="s">
        <v>104</v>
      </c>
      <c r="C100" s="27" t="s">
        <v>499</v>
      </c>
      <c r="D100" s="27">
        <v>194644308599</v>
      </c>
      <c r="E100" s="27" t="s">
        <v>81</v>
      </c>
      <c r="F100" s="27" t="s">
        <v>82</v>
      </c>
      <c r="G100" s="27" t="s">
        <v>106</v>
      </c>
      <c r="H100" s="27" t="s">
        <v>107</v>
      </c>
      <c r="I100" s="27" t="s">
        <v>108</v>
      </c>
      <c r="J100" s="27">
        <v>3</v>
      </c>
      <c r="K100" s="27">
        <v>279.99</v>
      </c>
      <c r="M100" s="27">
        <v>0</v>
      </c>
      <c r="N100" s="27">
        <v>0</v>
      </c>
      <c r="O100" s="27">
        <v>0</v>
      </c>
      <c r="P100" s="27" t="s">
        <v>71</v>
      </c>
      <c r="Q100" s="27">
        <v>5.638319</v>
      </c>
      <c r="S100" s="27">
        <v>162</v>
      </c>
      <c r="T100" s="27">
        <v>3</v>
      </c>
      <c r="U100" s="27">
        <v>0.9818</v>
      </c>
      <c r="V100" s="27" t="s">
        <v>72</v>
      </c>
      <c r="W100" s="27">
        <v>45358.38</v>
      </c>
      <c r="X100" s="27">
        <v>5.09375</v>
      </c>
      <c r="Y100" s="27">
        <v>10.722372</v>
      </c>
      <c r="Z100" s="27">
        <v>1.7321</v>
      </c>
      <c r="AA100" s="27" t="s">
        <v>73</v>
      </c>
      <c r="AB100" s="27">
        <v>0</v>
      </c>
      <c r="AC100" s="27">
        <v>0</v>
      </c>
      <c r="AD100" s="27">
        <v>0</v>
      </c>
      <c r="AE100" s="27">
        <v>1</v>
      </c>
      <c r="AF100" s="27">
        <v>0</v>
      </c>
      <c r="AG100" s="27">
        <v>0</v>
      </c>
      <c r="AH100" s="27">
        <v>1</v>
      </c>
      <c r="AI100" s="27">
        <v>0</v>
      </c>
      <c r="AJ100" s="27">
        <v>0</v>
      </c>
      <c r="AK100" s="27">
        <v>1</v>
      </c>
      <c r="AL100" s="27">
        <v>0</v>
      </c>
      <c r="AM100" s="27">
        <v>0</v>
      </c>
      <c r="AN100" s="27">
        <v>0</v>
      </c>
      <c r="AO100" s="27">
        <v>0</v>
      </c>
      <c r="AP100" s="27">
        <v>0</v>
      </c>
      <c r="AQ100" s="27">
        <v>0</v>
      </c>
      <c r="AR100" s="27">
        <v>0</v>
      </c>
      <c r="AS100" s="27">
        <v>0</v>
      </c>
      <c r="AT100" s="27">
        <v>1</v>
      </c>
      <c r="AU100" s="27">
        <v>0</v>
      </c>
      <c r="AV100" s="27">
        <v>0</v>
      </c>
      <c r="AW100" s="27">
        <v>0</v>
      </c>
      <c r="AX100" s="27">
        <v>0</v>
      </c>
      <c r="AZ100" s="27">
        <v>1</v>
      </c>
      <c r="BA100" s="27">
        <v>3</v>
      </c>
      <c r="BB100" s="27">
        <v>69.12</v>
      </c>
      <c r="BC100" s="27" t="s">
        <v>111</v>
      </c>
      <c r="BD100" s="27" t="s">
        <v>112</v>
      </c>
      <c r="BE100" s="27" t="s">
        <v>113</v>
      </c>
      <c r="BF100" s="27" t="s">
        <v>77</v>
      </c>
      <c r="BG100" s="27">
        <v>162</v>
      </c>
      <c r="BH100" s="27">
        <v>24</v>
      </c>
      <c r="BI100" s="27">
        <v>0.871</v>
      </c>
      <c r="BJ100" s="27">
        <v>0</v>
      </c>
      <c r="BK100" s="27">
        <v>2</v>
      </c>
      <c r="BL100" s="27">
        <v>99.5</v>
      </c>
    </row>
    <row r="101" customHeight="1" spans="1:64">
      <c r="A101" s="27" t="s">
        <v>500</v>
      </c>
      <c r="B101" s="27" t="s">
        <v>171</v>
      </c>
      <c r="C101" s="27" t="s">
        <v>501</v>
      </c>
      <c r="E101" s="27" t="s">
        <v>502</v>
      </c>
      <c r="F101" s="27" t="s">
        <v>160</v>
      </c>
      <c r="G101" s="27" t="s">
        <v>83</v>
      </c>
      <c r="H101" s="27" t="s">
        <v>84</v>
      </c>
      <c r="I101" s="27" t="s">
        <v>85</v>
      </c>
      <c r="J101" s="27">
        <v>5</v>
      </c>
      <c r="K101" s="27">
        <v>34.99</v>
      </c>
      <c r="M101" s="27">
        <v>0</v>
      </c>
      <c r="N101" s="27">
        <v>0</v>
      </c>
      <c r="O101" s="27">
        <v>0</v>
      </c>
      <c r="P101" s="27" t="s">
        <v>86</v>
      </c>
      <c r="Q101" s="27">
        <v>3.583241</v>
      </c>
      <c r="S101" s="27">
        <v>724</v>
      </c>
      <c r="T101" s="27">
        <v>200</v>
      </c>
      <c r="U101" s="27">
        <v>0.7835</v>
      </c>
      <c r="V101" s="27" t="s">
        <v>154</v>
      </c>
      <c r="W101" s="27">
        <v>25332.76</v>
      </c>
      <c r="X101" s="27">
        <v>6.586172</v>
      </c>
      <c r="Y101" s="27">
        <v>10.139893</v>
      </c>
      <c r="Z101" s="27">
        <v>14.1421</v>
      </c>
      <c r="AA101" s="27" t="s">
        <v>73</v>
      </c>
      <c r="AB101" s="27">
        <v>1</v>
      </c>
      <c r="AC101" s="27">
        <v>1</v>
      </c>
      <c r="AD101" s="27">
        <v>0</v>
      </c>
      <c r="AE101" s="27">
        <v>0</v>
      </c>
      <c r="AF101" s="27">
        <v>0</v>
      </c>
      <c r="AG101" s="27">
        <v>1</v>
      </c>
      <c r="AH101" s="27">
        <v>0</v>
      </c>
      <c r="AI101" s="27">
        <v>1</v>
      </c>
      <c r="AJ101" s="27">
        <v>0</v>
      </c>
      <c r="AK101" s="27">
        <v>0</v>
      </c>
      <c r="AL101" s="27">
        <v>0</v>
      </c>
      <c r="AM101" s="27">
        <v>0</v>
      </c>
      <c r="AN101" s="27">
        <v>0</v>
      </c>
      <c r="AO101" s="27">
        <v>0</v>
      </c>
      <c r="AP101" s="27">
        <v>0</v>
      </c>
      <c r="AQ101" s="27">
        <v>0</v>
      </c>
      <c r="AR101" s="27">
        <v>0</v>
      </c>
      <c r="AS101" s="27">
        <v>0</v>
      </c>
      <c r="AT101" s="27">
        <v>1</v>
      </c>
      <c r="AU101" s="27">
        <v>0</v>
      </c>
      <c r="AV101" s="27">
        <v>0</v>
      </c>
      <c r="AW101" s="27">
        <v>0</v>
      </c>
      <c r="AX101" s="27">
        <v>0</v>
      </c>
      <c r="AZ101" s="27">
        <v>1</v>
      </c>
      <c r="BA101" s="27">
        <v>2</v>
      </c>
      <c r="BB101" s="27">
        <v>61.19</v>
      </c>
      <c r="BC101" s="27" t="s">
        <v>251</v>
      </c>
      <c r="BD101" s="27" t="s">
        <v>175</v>
      </c>
      <c r="BE101" s="27" t="s">
        <v>91</v>
      </c>
      <c r="BF101" s="27" t="s">
        <v>77</v>
      </c>
      <c r="BG101" s="27">
        <v>162</v>
      </c>
      <c r="BH101" s="27">
        <v>60</v>
      </c>
      <c r="BI101" s="27">
        <v>0.7297</v>
      </c>
      <c r="BJ101" s="27">
        <v>0</v>
      </c>
      <c r="BK101" s="27">
        <v>2</v>
      </c>
      <c r="BL101" s="27">
        <v>99.5</v>
      </c>
    </row>
    <row r="102" customHeight="1" spans="1:64">
      <c r="A102" s="27" t="s">
        <v>503</v>
      </c>
      <c r="B102" s="27" t="s">
        <v>171</v>
      </c>
      <c r="C102" s="27" t="s">
        <v>504</v>
      </c>
      <c r="E102" s="27" t="s">
        <v>505</v>
      </c>
      <c r="F102" s="27" t="s">
        <v>240</v>
      </c>
      <c r="G102" s="27" t="s">
        <v>83</v>
      </c>
      <c r="H102" s="27" t="s">
        <v>84</v>
      </c>
      <c r="I102" s="27" t="s">
        <v>85</v>
      </c>
      <c r="J102" s="27">
        <v>5</v>
      </c>
      <c r="K102" s="27">
        <v>56.24</v>
      </c>
      <c r="M102" s="27">
        <v>0</v>
      </c>
      <c r="N102" s="27">
        <v>0</v>
      </c>
      <c r="O102" s="27">
        <v>0</v>
      </c>
      <c r="P102" s="27" t="s">
        <v>86</v>
      </c>
      <c r="Q102" s="27">
        <v>4.047253</v>
      </c>
      <c r="R102" s="27">
        <v>3.52</v>
      </c>
      <c r="S102" s="27">
        <v>104</v>
      </c>
      <c r="T102" s="27">
        <v>10</v>
      </c>
      <c r="U102" s="27">
        <v>0.9123</v>
      </c>
      <c r="V102" s="27" t="s">
        <v>72</v>
      </c>
      <c r="W102" s="27">
        <v>5848.96</v>
      </c>
      <c r="X102" s="27">
        <v>4.65396</v>
      </c>
      <c r="Y102" s="27">
        <v>8.67419</v>
      </c>
      <c r="Z102" s="27">
        <v>3.1623</v>
      </c>
      <c r="AA102" s="27" t="s">
        <v>313</v>
      </c>
      <c r="AB102" s="27">
        <v>0</v>
      </c>
      <c r="AC102" s="27">
        <v>0</v>
      </c>
      <c r="AD102" s="27">
        <v>0</v>
      </c>
      <c r="AE102" s="27">
        <v>0</v>
      </c>
      <c r="AF102" s="27">
        <v>0</v>
      </c>
      <c r="AG102" s="27">
        <v>0</v>
      </c>
      <c r="AH102" s="27">
        <v>0</v>
      </c>
      <c r="AI102" s="27">
        <v>0</v>
      </c>
      <c r="AJ102" s="27">
        <v>0</v>
      </c>
      <c r="AK102" s="27">
        <v>0</v>
      </c>
      <c r="AL102" s="27">
        <v>0</v>
      </c>
      <c r="AM102" s="27">
        <v>0</v>
      </c>
      <c r="AN102" s="27">
        <v>0</v>
      </c>
      <c r="AO102" s="27">
        <v>0</v>
      </c>
      <c r="AP102" s="27">
        <v>0</v>
      </c>
      <c r="AQ102" s="27">
        <v>1</v>
      </c>
      <c r="AR102" s="27">
        <v>0</v>
      </c>
      <c r="AS102" s="27">
        <v>0</v>
      </c>
      <c r="AT102" s="27">
        <v>0</v>
      </c>
      <c r="AU102" s="27">
        <v>0</v>
      </c>
      <c r="AV102" s="27">
        <v>1</v>
      </c>
      <c r="AW102" s="27">
        <v>0</v>
      </c>
      <c r="AX102" s="27">
        <v>0</v>
      </c>
      <c r="AY102" s="27">
        <v>16</v>
      </c>
      <c r="AZ102" s="27">
        <v>1</v>
      </c>
      <c r="BA102" s="27">
        <v>1</v>
      </c>
      <c r="BB102" s="27">
        <v>66.25</v>
      </c>
      <c r="BC102" s="27" t="s">
        <v>506</v>
      </c>
      <c r="BD102" s="27" t="s">
        <v>356</v>
      </c>
      <c r="BE102" s="27" t="s">
        <v>423</v>
      </c>
      <c r="BF102" s="27" t="s">
        <v>77</v>
      </c>
      <c r="BG102" s="27">
        <v>162</v>
      </c>
      <c r="BH102" s="27">
        <v>60</v>
      </c>
      <c r="BI102" s="27">
        <v>0.7297</v>
      </c>
      <c r="BJ102" s="27">
        <v>0</v>
      </c>
      <c r="BK102" s="27">
        <v>3</v>
      </c>
      <c r="BL102" s="27">
        <v>99.2</v>
      </c>
    </row>
    <row r="103" customHeight="1" spans="1:64">
      <c r="A103" s="27" t="s">
        <v>507</v>
      </c>
      <c r="B103" s="27" t="s">
        <v>115</v>
      </c>
      <c r="E103" s="27" t="s">
        <v>116</v>
      </c>
      <c r="F103" s="27" t="s">
        <v>82</v>
      </c>
      <c r="G103" s="27" t="s">
        <v>117</v>
      </c>
      <c r="H103" s="27" t="s">
        <v>107</v>
      </c>
      <c r="I103" s="27" t="s">
        <v>508</v>
      </c>
      <c r="J103" s="27">
        <v>1</v>
      </c>
      <c r="K103" s="27">
        <v>152.5</v>
      </c>
      <c r="M103" s="27">
        <v>0</v>
      </c>
      <c r="N103" s="27">
        <v>0</v>
      </c>
      <c r="O103" s="27">
        <v>0</v>
      </c>
      <c r="P103" s="27" t="s">
        <v>95</v>
      </c>
      <c r="Q103" s="27">
        <v>5.033701</v>
      </c>
      <c r="V103" s="27" t="s">
        <v>231</v>
      </c>
      <c r="W103" s="27">
        <v>0</v>
      </c>
      <c r="X103" s="27">
        <v>0</v>
      </c>
      <c r="Y103" s="27">
        <v>0</v>
      </c>
      <c r="Z103" s="27">
        <v>0</v>
      </c>
      <c r="AA103" s="27" t="s">
        <v>125</v>
      </c>
      <c r="AB103" s="27">
        <v>0</v>
      </c>
      <c r="AC103" s="27">
        <v>0</v>
      </c>
      <c r="AD103" s="27">
        <v>0</v>
      </c>
      <c r="AE103" s="27">
        <v>0</v>
      </c>
      <c r="AF103" s="27">
        <v>0</v>
      </c>
      <c r="AG103" s="27">
        <v>1</v>
      </c>
      <c r="AH103" s="27">
        <v>0</v>
      </c>
      <c r="AI103" s="27">
        <v>0</v>
      </c>
      <c r="AJ103" s="27">
        <v>0</v>
      </c>
      <c r="AK103" s="27">
        <v>0</v>
      </c>
      <c r="AL103" s="27">
        <v>0</v>
      </c>
      <c r="AM103" s="27">
        <v>0</v>
      </c>
      <c r="AN103" s="27">
        <v>0</v>
      </c>
      <c r="AO103" s="27">
        <v>0</v>
      </c>
      <c r="AP103" s="27">
        <v>1</v>
      </c>
      <c r="AQ103" s="27">
        <v>0</v>
      </c>
      <c r="AR103" s="27">
        <v>0</v>
      </c>
      <c r="AS103" s="27">
        <v>0</v>
      </c>
      <c r="AT103" s="27">
        <v>1</v>
      </c>
      <c r="AU103" s="27">
        <v>0</v>
      </c>
      <c r="AV103" s="27">
        <v>0</v>
      </c>
      <c r="AW103" s="27">
        <v>0</v>
      </c>
      <c r="AX103" s="27">
        <v>0</v>
      </c>
      <c r="AZ103" s="27">
        <v>1</v>
      </c>
      <c r="BA103" s="27">
        <v>0</v>
      </c>
      <c r="BB103" s="27">
        <v>0</v>
      </c>
      <c r="BC103" s="27" t="s">
        <v>509</v>
      </c>
      <c r="BD103" s="27" t="s">
        <v>510</v>
      </c>
      <c r="BE103" s="27" t="s">
        <v>243</v>
      </c>
      <c r="BF103" s="27" t="s">
        <v>77</v>
      </c>
      <c r="BG103" s="27">
        <v>170</v>
      </c>
      <c r="BH103" s="27">
        <v>19</v>
      </c>
      <c r="BI103" s="27">
        <v>0.8995</v>
      </c>
      <c r="BJ103" s="27">
        <v>0</v>
      </c>
    </row>
    <row r="104" customHeight="1" spans="1:64">
      <c r="A104" s="27" t="s">
        <v>511</v>
      </c>
      <c r="B104" s="27" t="s">
        <v>125</v>
      </c>
      <c r="E104" s="27" t="s">
        <v>163</v>
      </c>
      <c r="F104" s="27" t="s">
        <v>276</v>
      </c>
      <c r="G104" s="27" t="s">
        <v>117</v>
      </c>
      <c r="H104" s="27" t="s">
        <v>138</v>
      </c>
      <c r="I104" s="27" t="s">
        <v>85</v>
      </c>
      <c r="J104" s="27">
        <v>5</v>
      </c>
      <c r="K104" s="27">
        <v>26.09</v>
      </c>
      <c r="M104" s="27">
        <v>0</v>
      </c>
      <c r="N104" s="27">
        <v>0</v>
      </c>
      <c r="O104" s="27">
        <v>0</v>
      </c>
      <c r="P104" s="27" t="s">
        <v>86</v>
      </c>
      <c r="Q104" s="27">
        <v>3.299165</v>
      </c>
      <c r="S104" s="27">
        <v>96</v>
      </c>
      <c r="T104" s="27">
        <v>18</v>
      </c>
      <c r="U104" s="27">
        <v>0.8421</v>
      </c>
      <c r="V104" s="27" t="s">
        <v>72</v>
      </c>
      <c r="W104" s="27">
        <v>2504.64</v>
      </c>
      <c r="X104" s="27">
        <v>4.574711</v>
      </c>
      <c r="Y104" s="27">
        <v>7.826299</v>
      </c>
      <c r="Z104" s="27">
        <v>4.2426</v>
      </c>
      <c r="AA104" s="27" t="s">
        <v>125</v>
      </c>
      <c r="AB104" s="27">
        <v>0</v>
      </c>
      <c r="AC104" s="27">
        <v>0</v>
      </c>
      <c r="AD104" s="27">
        <v>0</v>
      </c>
      <c r="AE104" s="27">
        <v>1</v>
      </c>
      <c r="AF104" s="27">
        <v>0</v>
      </c>
      <c r="AG104" s="27">
        <v>0</v>
      </c>
      <c r="AH104" s="27">
        <v>0</v>
      </c>
      <c r="AI104" s="27">
        <v>0</v>
      </c>
      <c r="AJ104" s="27">
        <v>0</v>
      </c>
      <c r="AK104" s="27">
        <v>0</v>
      </c>
      <c r="AL104" s="27">
        <v>0</v>
      </c>
      <c r="AM104" s="27">
        <v>0</v>
      </c>
      <c r="AN104" s="27">
        <v>0</v>
      </c>
      <c r="AO104" s="27">
        <v>0</v>
      </c>
      <c r="AP104" s="27">
        <v>0</v>
      </c>
      <c r="AQ104" s="27">
        <v>0</v>
      </c>
      <c r="AR104" s="27">
        <v>0</v>
      </c>
      <c r="AS104" s="27">
        <v>0</v>
      </c>
      <c r="AT104" s="27">
        <v>0</v>
      </c>
      <c r="AU104" s="27">
        <v>0</v>
      </c>
      <c r="AV104" s="27">
        <v>0</v>
      </c>
      <c r="AW104" s="27">
        <v>0</v>
      </c>
      <c r="AX104" s="27">
        <v>0</v>
      </c>
      <c r="AZ104" s="27">
        <v>1</v>
      </c>
      <c r="BA104" s="27">
        <v>1</v>
      </c>
      <c r="BB104" s="27">
        <v>63.26</v>
      </c>
      <c r="BC104" s="27" t="s">
        <v>512</v>
      </c>
      <c r="BD104" s="27" t="s">
        <v>150</v>
      </c>
      <c r="BE104" s="27" t="s">
        <v>150</v>
      </c>
      <c r="BF104" s="27" t="s">
        <v>77</v>
      </c>
      <c r="BG104" s="27">
        <v>1</v>
      </c>
      <c r="BH104" s="27">
        <v>14</v>
      </c>
      <c r="BI104" s="27">
        <v>0.0667</v>
      </c>
      <c r="BJ104" s="27">
        <v>1</v>
      </c>
      <c r="BK104" s="27">
        <v>5</v>
      </c>
      <c r="BL104" s="27">
        <v>98.6</v>
      </c>
    </row>
    <row r="105" customHeight="1" spans="1:64">
      <c r="A105" s="27" t="s">
        <v>513</v>
      </c>
      <c r="B105" s="27" t="s">
        <v>171</v>
      </c>
      <c r="C105" s="27" t="s">
        <v>433</v>
      </c>
      <c r="E105" s="27" t="s">
        <v>434</v>
      </c>
      <c r="F105" s="27" t="s">
        <v>160</v>
      </c>
      <c r="G105" s="27" t="s">
        <v>83</v>
      </c>
      <c r="H105" s="27" t="s">
        <v>84</v>
      </c>
      <c r="I105" s="27" t="s">
        <v>85</v>
      </c>
      <c r="J105" s="27">
        <v>5</v>
      </c>
      <c r="K105" s="27">
        <v>104.99</v>
      </c>
      <c r="M105" s="27">
        <v>0</v>
      </c>
      <c r="N105" s="27">
        <v>0</v>
      </c>
      <c r="O105" s="27">
        <v>0</v>
      </c>
      <c r="P105" s="27" t="s">
        <v>95</v>
      </c>
      <c r="Q105" s="27">
        <v>4.663345</v>
      </c>
      <c r="R105" s="27">
        <v>6.56</v>
      </c>
      <c r="S105" s="27">
        <v>96</v>
      </c>
      <c r="T105" s="27">
        <v>100</v>
      </c>
      <c r="U105" s="27">
        <v>0.4898</v>
      </c>
      <c r="V105" s="27" t="s">
        <v>72</v>
      </c>
      <c r="W105" s="27">
        <v>10079.04</v>
      </c>
      <c r="X105" s="27">
        <v>4.574711</v>
      </c>
      <c r="Y105" s="27">
        <v>9.218313</v>
      </c>
      <c r="Z105" s="27">
        <v>10</v>
      </c>
      <c r="AA105" s="27" t="s">
        <v>73</v>
      </c>
      <c r="AB105" s="27">
        <v>0</v>
      </c>
      <c r="AC105" s="27">
        <v>0</v>
      </c>
      <c r="AD105" s="27">
        <v>0</v>
      </c>
      <c r="AE105" s="27">
        <v>0</v>
      </c>
      <c r="AF105" s="27">
        <v>0</v>
      </c>
      <c r="AG105" s="27">
        <v>0</v>
      </c>
      <c r="AH105" s="27">
        <v>0</v>
      </c>
      <c r="AI105" s="27">
        <v>0</v>
      </c>
      <c r="AJ105" s="27">
        <v>0</v>
      </c>
      <c r="AK105" s="27">
        <v>0</v>
      </c>
      <c r="AL105" s="27">
        <v>0</v>
      </c>
      <c r="AM105" s="27">
        <v>0</v>
      </c>
      <c r="AN105" s="27">
        <v>0</v>
      </c>
      <c r="AO105" s="27">
        <v>0</v>
      </c>
      <c r="AP105" s="27">
        <v>0</v>
      </c>
      <c r="AQ105" s="27">
        <v>1</v>
      </c>
      <c r="AR105" s="27">
        <v>0</v>
      </c>
      <c r="AS105" s="27">
        <v>0</v>
      </c>
      <c r="AT105" s="27">
        <v>0</v>
      </c>
      <c r="AU105" s="27">
        <v>0</v>
      </c>
      <c r="AV105" s="27">
        <v>1</v>
      </c>
      <c r="AW105" s="27">
        <v>0</v>
      </c>
      <c r="AX105" s="27">
        <v>0</v>
      </c>
      <c r="AY105" s="27">
        <v>16</v>
      </c>
      <c r="AZ105" s="27">
        <v>1</v>
      </c>
      <c r="BA105" s="27">
        <v>1</v>
      </c>
      <c r="BB105" s="27">
        <v>49.44</v>
      </c>
      <c r="BC105" s="27" t="s">
        <v>251</v>
      </c>
      <c r="BD105" s="27" t="s">
        <v>356</v>
      </c>
      <c r="BE105" s="27" t="s">
        <v>423</v>
      </c>
      <c r="BF105" s="27" t="s">
        <v>77</v>
      </c>
      <c r="BG105" s="27">
        <v>162</v>
      </c>
      <c r="BH105" s="27">
        <v>60</v>
      </c>
      <c r="BI105" s="27">
        <v>0.7297</v>
      </c>
      <c r="BJ105" s="27">
        <v>0</v>
      </c>
      <c r="BK105" s="27">
        <v>2</v>
      </c>
      <c r="BL105" s="27">
        <v>99.5</v>
      </c>
    </row>
    <row r="106" customHeight="1" spans="1:64">
      <c r="A106" s="27" t="s">
        <v>514</v>
      </c>
      <c r="B106" s="27" t="s">
        <v>115</v>
      </c>
      <c r="C106" s="27" t="s">
        <v>515</v>
      </c>
      <c r="D106" s="27">
        <v>840268949747</v>
      </c>
      <c r="E106" s="27" t="s">
        <v>81</v>
      </c>
      <c r="F106" s="27" t="s">
        <v>82</v>
      </c>
      <c r="G106" s="27" t="s">
        <v>117</v>
      </c>
      <c r="H106" s="27" t="s">
        <v>107</v>
      </c>
      <c r="I106" s="27" t="s">
        <v>85</v>
      </c>
      <c r="J106" s="27">
        <v>5</v>
      </c>
      <c r="K106" s="27">
        <v>147.25</v>
      </c>
      <c r="L106" s="27">
        <v>155</v>
      </c>
      <c r="M106" s="27">
        <v>5</v>
      </c>
      <c r="N106" s="27">
        <v>7.75</v>
      </c>
      <c r="O106" s="27">
        <v>1</v>
      </c>
      <c r="P106" s="27" t="s">
        <v>95</v>
      </c>
      <c r="Q106" s="27">
        <v>4.9989</v>
      </c>
      <c r="S106" s="27">
        <v>30</v>
      </c>
      <c r="T106" s="27">
        <v>10</v>
      </c>
      <c r="U106" s="27">
        <v>0.75</v>
      </c>
      <c r="V106" s="27" t="s">
        <v>72</v>
      </c>
      <c r="W106" s="27">
        <v>4417.5</v>
      </c>
      <c r="X106" s="27">
        <v>3.433987</v>
      </c>
      <c r="Y106" s="27">
        <v>8.393556</v>
      </c>
      <c r="Z106" s="27">
        <v>3.1623</v>
      </c>
      <c r="AA106" s="27" t="s">
        <v>187</v>
      </c>
      <c r="AB106" s="27">
        <v>0</v>
      </c>
      <c r="AC106" s="27">
        <v>0</v>
      </c>
      <c r="AD106" s="27">
        <v>0</v>
      </c>
      <c r="AE106" s="27">
        <v>0</v>
      </c>
      <c r="AF106" s="27">
        <v>0</v>
      </c>
      <c r="AG106" s="27">
        <v>0</v>
      </c>
      <c r="AH106" s="27">
        <v>1</v>
      </c>
      <c r="AI106" s="27">
        <v>0</v>
      </c>
      <c r="AJ106" s="27">
        <v>0</v>
      </c>
      <c r="AK106" s="27">
        <v>0</v>
      </c>
      <c r="AL106" s="27">
        <v>0</v>
      </c>
      <c r="AM106" s="27">
        <v>0</v>
      </c>
      <c r="AN106" s="27">
        <v>0</v>
      </c>
      <c r="AO106" s="27">
        <v>0</v>
      </c>
      <c r="AP106" s="27">
        <v>1</v>
      </c>
      <c r="AQ106" s="27">
        <v>0</v>
      </c>
      <c r="AR106" s="27">
        <v>0</v>
      </c>
      <c r="AS106" s="27">
        <v>0</v>
      </c>
      <c r="AT106" s="27">
        <v>0</v>
      </c>
      <c r="AU106" s="27">
        <v>0</v>
      </c>
      <c r="AV106" s="27">
        <v>0</v>
      </c>
      <c r="AW106" s="27">
        <v>0</v>
      </c>
      <c r="AX106" s="27">
        <v>0</v>
      </c>
      <c r="AZ106" s="27">
        <v>1</v>
      </c>
      <c r="BA106" s="27">
        <v>1</v>
      </c>
      <c r="BB106" s="27">
        <v>60.69</v>
      </c>
      <c r="BC106" s="27" t="s">
        <v>516</v>
      </c>
      <c r="BD106" s="27" t="s">
        <v>180</v>
      </c>
      <c r="BE106" s="27" t="s">
        <v>113</v>
      </c>
      <c r="BF106" s="27" t="s">
        <v>77</v>
      </c>
      <c r="BG106" s="27">
        <v>162</v>
      </c>
      <c r="BH106" s="27">
        <v>60</v>
      </c>
      <c r="BI106" s="27">
        <v>0.7297</v>
      </c>
      <c r="BJ106" s="27">
        <v>0</v>
      </c>
      <c r="BK106" s="27">
        <v>10</v>
      </c>
      <c r="BL106" s="27">
        <v>97.3</v>
      </c>
    </row>
    <row r="107" customHeight="1" spans="1:64">
      <c r="A107" s="27" t="s">
        <v>517</v>
      </c>
      <c r="B107" s="27" t="s">
        <v>171</v>
      </c>
      <c r="C107" s="27" t="s">
        <v>518</v>
      </c>
      <c r="E107" s="27" t="s">
        <v>255</v>
      </c>
      <c r="F107" s="27" t="s">
        <v>160</v>
      </c>
      <c r="G107" s="27" t="s">
        <v>83</v>
      </c>
      <c r="H107" s="27" t="s">
        <v>84</v>
      </c>
      <c r="I107" s="27" t="s">
        <v>85</v>
      </c>
      <c r="J107" s="27">
        <v>5</v>
      </c>
      <c r="K107" s="27">
        <v>100.79</v>
      </c>
      <c r="L107" s="27">
        <v>119.99</v>
      </c>
      <c r="M107" s="27">
        <v>16</v>
      </c>
      <c r="N107" s="27">
        <v>19.2</v>
      </c>
      <c r="O107" s="27">
        <v>1</v>
      </c>
      <c r="P107" s="27" t="s">
        <v>95</v>
      </c>
      <c r="Q107" s="27">
        <v>4.622912</v>
      </c>
      <c r="R107" s="27">
        <v>12.6</v>
      </c>
      <c r="S107" s="27">
        <v>654</v>
      </c>
      <c r="T107" s="27">
        <v>10</v>
      </c>
      <c r="U107" s="27">
        <v>0.9849</v>
      </c>
      <c r="V107" s="27" t="s">
        <v>154</v>
      </c>
      <c r="W107" s="27">
        <v>65916.66</v>
      </c>
      <c r="X107" s="27">
        <v>6.484635</v>
      </c>
      <c r="Y107" s="27">
        <v>11.096162</v>
      </c>
      <c r="Z107" s="27">
        <v>3.1623</v>
      </c>
      <c r="AA107" s="27" t="s">
        <v>313</v>
      </c>
      <c r="AB107" s="27">
        <v>1</v>
      </c>
      <c r="AC107" s="27">
        <v>1</v>
      </c>
      <c r="AD107" s="27">
        <v>0</v>
      </c>
      <c r="AE107" s="27">
        <v>0</v>
      </c>
      <c r="AF107" s="27">
        <v>0</v>
      </c>
      <c r="AG107" s="27">
        <v>0</v>
      </c>
      <c r="AH107" s="27">
        <v>0</v>
      </c>
      <c r="AI107" s="27">
        <v>0</v>
      </c>
      <c r="AJ107" s="27">
        <v>0</v>
      </c>
      <c r="AK107" s="27">
        <v>0</v>
      </c>
      <c r="AL107" s="27">
        <v>0</v>
      </c>
      <c r="AM107" s="27">
        <v>0</v>
      </c>
      <c r="AN107" s="27">
        <v>0</v>
      </c>
      <c r="AO107" s="27">
        <v>0</v>
      </c>
      <c r="AP107" s="27">
        <v>0</v>
      </c>
      <c r="AQ107" s="27">
        <v>1</v>
      </c>
      <c r="AR107" s="27">
        <v>0</v>
      </c>
      <c r="AS107" s="27">
        <v>0</v>
      </c>
      <c r="AT107" s="27">
        <v>1</v>
      </c>
      <c r="AU107" s="27">
        <v>0</v>
      </c>
      <c r="AV107" s="27">
        <v>1</v>
      </c>
      <c r="AW107" s="27">
        <v>1</v>
      </c>
      <c r="AX107" s="27">
        <v>0</v>
      </c>
      <c r="AY107" s="27">
        <v>8</v>
      </c>
      <c r="AZ107" s="27">
        <v>1</v>
      </c>
      <c r="BA107" s="27">
        <v>3</v>
      </c>
      <c r="BB107" s="27">
        <v>73.78</v>
      </c>
      <c r="BC107" s="27" t="s">
        <v>174</v>
      </c>
      <c r="BG107" s="27">
        <v>0</v>
      </c>
      <c r="BH107" s="27">
        <v>0</v>
      </c>
      <c r="BJ107" s="27">
        <v>0</v>
      </c>
      <c r="BK107" s="27">
        <v>5</v>
      </c>
      <c r="BL107" s="27">
        <v>98.6</v>
      </c>
    </row>
    <row r="108" customHeight="1" spans="1:64">
      <c r="A108" s="27" t="s">
        <v>519</v>
      </c>
      <c r="B108" s="27" t="s">
        <v>282</v>
      </c>
      <c r="E108" s="27" t="s">
        <v>375</v>
      </c>
      <c r="F108" s="27" t="s">
        <v>160</v>
      </c>
      <c r="G108" s="27" t="s">
        <v>83</v>
      </c>
      <c r="H108" s="27" t="s">
        <v>84</v>
      </c>
      <c r="I108" s="27" t="s">
        <v>85</v>
      </c>
      <c r="J108" s="27">
        <v>5</v>
      </c>
      <c r="K108" s="27">
        <v>369.99</v>
      </c>
      <c r="M108" s="27">
        <v>0</v>
      </c>
      <c r="N108" s="27">
        <v>0</v>
      </c>
      <c r="O108" s="27">
        <v>0</v>
      </c>
      <c r="P108" s="27" t="s">
        <v>71</v>
      </c>
      <c r="Q108" s="27">
        <v>5.916175</v>
      </c>
      <c r="R108" s="27">
        <v>46.25</v>
      </c>
      <c r="S108" s="27">
        <v>50</v>
      </c>
      <c r="T108" s="27">
        <v>3</v>
      </c>
      <c r="U108" s="27">
        <v>0.9434</v>
      </c>
      <c r="V108" s="27" t="s">
        <v>72</v>
      </c>
      <c r="W108" s="27">
        <v>18499.5</v>
      </c>
      <c r="X108" s="27">
        <v>3.931826</v>
      </c>
      <c r="Y108" s="27">
        <v>9.825553</v>
      </c>
      <c r="Z108" s="27">
        <v>1.7321</v>
      </c>
      <c r="AA108" s="27" t="s">
        <v>73</v>
      </c>
      <c r="AB108" s="27">
        <v>0</v>
      </c>
      <c r="AC108" s="27">
        <v>0</v>
      </c>
      <c r="AD108" s="27">
        <v>0</v>
      </c>
      <c r="AE108" s="27">
        <v>0</v>
      </c>
      <c r="AF108" s="27">
        <v>0</v>
      </c>
      <c r="AG108" s="27">
        <v>1</v>
      </c>
      <c r="AH108" s="27">
        <v>0</v>
      </c>
      <c r="AI108" s="27">
        <v>1</v>
      </c>
      <c r="AJ108" s="27">
        <v>0</v>
      </c>
      <c r="AK108" s="27">
        <v>0</v>
      </c>
      <c r="AL108" s="27">
        <v>0</v>
      </c>
      <c r="AM108" s="27">
        <v>1</v>
      </c>
      <c r="AN108" s="27">
        <v>0</v>
      </c>
      <c r="AO108" s="27">
        <v>0</v>
      </c>
      <c r="AP108" s="27">
        <v>0</v>
      </c>
      <c r="AQ108" s="27">
        <v>1</v>
      </c>
      <c r="AR108" s="27">
        <v>0</v>
      </c>
      <c r="AS108" s="27">
        <v>0</v>
      </c>
      <c r="AT108" s="27">
        <v>0</v>
      </c>
      <c r="AU108" s="27">
        <v>0</v>
      </c>
      <c r="AV108" s="27">
        <v>1</v>
      </c>
      <c r="AW108" s="27">
        <v>1</v>
      </c>
      <c r="AX108" s="27">
        <v>0</v>
      </c>
      <c r="AY108" s="27">
        <v>8</v>
      </c>
      <c r="AZ108" s="27">
        <v>1</v>
      </c>
      <c r="BA108" s="27">
        <v>2</v>
      </c>
      <c r="BB108" s="27">
        <v>67.5</v>
      </c>
      <c r="BC108" s="27" t="s">
        <v>285</v>
      </c>
      <c r="BD108" s="27" t="s">
        <v>286</v>
      </c>
      <c r="BE108" s="27" t="s">
        <v>287</v>
      </c>
      <c r="BF108" s="27" t="s">
        <v>77</v>
      </c>
      <c r="BG108" s="27">
        <v>1</v>
      </c>
      <c r="BH108" s="27">
        <v>28</v>
      </c>
      <c r="BI108" s="27">
        <v>0.0345</v>
      </c>
      <c r="BJ108" s="27">
        <v>1</v>
      </c>
      <c r="BK108" s="27">
        <v>3</v>
      </c>
      <c r="BL108" s="27">
        <v>99.2</v>
      </c>
    </row>
    <row r="109" customHeight="1" spans="1:64">
      <c r="A109" s="27" t="s">
        <v>520</v>
      </c>
      <c r="B109" s="27" t="s">
        <v>125</v>
      </c>
      <c r="E109" s="27" t="s">
        <v>325</v>
      </c>
      <c r="F109" s="27" t="s">
        <v>240</v>
      </c>
      <c r="G109" s="27" t="s">
        <v>83</v>
      </c>
      <c r="H109" s="27" t="s">
        <v>138</v>
      </c>
      <c r="I109" s="27" t="s">
        <v>85</v>
      </c>
      <c r="J109" s="27">
        <v>5</v>
      </c>
      <c r="K109" s="27">
        <v>175.99</v>
      </c>
      <c r="L109" s="27">
        <v>219.99</v>
      </c>
      <c r="M109" s="27">
        <v>20</v>
      </c>
      <c r="N109" s="27">
        <v>44</v>
      </c>
      <c r="O109" s="27">
        <v>1</v>
      </c>
      <c r="P109" s="27" t="s">
        <v>95</v>
      </c>
      <c r="Q109" s="27">
        <v>5.176093</v>
      </c>
      <c r="R109" s="27">
        <v>11</v>
      </c>
      <c r="V109" s="27" t="s">
        <v>231</v>
      </c>
      <c r="W109" s="27">
        <v>0</v>
      </c>
      <c r="X109" s="27">
        <v>0</v>
      </c>
      <c r="Y109" s="27">
        <v>0</v>
      </c>
      <c r="Z109" s="27">
        <v>0</v>
      </c>
      <c r="AA109" s="27" t="s">
        <v>483</v>
      </c>
      <c r="AB109" s="27">
        <v>0</v>
      </c>
      <c r="AC109" s="27">
        <v>0</v>
      </c>
      <c r="AD109" s="27">
        <v>0</v>
      </c>
      <c r="AE109" s="27">
        <v>0</v>
      </c>
      <c r="AF109" s="27">
        <v>0</v>
      </c>
      <c r="AG109" s="27">
        <v>0</v>
      </c>
      <c r="AH109" s="27">
        <v>0</v>
      </c>
      <c r="AI109" s="27">
        <v>0</v>
      </c>
      <c r="AJ109" s="27">
        <v>0</v>
      </c>
      <c r="AK109" s="27">
        <v>0</v>
      </c>
      <c r="AL109" s="27">
        <v>0</v>
      </c>
      <c r="AM109" s="27">
        <v>0</v>
      </c>
      <c r="AN109" s="27">
        <v>0</v>
      </c>
      <c r="AO109" s="27">
        <v>0</v>
      </c>
      <c r="AP109" s="27">
        <v>0</v>
      </c>
      <c r="AQ109" s="27">
        <v>1</v>
      </c>
      <c r="AR109" s="27">
        <v>0</v>
      </c>
      <c r="AS109" s="27">
        <v>0</v>
      </c>
      <c r="AT109" s="27">
        <v>0</v>
      </c>
      <c r="AU109" s="27">
        <v>0</v>
      </c>
      <c r="AV109" s="27">
        <v>1</v>
      </c>
      <c r="AW109" s="27">
        <v>0</v>
      </c>
      <c r="AX109" s="27">
        <v>0</v>
      </c>
      <c r="AY109" s="27">
        <v>16</v>
      </c>
      <c r="AZ109" s="27">
        <v>1</v>
      </c>
      <c r="BA109" s="27">
        <v>1</v>
      </c>
      <c r="BB109" s="27">
        <v>35.43</v>
      </c>
      <c r="BC109" s="27" t="s">
        <v>521</v>
      </c>
      <c r="BD109" s="27" t="s">
        <v>522</v>
      </c>
      <c r="BE109" s="27" t="s">
        <v>91</v>
      </c>
      <c r="BF109" s="27" t="s">
        <v>77</v>
      </c>
      <c r="BG109" s="27">
        <v>162</v>
      </c>
      <c r="BH109" s="27">
        <v>20</v>
      </c>
      <c r="BI109" s="27">
        <v>0.8901</v>
      </c>
      <c r="BJ109" s="27">
        <v>0</v>
      </c>
      <c r="BK109" s="27">
        <v>7</v>
      </c>
      <c r="BL109" s="27">
        <v>98.1</v>
      </c>
    </row>
    <row r="110" customHeight="1" spans="1:64">
      <c r="A110" s="27" t="s">
        <v>523</v>
      </c>
      <c r="B110" s="27" t="s">
        <v>524</v>
      </c>
      <c r="E110" s="27" t="s">
        <v>81</v>
      </c>
      <c r="F110" s="27" t="s">
        <v>82</v>
      </c>
      <c r="G110" s="27" t="s">
        <v>83</v>
      </c>
      <c r="H110" s="27" t="s">
        <v>84</v>
      </c>
      <c r="I110" s="27" t="s">
        <v>85</v>
      </c>
      <c r="J110" s="27">
        <v>5</v>
      </c>
      <c r="K110" s="27">
        <v>169</v>
      </c>
      <c r="M110" s="27">
        <v>0</v>
      </c>
      <c r="N110" s="27">
        <v>0</v>
      </c>
      <c r="O110" s="27">
        <v>0</v>
      </c>
      <c r="P110" s="27" t="s">
        <v>95</v>
      </c>
      <c r="Q110" s="27">
        <v>5.135798</v>
      </c>
      <c r="S110" s="27">
        <v>1</v>
      </c>
      <c r="T110" s="27">
        <v>50</v>
      </c>
      <c r="U110" s="27">
        <v>0.0196</v>
      </c>
      <c r="V110" s="27" t="s">
        <v>87</v>
      </c>
      <c r="W110" s="27">
        <v>169</v>
      </c>
      <c r="X110" s="27">
        <v>0.693147</v>
      </c>
      <c r="Y110" s="27">
        <v>5.135798</v>
      </c>
      <c r="Z110" s="27">
        <v>7.0711</v>
      </c>
      <c r="AA110" s="27" t="s">
        <v>125</v>
      </c>
      <c r="AB110" s="27">
        <v>0</v>
      </c>
      <c r="AC110" s="27">
        <v>0</v>
      </c>
      <c r="AD110" s="27">
        <v>0</v>
      </c>
      <c r="AE110" s="27">
        <v>0</v>
      </c>
      <c r="AF110" s="27">
        <v>0</v>
      </c>
      <c r="AG110" s="27">
        <v>0</v>
      </c>
      <c r="AH110" s="27">
        <v>0</v>
      </c>
      <c r="AI110" s="27">
        <v>0</v>
      </c>
      <c r="AJ110" s="27">
        <v>0</v>
      </c>
      <c r="AK110" s="27">
        <v>0</v>
      </c>
      <c r="AL110" s="27">
        <v>0</v>
      </c>
      <c r="AM110" s="27">
        <v>0</v>
      </c>
      <c r="AN110" s="27">
        <v>0</v>
      </c>
      <c r="AO110" s="27">
        <v>0</v>
      </c>
      <c r="AP110" s="27">
        <v>0</v>
      </c>
      <c r="AQ110" s="27">
        <v>0</v>
      </c>
      <c r="AR110" s="27">
        <v>0</v>
      </c>
      <c r="AS110" s="27">
        <v>0</v>
      </c>
      <c r="AT110" s="27">
        <v>0</v>
      </c>
      <c r="AU110" s="27">
        <v>0</v>
      </c>
      <c r="AV110" s="27">
        <v>0</v>
      </c>
      <c r="AW110" s="27">
        <v>0</v>
      </c>
      <c r="AX110" s="27">
        <v>0</v>
      </c>
      <c r="AZ110" s="27">
        <v>1</v>
      </c>
      <c r="BA110" s="27">
        <v>0</v>
      </c>
      <c r="BB110" s="27">
        <v>28.74</v>
      </c>
      <c r="BC110" s="27" t="s">
        <v>525</v>
      </c>
      <c r="BD110" s="27" t="s">
        <v>526</v>
      </c>
      <c r="BE110" s="27" t="s">
        <v>262</v>
      </c>
      <c r="BF110" s="27" t="s">
        <v>77</v>
      </c>
      <c r="BG110" s="27">
        <v>43</v>
      </c>
      <c r="BH110" s="27">
        <v>173</v>
      </c>
      <c r="BI110" s="27">
        <v>0.1991</v>
      </c>
      <c r="BJ110" s="27">
        <v>0</v>
      </c>
      <c r="BK110" s="27">
        <v>25</v>
      </c>
      <c r="BL110" s="27">
        <v>93.2</v>
      </c>
    </row>
    <row r="111" customHeight="1" spans="1:64">
      <c r="A111" s="27" t="s">
        <v>527</v>
      </c>
      <c r="B111" s="27" t="s">
        <v>104</v>
      </c>
      <c r="C111" s="27" t="s">
        <v>528</v>
      </c>
      <c r="D111" s="27">
        <v>194644177751</v>
      </c>
      <c r="E111" s="27" t="s">
        <v>209</v>
      </c>
      <c r="F111" s="27" t="s">
        <v>160</v>
      </c>
      <c r="G111" s="27" t="s">
        <v>106</v>
      </c>
      <c r="H111" s="27" t="s">
        <v>107</v>
      </c>
      <c r="I111" s="27" t="s">
        <v>108</v>
      </c>
      <c r="J111" s="27">
        <v>3</v>
      </c>
      <c r="K111" s="27">
        <v>329</v>
      </c>
      <c r="L111" s="27">
        <v>599.99</v>
      </c>
      <c r="M111" s="27">
        <v>45.17</v>
      </c>
      <c r="N111" s="27">
        <v>270.99</v>
      </c>
      <c r="O111" s="27">
        <v>1</v>
      </c>
      <c r="P111" s="27" t="s">
        <v>71</v>
      </c>
      <c r="Q111" s="27">
        <v>5.799093</v>
      </c>
      <c r="S111" s="27">
        <v>571</v>
      </c>
      <c r="T111" s="27">
        <v>15</v>
      </c>
      <c r="U111" s="27">
        <v>0.9744</v>
      </c>
      <c r="V111" s="27" t="s">
        <v>154</v>
      </c>
      <c r="W111" s="27">
        <v>187859</v>
      </c>
      <c r="X111" s="27">
        <v>6.349139</v>
      </c>
      <c r="Y111" s="27">
        <v>12.143452</v>
      </c>
      <c r="Z111" s="27">
        <v>3.873</v>
      </c>
      <c r="AA111" s="27" t="s">
        <v>73</v>
      </c>
      <c r="AB111" s="27">
        <v>0</v>
      </c>
      <c r="AC111" s="27">
        <v>0</v>
      </c>
      <c r="AD111" s="27">
        <v>0</v>
      </c>
      <c r="AE111" s="27">
        <v>0</v>
      </c>
      <c r="AF111" s="27">
        <v>0</v>
      </c>
      <c r="AG111" s="27">
        <v>0</v>
      </c>
      <c r="AH111" s="27">
        <v>0</v>
      </c>
      <c r="AI111" s="27">
        <v>0</v>
      </c>
      <c r="AJ111" s="27">
        <v>0</v>
      </c>
      <c r="AK111" s="27">
        <v>0</v>
      </c>
      <c r="AL111" s="27">
        <v>0</v>
      </c>
      <c r="AM111" s="27">
        <v>0</v>
      </c>
      <c r="AN111" s="27">
        <v>0</v>
      </c>
      <c r="AO111" s="27">
        <v>0</v>
      </c>
      <c r="AP111" s="27">
        <v>0</v>
      </c>
      <c r="AQ111" s="27">
        <v>0</v>
      </c>
      <c r="AR111" s="27">
        <v>0</v>
      </c>
      <c r="AS111" s="27">
        <v>0</v>
      </c>
      <c r="AT111" s="27">
        <v>1</v>
      </c>
      <c r="AU111" s="27">
        <v>0</v>
      </c>
      <c r="AV111" s="27">
        <v>0</v>
      </c>
      <c r="AW111" s="27">
        <v>1</v>
      </c>
      <c r="AX111" s="27">
        <v>1</v>
      </c>
      <c r="AZ111" s="27">
        <v>1</v>
      </c>
      <c r="BA111" s="27">
        <v>0</v>
      </c>
      <c r="BB111" s="27">
        <v>82.38</v>
      </c>
      <c r="BC111" s="27" t="s">
        <v>111</v>
      </c>
      <c r="BD111" s="27" t="s">
        <v>112</v>
      </c>
      <c r="BE111" s="27" t="s">
        <v>113</v>
      </c>
      <c r="BF111" s="27" t="s">
        <v>77</v>
      </c>
      <c r="BG111" s="27">
        <v>162</v>
      </c>
      <c r="BH111" s="27">
        <v>24</v>
      </c>
      <c r="BI111" s="27">
        <v>0.871</v>
      </c>
      <c r="BJ111" s="27">
        <v>0</v>
      </c>
      <c r="BK111" s="27">
        <v>2</v>
      </c>
      <c r="BL111" s="27">
        <v>99.5</v>
      </c>
    </row>
    <row r="112" customHeight="1" spans="1:64">
      <c r="A112" s="27" t="s">
        <v>529</v>
      </c>
      <c r="B112" s="27" t="s">
        <v>530</v>
      </c>
      <c r="E112" s="27" t="s">
        <v>531</v>
      </c>
      <c r="F112" s="27" t="s">
        <v>198</v>
      </c>
      <c r="G112" s="27" t="s">
        <v>83</v>
      </c>
      <c r="H112" s="27" t="s">
        <v>84</v>
      </c>
      <c r="I112" s="27" t="s">
        <v>85</v>
      </c>
      <c r="J112" s="27">
        <v>5</v>
      </c>
      <c r="K112" s="27">
        <v>13.99</v>
      </c>
      <c r="M112" s="27">
        <v>0</v>
      </c>
      <c r="N112" s="27">
        <v>0</v>
      </c>
      <c r="O112" s="27">
        <v>0</v>
      </c>
      <c r="P112" s="27" t="s">
        <v>133</v>
      </c>
      <c r="Q112" s="27">
        <v>2.707383</v>
      </c>
      <c r="S112" s="27">
        <v>107</v>
      </c>
      <c r="T112" s="27">
        <v>10</v>
      </c>
      <c r="U112" s="27">
        <v>0.9145</v>
      </c>
      <c r="V112" s="27" t="s">
        <v>72</v>
      </c>
      <c r="W112" s="27">
        <v>1496.93</v>
      </c>
      <c r="X112" s="27">
        <v>4.682131</v>
      </c>
      <c r="Y112" s="27">
        <v>7.311839</v>
      </c>
      <c r="Z112" s="27">
        <v>3.1623</v>
      </c>
      <c r="AA112" s="27" t="s">
        <v>125</v>
      </c>
      <c r="AB112" s="27">
        <v>0</v>
      </c>
      <c r="AC112" s="27">
        <v>0</v>
      </c>
      <c r="AD112" s="27">
        <v>1</v>
      </c>
      <c r="AE112" s="27">
        <v>0</v>
      </c>
      <c r="AF112" s="27">
        <v>0</v>
      </c>
      <c r="AG112" s="27">
        <v>0</v>
      </c>
      <c r="AH112" s="27">
        <v>0</v>
      </c>
      <c r="AI112" s="27">
        <v>0</v>
      </c>
      <c r="AJ112" s="27">
        <v>0</v>
      </c>
      <c r="AK112" s="27">
        <v>0</v>
      </c>
      <c r="AL112" s="27">
        <v>0</v>
      </c>
      <c r="AM112" s="27">
        <v>0</v>
      </c>
      <c r="AN112" s="27">
        <v>0</v>
      </c>
      <c r="AO112" s="27">
        <v>0</v>
      </c>
      <c r="AP112" s="27">
        <v>0</v>
      </c>
      <c r="AQ112" s="27">
        <v>0</v>
      </c>
      <c r="AR112" s="27">
        <v>0</v>
      </c>
      <c r="AS112" s="27">
        <v>0</v>
      </c>
      <c r="AT112" s="27">
        <v>0</v>
      </c>
      <c r="AU112" s="27">
        <v>0</v>
      </c>
      <c r="AV112" s="27">
        <v>0</v>
      </c>
      <c r="AW112" s="27">
        <v>0</v>
      </c>
      <c r="AX112" s="27">
        <v>0</v>
      </c>
      <c r="AZ112" s="27">
        <v>1</v>
      </c>
      <c r="BA112" s="27">
        <v>0</v>
      </c>
      <c r="BB112" s="27">
        <v>65.11</v>
      </c>
      <c r="BC112" s="27" t="s">
        <v>532</v>
      </c>
      <c r="BD112" s="27" t="s">
        <v>533</v>
      </c>
      <c r="BE112" s="27" t="s">
        <v>77</v>
      </c>
      <c r="BF112" s="27" t="s">
        <v>77</v>
      </c>
      <c r="BG112" s="27">
        <v>1</v>
      </c>
      <c r="BH112" s="27">
        <v>28</v>
      </c>
      <c r="BI112" s="27">
        <v>0.0345</v>
      </c>
      <c r="BJ112" s="27">
        <v>1</v>
      </c>
      <c r="BK112" s="27">
        <v>18</v>
      </c>
      <c r="BL112" s="27">
        <v>95.1</v>
      </c>
    </row>
    <row r="113" customHeight="1" spans="1:64">
      <c r="A113" s="27" t="s">
        <v>534</v>
      </c>
      <c r="B113" s="27" t="s">
        <v>535</v>
      </c>
      <c r="E113" s="27" t="s">
        <v>81</v>
      </c>
      <c r="F113" s="27" t="s">
        <v>82</v>
      </c>
      <c r="G113" s="27" t="s">
        <v>83</v>
      </c>
      <c r="H113" s="27" t="s">
        <v>84</v>
      </c>
      <c r="I113" s="27" t="s">
        <v>85</v>
      </c>
      <c r="J113" s="27">
        <v>5</v>
      </c>
      <c r="K113" s="27">
        <v>150.22</v>
      </c>
      <c r="L113" s="27">
        <v>214.6</v>
      </c>
      <c r="M113" s="27">
        <v>30</v>
      </c>
      <c r="N113" s="27">
        <v>64.38</v>
      </c>
      <c r="O113" s="27">
        <v>1</v>
      </c>
      <c r="P113" s="27" t="s">
        <v>95</v>
      </c>
      <c r="Q113" s="27">
        <v>5.018736</v>
      </c>
      <c r="S113" s="27">
        <v>23</v>
      </c>
      <c r="T113" s="27">
        <v>12</v>
      </c>
      <c r="U113" s="27">
        <v>0.6571</v>
      </c>
      <c r="V113" s="27" t="s">
        <v>72</v>
      </c>
      <c r="W113" s="27">
        <v>3455.06</v>
      </c>
      <c r="X113" s="27">
        <v>3.178054</v>
      </c>
      <c r="Y113" s="27">
        <v>8.147884</v>
      </c>
      <c r="Z113" s="27">
        <v>3.4641</v>
      </c>
      <c r="AA113" s="27" t="s">
        <v>73</v>
      </c>
      <c r="AB113" s="27">
        <v>1</v>
      </c>
      <c r="AC113" s="27">
        <v>0</v>
      </c>
      <c r="AD113" s="27">
        <v>0</v>
      </c>
      <c r="AE113" s="27">
        <v>0</v>
      </c>
      <c r="AF113" s="27">
        <v>0</v>
      </c>
      <c r="AG113" s="27">
        <v>1</v>
      </c>
      <c r="AH113" s="27">
        <v>0</v>
      </c>
      <c r="AI113" s="27">
        <v>1</v>
      </c>
      <c r="AJ113" s="27">
        <v>0</v>
      </c>
      <c r="AK113" s="27">
        <v>1</v>
      </c>
      <c r="AL113" s="27">
        <v>0</v>
      </c>
      <c r="AM113" s="27">
        <v>0</v>
      </c>
      <c r="AN113" s="27">
        <v>0</v>
      </c>
      <c r="AO113" s="27">
        <v>0</v>
      </c>
      <c r="AP113" s="27">
        <v>0</v>
      </c>
      <c r="AQ113" s="27">
        <v>0</v>
      </c>
      <c r="AR113" s="27">
        <v>0</v>
      </c>
      <c r="AS113" s="27">
        <v>0</v>
      </c>
      <c r="AT113" s="27">
        <v>1</v>
      </c>
      <c r="AU113" s="27">
        <v>0</v>
      </c>
      <c r="AV113" s="27">
        <v>0</v>
      </c>
      <c r="AW113" s="27">
        <v>0</v>
      </c>
      <c r="AX113" s="27">
        <v>0</v>
      </c>
      <c r="AZ113" s="27">
        <v>1</v>
      </c>
      <c r="BA113" s="27">
        <v>2</v>
      </c>
      <c r="BB113" s="27">
        <v>64.86</v>
      </c>
      <c r="BC113" s="27" t="s">
        <v>536</v>
      </c>
      <c r="BD113" s="27" t="s">
        <v>537</v>
      </c>
      <c r="BE113" s="27" t="s">
        <v>226</v>
      </c>
      <c r="BF113" s="27" t="s">
        <v>77</v>
      </c>
      <c r="BG113" s="27">
        <v>1</v>
      </c>
      <c r="BH113" s="27">
        <v>13</v>
      </c>
      <c r="BI113" s="27">
        <v>0.0714</v>
      </c>
      <c r="BJ113" s="27">
        <v>1</v>
      </c>
      <c r="BK113" s="27">
        <v>5</v>
      </c>
      <c r="BL113" s="27">
        <v>98.6</v>
      </c>
    </row>
    <row r="114" customHeight="1" spans="1:64">
      <c r="A114" s="27" t="s">
        <v>538</v>
      </c>
      <c r="B114" s="27" t="s">
        <v>115</v>
      </c>
      <c r="D114" s="27">
        <v>840268985332</v>
      </c>
      <c r="E114" s="27" t="s">
        <v>81</v>
      </c>
      <c r="F114" s="27" t="s">
        <v>82</v>
      </c>
      <c r="G114" s="27" t="s">
        <v>117</v>
      </c>
      <c r="H114" s="27" t="s">
        <v>107</v>
      </c>
      <c r="I114" s="27" t="s">
        <v>85</v>
      </c>
      <c r="J114" s="27">
        <v>5</v>
      </c>
      <c r="K114" s="27">
        <v>64</v>
      </c>
      <c r="M114" s="27">
        <v>0</v>
      </c>
      <c r="N114" s="27">
        <v>0</v>
      </c>
      <c r="O114" s="27">
        <v>0</v>
      </c>
      <c r="P114" s="27" t="s">
        <v>86</v>
      </c>
      <c r="Q114" s="27">
        <v>4.174387</v>
      </c>
      <c r="S114" s="27">
        <v>36</v>
      </c>
      <c r="T114" s="27">
        <v>10</v>
      </c>
      <c r="U114" s="27">
        <v>0.7826</v>
      </c>
      <c r="V114" s="27" t="s">
        <v>72</v>
      </c>
      <c r="W114" s="27">
        <v>2304</v>
      </c>
      <c r="X114" s="27">
        <v>3.610918</v>
      </c>
      <c r="Y114" s="27">
        <v>7.742836</v>
      </c>
      <c r="Z114" s="27">
        <v>3.1623</v>
      </c>
      <c r="AA114" s="27" t="s">
        <v>125</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v>0</v>
      </c>
      <c r="AS114" s="27">
        <v>0</v>
      </c>
      <c r="AT114" s="27">
        <v>1</v>
      </c>
      <c r="AU114" s="27">
        <v>1</v>
      </c>
      <c r="AV114" s="27">
        <v>0</v>
      </c>
      <c r="AW114" s="27">
        <v>0</v>
      </c>
      <c r="AX114" s="27">
        <v>0</v>
      </c>
      <c r="AZ114" s="27">
        <v>1</v>
      </c>
      <c r="BA114" s="27">
        <v>0</v>
      </c>
      <c r="BB114" s="27">
        <v>60.31</v>
      </c>
      <c r="BC114" s="27" t="s">
        <v>539</v>
      </c>
      <c r="BD114" s="27" t="s">
        <v>540</v>
      </c>
      <c r="BE114" s="27" t="s">
        <v>113</v>
      </c>
      <c r="BF114" s="27" t="s">
        <v>77</v>
      </c>
      <c r="BG114" s="27">
        <v>168</v>
      </c>
      <c r="BH114" s="27">
        <v>11</v>
      </c>
      <c r="BI114" s="27">
        <v>0.9385</v>
      </c>
      <c r="BJ114" s="27">
        <v>0</v>
      </c>
      <c r="BK114" s="27">
        <v>12</v>
      </c>
      <c r="BL114" s="27">
        <v>96.7</v>
      </c>
    </row>
    <row r="115" customHeight="1" spans="1:64">
      <c r="A115" s="27" t="s">
        <v>541</v>
      </c>
      <c r="B115" s="27" t="s">
        <v>542</v>
      </c>
      <c r="E115" s="27" t="s">
        <v>543</v>
      </c>
      <c r="F115" s="27" t="s">
        <v>198</v>
      </c>
      <c r="G115" s="27" t="s">
        <v>83</v>
      </c>
      <c r="H115" s="27" t="s">
        <v>84</v>
      </c>
      <c r="I115" s="27" t="s">
        <v>85</v>
      </c>
      <c r="J115" s="27">
        <v>5</v>
      </c>
      <c r="K115" s="27">
        <v>104.99</v>
      </c>
      <c r="M115" s="27">
        <v>0</v>
      </c>
      <c r="N115" s="27">
        <v>0</v>
      </c>
      <c r="O115" s="27">
        <v>0</v>
      </c>
      <c r="P115" s="27" t="s">
        <v>95</v>
      </c>
      <c r="Q115" s="27">
        <v>4.663345</v>
      </c>
      <c r="S115" s="27">
        <v>3</v>
      </c>
      <c r="T115" s="27">
        <v>10</v>
      </c>
      <c r="U115" s="27">
        <v>0.2308</v>
      </c>
      <c r="V115" s="27" t="s">
        <v>87</v>
      </c>
      <c r="W115" s="27">
        <v>314.97</v>
      </c>
      <c r="X115" s="27">
        <v>1.386294</v>
      </c>
      <c r="Y115" s="27">
        <v>5.755647</v>
      </c>
      <c r="Z115" s="27">
        <v>3.1623</v>
      </c>
      <c r="AA115" s="27" t="s">
        <v>125</v>
      </c>
      <c r="AB115" s="27">
        <v>0</v>
      </c>
      <c r="AC115" s="27">
        <v>0</v>
      </c>
      <c r="AD115" s="27">
        <v>0</v>
      </c>
      <c r="AE115" s="27">
        <v>0</v>
      </c>
      <c r="AF115" s="27">
        <v>0</v>
      </c>
      <c r="AG115" s="27">
        <v>0</v>
      </c>
      <c r="AH115" s="27">
        <v>1</v>
      </c>
      <c r="AI115" s="27">
        <v>0</v>
      </c>
      <c r="AJ115" s="27">
        <v>0</v>
      </c>
      <c r="AK115" s="27">
        <v>0</v>
      </c>
      <c r="AL115" s="27">
        <v>0</v>
      </c>
      <c r="AM115" s="27">
        <v>0</v>
      </c>
      <c r="AN115" s="27">
        <v>0</v>
      </c>
      <c r="AO115" s="27">
        <v>0</v>
      </c>
      <c r="AP115" s="27">
        <v>0</v>
      </c>
      <c r="AQ115" s="27">
        <v>0</v>
      </c>
      <c r="AR115" s="27">
        <v>0</v>
      </c>
      <c r="AS115" s="27">
        <v>0</v>
      </c>
      <c r="AT115" s="27">
        <v>0</v>
      </c>
      <c r="AU115" s="27">
        <v>0</v>
      </c>
      <c r="AV115" s="27">
        <v>0</v>
      </c>
      <c r="AW115" s="27">
        <v>1</v>
      </c>
      <c r="AX115" s="27">
        <v>0</v>
      </c>
      <c r="AZ115" s="27">
        <v>1</v>
      </c>
      <c r="BA115" s="27">
        <v>1</v>
      </c>
      <c r="BB115" s="27">
        <v>38.81</v>
      </c>
      <c r="BC115" s="27" t="s">
        <v>544</v>
      </c>
      <c r="BD115" s="27" t="s">
        <v>180</v>
      </c>
      <c r="BE115" s="27" t="s">
        <v>113</v>
      </c>
      <c r="BF115" s="27" t="s">
        <v>77</v>
      </c>
      <c r="BG115" s="27">
        <v>168</v>
      </c>
      <c r="BH115" s="27">
        <v>11</v>
      </c>
      <c r="BI115" s="27">
        <v>0.9385</v>
      </c>
      <c r="BJ115" s="27">
        <v>0</v>
      </c>
      <c r="BK115" s="27">
        <v>5</v>
      </c>
      <c r="BL115" s="27">
        <v>98.6</v>
      </c>
    </row>
    <row r="116" customHeight="1" spans="1:64">
      <c r="A116" s="27" t="s">
        <v>545</v>
      </c>
      <c r="B116" s="27" t="s">
        <v>335</v>
      </c>
      <c r="C116" s="27" t="s">
        <v>546</v>
      </c>
      <c r="E116" s="27" t="s">
        <v>81</v>
      </c>
      <c r="F116" s="27" t="s">
        <v>82</v>
      </c>
      <c r="G116" s="27" t="s">
        <v>83</v>
      </c>
      <c r="H116" s="27" t="s">
        <v>84</v>
      </c>
      <c r="I116" s="27" t="s">
        <v>85</v>
      </c>
      <c r="J116" s="27">
        <v>5</v>
      </c>
      <c r="K116" s="27">
        <v>52.99</v>
      </c>
      <c r="M116" s="27">
        <v>0</v>
      </c>
      <c r="N116" s="27">
        <v>0</v>
      </c>
      <c r="O116" s="27">
        <v>0</v>
      </c>
      <c r="P116" s="27" t="s">
        <v>86</v>
      </c>
      <c r="Q116" s="27">
        <v>3.988799</v>
      </c>
      <c r="S116" s="27">
        <v>165</v>
      </c>
      <c r="T116" s="27">
        <v>10</v>
      </c>
      <c r="U116" s="27">
        <v>0.9429</v>
      </c>
      <c r="V116" s="27" t="s">
        <v>154</v>
      </c>
      <c r="W116" s="27">
        <v>8743.35</v>
      </c>
      <c r="X116" s="27">
        <v>5.111988</v>
      </c>
      <c r="Y116" s="27">
        <v>9.076163</v>
      </c>
      <c r="Z116" s="27">
        <v>3.1623</v>
      </c>
      <c r="AA116" s="27" t="s">
        <v>110</v>
      </c>
      <c r="AB116" s="27">
        <v>1</v>
      </c>
      <c r="AC116" s="27">
        <v>0</v>
      </c>
      <c r="AD116" s="27">
        <v>0</v>
      </c>
      <c r="AE116" s="27">
        <v>0</v>
      </c>
      <c r="AF116" s="27">
        <v>0</v>
      </c>
      <c r="AG116" s="27">
        <v>0</v>
      </c>
      <c r="AH116" s="27">
        <v>1</v>
      </c>
      <c r="AI116" s="27">
        <v>0</v>
      </c>
      <c r="AJ116" s="27">
        <v>1</v>
      </c>
      <c r="AK116" s="27">
        <v>0</v>
      </c>
      <c r="AL116" s="27">
        <v>0</v>
      </c>
      <c r="AM116" s="27">
        <v>0</v>
      </c>
      <c r="AN116" s="27">
        <v>0</v>
      </c>
      <c r="AO116" s="27">
        <v>0</v>
      </c>
      <c r="AP116" s="27">
        <v>0</v>
      </c>
      <c r="AQ116" s="27">
        <v>0</v>
      </c>
      <c r="AR116" s="27">
        <v>0</v>
      </c>
      <c r="AS116" s="27">
        <v>0</v>
      </c>
      <c r="AT116" s="27">
        <v>1</v>
      </c>
      <c r="AU116" s="27">
        <v>0</v>
      </c>
      <c r="AV116" s="27">
        <v>0</v>
      </c>
      <c r="AW116" s="27">
        <v>1</v>
      </c>
      <c r="AX116" s="27">
        <v>0</v>
      </c>
      <c r="AZ116" s="27">
        <v>1</v>
      </c>
      <c r="BA116" s="27">
        <v>2</v>
      </c>
      <c r="BB116" s="27">
        <v>67.39</v>
      </c>
      <c r="BC116" s="27" t="s">
        <v>336</v>
      </c>
      <c r="BD116" s="27" t="s">
        <v>337</v>
      </c>
      <c r="BE116" s="27" t="s">
        <v>76</v>
      </c>
      <c r="BF116" s="27" t="s">
        <v>77</v>
      </c>
      <c r="BG116" s="27">
        <v>169</v>
      </c>
      <c r="BH116" s="27">
        <v>12</v>
      </c>
      <c r="BI116" s="27">
        <v>0.9337</v>
      </c>
      <c r="BJ116" s="27">
        <v>0</v>
      </c>
      <c r="BK116" s="27">
        <v>4</v>
      </c>
      <c r="BL116" s="27">
        <v>98.9</v>
      </c>
    </row>
    <row r="117" customHeight="1" spans="1:64">
      <c r="A117" s="27" t="s">
        <v>547</v>
      </c>
      <c r="B117" s="27" t="s">
        <v>548</v>
      </c>
      <c r="C117" s="27" t="s">
        <v>549</v>
      </c>
      <c r="D117" s="27">
        <v>769230879731</v>
      </c>
      <c r="E117" s="27" t="s">
        <v>81</v>
      </c>
      <c r="F117" s="27" t="s">
        <v>160</v>
      </c>
      <c r="G117" s="27" t="s">
        <v>83</v>
      </c>
      <c r="H117" s="27" t="s">
        <v>84</v>
      </c>
      <c r="I117" s="27" t="s">
        <v>85</v>
      </c>
      <c r="J117" s="27">
        <v>5</v>
      </c>
      <c r="K117" s="27">
        <v>109.99</v>
      </c>
      <c r="M117" s="27">
        <v>0</v>
      </c>
      <c r="N117" s="27">
        <v>0</v>
      </c>
      <c r="O117" s="27">
        <v>0</v>
      </c>
      <c r="P117" s="27" t="s">
        <v>95</v>
      </c>
      <c r="Q117" s="27">
        <v>4.70944</v>
      </c>
      <c r="S117" s="27">
        <v>3</v>
      </c>
      <c r="T117" s="27">
        <v>10</v>
      </c>
      <c r="U117" s="27">
        <v>0.2308</v>
      </c>
      <c r="V117" s="27" t="s">
        <v>87</v>
      </c>
      <c r="W117" s="27">
        <v>329.97</v>
      </c>
      <c r="X117" s="27">
        <v>1.386294</v>
      </c>
      <c r="Y117" s="27">
        <v>5.802028</v>
      </c>
      <c r="Z117" s="27">
        <v>3.1623</v>
      </c>
      <c r="AA117" s="27" t="s">
        <v>139</v>
      </c>
      <c r="AB117" s="27">
        <v>0</v>
      </c>
      <c r="AC117" s="27">
        <v>0</v>
      </c>
      <c r="AD117" s="27">
        <v>0</v>
      </c>
      <c r="AE117" s="27">
        <v>1</v>
      </c>
      <c r="AF117" s="27">
        <v>1</v>
      </c>
      <c r="AG117" s="27">
        <v>0</v>
      </c>
      <c r="AH117" s="27">
        <v>1</v>
      </c>
      <c r="AI117" s="27">
        <v>0</v>
      </c>
      <c r="AJ117" s="27">
        <v>0</v>
      </c>
      <c r="AK117" s="27">
        <v>0</v>
      </c>
      <c r="AL117" s="27">
        <v>0</v>
      </c>
      <c r="AM117" s="27">
        <v>0</v>
      </c>
      <c r="AN117" s="27">
        <v>0</v>
      </c>
      <c r="AO117" s="27">
        <v>0</v>
      </c>
      <c r="AP117" s="27">
        <v>0</v>
      </c>
      <c r="AQ117" s="27">
        <v>0</v>
      </c>
      <c r="AR117" s="27">
        <v>0</v>
      </c>
      <c r="AS117" s="27">
        <v>0</v>
      </c>
      <c r="AT117" s="27">
        <v>0</v>
      </c>
      <c r="AU117" s="27">
        <v>0</v>
      </c>
      <c r="AV117" s="27">
        <v>0</v>
      </c>
      <c r="AW117" s="27">
        <v>1</v>
      </c>
      <c r="AX117" s="27">
        <v>0</v>
      </c>
      <c r="AZ117" s="27">
        <v>4</v>
      </c>
      <c r="BA117" s="27">
        <v>2</v>
      </c>
      <c r="BB117" s="27">
        <v>38.81</v>
      </c>
      <c r="BC117" s="27" t="s">
        <v>89</v>
      </c>
      <c r="BD117" s="27" t="s">
        <v>420</v>
      </c>
      <c r="BE117" s="27" t="s">
        <v>113</v>
      </c>
      <c r="BF117" s="27" t="s">
        <v>77</v>
      </c>
      <c r="BG117" s="27">
        <v>162</v>
      </c>
      <c r="BH117" s="27">
        <v>59</v>
      </c>
      <c r="BI117" s="27">
        <v>0.733</v>
      </c>
      <c r="BJ117" s="27">
        <v>0</v>
      </c>
      <c r="BK117" s="27">
        <v>5</v>
      </c>
      <c r="BL117" s="27">
        <v>98.6</v>
      </c>
    </row>
    <row r="118" customHeight="1" spans="1:64">
      <c r="A118" s="27" t="s">
        <v>550</v>
      </c>
      <c r="B118" s="27" t="s">
        <v>100</v>
      </c>
      <c r="C118" s="27" t="s">
        <v>551</v>
      </c>
      <c r="D118" s="27">
        <v>768476589350</v>
      </c>
      <c r="E118" s="27" t="s">
        <v>81</v>
      </c>
      <c r="F118" s="27" t="s">
        <v>82</v>
      </c>
      <c r="G118" s="27" t="s">
        <v>83</v>
      </c>
      <c r="H118" s="27" t="s">
        <v>102</v>
      </c>
      <c r="I118" s="27" t="s">
        <v>85</v>
      </c>
      <c r="J118" s="27">
        <v>5</v>
      </c>
      <c r="K118" s="27">
        <v>126.99</v>
      </c>
      <c r="M118" s="27">
        <v>0</v>
      </c>
      <c r="N118" s="27">
        <v>0</v>
      </c>
      <c r="O118" s="27">
        <v>0</v>
      </c>
      <c r="P118" s="27" t="s">
        <v>95</v>
      </c>
      <c r="Q118" s="27">
        <v>4.851952</v>
      </c>
      <c r="S118" s="27">
        <v>23</v>
      </c>
      <c r="T118" s="27">
        <v>9</v>
      </c>
      <c r="U118" s="27">
        <v>0.7188</v>
      </c>
      <c r="V118" s="27" t="s">
        <v>72</v>
      </c>
      <c r="W118" s="27">
        <v>2920.77</v>
      </c>
      <c r="X118" s="27">
        <v>3.178054</v>
      </c>
      <c r="Y118" s="27">
        <v>7.979945</v>
      </c>
      <c r="Z118" s="27">
        <v>3</v>
      </c>
      <c r="AA118" s="27" t="s">
        <v>88</v>
      </c>
      <c r="AB118" s="27">
        <v>0</v>
      </c>
      <c r="AC118" s="27">
        <v>0</v>
      </c>
      <c r="AD118" s="27">
        <v>0</v>
      </c>
      <c r="AE118" s="27">
        <v>1</v>
      </c>
      <c r="AF118" s="27">
        <v>1</v>
      </c>
      <c r="AG118" s="27">
        <v>0</v>
      </c>
      <c r="AH118" s="27">
        <v>1</v>
      </c>
      <c r="AI118" s="27">
        <v>0</v>
      </c>
      <c r="AJ118" s="27">
        <v>0</v>
      </c>
      <c r="AK118" s="27">
        <v>1</v>
      </c>
      <c r="AL118" s="27">
        <v>0</v>
      </c>
      <c r="AM118" s="27">
        <v>0</v>
      </c>
      <c r="AN118" s="27">
        <v>0</v>
      </c>
      <c r="AO118" s="27">
        <v>0</v>
      </c>
      <c r="AP118" s="27">
        <v>0</v>
      </c>
      <c r="AQ118" s="27">
        <v>0</v>
      </c>
      <c r="AR118" s="27">
        <v>0</v>
      </c>
      <c r="AS118" s="27">
        <v>0</v>
      </c>
      <c r="AT118" s="27">
        <v>0</v>
      </c>
      <c r="AU118" s="27">
        <v>0</v>
      </c>
      <c r="AV118" s="27">
        <v>0</v>
      </c>
      <c r="AW118" s="27">
        <v>1</v>
      </c>
      <c r="AX118" s="27">
        <v>0</v>
      </c>
      <c r="AZ118" s="27">
        <v>4</v>
      </c>
      <c r="BA118" s="27">
        <v>3</v>
      </c>
      <c r="BB118" s="27">
        <v>58.33</v>
      </c>
      <c r="BC118" s="27" t="s">
        <v>271</v>
      </c>
      <c r="BD118" s="27" t="s">
        <v>286</v>
      </c>
      <c r="BE118" s="27" t="s">
        <v>423</v>
      </c>
      <c r="BF118" s="27" t="s">
        <v>77</v>
      </c>
      <c r="BG118" s="27">
        <v>162</v>
      </c>
      <c r="BH118" s="27">
        <v>59</v>
      </c>
      <c r="BI118" s="27">
        <v>0.733</v>
      </c>
      <c r="BJ118" s="27">
        <v>0</v>
      </c>
      <c r="BK118" s="27">
        <v>5</v>
      </c>
      <c r="BL118" s="27">
        <v>98.6</v>
      </c>
    </row>
    <row r="119" customHeight="1" spans="1:64">
      <c r="A119" s="27" t="s">
        <v>552</v>
      </c>
      <c r="B119" s="27" t="s">
        <v>553</v>
      </c>
      <c r="D119" s="27">
        <v>854088008492</v>
      </c>
      <c r="E119" s="27" t="s">
        <v>554</v>
      </c>
      <c r="F119" s="27" t="s">
        <v>82</v>
      </c>
      <c r="G119" s="27" t="s">
        <v>553</v>
      </c>
      <c r="H119" s="27" t="s">
        <v>69</v>
      </c>
      <c r="I119" s="27" t="s">
        <v>203</v>
      </c>
      <c r="J119" s="27">
        <v>4</v>
      </c>
      <c r="K119" s="27">
        <v>59.6</v>
      </c>
      <c r="M119" s="27">
        <v>0</v>
      </c>
      <c r="N119" s="27">
        <v>0</v>
      </c>
      <c r="O119" s="27">
        <v>0</v>
      </c>
      <c r="P119" s="27" t="s">
        <v>86</v>
      </c>
      <c r="Q119" s="27">
        <v>4.104295</v>
      </c>
      <c r="R119" s="27">
        <v>7.45</v>
      </c>
      <c r="S119" s="27">
        <v>5</v>
      </c>
      <c r="T119" s="27">
        <v>10</v>
      </c>
      <c r="U119" s="27">
        <v>0.3333</v>
      </c>
      <c r="V119" s="27" t="s">
        <v>87</v>
      </c>
      <c r="W119" s="27">
        <v>298</v>
      </c>
      <c r="X119" s="27">
        <v>1.791759</v>
      </c>
      <c r="Y119" s="27">
        <v>5.700444</v>
      </c>
      <c r="Z119" s="27">
        <v>3.1623</v>
      </c>
      <c r="AA119" s="27" t="s">
        <v>483</v>
      </c>
      <c r="AB119" s="27">
        <v>0</v>
      </c>
      <c r="AC119" s="27">
        <v>0</v>
      </c>
      <c r="AD119" s="27">
        <v>0</v>
      </c>
      <c r="AE119" s="27">
        <v>0</v>
      </c>
      <c r="AF119" s="27">
        <v>0</v>
      </c>
      <c r="AG119" s="27">
        <v>0</v>
      </c>
      <c r="AH119" s="27">
        <v>0</v>
      </c>
      <c r="AI119" s="27">
        <v>0</v>
      </c>
      <c r="AJ119" s="27">
        <v>0</v>
      </c>
      <c r="AK119" s="27">
        <v>0</v>
      </c>
      <c r="AL119" s="27">
        <v>0</v>
      </c>
      <c r="AM119" s="27">
        <v>0</v>
      </c>
      <c r="AN119" s="27">
        <v>0</v>
      </c>
      <c r="AO119" s="27">
        <v>0</v>
      </c>
      <c r="AP119" s="27">
        <v>0</v>
      </c>
      <c r="AQ119" s="27">
        <v>0</v>
      </c>
      <c r="AR119" s="27">
        <v>0</v>
      </c>
      <c r="AS119" s="27">
        <v>0</v>
      </c>
      <c r="AT119" s="27">
        <v>0</v>
      </c>
      <c r="AU119" s="27">
        <v>0</v>
      </c>
      <c r="AV119" s="27">
        <v>0</v>
      </c>
      <c r="AW119" s="27">
        <v>1</v>
      </c>
      <c r="AX119" s="27">
        <v>0</v>
      </c>
      <c r="AY119" s="27">
        <v>8</v>
      </c>
      <c r="AZ119" s="27">
        <v>1</v>
      </c>
      <c r="BA119" s="27">
        <v>0</v>
      </c>
      <c r="BB119" s="27">
        <v>13.33</v>
      </c>
      <c r="BC119" s="27" t="s">
        <v>555</v>
      </c>
      <c r="BD119" s="27" t="s">
        <v>556</v>
      </c>
      <c r="BE119" s="27" t="s">
        <v>557</v>
      </c>
      <c r="BF119" s="27" t="s">
        <v>77</v>
      </c>
      <c r="BG119" s="27">
        <v>1</v>
      </c>
      <c r="BH119" s="27">
        <v>28</v>
      </c>
      <c r="BI119" s="27">
        <v>0.0345</v>
      </c>
      <c r="BJ119" s="27">
        <v>1</v>
      </c>
    </row>
    <row r="120" customHeight="1" spans="1:64">
      <c r="A120" s="27" t="s">
        <v>558</v>
      </c>
      <c r="B120" s="27" t="s">
        <v>202</v>
      </c>
      <c r="E120" s="27" t="s">
        <v>559</v>
      </c>
      <c r="F120" s="27" t="s">
        <v>462</v>
      </c>
      <c r="G120" s="27" t="s">
        <v>83</v>
      </c>
      <c r="H120" s="27" t="s">
        <v>84</v>
      </c>
      <c r="I120" s="27" t="s">
        <v>203</v>
      </c>
      <c r="J120" s="27">
        <v>4</v>
      </c>
      <c r="K120" s="27">
        <v>140</v>
      </c>
      <c r="M120" s="27">
        <v>0</v>
      </c>
      <c r="N120" s="27">
        <v>0</v>
      </c>
      <c r="O120" s="27">
        <v>0</v>
      </c>
      <c r="P120" s="27" t="s">
        <v>95</v>
      </c>
      <c r="Q120" s="27">
        <v>4.94876</v>
      </c>
      <c r="R120" s="27">
        <v>14</v>
      </c>
      <c r="S120" s="27">
        <v>1</v>
      </c>
      <c r="T120" s="27">
        <v>1</v>
      </c>
      <c r="U120" s="27">
        <v>0.5</v>
      </c>
      <c r="V120" s="27" t="s">
        <v>87</v>
      </c>
      <c r="W120" s="27">
        <v>140</v>
      </c>
      <c r="X120" s="27">
        <v>0.693147</v>
      </c>
      <c r="Y120" s="27">
        <v>4.94876</v>
      </c>
      <c r="Z120" s="27">
        <v>1</v>
      </c>
      <c r="AA120" s="27" t="s">
        <v>73</v>
      </c>
      <c r="AB120" s="27">
        <v>0</v>
      </c>
      <c r="AC120" s="27">
        <v>0</v>
      </c>
      <c r="AD120" s="27">
        <v>0</v>
      </c>
      <c r="AE120" s="27">
        <v>0</v>
      </c>
      <c r="AF120" s="27">
        <v>0</v>
      </c>
      <c r="AG120" s="27">
        <v>0</v>
      </c>
      <c r="AH120" s="27">
        <v>1</v>
      </c>
      <c r="AI120" s="27">
        <v>0</v>
      </c>
      <c r="AJ120" s="27">
        <v>0</v>
      </c>
      <c r="AK120" s="27">
        <v>0</v>
      </c>
      <c r="AL120" s="27">
        <v>0</v>
      </c>
      <c r="AM120" s="27">
        <v>0</v>
      </c>
      <c r="AN120" s="27">
        <v>0</v>
      </c>
      <c r="AO120" s="27">
        <v>0</v>
      </c>
      <c r="AP120" s="27">
        <v>0</v>
      </c>
      <c r="AQ120" s="27">
        <v>1</v>
      </c>
      <c r="AR120" s="27">
        <v>0</v>
      </c>
      <c r="AS120" s="27">
        <v>0</v>
      </c>
      <c r="AT120" s="27">
        <v>0</v>
      </c>
      <c r="AU120" s="27">
        <v>0</v>
      </c>
      <c r="AV120" s="27">
        <v>1</v>
      </c>
      <c r="AW120" s="27">
        <v>1</v>
      </c>
      <c r="AX120" s="27">
        <v>1</v>
      </c>
      <c r="AY120" s="27">
        <v>10</v>
      </c>
      <c r="AZ120" s="27">
        <v>1</v>
      </c>
      <c r="BA120" s="27">
        <v>2</v>
      </c>
      <c r="BB120" s="27">
        <v>48.59</v>
      </c>
      <c r="BC120" s="27" t="s">
        <v>560</v>
      </c>
      <c r="BD120" s="27" t="s">
        <v>561</v>
      </c>
      <c r="BE120" s="27" t="s">
        <v>166</v>
      </c>
      <c r="BF120" s="27" t="s">
        <v>77</v>
      </c>
      <c r="BG120" s="27">
        <v>168</v>
      </c>
      <c r="BH120" s="27">
        <v>11</v>
      </c>
      <c r="BI120" s="27">
        <v>0.9385</v>
      </c>
      <c r="BJ120" s="27">
        <v>0</v>
      </c>
      <c r="BK120" s="27">
        <v>17</v>
      </c>
      <c r="BL120" s="27">
        <v>95.3</v>
      </c>
    </row>
    <row r="121" customHeight="1" spans="1:64">
      <c r="A121" s="27" t="s">
        <v>562</v>
      </c>
      <c r="B121" s="27" t="s">
        <v>125</v>
      </c>
      <c r="E121" s="27" t="s">
        <v>563</v>
      </c>
      <c r="F121" s="27" t="s">
        <v>82</v>
      </c>
      <c r="G121" s="27" t="s">
        <v>83</v>
      </c>
      <c r="H121" s="27" t="s">
        <v>138</v>
      </c>
      <c r="I121" s="27" t="s">
        <v>85</v>
      </c>
      <c r="J121" s="27">
        <v>5</v>
      </c>
      <c r="K121" s="27">
        <v>59.95</v>
      </c>
      <c r="M121" s="27">
        <v>0</v>
      </c>
      <c r="N121" s="27">
        <v>0</v>
      </c>
      <c r="O121" s="27">
        <v>0</v>
      </c>
      <c r="P121" s="27" t="s">
        <v>86</v>
      </c>
      <c r="Q121" s="27">
        <v>4.110054</v>
      </c>
      <c r="S121" s="27">
        <v>52</v>
      </c>
      <c r="T121" s="27">
        <v>10</v>
      </c>
      <c r="U121" s="27">
        <v>0.8387</v>
      </c>
      <c r="V121" s="27" t="s">
        <v>72</v>
      </c>
      <c r="W121" s="27">
        <v>3117.4</v>
      </c>
      <c r="X121" s="27">
        <v>3.970292</v>
      </c>
      <c r="Y121" s="27">
        <v>8.045075</v>
      </c>
      <c r="Z121" s="27">
        <v>3.1623</v>
      </c>
      <c r="AA121" s="27" t="s">
        <v>125</v>
      </c>
      <c r="AB121" s="27">
        <v>0</v>
      </c>
      <c r="AC121" s="27">
        <v>0</v>
      </c>
      <c r="AD121" s="27">
        <v>0</v>
      </c>
      <c r="AE121" s="27">
        <v>0</v>
      </c>
      <c r="AF121" s="27">
        <v>0</v>
      </c>
      <c r="AG121" s="27">
        <v>0</v>
      </c>
      <c r="AH121" s="27">
        <v>0</v>
      </c>
      <c r="AI121" s="27">
        <v>0</v>
      </c>
      <c r="AJ121" s="27">
        <v>0</v>
      </c>
      <c r="AK121" s="27">
        <v>0</v>
      </c>
      <c r="AL121" s="27">
        <v>0</v>
      </c>
      <c r="AM121" s="27">
        <v>0</v>
      </c>
      <c r="AN121" s="27">
        <v>0</v>
      </c>
      <c r="AO121" s="27">
        <v>0</v>
      </c>
      <c r="AP121" s="27">
        <v>0</v>
      </c>
      <c r="AQ121" s="27">
        <v>0</v>
      </c>
      <c r="AR121" s="27">
        <v>0</v>
      </c>
      <c r="AS121" s="27">
        <v>0</v>
      </c>
      <c r="AT121" s="27">
        <v>0</v>
      </c>
      <c r="AU121" s="27">
        <v>0</v>
      </c>
      <c r="AV121" s="27">
        <v>0</v>
      </c>
      <c r="AW121" s="27">
        <v>0</v>
      </c>
      <c r="AX121" s="27">
        <v>0</v>
      </c>
      <c r="AZ121" s="27">
        <v>1</v>
      </c>
      <c r="BA121" s="27">
        <v>0</v>
      </c>
      <c r="BB121" s="27">
        <v>62.14</v>
      </c>
      <c r="BC121" s="27" t="s">
        <v>564</v>
      </c>
      <c r="BD121" s="27" t="s">
        <v>337</v>
      </c>
      <c r="BE121" s="27" t="s">
        <v>76</v>
      </c>
      <c r="BF121" s="27" t="s">
        <v>77</v>
      </c>
      <c r="BG121" s="27">
        <v>162</v>
      </c>
      <c r="BH121" s="27">
        <v>53</v>
      </c>
      <c r="BI121" s="27">
        <v>0.7535</v>
      </c>
      <c r="BJ121" s="27">
        <v>0</v>
      </c>
      <c r="BK121" s="27">
        <v>17</v>
      </c>
      <c r="BL121" s="27">
        <v>95.3</v>
      </c>
    </row>
    <row r="122" customHeight="1" spans="1:64">
      <c r="A122" s="27" t="s">
        <v>565</v>
      </c>
      <c r="B122" s="27" t="s">
        <v>222</v>
      </c>
      <c r="C122" s="27" t="s">
        <v>566</v>
      </c>
      <c r="E122" s="27" t="s">
        <v>255</v>
      </c>
      <c r="F122" s="27" t="s">
        <v>160</v>
      </c>
      <c r="G122" s="27" t="s">
        <v>83</v>
      </c>
      <c r="H122" s="27" t="s">
        <v>84</v>
      </c>
      <c r="I122" s="27" t="s">
        <v>85</v>
      </c>
      <c r="J122" s="27">
        <v>5</v>
      </c>
      <c r="K122" s="27">
        <v>279.99</v>
      </c>
      <c r="M122" s="27">
        <v>0</v>
      </c>
      <c r="N122" s="27">
        <v>0</v>
      </c>
      <c r="O122" s="27">
        <v>0</v>
      </c>
      <c r="P122" s="27" t="s">
        <v>71</v>
      </c>
      <c r="Q122" s="27">
        <v>5.638319</v>
      </c>
      <c r="S122" s="27">
        <v>522</v>
      </c>
      <c r="T122" s="27">
        <v>10</v>
      </c>
      <c r="U122" s="27">
        <v>0.9812</v>
      </c>
      <c r="V122" s="27" t="s">
        <v>154</v>
      </c>
      <c r="W122" s="27">
        <v>146154.78</v>
      </c>
      <c r="X122" s="27">
        <v>6.259581</v>
      </c>
      <c r="Y122" s="27">
        <v>11.892428</v>
      </c>
      <c r="Z122" s="27">
        <v>3.1623</v>
      </c>
      <c r="AA122" s="27" t="s">
        <v>313</v>
      </c>
      <c r="AB122" s="27">
        <v>0</v>
      </c>
      <c r="AC122" s="27">
        <v>0</v>
      </c>
      <c r="AD122" s="27">
        <v>0</v>
      </c>
      <c r="AE122" s="27">
        <v>0</v>
      </c>
      <c r="AF122" s="27">
        <v>0</v>
      </c>
      <c r="AG122" s="27">
        <v>0</v>
      </c>
      <c r="AH122" s="27">
        <v>1</v>
      </c>
      <c r="AI122" s="27">
        <v>0</v>
      </c>
      <c r="AJ122" s="27">
        <v>0</v>
      </c>
      <c r="AK122" s="27">
        <v>0</v>
      </c>
      <c r="AL122" s="27">
        <v>0</v>
      </c>
      <c r="AM122" s="27">
        <v>0</v>
      </c>
      <c r="AN122" s="27">
        <v>0</v>
      </c>
      <c r="AO122" s="27">
        <v>0</v>
      </c>
      <c r="AP122" s="27">
        <v>0</v>
      </c>
      <c r="AQ122" s="27">
        <v>1</v>
      </c>
      <c r="AR122" s="27">
        <v>0</v>
      </c>
      <c r="AS122" s="27">
        <v>0</v>
      </c>
      <c r="AT122" s="27">
        <v>1</v>
      </c>
      <c r="AU122" s="27">
        <v>0</v>
      </c>
      <c r="AV122" s="27">
        <v>1</v>
      </c>
      <c r="AW122" s="27">
        <v>1</v>
      </c>
      <c r="AX122" s="27">
        <v>0</v>
      </c>
      <c r="AZ122" s="27">
        <v>1</v>
      </c>
      <c r="BA122" s="27">
        <v>2</v>
      </c>
      <c r="BB122" s="27">
        <v>68.83</v>
      </c>
      <c r="BC122" s="27" t="s">
        <v>567</v>
      </c>
      <c r="BD122" s="27" t="s">
        <v>225</v>
      </c>
      <c r="BE122" s="27" t="s">
        <v>226</v>
      </c>
      <c r="BF122" s="27" t="s">
        <v>77</v>
      </c>
      <c r="BG122" s="27">
        <v>1</v>
      </c>
      <c r="BH122" s="27">
        <v>147</v>
      </c>
      <c r="BI122" s="27">
        <v>0.0068</v>
      </c>
      <c r="BJ122" s="27">
        <v>1</v>
      </c>
      <c r="BK122" s="27">
        <v>5</v>
      </c>
      <c r="BL122" s="27">
        <v>98.6</v>
      </c>
    </row>
    <row r="123" customHeight="1" spans="1:64">
      <c r="A123" s="27" t="s">
        <v>568</v>
      </c>
      <c r="B123" s="27" t="s">
        <v>335</v>
      </c>
      <c r="C123" s="27" t="s">
        <v>569</v>
      </c>
      <c r="E123" s="27" t="s">
        <v>81</v>
      </c>
      <c r="F123" s="27" t="s">
        <v>160</v>
      </c>
      <c r="G123" s="27" t="s">
        <v>83</v>
      </c>
      <c r="H123" s="27" t="s">
        <v>84</v>
      </c>
      <c r="I123" s="27" t="s">
        <v>85</v>
      </c>
      <c r="J123" s="27">
        <v>5</v>
      </c>
      <c r="K123" s="27">
        <v>183.76</v>
      </c>
      <c r="M123" s="27">
        <v>0</v>
      </c>
      <c r="N123" s="27">
        <v>0</v>
      </c>
      <c r="O123" s="27">
        <v>0</v>
      </c>
      <c r="P123" s="27" t="s">
        <v>95</v>
      </c>
      <c r="Q123" s="27">
        <v>5.219058</v>
      </c>
      <c r="R123" s="27">
        <v>18.38</v>
      </c>
      <c r="S123" s="27">
        <v>42</v>
      </c>
      <c r="T123" s="27">
        <v>10</v>
      </c>
      <c r="U123" s="27">
        <v>0.8077</v>
      </c>
      <c r="V123" s="27" t="s">
        <v>72</v>
      </c>
      <c r="W123" s="27">
        <v>7717.92</v>
      </c>
      <c r="X123" s="27">
        <v>3.7612</v>
      </c>
      <c r="Y123" s="27">
        <v>8.95143</v>
      </c>
      <c r="Z123" s="27">
        <v>3.1623</v>
      </c>
      <c r="AA123" s="27" t="s">
        <v>313</v>
      </c>
      <c r="AB123" s="27">
        <v>1</v>
      </c>
      <c r="AC123" s="27">
        <v>0</v>
      </c>
      <c r="AD123" s="27">
        <v>0</v>
      </c>
      <c r="AE123" s="27">
        <v>0</v>
      </c>
      <c r="AF123" s="27">
        <v>0</v>
      </c>
      <c r="AG123" s="27">
        <v>0</v>
      </c>
      <c r="AH123" s="27">
        <v>1</v>
      </c>
      <c r="AI123" s="27">
        <v>0</v>
      </c>
      <c r="AJ123" s="27">
        <v>0</v>
      </c>
      <c r="AK123" s="27">
        <v>0</v>
      </c>
      <c r="AL123" s="27">
        <v>0</v>
      </c>
      <c r="AM123" s="27">
        <v>0</v>
      </c>
      <c r="AN123" s="27">
        <v>0</v>
      </c>
      <c r="AO123" s="27">
        <v>0</v>
      </c>
      <c r="AP123" s="27">
        <v>0</v>
      </c>
      <c r="AQ123" s="27">
        <v>1</v>
      </c>
      <c r="AR123" s="27">
        <v>0</v>
      </c>
      <c r="AS123" s="27">
        <v>0</v>
      </c>
      <c r="AT123" s="27">
        <v>1</v>
      </c>
      <c r="AU123" s="27">
        <v>0</v>
      </c>
      <c r="AV123" s="27">
        <v>1</v>
      </c>
      <c r="AW123" s="27">
        <v>1</v>
      </c>
      <c r="AX123" s="27">
        <v>0</v>
      </c>
      <c r="AY123" s="27">
        <v>10</v>
      </c>
      <c r="AZ123" s="27">
        <v>1</v>
      </c>
      <c r="BA123" s="27">
        <v>3</v>
      </c>
      <c r="BB123" s="27">
        <v>60.75</v>
      </c>
      <c r="BC123" s="27" t="s">
        <v>336</v>
      </c>
      <c r="BD123" s="27" t="s">
        <v>337</v>
      </c>
      <c r="BE123" s="27" t="s">
        <v>76</v>
      </c>
      <c r="BF123" s="27" t="s">
        <v>77</v>
      </c>
      <c r="BG123" s="27">
        <v>167</v>
      </c>
      <c r="BH123" s="27">
        <v>54</v>
      </c>
      <c r="BI123" s="27">
        <v>0.7557</v>
      </c>
      <c r="BJ123" s="27">
        <v>0</v>
      </c>
      <c r="BK123" s="27">
        <v>19</v>
      </c>
      <c r="BL123" s="27">
        <v>94.8</v>
      </c>
    </row>
    <row r="124" customHeight="1" spans="1:64">
      <c r="A124" s="27" t="s">
        <v>570</v>
      </c>
      <c r="B124" s="27" t="s">
        <v>104</v>
      </c>
      <c r="C124" s="27" t="s">
        <v>571</v>
      </c>
      <c r="D124" s="27">
        <v>194644178307</v>
      </c>
      <c r="E124" s="27" t="s">
        <v>81</v>
      </c>
      <c r="F124" s="27" t="s">
        <v>82</v>
      </c>
      <c r="G124" s="27" t="s">
        <v>106</v>
      </c>
      <c r="H124" s="27" t="s">
        <v>107</v>
      </c>
      <c r="I124" s="27" t="s">
        <v>85</v>
      </c>
      <c r="J124" s="27">
        <v>5</v>
      </c>
      <c r="K124" s="27">
        <v>199.99</v>
      </c>
      <c r="M124" s="27">
        <v>0</v>
      </c>
      <c r="N124" s="27">
        <v>0</v>
      </c>
      <c r="O124" s="27">
        <v>0</v>
      </c>
      <c r="P124" s="27" t="s">
        <v>95</v>
      </c>
      <c r="Q124" s="27">
        <v>5.303255</v>
      </c>
      <c r="S124" s="27">
        <v>554</v>
      </c>
      <c r="T124" s="27">
        <v>10</v>
      </c>
      <c r="U124" s="27">
        <v>0.9823</v>
      </c>
      <c r="V124" s="27" t="s">
        <v>154</v>
      </c>
      <c r="W124" s="27">
        <v>110794.46</v>
      </c>
      <c r="X124" s="27">
        <v>6.318968</v>
      </c>
      <c r="Y124" s="27">
        <v>11.615441</v>
      </c>
      <c r="Z124" s="27">
        <v>3.1623</v>
      </c>
      <c r="AA124" s="27" t="s">
        <v>73</v>
      </c>
      <c r="AB124" s="27">
        <v>0</v>
      </c>
      <c r="AC124" s="27">
        <v>0</v>
      </c>
      <c r="AD124" s="27">
        <v>0</v>
      </c>
      <c r="AE124" s="27">
        <v>1</v>
      </c>
      <c r="AF124" s="27">
        <v>0</v>
      </c>
      <c r="AG124" s="27">
        <v>0</v>
      </c>
      <c r="AH124" s="27">
        <v>1</v>
      </c>
      <c r="AI124" s="27">
        <v>0</v>
      </c>
      <c r="AJ124" s="27">
        <v>1</v>
      </c>
      <c r="AK124" s="27">
        <v>0</v>
      </c>
      <c r="AL124" s="27">
        <v>0</v>
      </c>
      <c r="AM124" s="27">
        <v>0</v>
      </c>
      <c r="AN124" s="27">
        <v>0</v>
      </c>
      <c r="AO124" s="27">
        <v>0</v>
      </c>
      <c r="AP124" s="27">
        <v>0</v>
      </c>
      <c r="AQ124" s="27">
        <v>0</v>
      </c>
      <c r="AR124" s="27">
        <v>0</v>
      </c>
      <c r="AS124" s="27">
        <v>0</v>
      </c>
      <c r="AT124" s="27">
        <v>0</v>
      </c>
      <c r="AU124" s="27">
        <v>0</v>
      </c>
      <c r="AV124" s="27">
        <v>0</v>
      </c>
      <c r="AW124" s="27">
        <v>0</v>
      </c>
      <c r="AX124" s="27">
        <v>0</v>
      </c>
      <c r="AZ124" s="27">
        <v>1</v>
      </c>
      <c r="BA124" s="27">
        <v>2</v>
      </c>
      <c r="BB124" s="27">
        <v>66.83</v>
      </c>
      <c r="BC124" s="27" t="s">
        <v>161</v>
      </c>
      <c r="BD124" s="27" t="s">
        <v>112</v>
      </c>
      <c r="BE124" s="27" t="s">
        <v>113</v>
      </c>
      <c r="BF124" s="27" t="s">
        <v>77</v>
      </c>
      <c r="BG124" s="27">
        <v>147</v>
      </c>
      <c r="BH124" s="27">
        <v>38</v>
      </c>
      <c r="BI124" s="27">
        <v>0.7946</v>
      </c>
      <c r="BJ124" s="27">
        <v>0</v>
      </c>
      <c r="BK124" s="27">
        <v>30</v>
      </c>
      <c r="BL124" s="27">
        <v>91.8</v>
      </c>
    </row>
    <row r="125" customHeight="1" spans="1:64">
      <c r="A125" s="27" t="s">
        <v>572</v>
      </c>
      <c r="B125" s="27" t="s">
        <v>404</v>
      </c>
      <c r="D125" s="27">
        <v>889490020145</v>
      </c>
      <c r="E125" s="27" t="s">
        <v>559</v>
      </c>
      <c r="F125" s="27" t="s">
        <v>82</v>
      </c>
      <c r="G125" s="27" t="s">
        <v>83</v>
      </c>
      <c r="H125" s="27" t="s">
        <v>84</v>
      </c>
      <c r="I125" s="27" t="s">
        <v>203</v>
      </c>
      <c r="J125" s="27">
        <v>4</v>
      </c>
      <c r="K125" s="27">
        <v>69.99</v>
      </c>
      <c r="M125" s="27">
        <v>0</v>
      </c>
      <c r="N125" s="27">
        <v>0</v>
      </c>
      <c r="O125" s="27">
        <v>0</v>
      </c>
      <c r="P125" s="27" t="s">
        <v>86</v>
      </c>
      <c r="Q125" s="27">
        <v>4.262539</v>
      </c>
      <c r="R125" s="27">
        <v>8.75</v>
      </c>
      <c r="S125" s="27">
        <v>337</v>
      </c>
      <c r="T125" s="27">
        <v>10</v>
      </c>
      <c r="U125" s="27">
        <v>0.9712</v>
      </c>
      <c r="V125" s="27" t="s">
        <v>154</v>
      </c>
      <c r="W125" s="27">
        <v>23586.63</v>
      </c>
      <c r="X125" s="27">
        <v>5.823046</v>
      </c>
      <c r="Y125" s="27">
        <v>10.068478</v>
      </c>
      <c r="Z125" s="27">
        <v>3.1623</v>
      </c>
      <c r="AA125" s="27" t="s">
        <v>125</v>
      </c>
      <c r="AB125" s="27">
        <v>0</v>
      </c>
      <c r="AC125" s="27">
        <v>0</v>
      </c>
      <c r="AD125" s="27">
        <v>0</v>
      </c>
      <c r="AE125" s="27">
        <v>0</v>
      </c>
      <c r="AF125" s="27">
        <v>0</v>
      </c>
      <c r="AG125" s="27">
        <v>0</v>
      </c>
      <c r="AH125" s="27">
        <v>0</v>
      </c>
      <c r="AI125" s="27">
        <v>0</v>
      </c>
      <c r="AJ125" s="27">
        <v>0</v>
      </c>
      <c r="AK125" s="27">
        <v>0</v>
      </c>
      <c r="AL125" s="27">
        <v>0</v>
      </c>
      <c r="AM125" s="27">
        <v>0</v>
      </c>
      <c r="AN125" s="27">
        <v>0</v>
      </c>
      <c r="AO125" s="27">
        <v>0</v>
      </c>
      <c r="AP125" s="27">
        <v>0</v>
      </c>
      <c r="AQ125" s="27">
        <v>0</v>
      </c>
      <c r="AR125" s="27">
        <v>0</v>
      </c>
      <c r="AS125" s="27">
        <v>0</v>
      </c>
      <c r="AT125" s="27">
        <v>0</v>
      </c>
      <c r="AU125" s="27">
        <v>0</v>
      </c>
      <c r="AV125" s="27">
        <v>1</v>
      </c>
      <c r="AW125" s="27">
        <v>1</v>
      </c>
      <c r="AX125" s="27">
        <v>0</v>
      </c>
      <c r="AY125" s="27">
        <v>8</v>
      </c>
      <c r="AZ125" s="27">
        <v>1</v>
      </c>
      <c r="BA125" s="27">
        <v>0</v>
      </c>
      <c r="BB125" s="27">
        <v>66.48</v>
      </c>
      <c r="BC125" s="27" t="s">
        <v>405</v>
      </c>
      <c r="BD125" s="27" t="s">
        <v>406</v>
      </c>
      <c r="BE125" s="27" t="s">
        <v>407</v>
      </c>
      <c r="BF125" s="27" t="s">
        <v>77</v>
      </c>
      <c r="BG125" s="27">
        <v>162</v>
      </c>
      <c r="BH125" s="27">
        <v>60</v>
      </c>
      <c r="BI125" s="27">
        <v>0.7297</v>
      </c>
      <c r="BJ125" s="27">
        <v>0</v>
      </c>
      <c r="BK125" s="27">
        <v>29</v>
      </c>
      <c r="BL125" s="27">
        <v>92.1</v>
      </c>
    </row>
    <row r="126" customHeight="1" spans="1:64">
      <c r="A126" s="27" t="s">
        <v>573</v>
      </c>
      <c r="B126" s="27" t="s">
        <v>125</v>
      </c>
      <c r="C126" s="27" t="s">
        <v>497</v>
      </c>
      <c r="E126" s="27" t="s">
        <v>426</v>
      </c>
      <c r="F126" s="27" t="s">
        <v>132</v>
      </c>
      <c r="G126" s="27" t="s">
        <v>427</v>
      </c>
      <c r="H126" s="27" t="s">
        <v>138</v>
      </c>
      <c r="I126" s="27" t="s">
        <v>85</v>
      </c>
      <c r="J126" s="27">
        <v>5</v>
      </c>
      <c r="K126" s="27">
        <v>25</v>
      </c>
      <c r="M126" s="27">
        <v>0</v>
      </c>
      <c r="N126" s="27">
        <v>0</v>
      </c>
      <c r="O126" s="27">
        <v>0</v>
      </c>
      <c r="P126" s="27" t="s">
        <v>86</v>
      </c>
      <c r="Q126" s="27">
        <v>3.258097</v>
      </c>
      <c r="S126" s="27">
        <v>5</v>
      </c>
      <c r="T126" s="27">
        <v>8</v>
      </c>
      <c r="U126" s="27">
        <v>0.3846</v>
      </c>
      <c r="V126" s="27" t="s">
        <v>87</v>
      </c>
      <c r="W126" s="27">
        <v>125</v>
      </c>
      <c r="X126" s="27">
        <v>1.791759</v>
      </c>
      <c r="Y126" s="27">
        <v>4.836282</v>
      </c>
      <c r="Z126" s="27">
        <v>2.8284</v>
      </c>
      <c r="AA126" s="27" t="s">
        <v>125</v>
      </c>
      <c r="AB126" s="27">
        <v>0</v>
      </c>
      <c r="AC126" s="27">
        <v>0</v>
      </c>
      <c r="AD126" s="27">
        <v>0</v>
      </c>
      <c r="AE126" s="27">
        <v>0</v>
      </c>
      <c r="AF126" s="27">
        <v>1</v>
      </c>
      <c r="AG126" s="27">
        <v>0</v>
      </c>
      <c r="AH126" s="27">
        <v>0</v>
      </c>
      <c r="AI126" s="27">
        <v>0</v>
      </c>
      <c r="AJ126" s="27">
        <v>0</v>
      </c>
      <c r="AK126" s="27">
        <v>0</v>
      </c>
      <c r="AL126" s="27">
        <v>0</v>
      </c>
      <c r="AM126" s="27">
        <v>0</v>
      </c>
      <c r="AN126" s="27">
        <v>0</v>
      </c>
      <c r="AO126" s="27">
        <v>0</v>
      </c>
      <c r="AP126" s="27">
        <v>0</v>
      </c>
      <c r="AQ126" s="27">
        <v>0</v>
      </c>
      <c r="AR126" s="27">
        <v>0</v>
      </c>
      <c r="AS126" s="27">
        <v>0</v>
      </c>
      <c r="AT126" s="27">
        <v>0</v>
      </c>
      <c r="AU126" s="27">
        <v>0</v>
      </c>
      <c r="AV126" s="27">
        <v>0</v>
      </c>
      <c r="AW126" s="27">
        <v>0</v>
      </c>
      <c r="AX126" s="27">
        <v>0</v>
      </c>
      <c r="AZ126" s="27">
        <v>1</v>
      </c>
      <c r="BA126" s="27">
        <v>0</v>
      </c>
      <c r="BB126" s="27">
        <v>15.38</v>
      </c>
      <c r="BC126" s="27" t="s">
        <v>574</v>
      </c>
      <c r="BD126" s="27" t="s">
        <v>575</v>
      </c>
      <c r="BE126" s="27" t="s">
        <v>576</v>
      </c>
      <c r="BF126" s="27" t="s">
        <v>77</v>
      </c>
      <c r="BG126" s="27">
        <v>1</v>
      </c>
      <c r="BH126" s="27">
        <v>11</v>
      </c>
      <c r="BI126" s="27">
        <v>0.0833</v>
      </c>
      <c r="BJ126" s="27">
        <v>1</v>
      </c>
    </row>
    <row r="127" customHeight="1" spans="1:64">
      <c r="A127" s="27" t="s">
        <v>577</v>
      </c>
      <c r="B127" s="27" t="s">
        <v>171</v>
      </c>
      <c r="C127" s="27" t="s">
        <v>578</v>
      </c>
      <c r="E127" s="27" t="s">
        <v>239</v>
      </c>
      <c r="F127" s="27" t="s">
        <v>160</v>
      </c>
      <c r="G127" s="27" t="s">
        <v>83</v>
      </c>
      <c r="H127" s="27" t="s">
        <v>84</v>
      </c>
      <c r="I127" s="27" t="s">
        <v>85</v>
      </c>
      <c r="J127" s="27">
        <v>5</v>
      </c>
      <c r="K127" s="27">
        <v>263.19</v>
      </c>
      <c r="L127" s="27">
        <v>375.99</v>
      </c>
      <c r="M127" s="27">
        <v>30</v>
      </c>
      <c r="N127" s="27">
        <v>112.8</v>
      </c>
      <c r="O127" s="27">
        <v>1</v>
      </c>
      <c r="P127" s="27" t="s">
        <v>71</v>
      </c>
      <c r="Q127" s="27">
        <v>5.576669</v>
      </c>
      <c r="R127" s="27">
        <v>32.9</v>
      </c>
      <c r="S127" s="27">
        <v>69</v>
      </c>
      <c r="T127" s="27">
        <v>10</v>
      </c>
      <c r="U127" s="27">
        <v>0.8734</v>
      </c>
      <c r="V127" s="27" t="s">
        <v>72</v>
      </c>
      <c r="W127" s="27">
        <v>18160.11</v>
      </c>
      <c r="X127" s="27">
        <v>4.248495</v>
      </c>
      <c r="Y127" s="27">
        <v>9.807038</v>
      </c>
      <c r="Z127" s="27">
        <v>3.1623</v>
      </c>
      <c r="AA127" s="27" t="s">
        <v>73</v>
      </c>
      <c r="AB127" s="27">
        <v>0</v>
      </c>
      <c r="AC127" s="27">
        <v>0</v>
      </c>
      <c r="AD127" s="27">
        <v>0</v>
      </c>
      <c r="AE127" s="27">
        <v>0</v>
      </c>
      <c r="AF127" s="27">
        <v>0</v>
      </c>
      <c r="AG127" s="27">
        <v>0</v>
      </c>
      <c r="AH127" s="27">
        <v>0</v>
      </c>
      <c r="AI127" s="27">
        <v>0</v>
      </c>
      <c r="AJ127" s="27">
        <v>0</v>
      </c>
      <c r="AK127" s="27">
        <v>0</v>
      </c>
      <c r="AL127" s="27">
        <v>0</v>
      </c>
      <c r="AM127" s="27">
        <v>0</v>
      </c>
      <c r="AN127" s="27">
        <v>0</v>
      </c>
      <c r="AO127" s="27">
        <v>0</v>
      </c>
      <c r="AP127" s="27">
        <v>0</v>
      </c>
      <c r="AQ127" s="27">
        <v>1</v>
      </c>
      <c r="AR127" s="27">
        <v>0</v>
      </c>
      <c r="AS127" s="27">
        <v>0</v>
      </c>
      <c r="AT127" s="27">
        <v>0</v>
      </c>
      <c r="AU127" s="27">
        <v>0</v>
      </c>
      <c r="AV127" s="27">
        <v>1</v>
      </c>
      <c r="AW127" s="27">
        <v>1</v>
      </c>
      <c r="AX127" s="27">
        <v>0</v>
      </c>
      <c r="AY127" s="27">
        <v>8</v>
      </c>
      <c r="AZ127" s="27">
        <v>1</v>
      </c>
      <c r="BA127" s="27">
        <v>1</v>
      </c>
      <c r="BB127" s="27">
        <v>73.19</v>
      </c>
      <c r="BC127" s="27" t="s">
        <v>174</v>
      </c>
      <c r="BD127" s="27" t="s">
        <v>175</v>
      </c>
      <c r="BE127" s="27" t="s">
        <v>91</v>
      </c>
      <c r="BF127" s="27" t="s">
        <v>77</v>
      </c>
      <c r="BG127" s="27">
        <v>161</v>
      </c>
      <c r="BH127" s="27">
        <v>61</v>
      </c>
      <c r="BI127" s="27">
        <v>0.7252</v>
      </c>
      <c r="BJ127" s="27">
        <v>0</v>
      </c>
      <c r="BK127" s="27">
        <v>9</v>
      </c>
      <c r="BL127" s="27">
        <v>97.5</v>
      </c>
    </row>
    <row r="128" customHeight="1" spans="1:64">
      <c r="A128" s="27" t="s">
        <v>579</v>
      </c>
      <c r="B128" s="27" t="s">
        <v>293</v>
      </c>
      <c r="E128" s="27" t="s">
        <v>294</v>
      </c>
      <c r="F128" s="27" t="s">
        <v>198</v>
      </c>
      <c r="G128" s="27" t="s">
        <v>83</v>
      </c>
      <c r="H128" s="27" t="s">
        <v>84</v>
      </c>
      <c r="I128" s="27" t="s">
        <v>85</v>
      </c>
      <c r="J128" s="27">
        <v>5</v>
      </c>
      <c r="K128" s="27">
        <v>38.39</v>
      </c>
      <c r="M128" s="27">
        <v>0</v>
      </c>
      <c r="N128" s="27">
        <v>0</v>
      </c>
      <c r="O128" s="27">
        <v>0</v>
      </c>
      <c r="P128" s="27" t="s">
        <v>86</v>
      </c>
      <c r="Q128" s="27">
        <v>3.673512</v>
      </c>
      <c r="S128" s="27">
        <v>93</v>
      </c>
      <c r="T128" s="27">
        <v>7</v>
      </c>
      <c r="U128" s="27">
        <v>0.93</v>
      </c>
      <c r="V128" s="27" t="s">
        <v>72</v>
      </c>
      <c r="W128" s="27">
        <v>3570.27</v>
      </c>
      <c r="X128" s="27">
        <v>4.543295</v>
      </c>
      <c r="Y128" s="27">
        <v>8.180677</v>
      </c>
      <c r="Z128" s="27">
        <v>2.6458</v>
      </c>
      <c r="AA128" s="27" t="s">
        <v>125</v>
      </c>
      <c r="AB128" s="27">
        <v>0</v>
      </c>
      <c r="AC128" s="27">
        <v>0</v>
      </c>
      <c r="AD128" s="27">
        <v>0</v>
      </c>
      <c r="AE128" s="27">
        <v>1</v>
      </c>
      <c r="AF128" s="27">
        <v>0</v>
      </c>
      <c r="AG128" s="27">
        <v>0</v>
      </c>
      <c r="AH128" s="27">
        <v>0</v>
      </c>
      <c r="AI128" s="27">
        <v>0</v>
      </c>
      <c r="AJ128" s="27">
        <v>0</v>
      </c>
      <c r="AK128" s="27">
        <v>0</v>
      </c>
      <c r="AL128" s="27">
        <v>0</v>
      </c>
      <c r="AM128" s="27">
        <v>0</v>
      </c>
      <c r="AN128" s="27">
        <v>0</v>
      </c>
      <c r="AO128" s="27">
        <v>0</v>
      </c>
      <c r="AP128" s="27">
        <v>0</v>
      </c>
      <c r="AQ128" s="27">
        <v>0</v>
      </c>
      <c r="AR128" s="27">
        <v>0</v>
      </c>
      <c r="AS128" s="27">
        <v>0</v>
      </c>
      <c r="AT128" s="27">
        <v>0</v>
      </c>
      <c r="AU128" s="27">
        <v>0</v>
      </c>
      <c r="AV128" s="27">
        <v>0</v>
      </c>
      <c r="AW128" s="27">
        <v>1</v>
      </c>
      <c r="AX128" s="27">
        <v>0</v>
      </c>
      <c r="AZ128" s="27">
        <v>1</v>
      </c>
      <c r="BA128" s="27">
        <v>1</v>
      </c>
      <c r="BB128" s="27">
        <v>63.33</v>
      </c>
      <c r="BC128" s="27" t="s">
        <v>295</v>
      </c>
      <c r="BD128" s="27" t="s">
        <v>356</v>
      </c>
      <c r="BE128" s="27" t="s">
        <v>423</v>
      </c>
      <c r="BF128" s="27" t="s">
        <v>77</v>
      </c>
      <c r="BG128" s="27">
        <v>162</v>
      </c>
      <c r="BH128" s="27">
        <v>46</v>
      </c>
      <c r="BI128" s="27">
        <v>0.7788</v>
      </c>
      <c r="BJ128" s="27">
        <v>0</v>
      </c>
      <c r="BK128" s="27">
        <v>47</v>
      </c>
      <c r="BL128" s="27">
        <v>87.1</v>
      </c>
    </row>
    <row r="129" customHeight="1" spans="1:64">
      <c r="A129" s="27" t="s">
        <v>580</v>
      </c>
      <c r="B129" s="27" t="s">
        <v>125</v>
      </c>
      <c r="E129" s="27" t="s">
        <v>163</v>
      </c>
      <c r="F129" s="27" t="s">
        <v>82</v>
      </c>
      <c r="G129" s="27" t="s">
        <v>83</v>
      </c>
      <c r="H129" s="27" t="s">
        <v>138</v>
      </c>
      <c r="I129" s="27" t="s">
        <v>85</v>
      </c>
      <c r="J129" s="27">
        <v>5</v>
      </c>
      <c r="K129" s="27">
        <v>91.9</v>
      </c>
      <c r="M129" s="27">
        <v>0</v>
      </c>
      <c r="N129" s="27">
        <v>0</v>
      </c>
      <c r="O129" s="27">
        <v>0</v>
      </c>
      <c r="P129" s="27" t="s">
        <v>95</v>
      </c>
      <c r="Q129" s="27">
        <v>4.531524</v>
      </c>
      <c r="S129" s="27">
        <v>12</v>
      </c>
      <c r="T129" s="27">
        <v>2</v>
      </c>
      <c r="U129" s="27">
        <v>0.8571</v>
      </c>
      <c r="V129" s="27" t="s">
        <v>72</v>
      </c>
      <c r="W129" s="27">
        <v>1102.8</v>
      </c>
      <c r="X129" s="27">
        <v>2.564949</v>
      </c>
      <c r="Y129" s="27">
        <v>7.006514</v>
      </c>
      <c r="Z129" s="27">
        <v>1.4142</v>
      </c>
      <c r="AA129" s="27" t="s">
        <v>139</v>
      </c>
      <c r="AB129" s="27">
        <v>0</v>
      </c>
      <c r="AC129" s="27">
        <v>0</v>
      </c>
      <c r="AD129" s="27">
        <v>0</v>
      </c>
      <c r="AE129" s="27">
        <v>0</v>
      </c>
      <c r="AF129" s="27">
        <v>0</v>
      </c>
      <c r="AG129" s="27">
        <v>0</v>
      </c>
      <c r="AH129" s="27">
        <v>0</v>
      </c>
      <c r="AI129" s="27">
        <v>0</v>
      </c>
      <c r="AJ129" s="27">
        <v>0</v>
      </c>
      <c r="AK129" s="27">
        <v>0</v>
      </c>
      <c r="AL129" s="27">
        <v>0</v>
      </c>
      <c r="AM129" s="27">
        <v>0</v>
      </c>
      <c r="AN129" s="27">
        <v>0</v>
      </c>
      <c r="AO129" s="27">
        <v>0</v>
      </c>
      <c r="AP129" s="27">
        <v>0</v>
      </c>
      <c r="AQ129" s="27">
        <v>0</v>
      </c>
      <c r="AR129" s="27">
        <v>0</v>
      </c>
      <c r="AS129" s="27">
        <v>0</v>
      </c>
      <c r="AT129" s="27">
        <v>0</v>
      </c>
      <c r="AU129" s="27">
        <v>0</v>
      </c>
      <c r="AV129" s="27">
        <v>0</v>
      </c>
      <c r="AW129" s="27">
        <v>0</v>
      </c>
      <c r="AX129" s="27">
        <v>0</v>
      </c>
      <c r="AZ129" s="27">
        <v>1</v>
      </c>
      <c r="BA129" s="27">
        <v>0</v>
      </c>
      <c r="BB129" s="27">
        <v>64.13</v>
      </c>
      <c r="BC129" s="27" t="s">
        <v>581</v>
      </c>
      <c r="BD129" s="27" t="s">
        <v>582</v>
      </c>
      <c r="BE129" s="27" t="s">
        <v>583</v>
      </c>
      <c r="BF129" s="27" t="s">
        <v>584</v>
      </c>
      <c r="BG129" s="27">
        <v>1</v>
      </c>
      <c r="BH129" s="27">
        <v>1</v>
      </c>
      <c r="BI129" s="27">
        <v>0.5</v>
      </c>
      <c r="BJ129" s="27">
        <v>1</v>
      </c>
      <c r="BK129" s="27">
        <v>2</v>
      </c>
      <c r="BL129" s="27">
        <v>99.5</v>
      </c>
    </row>
    <row r="130" customHeight="1" spans="1:64">
      <c r="A130" s="27" t="s">
        <v>585</v>
      </c>
      <c r="B130" s="27" t="s">
        <v>65</v>
      </c>
      <c r="C130" s="27" t="s">
        <v>586</v>
      </c>
      <c r="D130" s="27">
        <v>695529043753</v>
      </c>
      <c r="E130" s="27" t="s">
        <v>559</v>
      </c>
      <c r="F130" s="27" t="s">
        <v>68</v>
      </c>
      <c r="G130" s="27" t="s">
        <v>65</v>
      </c>
      <c r="H130" s="27" t="s">
        <v>69</v>
      </c>
      <c r="I130" s="27" t="s">
        <v>70</v>
      </c>
      <c r="J130" s="27">
        <v>3</v>
      </c>
      <c r="K130" s="27">
        <v>289.99</v>
      </c>
      <c r="M130" s="27">
        <v>0</v>
      </c>
      <c r="N130" s="27">
        <v>0</v>
      </c>
      <c r="O130" s="27">
        <v>0</v>
      </c>
      <c r="P130" s="27" t="s">
        <v>71</v>
      </c>
      <c r="Q130" s="27">
        <v>5.673289</v>
      </c>
      <c r="R130" s="27">
        <v>18.12</v>
      </c>
      <c r="S130" s="27">
        <v>15</v>
      </c>
      <c r="T130" s="27">
        <v>332</v>
      </c>
      <c r="U130" s="27">
        <v>0.0432</v>
      </c>
      <c r="V130" s="27" t="s">
        <v>72</v>
      </c>
      <c r="W130" s="27">
        <v>4349.85</v>
      </c>
      <c r="X130" s="27">
        <v>2.772589</v>
      </c>
      <c r="Y130" s="27">
        <v>8.378127</v>
      </c>
      <c r="Z130" s="27">
        <v>18.2209</v>
      </c>
      <c r="AA130" s="27" t="s">
        <v>73</v>
      </c>
      <c r="AB130" s="27">
        <v>0</v>
      </c>
      <c r="AC130" s="27">
        <v>0</v>
      </c>
      <c r="AD130" s="27">
        <v>0</v>
      </c>
      <c r="AE130" s="27">
        <v>0</v>
      </c>
      <c r="AF130" s="27">
        <v>0</v>
      </c>
      <c r="AG130" s="27">
        <v>1</v>
      </c>
      <c r="AH130" s="27">
        <v>1</v>
      </c>
      <c r="AI130" s="27">
        <v>0</v>
      </c>
      <c r="AJ130" s="27">
        <v>0</v>
      </c>
      <c r="AK130" s="27">
        <v>0</v>
      </c>
      <c r="AL130" s="27">
        <v>0</v>
      </c>
      <c r="AM130" s="27">
        <v>0</v>
      </c>
      <c r="AN130" s="27">
        <v>0</v>
      </c>
      <c r="AO130" s="27">
        <v>0</v>
      </c>
      <c r="AP130" s="27">
        <v>0</v>
      </c>
      <c r="AQ130" s="27">
        <v>1</v>
      </c>
      <c r="AR130" s="27">
        <v>0</v>
      </c>
      <c r="AS130" s="27">
        <v>0</v>
      </c>
      <c r="AT130" s="27">
        <v>0</v>
      </c>
      <c r="AU130" s="27">
        <v>0</v>
      </c>
      <c r="AV130" s="27">
        <v>1</v>
      </c>
      <c r="AW130" s="27">
        <v>1</v>
      </c>
      <c r="AX130" s="27">
        <v>1</v>
      </c>
      <c r="AY130" s="27">
        <v>16</v>
      </c>
      <c r="AZ130" s="27">
        <v>1</v>
      </c>
      <c r="BA130" s="27">
        <v>2</v>
      </c>
      <c r="BB130" s="27">
        <v>31.58</v>
      </c>
      <c r="BC130" s="27" t="s">
        <v>74</v>
      </c>
      <c r="BD130" s="27" t="s">
        <v>75</v>
      </c>
      <c r="BE130" s="27" t="s">
        <v>76</v>
      </c>
      <c r="BF130" s="27" t="s">
        <v>77</v>
      </c>
      <c r="BG130" s="27">
        <v>167</v>
      </c>
      <c r="BH130" s="27">
        <v>13</v>
      </c>
      <c r="BI130" s="27">
        <v>0.9278</v>
      </c>
      <c r="BJ130" s="27">
        <v>0</v>
      </c>
      <c r="BK130" s="27">
        <v>2</v>
      </c>
      <c r="BL130" s="27">
        <v>99.5</v>
      </c>
    </row>
    <row r="131" customHeight="1" spans="1:64">
      <c r="A131" s="27" t="s">
        <v>587</v>
      </c>
      <c r="B131" s="27" t="s">
        <v>427</v>
      </c>
      <c r="E131" s="27" t="s">
        <v>275</v>
      </c>
      <c r="F131" s="27" t="s">
        <v>276</v>
      </c>
      <c r="G131" s="27" t="s">
        <v>427</v>
      </c>
      <c r="H131" s="27" t="s">
        <v>107</v>
      </c>
      <c r="I131" s="27" t="s">
        <v>85</v>
      </c>
      <c r="J131" s="27">
        <v>5</v>
      </c>
      <c r="K131" s="27">
        <v>19.99</v>
      </c>
      <c r="M131" s="27">
        <v>0</v>
      </c>
      <c r="N131" s="27">
        <v>0</v>
      </c>
      <c r="O131" s="27">
        <v>0</v>
      </c>
      <c r="P131" s="27" t="s">
        <v>133</v>
      </c>
      <c r="Q131" s="27">
        <v>3.044046</v>
      </c>
      <c r="S131" s="27">
        <v>144</v>
      </c>
      <c r="T131" s="27">
        <v>10</v>
      </c>
      <c r="U131" s="27">
        <v>0.9351</v>
      </c>
      <c r="V131" s="27" t="s">
        <v>72</v>
      </c>
      <c r="W131" s="27">
        <v>2878.56</v>
      </c>
      <c r="X131" s="27">
        <v>4.976734</v>
      </c>
      <c r="Y131" s="27">
        <v>7.965393</v>
      </c>
      <c r="Z131" s="27">
        <v>3.1623</v>
      </c>
      <c r="AA131" s="27" t="s">
        <v>125</v>
      </c>
      <c r="AB131" s="27">
        <v>0</v>
      </c>
      <c r="AC131" s="27">
        <v>0</v>
      </c>
      <c r="AD131" s="27">
        <v>0</v>
      </c>
      <c r="AE131" s="27">
        <v>0</v>
      </c>
      <c r="AF131" s="27">
        <v>0</v>
      </c>
      <c r="AG131" s="27">
        <v>0</v>
      </c>
      <c r="AH131" s="27">
        <v>0</v>
      </c>
      <c r="AI131" s="27">
        <v>0</v>
      </c>
      <c r="AJ131" s="27">
        <v>0</v>
      </c>
      <c r="AK131" s="27">
        <v>0</v>
      </c>
      <c r="AL131" s="27">
        <v>0</v>
      </c>
      <c r="AM131" s="27">
        <v>0</v>
      </c>
      <c r="AN131" s="27">
        <v>0</v>
      </c>
      <c r="AO131" s="27">
        <v>0</v>
      </c>
      <c r="AP131" s="27">
        <v>0</v>
      </c>
      <c r="AQ131" s="27">
        <v>0</v>
      </c>
      <c r="AR131" s="27">
        <v>0</v>
      </c>
      <c r="AS131" s="27">
        <v>0</v>
      </c>
      <c r="AT131" s="27">
        <v>0</v>
      </c>
      <c r="AU131" s="27">
        <v>0</v>
      </c>
      <c r="AV131" s="27">
        <v>0</v>
      </c>
      <c r="AW131" s="27">
        <v>1</v>
      </c>
      <c r="AX131" s="27">
        <v>0</v>
      </c>
      <c r="AZ131" s="27">
        <v>1</v>
      </c>
      <c r="BA131" s="27">
        <v>0</v>
      </c>
      <c r="BB131" s="27">
        <v>66.98</v>
      </c>
      <c r="BC131" s="27" t="s">
        <v>588</v>
      </c>
      <c r="BD131" s="27" t="s">
        <v>589</v>
      </c>
      <c r="BE131" s="27" t="s">
        <v>590</v>
      </c>
      <c r="BF131" s="27" t="s">
        <v>77</v>
      </c>
      <c r="BG131" s="27">
        <v>170</v>
      </c>
      <c r="BH131" s="27">
        <v>11</v>
      </c>
      <c r="BI131" s="27">
        <v>0.9392</v>
      </c>
      <c r="BJ131" s="27">
        <v>0</v>
      </c>
      <c r="BK131" s="27">
        <v>5</v>
      </c>
      <c r="BL131" s="27">
        <v>98.6</v>
      </c>
    </row>
    <row r="132" customHeight="1" spans="1:64">
      <c r="A132" s="27" t="s">
        <v>591</v>
      </c>
      <c r="B132" s="27" t="s">
        <v>125</v>
      </c>
      <c r="E132" s="27" t="s">
        <v>163</v>
      </c>
      <c r="F132" s="27" t="s">
        <v>68</v>
      </c>
      <c r="G132" s="27" t="s">
        <v>83</v>
      </c>
      <c r="H132" s="27" t="s">
        <v>138</v>
      </c>
      <c r="I132" s="27" t="s">
        <v>203</v>
      </c>
      <c r="J132" s="27">
        <v>4</v>
      </c>
      <c r="K132" s="27">
        <v>149.95</v>
      </c>
      <c r="M132" s="27">
        <v>0</v>
      </c>
      <c r="N132" s="27">
        <v>0</v>
      </c>
      <c r="O132" s="27">
        <v>0</v>
      </c>
      <c r="P132" s="27" t="s">
        <v>95</v>
      </c>
      <c r="Q132" s="27">
        <v>5.016949</v>
      </c>
      <c r="S132" s="27">
        <v>1</v>
      </c>
      <c r="T132" s="27">
        <v>1</v>
      </c>
      <c r="U132" s="27">
        <v>0.5</v>
      </c>
      <c r="V132" s="27" t="s">
        <v>87</v>
      </c>
      <c r="W132" s="27">
        <v>149.95</v>
      </c>
      <c r="X132" s="27">
        <v>0.693147</v>
      </c>
      <c r="Y132" s="27">
        <v>5.016949</v>
      </c>
      <c r="Z132" s="27">
        <v>1</v>
      </c>
      <c r="AA132" s="27" t="s">
        <v>88</v>
      </c>
      <c r="AB132" s="27">
        <v>0</v>
      </c>
      <c r="AC132" s="27">
        <v>0</v>
      </c>
      <c r="AD132" s="27">
        <v>0</v>
      </c>
      <c r="AE132" s="27">
        <v>0</v>
      </c>
      <c r="AF132" s="27">
        <v>0</v>
      </c>
      <c r="AG132" s="27">
        <v>1</v>
      </c>
      <c r="AH132" s="27">
        <v>0</v>
      </c>
      <c r="AI132" s="27">
        <v>0</v>
      </c>
      <c r="AJ132" s="27">
        <v>0</v>
      </c>
      <c r="AK132" s="27">
        <v>0</v>
      </c>
      <c r="AL132" s="27">
        <v>0</v>
      </c>
      <c r="AM132" s="27">
        <v>0</v>
      </c>
      <c r="AN132" s="27">
        <v>0</v>
      </c>
      <c r="AO132" s="27">
        <v>0</v>
      </c>
      <c r="AP132" s="27">
        <v>0</v>
      </c>
      <c r="AQ132" s="27">
        <v>0</v>
      </c>
      <c r="AR132" s="27">
        <v>0</v>
      </c>
      <c r="AS132" s="27">
        <v>0</v>
      </c>
      <c r="AT132" s="27">
        <v>0</v>
      </c>
      <c r="AU132" s="27">
        <v>0</v>
      </c>
      <c r="AV132" s="27">
        <v>0</v>
      </c>
      <c r="AW132" s="27">
        <v>1</v>
      </c>
      <c r="AX132" s="27">
        <v>0</v>
      </c>
      <c r="AZ132" s="27">
        <v>1</v>
      </c>
      <c r="BA132" s="27">
        <v>0</v>
      </c>
      <c r="BB132" s="27">
        <v>46.31</v>
      </c>
      <c r="BC132" s="27" t="s">
        <v>204</v>
      </c>
      <c r="BG132" s="27">
        <v>0</v>
      </c>
      <c r="BH132" s="27">
        <v>0</v>
      </c>
      <c r="BJ132" s="27">
        <v>0</v>
      </c>
      <c r="BK132" s="27">
        <v>45</v>
      </c>
      <c r="BL132" s="27">
        <v>87.7</v>
      </c>
    </row>
    <row r="133" customHeight="1" spans="1:64">
      <c r="A133" s="27" t="s">
        <v>592</v>
      </c>
      <c r="B133" s="27" t="s">
        <v>125</v>
      </c>
      <c r="E133" s="27" t="s">
        <v>163</v>
      </c>
      <c r="F133" s="27" t="s">
        <v>68</v>
      </c>
      <c r="G133" s="27" t="s">
        <v>83</v>
      </c>
      <c r="H133" s="27" t="s">
        <v>138</v>
      </c>
      <c r="I133" s="27" t="s">
        <v>85</v>
      </c>
      <c r="J133" s="27">
        <v>5</v>
      </c>
      <c r="K133" s="27">
        <v>15.93</v>
      </c>
      <c r="M133" s="27">
        <v>0</v>
      </c>
      <c r="N133" s="27">
        <v>0</v>
      </c>
      <c r="O133" s="27">
        <v>0</v>
      </c>
      <c r="P133" s="27" t="s">
        <v>133</v>
      </c>
      <c r="Q133" s="27">
        <v>2.829087</v>
      </c>
      <c r="S133" s="27">
        <v>3</v>
      </c>
      <c r="T133" s="27">
        <v>10</v>
      </c>
      <c r="U133" s="27">
        <v>0.2308</v>
      </c>
      <c r="V133" s="27" t="s">
        <v>87</v>
      </c>
      <c r="W133" s="27">
        <v>47.79</v>
      </c>
      <c r="X133" s="27">
        <v>1.386294</v>
      </c>
      <c r="Y133" s="27">
        <v>3.887525</v>
      </c>
      <c r="Z133" s="27">
        <v>3.1623</v>
      </c>
      <c r="AA133" s="27" t="s">
        <v>125</v>
      </c>
      <c r="AB133" s="27">
        <v>0</v>
      </c>
      <c r="AC133" s="27">
        <v>0</v>
      </c>
      <c r="AD133" s="27">
        <v>0</v>
      </c>
      <c r="AE133" s="27">
        <v>0</v>
      </c>
      <c r="AF133" s="27">
        <v>0</v>
      </c>
      <c r="AG133" s="27">
        <v>0</v>
      </c>
      <c r="AH133" s="27">
        <v>1</v>
      </c>
      <c r="AI133" s="27">
        <v>0</v>
      </c>
      <c r="AJ133" s="27">
        <v>0</v>
      </c>
      <c r="AK133" s="27">
        <v>0</v>
      </c>
      <c r="AL133" s="27">
        <v>0</v>
      </c>
      <c r="AM133" s="27">
        <v>0</v>
      </c>
      <c r="AN133" s="27">
        <v>0</v>
      </c>
      <c r="AO133" s="27">
        <v>0</v>
      </c>
      <c r="AP133" s="27">
        <v>0</v>
      </c>
      <c r="AQ133" s="27">
        <v>0</v>
      </c>
      <c r="AR133" s="27">
        <v>0</v>
      </c>
      <c r="AS133" s="27">
        <v>0</v>
      </c>
      <c r="AT133" s="27">
        <v>0</v>
      </c>
      <c r="AU133" s="27">
        <v>0</v>
      </c>
      <c r="AV133" s="27">
        <v>0</v>
      </c>
      <c r="AW133" s="27">
        <v>0</v>
      </c>
      <c r="AX133" s="27">
        <v>0</v>
      </c>
      <c r="AZ133" s="27">
        <v>1</v>
      </c>
      <c r="BA133" s="27">
        <v>1</v>
      </c>
      <c r="BB133" s="27">
        <v>9.23</v>
      </c>
      <c r="BC133" s="27" t="s">
        <v>229</v>
      </c>
      <c r="BG133" s="27">
        <v>0</v>
      </c>
      <c r="BH133" s="27">
        <v>0</v>
      </c>
      <c r="BJ133" s="27">
        <v>0</v>
      </c>
    </row>
    <row r="134" customHeight="1" spans="1:64">
      <c r="A134" s="27" t="s">
        <v>593</v>
      </c>
      <c r="B134" s="27" t="s">
        <v>104</v>
      </c>
      <c r="C134" s="27" t="s">
        <v>594</v>
      </c>
      <c r="D134" s="27">
        <v>194644305574</v>
      </c>
      <c r="E134" s="27" t="s">
        <v>81</v>
      </c>
      <c r="F134" s="27" t="s">
        <v>82</v>
      </c>
      <c r="G134" s="27" t="s">
        <v>106</v>
      </c>
      <c r="H134" s="27" t="s">
        <v>107</v>
      </c>
      <c r="I134" s="27" t="s">
        <v>108</v>
      </c>
      <c r="J134" s="27">
        <v>3</v>
      </c>
      <c r="K134" s="27">
        <v>529.99</v>
      </c>
      <c r="L134" s="27">
        <v>559.99</v>
      </c>
      <c r="M134" s="27">
        <v>5.36</v>
      </c>
      <c r="N134" s="27">
        <v>30</v>
      </c>
      <c r="O134" s="27">
        <v>1</v>
      </c>
      <c r="P134" s="27" t="s">
        <v>147</v>
      </c>
      <c r="Q134" s="27">
        <v>6.274743</v>
      </c>
      <c r="S134" s="27">
        <v>20</v>
      </c>
      <c r="T134" s="27">
        <v>20</v>
      </c>
      <c r="U134" s="27">
        <v>0.5</v>
      </c>
      <c r="V134" s="27" t="s">
        <v>72</v>
      </c>
      <c r="W134" s="27">
        <v>10599.8</v>
      </c>
      <c r="X134" s="27">
        <v>3.044522</v>
      </c>
      <c r="Y134" s="27">
        <v>9.268685</v>
      </c>
      <c r="Z134" s="27">
        <v>4.4721</v>
      </c>
      <c r="AA134" s="27" t="s">
        <v>125</v>
      </c>
      <c r="AB134" s="27">
        <v>0</v>
      </c>
      <c r="AC134" s="27">
        <v>0</v>
      </c>
      <c r="AD134" s="27">
        <v>0</v>
      </c>
      <c r="AE134" s="27">
        <v>1</v>
      </c>
      <c r="AF134" s="27">
        <v>0</v>
      </c>
      <c r="AG134" s="27">
        <v>0</v>
      </c>
      <c r="AH134" s="27">
        <v>1</v>
      </c>
      <c r="AI134" s="27">
        <v>0</v>
      </c>
      <c r="AJ134" s="27">
        <v>0</v>
      </c>
      <c r="AK134" s="27">
        <v>1</v>
      </c>
      <c r="AL134" s="27">
        <v>0</v>
      </c>
      <c r="AM134" s="27">
        <v>0</v>
      </c>
      <c r="AN134" s="27">
        <v>0</v>
      </c>
      <c r="AO134" s="27">
        <v>0</v>
      </c>
      <c r="AP134" s="27">
        <v>0</v>
      </c>
      <c r="AQ134" s="27">
        <v>0</v>
      </c>
      <c r="AR134" s="27">
        <v>0</v>
      </c>
      <c r="AS134" s="27">
        <v>0</v>
      </c>
      <c r="AT134" s="27">
        <v>1</v>
      </c>
      <c r="AU134" s="27">
        <v>0</v>
      </c>
      <c r="AV134" s="27">
        <v>0</v>
      </c>
      <c r="AW134" s="27">
        <v>1</v>
      </c>
      <c r="AX134" s="27">
        <v>0</v>
      </c>
      <c r="AZ134" s="27">
        <v>1</v>
      </c>
      <c r="BA134" s="27">
        <v>3</v>
      </c>
      <c r="BB134" s="27">
        <v>51.46</v>
      </c>
      <c r="BC134" s="27" t="s">
        <v>111</v>
      </c>
      <c r="BD134" s="27" t="s">
        <v>112</v>
      </c>
      <c r="BE134" s="27" t="s">
        <v>113</v>
      </c>
      <c r="BF134" s="27" t="s">
        <v>77</v>
      </c>
      <c r="BG134" s="27">
        <v>162</v>
      </c>
      <c r="BH134" s="27">
        <v>24</v>
      </c>
      <c r="BI134" s="27">
        <v>0.871</v>
      </c>
      <c r="BJ134" s="27">
        <v>0</v>
      </c>
      <c r="BK134" s="27">
        <v>2</v>
      </c>
      <c r="BL134" s="27">
        <v>99.5</v>
      </c>
    </row>
    <row r="135" customHeight="1" spans="1:64">
      <c r="A135" s="27" t="s">
        <v>595</v>
      </c>
      <c r="B135" s="27" t="s">
        <v>104</v>
      </c>
      <c r="C135" s="27" t="s">
        <v>596</v>
      </c>
      <c r="D135" s="27">
        <v>194644096915</v>
      </c>
      <c r="E135" s="27" t="s">
        <v>81</v>
      </c>
      <c r="F135" s="27" t="s">
        <v>82</v>
      </c>
      <c r="G135" s="27" t="s">
        <v>106</v>
      </c>
      <c r="H135" s="27" t="s">
        <v>107</v>
      </c>
      <c r="I135" s="27" t="s">
        <v>153</v>
      </c>
      <c r="J135" s="27">
        <v>2</v>
      </c>
      <c r="K135" s="27">
        <v>39.99</v>
      </c>
      <c r="M135" s="27">
        <v>0</v>
      </c>
      <c r="N135" s="27">
        <v>0</v>
      </c>
      <c r="O135" s="27">
        <v>0</v>
      </c>
      <c r="P135" s="27" t="s">
        <v>86</v>
      </c>
      <c r="Q135" s="27">
        <v>3.713328</v>
      </c>
      <c r="S135" s="27">
        <v>15</v>
      </c>
      <c r="T135" s="27">
        <v>10</v>
      </c>
      <c r="U135" s="27">
        <v>0.6</v>
      </c>
      <c r="V135" s="27" t="s">
        <v>72</v>
      </c>
      <c r="W135" s="27">
        <v>599.85</v>
      </c>
      <c r="X135" s="27">
        <v>2.772589</v>
      </c>
      <c r="Y135" s="27">
        <v>6.398345</v>
      </c>
      <c r="Z135" s="27">
        <v>3.1623</v>
      </c>
      <c r="AA135" s="27" t="s">
        <v>125</v>
      </c>
      <c r="AB135" s="27">
        <v>0</v>
      </c>
      <c r="AC135" s="27">
        <v>0</v>
      </c>
      <c r="AD135" s="27">
        <v>0</v>
      </c>
      <c r="AE135" s="27">
        <v>1</v>
      </c>
      <c r="AF135" s="27">
        <v>1</v>
      </c>
      <c r="AG135" s="27">
        <v>0</v>
      </c>
      <c r="AH135" s="27">
        <v>0</v>
      </c>
      <c r="AI135" s="27">
        <v>0</v>
      </c>
      <c r="AJ135" s="27">
        <v>0</v>
      </c>
      <c r="AK135" s="27">
        <v>0</v>
      </c>
      <c r="AL135" s="27">
        <v>0</v>
      </c>
      <c r="AM135" s="27">
        <v>0</v>
      </c>
      <c r="AN135" s="27">
        <v>0</v>
      </c>
      <c r="AO135" s="27">
        <v>0</v>
      </c>
      <c r="AP135" s="27">
        <v>0</v>
      </c>
      <c r="AQ135" s="27">
        <v>0</v>
      </c>
      <c r="AR135" s="27">
        <v>0</v>
      </c>
      <c r="AS135" s="27">
        <v>0</v>
      </c>
      <c r="AT135" s="27">
        <v>0</v>
      </c>
      <c r="AU135" s="27">
        <v>0</v>
      </c>
      <c r="AV135" s="27">
        <v>0</v>
      </c>
      <c r="AW135" s="27">
        <v>0</v>
      </c>
      <c r="AX135" s="27">
        <v>0</v>
      </c>
      <c r="AZ135" s="27">
        <v>1</v>
      </c>
      <c r="BA135" s="27">
        <v>1</v>
      </c>
      <c r="BB135" s="27">
        <v>53.58</v>
      </c>
      <c r="BC135" s="27" t="s">
        <v>597</v>
      </c>
      <c r="BD135" s="27" t="s">
        <v>598</v>
      </c>
      <c r="BE135" s="27" t="s">
        <v>113</v>
      </c>
      <c r="BF135" s="27" t="s">
        <v>77</v>
      </c>
      <c r="BG135" s="27">
        <v>162</v>
      </c>
      <c r="BH135" s="27">
        <v>19</v>
      </c>
      <c r="BI135" s="27">
        <v>0.895</v>
      </c>
      <c r="BJ135" s="27">
        <v>0</v>
      </c>
      <c r="BK135" s="27">
        <v>5</v>
      </c>
      <c r="BL135" s="27">
        <v>98.6</v>
      </c>
    </row>
    <row r="136" customHeight="1" spans="1:64">
      <c r="A136" s="27" t="s">
        <v>599</v>
      </c>
      <c r="B136" s="27" t="s">
        <v>600</v>
      </c>
      <c r="D136" s="27">
        <v>756395040137</v>
      </c>
      <c r="E136" s="27" t="s">
        <v>601</v>
      </c>
      <c r="F136" s="27" t="s">
        <v>82</v>
      </c>
      <c r="G136" s="27" t="s">
        <v>83</v>
      </c>
      <c r="H136" s="27" t="s">
        <v>84</v>
      </c>
      <c r="I136" s="27" t="s">
        <v>203</v>
      </c>
      <c r="J136" s="27">
        <v>4</v>
      </c>
      <c r="K136" s="27">
        <v>58.99</v>
      </c>
      <c r="M136" s="27">
        <v>0</v>
      </c>
      <c r="N136" s="27">
        <v>0</v>
      </c>
      <c r="O136" s="27">
        <v>0</v>
      </c>
      <c r="P136" s="27" t="s">
        <v>86</v>
      </c>
      <c r="Q136" s="27">
        <v>4.094178</v>
      </c>
      <c r="S136" s="27">
        <v>554</v>
      </c>
      <c r="T136" s="27">
        <v>10</v>
      </c>
      <c r="U136" s="27">
        <v>0.9823</v>
      </c>
      <c r="V136" s="27" t="s">
        <v>154</v>
      </c>
      <c r="W136" s="27">
        <v>32680.46</v>
      </c>
      <c r="X136" s="27">
        <v>6.318968</v>
      </c>
      <c r="Y136" s="27">
        <v>10.394563</v>
      </c>
      <c r="Z136" s="27">
        <v>3.1623</v>
      </c>
      <c r="AA136" s="27" t="s">
        <v>125</v>
      </c>
      <c r="AB136" s="27">
        <v>0</v>
      </c>
      <c r="AC136" s="27">
        <v>0</v>
      </c>
      <c r="AD136" s="27">
        <v>0</v>
      </c>
      <c r="AE136" s="27">
        <v>0</v>
      </c>
      <c r="AF136" s="27">
        <v>0</v>
      </c>
      <c r="AG136" s="27">
        <v>0</v>
      </c>
      <c r="AH136" s="27">
        <v>1</v>
      </c>
      <c r="AI136" s="27">
        <v>0</v>
      </c>
      <c r="AJ136" s="27">
        <v>0</v>
      </c>
      <c r="AK136" s="27">
        <v>0</v>
      </c>
      <c r="AL136" s="27">
        <v>1</v>
      </c>
      <c r="AM136" s="27">
        <v>0</v>
      </c>
      <c r="AN136" s="27">
        <v>0</v>
      </c>
      <c r="AO136" s="27">
        <v>0</v>
      </c>
      <c r="AP136" s="27">
        <v>0</v>
      </c>
      <c r="AQ136" s="27">
        <v>0</v>
      </c>
      <c r="AR136" s="27">
        <v>0</v>
      </c>
      <c r="AS136" s="27">
        <v>0</v>
      </c>
      <c r="AT136" s="27">
        <v>0</v>
      </c>
      <c r="AU136" s="27">
        <v>0</v>
      </c>
      <c r="AV136" s="27">
        <v>0</v>
      </c>
      <c r="AW136" s="27">
        <v>0</v>
      </c>
      <c r="AX136" s="27">
        <v>0</v>
      </c>
      <c r="AZ136" s="27">
        <v>1</v>
      </c>
      <c r="BA136" s="27">
        <v>1</v>
      </c>
      <c r="BB136" s="27">
        <v>57.77</v>
      </c>
      <c r="BC136" s="27" t="s">
        <v>602</v>
      </c>
      <c r="BD136" s="27" t="s">
        <v>169</v>
      </c>
      <c r="BE136" s="27" t="s">
        <v>113</v>
      </c>
      <c r="BF136" s="27" t="s">
        <v>77</v>
      </c>
      <c r="BG136" s="27">
        <v>162</v>
      </c>
      <c r="BH136" s="27">
        <v>18</v>
      </c>
      <c r="BI136" s="27">
        <v>0.9</v>
      </c>
      <c r="BJ136" s="27">
        <v>0</v>
      </c>
      <c r="BK136" s="27">
        <v>140</v>
      </c>
      <c r="BL136" s="27">
        <v>61.6</v>
      </c>
    </row>
    <row r="137" customHeight="1" spans="1:64">
      <c r="A137" s="27" t="s">
        <v>603</v>
      </c>
      <c r="B137" s="27" t="s">
        <v>125</v>
      </c>
      <c r="E137" s="27" t="s">
        <v>255</v>
      </c>
      <c r="F137" s="27" t="s">
        <v>82</v>
      </c>
      <c r="G137" s="27" t="s">
        <v>83</v>
      </c>
      <c r="H137" s="27" t="s">
        <v>138</v>
      </c>
      <c r="I137" s="27" t="s">
        <v>85</v>
      </c>
      <c r="J137" s="27">
        <v>5</v>
      </c>
      <c r="K137" s="27">
        <v>99.99</v>
      </c>
      <c r="M137" s="27">
        <v>0</v>
      </c>
      <c r="N137" s="27">
        <v>0</v>
      </c>
      <c r="O137" s="27">
        <v>0</v>
      </c>
      <c r="P137" s="27" t="s">
        <v>95</v>
      </c>
      <c r="Q137" s="27">
        <v>4.615022</v>
      </c>
      <c r="S137" s="27">
        <v>79</v>
      </c>
      <c r="T137" s="27">
        <v>80</v>
      </c>
      <c r="U137" s="27">
        <v>0.4969</v>
      </c>
      <c r="V137" s="27" t="s">
        <v>72</v>
      </c>
      <c r="W137" s="27">
        <v>7899.21</v>
      </c>
      <c r="X137" s="27">
        <v>4.382027</v>
      </c>
      <c r="Y137" s="27">
        <v>8.974645</v>
      </c>
      <c r="Z137" s="27">
        <v>8.9443</v>
      </c>
      <c r="AA137" s="27" t="s">
        <v>73</v>
      </c>
      <c r="AB137" s="27">
        <v>1</v>
      </c>
      <c r="AC137" s="27">
        <v>1</v>
      </c>
      <c r="AD137" s="27">
        <v>1</v>
      </c>
      <c r="AE137" s="27">
        <v>0</v>
      </c>
      <c r="AF137" s="27">
        <v>0</v>
      </c>
      <c r="AG137" s="27">
        <v>1</v>
      </c>
      <c r="AH137" s="27">
        <v>0</v>
      </c>
      <c r="AI137" s="27">
        <v>1</v>
      </c>
      <c r="AJ137" s="27">
        <v>0</v>
      </c>
      <c r="AK137" s="27">
        <v>0</v>
      </c>
      <c r="AL137" s="27">
        <v>0</v>
      </c>
      <c r="AM137" s="27">
        <v>0</v>
      </c>
      <c r="AN137" s="27">
        <v>0</v>
      </c>
      <c r="AO137" s="27">
        <v>0</v>
      </c>
      <c r="AP137" s="27">
        <v>0</v>
      </c>
      <c r="AQ137" s="27">
        <v>0</v>
      </c>
      <c r="AR137" s="27">
        <v>0</v>
      </c>
      <c r="AS137" s="27">
        <v>0</v>
      </c>
      <c r="AT137" s="27">
        <v>0</v>
      </c>
      <c r="AU137" s="27">
        <v>0</v>
      </c>
      <c r="AV137" s="27">
        <v>0</v>
      </c>
      <c r="AW137" s="27">
        <v>0</v>
      </c>
      <c r="AX137" s="27">
        <v>0</v>
      </c>
      <c r="AZ137" s="27">
        <v>1</v>
      </c>
      <c r="BA137" s="27">
        <v>2</v>
      </c>
      <c r="BB137" s="27">
        <v>49.46</v>
      </c>
      <c r="BC137" s="27" t="s">
        <v>409</v>
      </c>
      <c r="BD137" s="27" t="s">
        <v>410</v>
      </c>
      <c r="BE137" s="27" t="s">
        <v>407</v>
      </c>
      <c r="BF137" s="27" t="s">
        <v>77</v>
      </c>
      <c r="BG137" s="27">
        <v>162</v>
      </c>
      <c r="BH137" s="27">
        <v>19</v>
      </c>
      <c r="BI137" s="27">
        <v>0.895</v>
      </c>
      <c r="BJ137" s="27">
        <v>0</v>
      </c>
      <c r="BK137" s="27">
        <v>5</v>
      </c>
      <c r="BL137" s="27">
        <v>98.6</v>
      </c>
    </row>
    <row r="138" customHeight="1" spans="1:64">
      <c r="A138" s="27" t="s">
        <v>604</v>
      </c>
      <c r="B138" s="27" t="s">
        <v>605</v>
      </c>
      <c r="E138" s="27" t="s">
        <v>606</v>
      </c>
      <c r="F138" s="27" t="s">
        <v>82</v>
      </c>
      <c r="G138" s="27" t="s">
        <v>83</v>
      </c>
      <c r="H138" s="27" t="s">
        <v>84</v>
      </c>
      <c r="I138" s="27" t="s">
        <v>85</v>
      </c>
      <c r="J138" s="27">
        <v>5</v>
      </c>
      <c r="K138" s="27">
        <v>600</v>
      </c>
      <c r="M138" s="27">
        <v>0</v>
      </c>
      <c r="N138" s="27">
        <v>0</v>
      </c>
      <c r="O138" s="27">
        <v>0</v>
      </c>
      <c r="P138" s="27" t="s">
        <v>147</v>
      </c>
      <c r="Q138" s="27">
        <v>6.398595</v>
      </c>
      <c r="S138" s="27">
        <v>4</v>
      </c>
      <c r="T138" s="27">
        <v>1</v>
      </c>
      <c r="U138" s="27">
        <v>0.8</v>
      </c>
      <c r="V138" s="27" t="s">
        <v>87</v>
      </c>
      <c r="W138" s="27">
        <v>2400</v>
      </c>
      <c r="X138" s="27">
        <v>1.609438</v>
      </c>
      <c r="Y138" s="27">
        <v>7.783641</v>
      </c>
      <c r="Z138" s="27">
        <v>1</v>
      </c>
      <c r="AA138" s="27" t="s">
        <v>291</v>
      </c>
      <c r="AB138" s="27">
        <v>0</v>
      </c>
      <c r="AC138" s="27">
        <v>0</v>
      </c>
      <c r="AD138" s="27">
        <v>0</v>
      </c>
      <c r="AE138" s="27">
        <v>0</v>
      </c>
      <c r="AF138" s="27">
        <v>0</v>
      </c>
      <c r="AG138" s="27">
        <v>0</v>
      </c>
      <c r="AH138" s="27">
        <v>0</v>
      </c>
      <c r="AI138" s="27">
        <v>0</v>
      </c>
      <c r="AJ138" s="27">
        <v>0</v>
      </c>
      <c r="AK138" s="27">
        <v>0</v>
      </c>
      <c r="AL138" s="27">
        <v>0</v>
      </c>
      <c r="AM138" s="27">
        <v>0</v>
      </c>
      <c r="AN138" s="27">
        <v>0</v>
      </c>
      <c r="AO138" s="27">
        <v>0</v>
      </c>
      <c r="AP138" s="27">
        <v>0</v>
      </c>
      <c r="AQ138" s="27">
        <v>0</v>
      </c>
      <c r="AR138" s="27">
        <v>0</v>
      </c>
      <c r="AS138" s="27">
        <v>0</v>
      </c>
      <c r="AT138" s="27">
        <v>0</v>
      </c>
      <c r="AU138" s="27">
        <v>0</v>
      </c>
      <c r="AV138" s="27">
        <v>0</v>
      </c>
      <c r="AW138" s="27">
        <v>0</v>
      </c>
      <c r="AX138" s="27">
        <v>0</v>
      </c>
      <c r="AZ138" s="27">
        <v>1</v>
      </c>
      <c r="BA138" s="27">
        <v>0</v>
      </c>
      <c r="BB138" s="27">
        <v>61.52</v>
      </c>
      <c r="BC138" s="27" t="s">
        <v>607</v>
      </c>
      <c r="BD138" s="27" t="s">
        <v>608</v>
      </c>
      <c r="BE138" s="27" t="s">
        <v>76</v>
      </c>
      <c r="BF138" s="27" t="s">
        <v>77</v>
      </c>
      <c r="BG138" s="27">
        <v>168</v>
      </c>
      <c r="BH138" s="27">
        <v>11</v>
      </c>
      <c r="BI138" s="27">
        <v>0.9385</v>
      </c>
      <c r="BJ138" s="27">
        <v>0</v>
      </c>
      <c r="BK138" s="27">
        <v>6</v>
      </c>
      <c r="BL138" s="27">
        <v>98.4</v>
      </c>
    </row>
    <row r="139" customHeight="1" spans="1:64">
      <c r="A139" s="27" t="s">
        <v>609</v>
      </c>
      <c r="B139" s="27" t="s">
        <v>282</v>
      </c>
      <c r="E139" s="27" t="s">
        <v>250</v>
      </c>
      <c r="F139" s="27" t="s">
        <v>160</v>
      </c>
      <c r="G139" s="27" t="s">
        <v>83</v>
      </c>
      <c r="H139" s="27" t="s">
        <v>84</v>
      </c>
      <c r="I139" s="27" t="s">
        <v>85</v>
      </c>
      <c r="J139" s="27">
        <v>5</v>
      </c>
      <c r="K139" s="27">
        <v>105.99</v>
      </c>
      <c r="M139" s="27">
        <v>0</v>
      </c>
      <c r="N139" s="27">
        <v>0</v>
      </c>
      <c r="O139" s="27">
        <v>0</v>
      </c>
      <c r="P139" s="27" t="s">
        <v>95</v>
      </c>
      <c r="Q139" s="27">
        <v>4.672735</v>
      </c>
      <c r="R139" s="27">
        <v>13.25</v>
      </c>
      <c r="S139" s="27">
        <v>3035</v>
      </c>
      <c r="T139" s="27">
        <v>10</v>
      </c>
      <c r="U139" s="27">
        <v>0.9967</v>
      </c>
      <c r="V139" s="27" t="s">
        <v>109</v>
      </c>
      <c r="W139" s="27">
        <v>321679.65</v>
      </c>
      <c r="X139" s="27">
        <v>8.018296</v>
      </c>
      <c r="Y139" s="27">
        <v>12.681315</v>
      </c>
      <c r="Z139" s="27">
        <v>3.1623</v>
      </c>
      <c r="AA139" s="27" t="s">
        <v>313</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1</v>
      </c>
      <c r="AR139" s="27">
        <v>0</v>
      </c>
      <c r="AS139" s="27">
        <v>0</v>
      </c>
      <c r="AT139" s="27">
        <v>1</v>
      </c>
      <c r="AU139" s="27">
        <v>0</v>
      </c>
      <c r="AV139" s="27">
        <v>1</v>
      </c>
      <c r="AW139" s="27">
        <v>1</v>
      </c>
      <c r="AX139" s="27">
        <v>0</v>
      </c>
      <c r="AY139" s="27">
        <v>8</v>
      </c>
      <c r="AZ139" s="27">
        <v>1</v>
      </c>
      <c r="BA139" s="27">
        <v>1</v>
      </c>
      <c r="BB139" s="27">
        <v>69.45</v>
      </c>
      <c r="BC139" s="27" t="s">
        <v>285</v>
      </c>
      <c r="BD139" s="27" t="s">
        <v>286</v>
      </c>
      <c r="BE139" s="27" t="s">
        <v>287</v>
      </c>
      <c r="BF139" s="27" t="s">
        <v>77</v>
      </c>
      <c r="BG139" s="27">
        <v>1</v>
      </c>
      <c r="BH139" s="27">
        <v>20</v>
      </c>
      <c r="BI139" s="27">
        <v>0.0476</v>
      </c>
      <c r="BJ139" s="27">
        <v>1</v>
      </c>
      <c r="BK139" s="27">
        <v>5</v>
      </c>
      <c r="BL139" s="27">
        <v>98.6</v>
      </c>
    </row>
    <row r="140" customHeight="1" spans="1:64">
      <c r="A140" s="27" t="s">
        <v>610</v>
      </c>
      <c r="B140" s="27" t="s">
        <v>171</v>
      </c>
      <c r="C140" s="27" t="s">
        <v>611</v>
      </c>
      <c r="E140" s="27" t="s">
        <v>250</v>
      </c>
      <c r="F140" s="27" t="s">
        <v>160</v>
      </c>
      <c r="G140" s="27" t="s">
        <v>83</v>
      </c>
      <c r="H140" s="27" t="s">
        <v>84</v>
      </c>
      <c r="I140" s="27" t="s">
        <v>85</v>
      </c>
      <c r="J140" s="27">
        <v>5</v>
      </c>
      <c r="K140" s="27">
        <v>101.91</v>
      </c>
      <c r="L140" s="27">
        <v>119.89</v>
      </c>
      <c r="M140" s="27">
        <v>15</v>
      </c>
      <c r="N140" s="27">
        <v>17.98</v>
      </c>
      <c r="O140" s="27">
        <v>1</v>
      </c>
      <c r="P140" s="27" t="s">
        <v>95</v>
      </c>
      <c r="Q140" s="27">
        <v>4.633855</v>
      </c>
      <c r="R140" s="27">
        <v>12.74</v>
      </c>
      <c r="S140" s="27">
        <v>286</v>
      </c>
      <c r="T140" s="27">
        <v>10</v>
      </c>
      <c r="U140" s="27">
        <v>0.9662</v>
      </c>
      <c r="V140" s="27" t="s">
        <v>154</v>
      </c>
      <c r="W140" s="27">
        <v>29146.26</v>
      </c>
      <c r="X140" s="27">
        <v>5.659482</v>
      </c>
      <c r="Y140" s="27">
        <v>10.280116</v>
      </c>
      <c r="Z140" s="27">
        <v>3.1623</v>
      </c>
      <c r="AA140" s="27" t="s">
        <v>313</v>
      </c>
      <c r="AB140" s="27">
        <v>1</v>
      </c>
      <c r="AC140" s="27">
        <v>1</v>
      </c>
      <c r="AD140" s="27">
        <v>0</v>
      </c>
      <c r="AE140" s="27">
        <v>0</v>
      </c>
      <c r="AF140" s="27">
        <v>0</v>
      </c>
      <c r="AG140" s="27">
        <v>0</v>
      </c>
      <c r="AH140" s="27">
        <v>0</v>
      </c>
      <c r="AI140" s="27">
        <v>0</v>
      </c>
      <c r="AJ140" s="27">
        <v>0</v>
      </c>
      <c r="AK140" s="27">
        <v>0</v>
      </c>
      <c r="AL140" s="27">
        <v>0</v>
      </c>
      <c r="AM140" s="27">
        <v>0</v>
      </c>
      <c r="AN140" s="27">
        <v>0</v>
      </c>
      <c r="AO140" s="27">
        <v>0</v>
      </c>
      <c r="AP140" s="27">
        <v>0</v>
      </c>
      <c r="AQ140" s="27">
        <v>1</v>
      </c>
      <c r="AR140" s="27">
        <v>0</v>
      </c>
      <c r="AS140" s="27">
        <v>0</v>
      </c>
      <c r="AT140" s="27">
        <v>1</v>
      </c>
      <c r="AU140" s="27">
        <v>0</v>
      </c>
      <c r="AV140" s="27">
        <v>1</v>
      </c>
      <c r="AW140" s="27">
        <v>1</v>
      </c>
      <c r="AX140" s="27">
        <v>0</v>
      </c>
      <c r="AY140" s="27">
        <v>8</v>
      </c>
      <c r="AZ140" s="27">
        <v>1</v>
      </c>
      <c r="BA140" s="27">
        <v>3</v>
      </c>
      <c r="BB140" s="27">
        <v>72.67</v>
      </c>
      <c r="BC140" s="27" t="s">
        <v>326</v>
      </c>
      <c r="BD140" s="27" t="s">
        <v>356</v>
      </c>
      <c r="BE140" s="27" t="s">
        <v>423</v>
      </c>
      <c r="BF140" s="27" t="s">
        <v>77</v>
      </c>
      <c r="BG140" s="27">
        <v>161</v>
      </c>
      <c r="BH140" s="27">
        <v>61</v>
      </c>
      <c r="BI140" s="27">
        <v>0.7252</v>
      </c>
      <c r="BJ140" s="27">
        <v>0</v>
      </c>
      <c r="BK140" s="27">
        <v>6</v>
      </c>
      <c r="BL140" s="27">
        <v>98.4</v>
      </c>
    </row>
    <row r="141" customHeight="1" spans="1:64">
      <c r="A141" s="27" t="s">
        <v>612</v>
      </c>
      <c r="B141" s="27" t="s">
        <v>613</v>
      </c>
      <c r="E141" s="27" t="s">
        <v>275</v>
      </c>
      <c r="F141" s="27" t="s">
        <v>240</v>
      </c>
      <c r="G141" s="27" t="s">
        <v>83</v>
      </c>
      <c r="H141" s="27" t="s">
        <v>84</v>
      </c>
      <c r="I141" s="27" t="s">
        <v>153</v>
      </c>
      <c r="J141" s="27">
        <v>2</v>
      </c>
      <c r="K141" s="27">
        <v>210</v>
      </c>
      <c r="M141" s="27">
        <v>0</v>
      </c>
      <c r="N141" s="27">
        <v>0</v>
      </c>
      <c r="O141" s="27">
        <v>0</v>
      </c>
      <c r="P141" s="27" t="s">
        <v>71</v>
      </c>
      <c r="Q141" s="27">
        <v>5.351858</v>
      </c>
      <c r="R141" s="27">
        <v>13.12</v>
      </c>
      <c r="V141" s="27" t="s">
        <v>231</v>
      </c>
      <c r="W141" s="27">
        <v>0</v>
      </c>
      <c r="X141" s="27">
        <v>0</v>
      </c>
      <c r="Y141" s="27">
        <v>0</v>
      </c>
      <c r="Z141" s="27">
        <v>0</v>
      </c>
      <c r="AA141" s="27" t="s">
        <v>313</v>
      </c>
      <c r="AB141" s="27">
        <v>0</v>
      </c>
      <c r="AC141" s="27">
        <v>0</v>
      </c>
      <c r="AD141" s="27">
        <v>0</v>
      </c>
      <c r="AE141" s="27">
        <v>0</v>
      </c>
      <c r="AF141" s="27">
        <v>0</v>
      </c>
      <c r="AG141" s="27">
        <v>0</v>
      </c>
      <c r="AH141" s="27">
        <v>0</v>
      </c>
      <c r="AI141" s="27">
        <v>0</v>
      </c>
      <c r="AJ141" s="27">
        <v>0</v>
      </c>
      <c r="AK141" s="27">
        <v>0</v>
      </c>
      <c r="AL141" s="27">
        <v>0</v>
      </c>
      <c r="AM141" s="27">
        <v>0</v>
      </c>
      <c r="AN141" s="27">
        <v>0</v>
      </c>
      <c r="AO141" s="27">
        <v>0</v>
      </c>
      <c r="AP141" s="27">
        <v>0</v>
      </c>
      <c r="AQ141" s="27">
        <v>1</v>
      </c>
      <c r="AR141" s="27">
        <v>0</v>
      </c>
      <c r="AS141" s="27">
        <v>0</v>
      </c>
      <c r="AT141" s="27">
        <v>0</v>
      </c>
      <c r="AU141" s="27">
        <v>0</v>
      </c>
      <c r="AV141" s="27">
        <v>1</v>
      </c>
      <c r="AW141" s="27">
        <v>1</v>
      </c>
      <c r="AX141" s="27">
        <v>0</v>
      </c>
      <c r="AY141" s="27">
        <v>16</v>
      </c>
      <c r="AZ141" s="27">
        <v>1</v>
      </c>
      <c r="BA141" s="27">
        <v>1</v>
      </c>
      <c r="BB141" s="27">
        <v>27.96</v>
      </c>
      <c r="BC141" s="27" t="s">
        <v>614</v>
      </c>
      <c r="BG141" s="27">
        <v>0</v>
      </c>
      <c r="BH141" s="27">
        <v>0</v>
      </c>
      <c r="BJ141" s="27">
        <v>0</v>
      </c>
      <c r="BK141" s="27">
        <v>25</v>
      </c>
      <c r="BL141" s="27">
        <v>93.2</v>
      </c>
    </row>
    <row r="142" customHeight="1" spans="1:64">
      <c r="A142" s="27" t="s">
        <v>615</v>
      </c>
      <c r="B142" s="27" t="s">
        <v>616</v>
      </c>
      <c r="E142" s="27" t="s">
        <v>617</v>
      </c>
      <c r="F142" s="27" t="s">
        <v>240</v>
      </c>
      <c r="G142" s="27" t="s">
        <v>83</v>
      </c>
      <c r="H142" s="27" t="s">
        <v>84</v>
      </c>
      <c r="I142" s="27" t="s">
        <v>153</v>
      </c>
      <c r="J142" s="27">
        <v>2</v>
      </c>
      <c r="K142" s="27">
        <v>58.95</v>
      </c>
      <c r="M142" s="27">
        <v>0</v>
      </c>
      <c r="N142" s="27">
        <v>0</v>
      </c>
      <c r="O142" s="27">
        <v>0</v>
      </c>
      <c r="P142" s="27" t="s">
        <v>86</v>
      </c>
      <c r="Q142" s="27">
        <v>4.093511</v>
      </c>
      <c r="S142" s="27">
        <v>2</v>
      </c>
      <c r="T142" s="27">
        <v>1</v>
      </c>
      <c r="U142" s="27">
        <v>0.6667</v>
      </c>
      <c r="V142" s="27" t="s">
        <v>87</v>
      </c>
      <c r="W142" s="27">
        <v>117.9</v>
      </c>
      <c r="X142" s="27">
        <v>1.098612</v>
      </c>
      <c r="Y142" s="27">
        <v>4.778283</v>
      </c>
      <c r="Z142" s="27">
        <v>1</v>
      </c>
      <c r="AA142" s="27" t="s">
        <v>125</v>
      </c>
      <c r="AB142" s="27">
        <v>0</v>
      </c>
      <c r="AC142" s="27">
        <v>0</v>
      </c>
      <c r="AD142" s="27">
        <v>0</v>
      </c>
      <c r="AE142" s="27">
        <v>0</v>
      </c>
      <c r="AF142" s="27">
        <v>0</v>
      </c>
      <c r="AG142" s="27">
        <v>0</v>
      </c>
      <c r="AH142" s="27">
        <v>0</v>
      </c>
      <c r="AI142" s="27">
        <v>0</v>
      </c>
      <c r="AJ142" s="27">
        <v>0</v>
      </c>
      <c r="AK142" s="27">
        <v>0</v>
      </c>
      <c r="AL142" s="27">
        <v>0</v>
      </c>
      <c r="AM142" s="27">
        <v>0</v>
      </c>
      <c r="AN142" s="27">
        <v>0</v>
      </c>
      <c r="AO142" s="27">
        <v>0</v>
      </c>
      <c r="AP142" s="27">
        <v>0</v>
      </c>
      <c r="AQ142" s="27">
        <v>1</v>
      </c>
      <c r="AR142" s="27">
        <v>0</v>
      </c>
      <c r="AS142" s="27">
        <v>0</v>
      </c>
      <c r="AT142" s="27">
        <v>0</v>
      </c>
      <c r="AU142" s="27">
        <v>0</v>
      </c>
      <c r="AV142" s="27">
        <v>1</v>
      </c>
      <c r="AW142" s="27">
        <v>0</v>
      </c>
      <c r="AX142" s="27">
        <v>0</v>
      </c>
      <c r="AZ142" s="27">
        <v>1</v>
      </c>
      <c r="BA142" s="27">
        <v>1</v>
      </c>
      <c r="BB142" s="27">
        <v>55.44</v>
      </c>
      <c r="BC142" s="27" t="s">
        <v>618</v>
      </c>
      <c r="BD142" s="27" t="s">
        <v>619</v>
      </c>
      <c r="BE142" s="27" t="s">
        <v>620</v>
      </c>
      <c r="BF142" s="27" t="s">
        <v>77</v>
      </c>
      <c r="BG142" s="27">
        <v>1</v>
      </c>
      <c r="BH142" s="27">
        <v>11</v>
      </c>
      <c r="BI142" s="27">
        <v>0.0833</v>
      </c>
      <c r="BJ142" s="27">
        <v>1</v>
      </c>
      <c r="BK142" s="27">
        <v>15</v>
      </c>
      <c r="BL142" s="27">
        <v>95.9</v>
      </c>
    </row>
    <row r="143" customHeight="1" spans="1:64">
      <c r="A143" s="27" t="s">
        <v>621</v>
      </c>
      <c r="B143" s="27" t="s">
        <v>171</v>
      </c>
      <c r="C143" s="27" t="s">
        <v>622</v>
      </c>
      <c r="E143" s="27" t="s">
        <v>255</v>
      </c>
      <c r="F143" s="27" t="s">
        <v>82</v>
      </c>
      <c r="G143" s="27" t="s">
        <v>83</v>
      </c>
      <c r="H143" s="27" t="s">
        <v>84</v>
      </c>
      <c r="I143" s="27" t="s">
        <v>85</v>
      </c>
      <c r="J143" s="27">
        <v>5</v>
      </c>
      <c r="K143" s="27">
        <v>69.59</v>
      </c>
      <c r="M143" s="27">
        <v>0</v>
      </c>
      <c r="N143" s="27">
        <v>0</v>
      </c>
      <c r="O143" s="27">
        <v>0</v>
      </c>
      <c r="P143" s="27" t="s">
        <v>86</v>
      </c>
      <c r="Q143" s="27">
        <v>4.256888</v>
      </c>
      <c r="S143" s="27">
        <v>60</v>
      </c>
      <c r="T143" s="27">
        <v>119</v>
      </c>
      <c r="U143" s="27">
        <v>0.3352</v>
      </c>
      <c r="V143" s="27" t="s">
        <v>72</v>
      </c>
      <c r="W143" s="27">
        <v>4175.4</v>
      </c>
      <c r="X143" s="27">
        <v>4.110874</v>
      </c>
      <c r="Y143" s="27">
        <v>8.337205</v>
      </c>
      <c r="Z143" s="27">
        <v>10.9087</v>
      </c>
      <c r="AA143" s="27" t="s">
        <v>73</v>
      </c>
      <c r="AB143" s="27">
        <v>1</v>
      </c>
      <c r="AC143" s="27">
        <v>1</v>
      </c>
      <c r="AD143" s="27">
        <v>0</v>
      </c>
      <c r="AE143" s="27">
        <v>0</v>
      </c>
      <c r="AF143" s="27">
        <v>0</v>
      </c>
      <c r="AG143" s="27">
        <v>1</v>
      </c>
      <c r="AH143" s="27">
        <v>0</v>
      </c>
      <c r="AI143" s="27">
        <v>1</v>
      </c>
      <c r="AJ143" s="27">
        <v>0</v>
      </c>
      <c r="AK143" s="27">
        <v>0</v>
      </c>
      <c r="AL143" s="27">
        <v>0</v>
      </c>
      <c r="AM143" s="27">
        <v>0</v>
      </c>
      <c r="AN143" s="27">
        <v>1</v>
      </c>
      <c r="AO143" s="27">
        <v>0</v>
      </c>
      <c r="AP143" s="27">
        <v>0</v>
      </c>
      <c r="AQ143" s="27">
        <v>0</v>
      </c>
      <c r="AR143" s="27">
        <v>0</v>
      </c>
      <c r="AS143" s="27">
        <v>0</v>
      </c>
      <c r="AT143" s="27">
        <v>1</v>
      </c>
      <c r="AU143" s="27">
        <v>0</v>
      </c>
      <c r="AV143" s="27">
        <v>0</v>
      </c>
      <c r="AW143" s="27">
        <v>0</v>
      </c>
      <c r="AX143" s="27">
        <v>0</v>
      </c>
      <c r="AZ143" s="27">
        <v>1</v>
      </c>
      <c r="BA143" s="27">
        <v>3</v>
      </c>
      <c r="BB143" s="27">
        <v>43.17</v>
      </c>
      <c r="BC143" s="27" t="s">
        <v>251</v>
      </c>
      <c r="BD143" s="27" t="s">
        <v>175</v>
      </c>
      <c r="BE143" s="27" t="s">
        <v>91</v>
      </c>
      <c r="BF143" s="27" t="s">
        <v>77</v>
      </c>
      <c r="BG143" s="27">
        <v>162</v>
      </c>
      <c r="BH143" s="27">
        <v>60</v>
      </c>
      <c r="BI143" s="27">
        <v>0.7297</v>
      </c>
      <c r="BJ143" s="27">
        <v>0</v>
      </c>
      <c r="BK143" s="27">
        <v>3</v>
      </c>
      <c r="BL143" s="27">
        <v>99.2</v>
      </c>
    </row>
    <row r="144" customHeight="1" spans="1:64">
      <c r="A144" s="27" t="s">
        <v>623</v>
      </c>
      <c r="B144" s="27" t="s">
        <v>624</v>
      </c>
      <c r="D144" s="27">
        <v>698596310384</v>
      </c>
      <c r="E144" s="27" t="s">
        <v>505</v>
      </c>
      <c r="F144" s="27" t="s">
        <v>160</v>
      </c>
      <c r="G144" s="27" t="s">
        <v>83</v>
      </c>
      <c r="H144" s="27" t="s">
        <v>84</v>
      </c>
      <c r="I144" s="27" t="s">
        <v>85</v>
      </c>
      <c r="J144" s="27">
        <v>5</v>
      </c>
      <c r="K144" s="27">
        <v>9.98</v>
      </c>
      <c r="M144" s="27">
        <v>0</v>
      </c>
      <c r="N144" s="27">
        <v>0</v>
      </c>
      <c r="O144" s="27">
        <v>0</v>
      </c>
      <c r="P144" s="27" t="s">
        <v>133</v>
      </c>
      <c r="Q144" s="27">
        <v>2.396075</v>
      </c>
      <c r="S144" s="27">
        <v>83</v>
      </c>
      <c r="T144" s="27">
        <v>10</v>
      </c>
      <c r="U144" s="27">
        <v>0.8925</v>
      </c>
      <c r="V144" s="27" t="s">
        <v>72</v>
      </c>
      <c r="W144" s="27">
        <v>828.34</v>
      </c>
      <c r="X144" s="27">
        <v>4.430817</v>
      </c>
      <c r="Y144" s="27">
        <v>6.72063</v>
      </c>
      <c r="Z144" s="27">
        <v>3.1623</v>
      </c>
      <c r="AA144" s="27" t="s">
        <v>125</v>
      </c>
      <c r="AB144" s="27">
        <v>0</v>
      </c>
      <c r="AC144" s="27">
        <v>0</v>
      </c>
      <c r="AD144" s="27">
        <v>0</v>
      </c>
      <c r="AE144" s="27">
        <v>0</v>
      </c>
      <c r="AF144" s="27">
        <v>0</v>
      </c>
      <c r="AG144" s="27">
        <v>0</v>
      </c>
      <c r="AH144" s="27">
        <v>1</v>
      </c>
      <c r="AI144" s="27">
        <v>0</v>
      </c>
      <c r="AJ144" s="27">
        <v>0</v>
      </c>
      <c r="AK144" s="27">
        <v>0</v>
      </c>
      <c r="AL144" s="27">
        <v>0</v>
      </c>
      <c r="AM144" s="27">
        <v>0</v>
      </c>
      <c r="AN144" s="27">
        <v>0</v>
      </c>
      <c r="AO144" s="27">
        <v>0</v>
      </c>
      <c r="AP144" s="27">
        <v>0</v>
      </c>
      <c r="AQ144" s="27">
        <v>0</v>
      </c>
      <c r="AR144" s="27">
        <v>0</v>
      </c>
      <c r="AS144" s="27">
        <v>0</v>
      </c>
      <c r="AT144" s="27">
        <v>0</v>
      </c>
      <c r="AU144" s="27">
        <v>0</v>
      </c>
      <c r="AV144" s="27">
        <v>0</v>
      </c>
      <c r="AW144" s="27">
        <v>1</v>
      </c>
      <c r="AX144" s="27">
        <v>0</v>
      </c>
      <c r="AZ144" s="27">
        <v>6</v>
      </c>
      <c r="BA144" s="27">
        <v>1</v>
      </c>
      <c r="BB144" s="27">
        <v>65.46</v>
      </c>
      <c r="BC144" s="27" t="s">
        <v>625</v>
      </c>
      <c r="BD144" s="27" t="s">
        <v>626</v>
      </c>
      <c r="BE144" s="27" t="s">
        <v>627</v>
      </c>
      <c r="BF144" s="27" t="s">
        <v>77</v>
      </c>
      <c r="BG144" s="27">
        <v>1</v>
      </c>
      <c r="BH144" s="27">
        <v>107</v>
      </c>
      <c r="BI144" s="27">
        <v>0.0093</v>
      </c>
      <c r="BJ144" s="27">
        <v>1</v>
      </c>
      <c r="BK144" s="27">
        <v>3</v>
      </c>
      <c r="BL144" s="27">
        <v>99.2</v>
      </c>
    </row>
    <row r="145" customHeight="1" spans="1:64">
      <c r="A145" s="27" t="s">
        <v>628</v>
      </c>
      <c r="B145" s="27" t="s">
        <v>535</v>
      </c>
      <c r="C145" s="27" t="s">
        <v>629</v>
      </c>
      <c r="E145" s="27" t="s">
        <v>449</v>
      </c>
      <c r="F145" s="27" t="s">
        <v>82</v>
      </c>
      <c r="G145" s="27" t="s">
        <v>83</v>
      </c>
      <c r="H145" s="27" t="s">
        <v>84</v>
      </c>
      <c r="I145" s="27" t="s">
        <v>85</v>
      </c>
      <c r="J145" s="27">
        <v>5</v>
      </c>
      <c r="K145" s="27">
        <v>118.75</v>
      </c>
      <c r="L145" s="27">
        <v>125</v>
      </c>
      <c r="M145" s="27">
        <v>5</v>
      </c>
      <c r="N145" s="27">
        <v>6.25</v>
      </c>
      <c r="O145" s="27">
        <v>1</v>
      </c>
      <c r="P145" s="27" t="s">
        <v>95</v>
      </c>
      <c r="Q145" s="27">
        <v>4.785406</v>
      </c>
      <c r="S145" s="27">
        <v>6</v>
      </c>
      <c r="T145" s="27">
        <v>10</v>
      </c>
      <c r="U145" s="27">
        <v>0.375</v>
      </c>
      <c r="V145" s="27" t="s">
        <v>87</v>
      </c>
      <c r="W145" s="27">
        <v>712.5</v>
      </c>
      <c r="X145" s="27">
        <v>1.94591</v>
      </c>
      <c r="Y145" s="27">
        <v>6.570182</v>
      </c>
      <c r="Z145" s="27">
        <v>3.1623</v>
      </c>
      <c r="AA145" s="27" t="s">
        <v>73</v>
      </c>
      <c r="AB145" s="27">
        <v>1</v>
      </c>
      <c r="AC145" s="27">
        <v>0</v>
      </c>
      <c r="AD145" s="27">
        <v>0</v>
      </c>
      <c r="AE145" s="27">
        <v>0</v>
      </c>
      <c r="AF145" s="27">
        <v>0</v>
      </c>
      <c r="AG145" s="27">
        <v>1</v>
      </c>
      <c r="AH145" s="27">
        <v>0</v>
      </c>
      <c r="AI145" s="27">
        <v>1</v>
      </c>
      <c r="AJ145" s="27">
        <v>0</v>
      </c>
      <c r="AK145" s="27">
        <v>1</v>
      </c>
      <c r="AL145" s="27">
        <v>0</v>
      </c>
      <c r="AM145" s="27">
        <v>0</v>
      </c>
      <c r="AN145" s="27">
        <v>1</v>
      </c>
      <c r="AO145" s="27">
        <v>0</v>
      </c>
      <c r="AP145" s="27">
        <v>0</v>
      </c>
      <c r="AQ145" s="27">
        <v>0</v>
      </c>
      <c r="AR145" s="27">
        <v>0</v>
      </c>
      <c r="AS145" s="27">
        <v>0</v>
      </c>
      <c r="AT145" s="27">
        <v>1</v>
      </c>
      <c r="AU145" s="27">
        <v>0</v>
      </c>
      <c r="AV145" s="27">
        <v>0</v>
      </c>
      <c r="AW145" s="27">
        <v>0</v>
      </c>
      <c r="AX145" s="27">
        <v>0</v>
      </c>
      <c r="AZ145" s="27">
        <v>1</v>
      </c>
      <c r="BA145" s="27">
        <v>3</v>
      </c>
      <c r="BB145" s="27">
        <v>46.17</v>
      </c>
      <c r="BC145" s="27" t="s">
        <v>630</v>
      </c>
      <c r="BG145" s="27">
        <v>0</v>
      </c>
      <c r="BH145" s="27">
        <v>0</v>
      </c>
      <c r="BJ145" s="27">
        <v>0</v>
      </c>
      <c r="BK145" s="27">
        <v>4</v>
      </c>
      <c r="BL145" s="27">
        <v>98.9</v>
      </c>
    </row>
    <row r="146" customHeight="1" spans="1:64">
      <c r="A146" s="27" t="s">
        <v>631</v>
      </c>
      <c r="B146" s="27" t="s">
        <v>115</v>
      </c>
      <c r="E146" s="27" t="s">
        <v>632</v>
      </c>
      <c r="F146" s="27" t="s">
        <v>160</v>
      </c>
      <c r="G146" s="27" t="s">
        <v>117</v>
      </c>
      <c r="H146" s="27" t="s">
        <v>107</v>
      </c>
      <c r="I146" s="27" t="s">
        <v>85</v>
      </c>
      <c r="J146" s="27">
        <v>5</v>
      </c>
      <c r="K146" s="27">
        <v>49.99</v>
      </c>
      <c r="M146" s="27">
        <v>0</v>
      </c>
      <c r="N146" s="27">
        <v>0</v>
      </c>
      <c r="O146" s="27">
        <v>0</v>
      </c>
      <c r="P146" s="27" t="s">
        <v>86</v>
      </c>
      <c r="Q146" s="27">
        <v>3.93163</v>
      </c>
      <c r="S146" s="27">
        <v>3</v>
      </c>
      <c r="T146" s="27">
        <v>3</v>
      </c>
      <c r="U146" s="27">
        <v>0.5</v>
      </c>
      <c r="V146" s="27" t="s">
        <v>87</v>
      </c>
      <c r="W146" s="27">
        <v>149.97</v>
      </c>
      <c r="X146" s="27">
        <v>1.386294</v>
      </c>
      <c r="Y146" s="27">
        <v>5.017081</v>
      </c>
      <c r="Z146" s="27">
        <v>1.7321</v>
      </c>
      <c r="AA146" s="27" t="s">
        <v>125</v>
      </c>
      <c r="AB146" s="27">
        <v>0</v>
      </c>
      <c r="AC146" s="27">
        <v>0</v>
      </c>
      <c r="AD146" s="27">
        <v>0</v>
      </c>
      <c r="AE146" s="27">
        <v>0</v>
      </c>
      <c r="AF146" s="27">
        <v>0</v>
      </c>
      <c r="AG146" s="27">
        <v>0</v>
      </c>
      <c r="AH146" s="27">
        <v>1</v>
      </c>
      <c r="AI146" s="27">
        <v>0</v>
      </c>
      <c r="AJ146" s="27">
        <v>0</v>
      </c>
      <c r="AK146" s="27">
        <v>0</v>
      </c>
      <c r="AL146" s="27">
        <v>0</v>
      </c>
      <c r="AM146" s="27">
        <v>0</v>
      </c>
      <c r="AN146" s="27">
        <v>0</v>
      </c>
      <c r="AO146" s="27">
        <v>0</v>
      </c>
      <c r="AP146" s="27">
        <v>0</v>
      </c>
      <c r="AQ146" s="27">
        <v>0</v>
      </c>
      <c r="AR146" s="27">
        <v>0</v>
      </c>
      <c r="AS146" s="27">
        <v>0</v>
      </c>
      <c r="AT146" s="27">
        <v>0</v>
      </c>
      <c r="AU146" s="27">
        <v>0</v>
      </c>
      <c r="AV146" s="27">
        <v>0</v>
      </c>
      <c r="AW146" s="27">
        <v>1</v>
      </c>
      <c r="AX146" s="27">
        <v>0</v>
      </c>
      <c r="AZ146" s="27">
        <v>1</v>
      </c>
      <c r="BA146" s="27">
        <v>1</v>
      </c>
      <c r="BB146" s="27">
        <v>20</v>
      </c>
      <c r="BC146" s="27" t="s">
        <v>633</v>
      </c>
      <c r="BD146" s="27" t="s">
        <v>406</v>
      </c>
      <c r="BE146" s="27" t="s">
        <v>557</v>
      </c>
      <c r="BF146" s="27" t="s">
        <v>77</v>
      </c>
      <c r="BG146" s="27">
        <v>3</v>
      </c>
      <c r="BH146" s="27">
        <v>218</v>
      </c>
      <c r="BI146" s="27">
        <v>0.0136</v>
      </c>
      <c r="BJ146" s="27">
        <v>0</v>
      </c>
    </row>
    <row r="147" customHeight="1" spans="1:64">
      <c r="A147" s="27" t="s">
        <v>634</v>
      </c>
      <c r="B147" s="27" t="s">
        <v>365</v>
      </c>
      <c r="E147" s="27" t="s">
        <v>81</v>
      </c>
      <c r="F147" s="27" t="s">
        <v>82</v>
      </c>
      <c r="G147" s="27" t="s">
        <v>83</v>
      </c>
      <c r="H147" s="27" t="s">
        <v>84</v>
      </c>
      <c r="I147" s="27" t="s">
        <v>85</v>
      </c>
      <c r="J147" s="27">
        <v>5</v>
      </c>
      <c r="K147" s="27">
        <v>99.99</v>
      </c>
      <c r="M147" s="27">
        <v>0</v>
      </c>
      <c r="N147" s="27">
        <v>0</v>
      </c>
      <c r="O147" s="27">
        <v>0</v>
      </c>
      <c r="P147" s="27" t="s">
        <v>95</v>
      </c>
      <c r="Q147" s="27">
        <v>4.615022</v>
      </c>
      <c r="S147" s="27">
        <v>10</v>
      </c>
      <c r="T147" s="27">
        <v>3</v>
      </c>
      <c r="U147" s="27">
        <v>0.7692</v>
      </c>
      <c r="V147" s="27" t="s">
        <v>87</v>
      </c>
      <c r="W147" s="27">
        <v>999.9</v>
      </c>
      <c r="X147" s="27">
        <v>2.397895</v>
      </c>
      <c r="Y147" s="27">
        <v>6.908655</v>
      </c>
      <c r="Z147" s="27">
        <v>1.7321</v>
      </c>
      <c r="AA147" s="27" t="s">
        <v>125</v>
      </c>
      <c r="AB147" s="27">
        <v>0</v>
      </c>
      <c r="AC147" s="27">
        <v>0</v>
      </c>
      <c r="AD147" s="27">
        <v>0</v>
      </c>
      <c r="AE147" s="27">
        <v>0</v>
      </c>
      <c r="AF147" s="27">
        <v>0</v>
      </c>
      <c r="AG147" s="27">
        <v>0</v>
      </c>
      <c r="AH147" s="27">
        <v>0</v>
      </c>
      <c r="AI147" s="27">
        <v>0</v>
      </c>
      <c r="AJ147" s="27">
        <v>0</v>
      </c>
      <c r="AK147" s="27">
        <v>0</v>
      </c>
      <c r="AL147" s="27">
        <v>0</v>
      </c>
      <c r="AM147" s="27">
        <v>0</v>
      </c>
      <c r="AN147" s="27">
        <v>0</v>
      </c>
      <c r="AO147" s="27">
        <v>0</v>
      </c>
      <c r="AP147" s="27">
        <v>0</v>
      </c>
      <c r="AQ147" s="27">
        <v>0</v>
      </c>
      <c r="AR147" s="27">
        <v>0</v>
      </c>
      <c r="AS147" s="27">
        <v>0</v>
      </c>
      <c r="AT147" s="27">
        <v>0</v>
      </c>
      <c r="AU147" s="27">
        <v>0</v>
      </c>
      <c r="AV147" s="27">
        <v>0</v>
      </c>
      <c r="AW147" s="27">
        <v>0</v>
      </c>
      <c r="AX147" s="27">
        <v>0</v>
      </c>
      <c r="AZ147" s="27">
        <v>1</v>
      </c>
      <c r="BA147" s="27">
        <v>0</v>
      </c>
      <c r="BB147" s="27">
        <v>59.78</v>
      </c>
      <c r="BC147" s="27" t="s">
        <v>635</v>
      </c>
      <c r="BD147" s="27" t="s">
        <v>636</v>
      </c>
      <c r="BE147" s="27" t="s">
        <v>113</v>
      </c>
      <c r="BF147" s="27" t="s">
        <v>77</v>
      </c>
      <c r="BG147" s="27">
        <v>168</v>
      </c>
      <c r="BH147" s="27">
        <v>11</v>
      </c>
      <c r="BI147" s="27">
        <v>0.9385</v>
      </c>
      <c r="BJ147" s="27">
        <v>0</v>
      </c>
      <c r="BK147" s="27">
        <v>12</v>
      </c>
      <c r="BL147" s="27">
        <v>96.7</v>
      </c>
    </row>
    <row r="148" customHeight="1" spans="1:64">
      <c r="A148" s="27" t="s">
        <v>637</v>
      </c>
      <c r="B148" s="27" t="s">
        <v>222</v>
      </c>
      <c r="C148" s="27" t="s">
        <v>638</v>
      </c>
      <c r="D148" s="27">
        <v>763769907477</v>
      </c>
      <c r="E148" s="27" t="s">
        <v>81</v>
      </c>
      <c r="F148" s="27" t="s">
        <v>82</v>
      </c>
      <c r="G148" s="27" t="s">
        <v>83</v>
      </c>
      <c r="H148" s="27" t="s">
        <v>84</v>
      </c>
      <c r="I148" s="27" t="s">
        <v>85</v>
      </c>
      <c r="J148" s="27">
        <v>5</v>
      </c>
      <c r="K148" s="27">
        <v>45.99</v>
      </c>
      <c r="M148" s="27">
        <v>0</v>
      </c>
      <c r="N148" s="27">
        <v>0</v>
      </c>
      <c r="O148" s="27">
        <v>0</v>
      </c>
      <c r="P148" s="27" t="s">
        <v>86</v>
      </c>
      <c r="Q148" s="27">
        <v>3.849935</v>
      </c>
      <c r="S148" s="27">
        <v>2355</v>
      </c>
      <c r="T148" s="27">
        <v>29</v>
      </c>
      <c r="U148" s="27">
        <v>0.9878</v>
      </c>
      <c r="V148" s="27" t="s">
        <v>109</v>
      </c>
      <c r="W148" s="27">
        <v>108306.45</v>
      </c>
      <c r="X148" s="27">
        <v>7.764721</v>
      </c>
      <c r="Y148" s="27">
        <v>11.592729</v>
      </c>
      <c r="Z148" s="27">
        <v>5.3852</v>
      </c>
      <c r="AA148" s="27" t="s">
        <v>110</v>
      </c>
      <c r="AB148" s="27">
        <v>0</v>
      </c>
      <c r="AC148" s="27">
        <v>0</v>
      </c>
      <c r="AD148" s="27">
        <v>0</v>
      </c>
      <c r="AE148" s="27">
        <v>1</v>
      </c>
      <c r="AF148" s="27">
        <v>0</v>
      </c>
      <c r="AG148" s="27">
        <v>0</v>
      </c>
      <c r="AH148" s="27">
        <v>1</v>
      </c>
      <c r="AI148" s="27">
        <v>0</v>
      </c>
      <c r="AJ148" s="27">
        <v>0</v>
      </c>
      <c r="AK148" s="27">
        <v>1</v>
      </c>
      <c r="AL148" s="27">
        <v>0</v>
      </c>
      <c r="AM148" s="27">
        <v>0</v>
      </c>
      <c r="AN148" s="27">
        <v>0</v>
      </c>
      <c r="AO148" s="27">
        <v>0</v>
      </c>
      <c r="AP148" s="27">
        <v>0</v>
      </c>
      <c r="AQ148" s="27">
        <v>0</v>
      </c>
      <c r="AR148" s="27">
        <v>0</v>
      </c>
      <c r="AS148" s="27">
        <v>0</v>
      </c>
      <c r="AT148" s="27">
        <v>1</v>
      </c>
      <c r="AU148" s="27">
        <v>0</v>
      </c>
      <c r="AV148" s="27">
        <v>0</v>
      </c>
      <c r="AW148" s="27">
        <v>1</v>
      </c>
      <c r="AX148" s="27">
        <v>0</v>
      </c>
      <c r="AZ148" s="27">
        <v>1</v>
      </c>
      <c r="BA148" s="27">
        <v>3</v>
      </c>
      <c r="BB148" s="27">
        <v>69.36</v>
      </c>
      <c r="BC148" s="27" t="s">
        <v>224</v>
      </c>
      <c r="BD148" s="27" t="s">
        <v>225</v>
      </c>
      <c r="BE148" s="27" t="s">
        <v>226</v>
      </c>
      <c r="BF148" s="27" t="s">
        <v>77</v>
      </c>
      <c r="BG148" s="27">
        <v>1</v>
      </c>
      <c r="BH148" s="27">
        <v>147</v>
      </c>
      <c r="BI148" s="27">
        <v>0.0068</v>
      </c>
      <c r="BJ148" s="27">
        <v>1</v>
      </c>
      <c r="BK148" s="27">
        <v>2</v>
      </c>
      <c r="BL148" s="27">
        <v>99.5</v>
      </c>
    </row>
    <row r="149" customHeight="1" spans="1:64">
      <c r="A149" s="27" t="s">
        <v>639</v>
      </c>
      <c r="B149" s="27" t="s">
        <v>104</v>
      </c>
      <c r="C149" s="27" t="s">
        <v>640</v>
      </c>
      <c r="D149" s="27">
        <v>194644311742</v>
      </c>
      <c r="E149" s="27" t="s">
        <v>81</v>
      </c>
      <c r="F149" s="27" t="s">
        <v>82</v>
      </c>
      <c r="G149" s="27" t="s">
        <v>106</v>
      </c>
      <c r="H149" s="27" t="s">
        <v>107</v>
      </c>
      <c r="I149" s="27" t="s">
        <v>108</v>
      </c>
      <c r="J149" s="27">
        <v>3</v>
      </c>
      <c r="K149" s="27">
        <v>107.99</v>
      </c>
      <c r="L149" s="27">
        <v>119.99</v>
      </c>
      <c r="M149" s="27">
        <v>10</v>
      </c>
      <c r="N149" s="27">
        <v>12</v>
      </c>
      <c r="O149" s="27">
        <v>1</v>
      </c>
      <c r="P149" s="27" t="s">
        <v>95</v>
      </c>
      <c r="Q149" s="27">
        <v>4.691256</v>
      </c>
      <c r="S149" s="27">
        <v>35</v>
      </c>
      <c r="T149" s="27">
        <v>76</v>
      </c>
      <c r="U149" s="27">
        <v>0.3153</v>
      </c>
      <c r="V149" s="27" t="s">
        <v>72</v>
      </c>
      <c r="W149" s="27">
        <v>3779.65</v>
      </c>
      <c r="X149" s="27">
        <v>3.583519</v>
      </c>
      <c r="Y149" s="27">
        <v>8.237651</v>
      </c>
      <c r="Z149" s="27">
        <v>8.7178</v>
      </c>
      <c r="AA149" s="27" t="s">
        <v>73</v>
      </c>
      <c r="AB149" s="27">
        <v>0</v>
      </c>
      <c r="AC149" s="27">
        <v>0</v>
      </c>
      <c r="AD149" s="27">
        <v>0</v>
      </c>
      <c r="AE149" s="27">
        <v>1</v>
      </c>
      <c r="AF149" s="27">
        <v>0</v>
      </c>
      <c r="AG149" s="27">
        <v>0</v>
      </c>
      <c r="AH149" s="27">
        <v>1</v>
      </c>
      <c r="AI149" s="27">
        <v>0</v>
      </c>
      <c r="AJ149" s="27">
        <v>0</v>
      </c>
      <c r="AK149" s="27">
        <v>0</v>
      </c>
      <c r="AL149" s="27">
        <v>0</v>
      </c>
      <c r="AM149" s="27">
        <v>0</v>
      </c>
      <c r="AN149" s="27">
        <v>0</v>
      </c>
      <c r="AO149" s="27">
        <v>0</v>
      </c>
      <c r="AP149" s="27">
        <v>0</v>
      </c>
      <c r="AQ149" s="27">
        <v>0</v>
      </c>
      <c r="AR149" s="27">
        <v>0</v>
      </c>
      <c r="AS149" s="27">
        <v>0</v>
      </c>
      <c r="AT149" s="27">
        <v>1</v>
      </c>
      <c r="AU149" s="27">
        <v>0</v>
      </c>
      <c r="AV149" s="27">
        <v>0</v>
      </c>
      <c r="AW149" s="27">
        <v>0</v>
      </c>
      <c r="AX149" s="27">
        <v>0</v>
      </c>
      <c r="AZ149" s="27">
        <v>1</v>
      </c>
      <c r="BA149" s="27">
        <v>2</v>
      </c>
      <c r="BB149" s="27">
        <v>45.46</v>
      </c>
      <c r="BC149" s="27" t="s">
        <v>111</v>
      </c>
      <c r="BD149" s="27" t="s">
        <v>112</v>
      </c>
      <c r="BE149" s="27" t="s">
        <v>113</v>
      </c>
      <c r="BF149" s="27" t="s">
        <v>77</v>
      </c>
      <c r="BG149" s="27">
        <v>162</v>
      </c>
      <c r="BH149" s="27">
        <v>24</v>
      </c>
      <c r="BI149" s="27">
        <v>0.871</v>
      </c>
      <c r="BJ149" s="27">
        <v>0</v>
      </c>
      <c r="BK149" s="27">
        <v>2</v>
      </c>
      <c r="BL149" s="27">
        <v>99.5</v>
      </c>
    </row>
    <row r="150" customHeight="1" spans="1:64">
      <c r="A150" s="27" t="s">
        <v>641</v>
      </c>
      <c r="B150" s="27" t="s">
        <v>195</v>
      </c>
      <c r="E150" s="27" t="s">
        <v>81</v>
      </c>
      <c r="F150" s="27" t="s">
        <v>160</v>
      </c>
      <c r="G150" s="27" t="s">
        <v>83</v>
      </c>
      <c r="H150" s="27" t="s">
        <v>84</v>
      </c>
      <c r="I150" s="27" t="s">
        <v>85</v>
      </c>
      <c r="J150" s="27">
        <v>5</v>
      </c>
      <c r="K150" s="27">
        <v>72.49</v>
      </c>
      <c r="M150" s="27">
        <v>0</v>
      </c>
      <c r="N150" s="27">
        <v>0</v>
      </c>
      <c r="O150" s="27">
        <v>0</v>
      </c>
      <c r="P150" s="27" t="s">
        <v>86</v>
      </c>
      <c r="Q150" s="27">
        <v>4.297149</v>
      </c>
      <c r="S150" s="27">
        <v>40</v>
      </c>
      <c r="T150" s="27">
        <v>10</v>
      </c>
      <c r="U150" s="27">
        <v>0.8</v>
      </c>
      <c r="V150" s="27" t="s">
        <v>72</v>
      </c>
      <c r="W150" s="27">
        <v>2899.6</v>
      </c>
      <c r="X150" s="27">
        <v>3.713572</v>
      </c>
      <c r="Y150" s="27">
        <v>7.972673</v>
      </c>
      <c r="Z150" s="27">
        <v>3.1623</v>
      </c>
      <c r="AA150" s="27" t="s">
        <v>125</v>
      </c>
      <c r="AB150" s="27">
        <v>1</v>
      </c>
      <c r="AC150" s="27">
        <v>0</v>
      </c>
      <c r="AD150" s="27">
        <v>0</v>
      </c>
      <c r="AE150" s="27">
        <v>0</v>
      </c>
      <c r="AF150" s="27">
        <v>0</v>
      </c>
      <c r="AG150" s="27">
        <v>0</v>
      </c>
      <c r="AH150" s="27">
        <v>1</v>
      </c>
      <c r="AI150" s="27">
        <v>0</v>
      </c>
      <c r="AJ150" s="27">
        <v>0</v>
      </c>
      <c r="AK150" s="27">
        <v>0</v>
      </c>
      <c r="AL150" s="27">
        <v>0</v>
      </c>
      <c r="AM150" s="27">
        <v>0</v>
      </c>
      <c r="AN150" s="27">
        <v>0</v>
      </c>
      <c r="AO150" s="27">
        <v>0</v>
      </c>
      <c r="AP150" s="27">
        <v>0</v>
      </c>
      <c r="AQ150" s="27">
        <v>0</v>
      </c>
      <c r="AR150" s="27">
        <v>0</v>
      </c>
      <c r="AS150" s="27">
        <v>0</v>
      </c>
      <c r="AT150" s="27">
        <v>0</v>
      </c>
      <c r="AU150" s="27">
        <v>1</v>
      </c>
      <c r="AV150" s="27">
        <v>0</v>
      </c>
      <c r="AW150" s="27">
        <v>0</v>
      </c>
      <c r="AX150" s="27">
        <v>0</v>
      </c>
      <c r="AZ150" s="27">
        <v>1</v>
      </c>
      <c r="BA150" s="27">
        <v>2</v>
      </c>
      <c r="BB150" s="27">
        <v>58.7</v>
      </c>
      <c r="BC150" s="27" t="s">
        <v>642</v>
      </c>
      <c r="BD150" s="27" t="s">
        <v>643</v>
      </c>
      <c r="BE150" s="27" t="s">
        <v>91</v>
      </c>
      <c r="BF150" s="27" t="s">
        <v>77</v>
      </c>
      <c r="BG150" s="27">
        <v>168</v>
      </c>
      <c r="BH150" s="27">
        <v>11</v>
      </c>
      <c r="BI150" s="27">
        <v>0.9385</v>
      </c>
      <c r="BJ150" s="27">
        <v>0</v>
      </c>
      <c r="BK150" s="27">
        <v>40</v>
      </c>
      <c r="BL150" s="27">
        <v>89</v>
      </c>
    </row>
    <row r="151" customHeight="1" spans="1:64">
      <c r="A151" s="27" t="s">
        <v>644</v>
      </c>
      <c r="B151" s="27" t="s">
        <v>280</v>
      </c>
      <c r="E151" s="27" t="s">
        <v>645</v>
      </c>
      <c r="F151" s="27" t="s">
        <v>132</v>
      </c>
      <c r="G151" s="27" t="s">
        <v>83</v>
      </c>
      <c r="H151" s="27" t="s">
        <v>84</v>
      </c>
      <c r="I151" s="27" t="s">
        <v>85</v>
      </c>
      <c r="J151" s="27">
        <v>5</v>
      </c>
      <c r="K151" s="27">
        <v>6.99</v>
      </c>
      <c r="M151" s="27">
        <v>0</v>
      </c>
      <c r="N151" s="27">
        <v>0</v>
      </c>
      <c r="O151" s="27">
        <v>0</v>
      </c>
      <c r="P151" s="27" t="s">
        <v>133</v>
      </c>
      <c r="Q151" s="27">
        <v>2.078191</v>
      </c>
      <c r="S151" s="27">
        <v>923</v>
      </c>
      <c r="T151" s="27">
        <v>10</v>
      </c>
      <c r="U151" s="27">
        <v>0.9893</v>
      </c>
      <c r="V151" s="27" t="s">
        <v>154</v>
      </c>
      <c r="W151" s="27">
        <v>6451.77</v>
      </c>
      <c r="X151" s="27">
        <v>6.828712</v>
      </c>
      <c r="Y151" s="27">
        <v>8.772265</v>
      </c>
      <c r="Z151" s="27">
        <v>3.1623</v>
      </c>
      <c r="AA151" s="27" t="s">
        <v>125</v>
      </c>
      <c r="AB151" s="27">
        <v>0</v>
      </c>
      <c r="AC151" s="27">
        <v>0</v>
      </c>
      <c r="AD151" s="27">
        <v>0</v>
      </c>
      <c r="AE151" s="27">
        <v>0</v>
      </c>
      <c r="AF151" s="27">
        <v>0</v>
      </c>
      <c r="AG151" s="27">
        <v>0</v>
      </c>
      <c r="AH151" s="27">
        <v>0</v>
      </c>
      <c r="AI151" s="27">
        <v>0</v>
      </c>
      <c r="AJ151" s="27">
        <v>0</v>
      </c>
      <c r="AK151" s="27">
        <v>0</v>
      </c>
      <c r="AL151" s="27">
        <v>0</v>
      </c>
      <c r="AM151" s="27">
        <v>0</v>
      </c>
      <c r="AN151" s="27">
        <v>0</v>
      </c>
      <c r="AO151" s="27">
        <v>0</v>
      </c>
      <c r="AP151" s="27">
        <v>0</v>
      </c>
      <c r="AQ151" s="27">
        <v>0</v>
      </c>
      <c r="AR151" s="27">
        <v>0</v>
      </c>
      <c r="AS151" s="27">
        <v>0</v>
      </c>
      <c r="AT151" s="27">
        <v>0</v>
      </c>
      <c r="AU151" s="27">
        <v>0</v>
      </c>
      <c r="AV151" s="27">
        <v>0</v>
      </c>
      <c r="AW151" s="27">
        <v>0</v>
      </c>
      <c r="AX151" s="27">
        <v>0</v>
      </c>
      <c r="AZ151" s="27">
        <v>1</v>
      </c>
      <c r="BA151" s="27">
        <v>0</v>
      </c>
      <c r="BB151" s="27">
        <v>54.27</v>
      </c>
      <c r="BC151" s="27" t="s">
        <v>134</v>
      </c>
      <c r="BD151" s="27" t="s">
        <v>135</v>
      </c>
      <c r="BE151" s="27" t="s">
        <v>136</v>
      </c>
      <c r="BF151" s="27" t="s">
        <v>77</v>
      </c>
      <c r="BG151" s="27">
        <v>168</v>
      </c>
      <c r="BH151" s="27">
        <v>11</v>
      </c>
      <c r="BI151" s="27">
        <v>0.9385</v>
      </c>
      <c r="BJ151" s="27">
        <v>0</v>
      </c>
      <c r="BK151" s="27">
        <v>186</v>
      </c>
      <c r="BL151" s="27">
        <v>49</v>
      </c>
    </row>
    <row r="152" customHeight="1" spans="1:64">
      <c r="A152" s="27" t="s">
        <v>646</v>
      </c>
      <c r="B152" s="27" t="s">
        <v>144</v>
      </c>
      <c r="E152" s="27" t="s">
        <v>163</v>
      </c>
      <c r="F152" s="27" t="s">
        <v>132</v>
      </c>
      <c r="G152" s="27" t="s">
        <v>83</v>
      </c>
      <c r="H152" s="27" t="s">
        <v>84</v>
      </c>
      <c r="I152" s="27" t="s">
        <v>85</v>
      </c>
      <c r="J152" s="27">
        <v>5</v>
      </c>
      <c r="K152" s="27">
        <v>27.25</v>
      </c>
      <c r="M152" s="27">
        <v>0</v>
      </c>
      <c r="N152" s="27">
        <v>0</v>
      </c>
      <c r="O152" s="27">
        <v>0</v>
      </c>
      <c r="P152" s="27" t="s">
        <v>86</v>
      </c>
      <c r="Q152" s="27">
        <v>3.341093</v>
      </c>
      <c r="S152" s="27">
        <v>176</v>
      </c>
      <c r="T152" s="27">
        <v>10</v>
      </c>
      <c r="U152" s="27">
        <v>0.9462</v>
      </c>
      <c r="V152" s="27" t="s">
        <v>154</v>
      </c>
      <c r="W152" s="27">
        <v>4796</v>
      </c>
      <c r="X152" s="27">
        <v>5.17615</v>
      </c>
      <c r="Y152" s="27">
        <v>8.475746</v>
      </c>
      <c r="Z152" s="27">
        <v>3.1623</v>
      </c>
      <c r="AA152" s="27" t="s">
        <v>125</v>
      </c>
      <c r="AB152" s="27">
        <v>0</v>
      </c>
      <c r="AC152" s="27">
        <v>0</v>
      </c>
      <c r="AD152" s="27">
        <v>0</v>
      </c>
      <c r="AE152" s="27">
        <v>0</v>
      </c>
      <c r="AF152" s="27">
        <v>0</v>
      </c>
      <c r="AG152" s="27">
        <v>0</v>
      </c>
      <c r="AH152" s="27">
        <v>0</v>
      </c>
      <c r="AI152" s="27">
        <v>0</v>
      </c>
      <c r="AJ152" s="27">
        <v>0</v>
      </c>
      <c r="AK152" s="27">
        <v>0</v>
      </c>
      <c r="AL152" s="27">
        <v>0</v>
      </c>
      <c r="AM152" s="27">
        <v>0</v>
      </c>
      <c r="AN152" s="27">
        <v>0</v>
      </c>
      <c r="AO152" s="27">
        <v>0</v>
      </c>
      <c r="AP152" s="27">
        <v>0</v>
      </c>
      <c r="AQ152" s="27">
        <v>0</v>
      </c>
      <c r="AR152" s="27">
        <v>0</v>
      </c>
      <c r="AS152" s="27">
        <v>0</v>
      </c>
      <c r="AT152" s="27">
        <v>0</v>
      </c>
      <c r="AU152" s="27">
        <v>0</v>
      </c>
      <c r="AV152" s="27">
        <v>0</v>
      </c>
      <c r="AW152" s="27">
        <v>1</v>
      </c>
      <c r="AX152" s="27">
        <v>0</v>
      </c>
      <c r="AZ152" s="27">
        <v>1</v>
      </c>
      <c r="BA152" s="27">
        <v>0</v>
      </c>
      <c r="BB152" s="27">
        <v>67.61</v>
      </c>
      <c r="BC152" s="27" t="s">
        <v>391</v>
      </c>
      <c r="BD152" s="27" t="s">
        <v>392</v>
      </c>
      <c r="BE152" s="27" t="s">
        <v>393</v>
      </c>
      <c r="BF152" s="27" t="s">
        <v>77</v>
      </c>
      <c r="BG152" s="27">
        <v>1</v>
      </c>
      <c r="BH152" s="27">
        <v>226</v>
      </c>
      <c r="BI152" s="27">
        <v>0.0044</v>
      </c>
      <c r="BJ152" s="27">
        <v>1</v>
      </c>
      <c r="BK152" s="27">
        <v>3</v>
      </c>
      <c r="BL152" s="27">
        <v>99.2</v>
      </c>
    </row>
    <row r="153" customHeight="1" spans="1:64">
      <c r="A153" s="27" t="s">
        <v>647</v>
      </c>
      <c r="B153" s="27" t="s">
        <v>553</v>
      </c>
      <c r="E153" s="27" t="s">
        <v>559</v>
      </c>
      <c r="F153" s="27" t="s">
        <v>240</v>
      </c>
      <c r="G153" s="27" t="s">
        <v>553</v>
      </c>
      <c r="H153" s="27" t="s">
        <v>69</v>
      </c>
      <c r="I153" s="27" t="s">
        <v>85</v>
      </c>
      <c r="J153" s="27">
        <v>5</v>
      </c>
      <c r="K153" s="27">
        <v>129.5</v>
      </c>
      <c r="M153" s="27">
        <v>0</v>
      </c>
      <c r="N153" s="27">
        <v>0</v>
      </c>
      <c r="O153" s="27">
        <v>0</v>
      </c>
      <c r="P153" s="27" t="s">
        <v>95</v>
      </c>
      <c r="Q153" s="27">
        <v>4.871373</v>
      </c>
      <c r="R153" s="27">
        <v>8.09</v>
      </c>
      <c r="V153" s="27" t="s">
        <v>231</v>
      </c>
      <c r="W153" s="27">
        <v>0</v>
      </c>
      <c r="X153" s="27">
        <v>0</v>
      </c>
      <c r="Y153" s="27">
        <v>0</v>
      </c>
      <c r="Z153" s="27">
        <v>0</v>
      </c>
      <c r="AA153" s="27" t="s">
        <v>73</v>
      </c>
      <c r="AB153" s="27">
        <v>0</v>
      </c>
      <c r="AC153" s="27">
        <v>0</v>
      </c>
      <c r="AD153" s="27">
        <v>0</v>
      </c>
      <c r="AE153" s="27">
        <v>0</v>
      </c>
      <c r="AF153" s="27">
        <v>0</v>
      </c>
      <c r="AG153" s="27">
        <v>0</v>
      </c>
      <c r="AH153" s="27">
        <v>0</v>
      </c>
      <c r="AI153" s="27">
        <v>0</v>
      </c>
      <c r="AJ153" s="27">
        <v>0</v>
      </c>
      <c r="AK153" s="27">
        <v>0</v>
      </c>
      <c r="AL153" s="27">
        <v>0</v>
      </c>
      <c r="AM153" s="27">
        <v>0</v>
      </c>
      <c r="AN153" s="27">
        <v>0</v>
      </c>
      <c r="AO153" s="27">
        <v>0</v>
      </c>
      <c r="AP153" s="27">
        <v>0</v>
      </c>
      <c r="AQ153" s="27">
        <v>1</v>
      </c>
      <c r="AR153" s="27">
        <v>0</v>
      </c>
      <c r="AS153" s="27">
        <v>0</v>
      </c>
      <c r="AT153" s="27">
        <v>0</v>
      </c>
      <c r="AU153" s="27">
        <v>0</v>
      </c>
      <c r="AV153" s="27">
        <v>1</v>
      </c>
      <c r="AW153" s="27">
        <v>0</v>
      </c>
      <c r="AX153" s="27">
        <v>0</v>
      </c>
      <c r="AY153" s="27">
        <v>16</v>
      </c>
      <c r="AZ153" s="27">
        <v>1</v>
      </c>
      <c r="BA153" s="27">
        <v>1</v>
      </c>
      <c r="BB153" s="27">
        <v>0</v>
      </c>
      <c r="BC153" s="27" t="s">
        <v>648</v>
      </c>
      <c r="BD153" s="27" t="s">
        <v>649</v>
      </c>
      <c r="BE153" s="27" t="s">
        <v>650</v>
      </c>
      <c r="BF153" s="27" t="s">
        <v>77</v>
      </c>
      <c r="BG153" s="27">
        <v>168</v>
      </c>
      <c r="BH153" s="27">
        <v>11</v>
      </c>
      <c r="BI153" s="27">
        <v>0.9385</v>
      </c>
      <c r="BJ153" s="27">
        <v>0</v>
      </c>
    </row>
    <row r="154" customHeight="1" spans="1:64">
      <c r="A154" s="27" t="s">
        <v>651</v>
      </c>
      <c r="B154" s="27" t="s">
        <v>125</v>
      </c>
      <c r="E154" s="27" t="s">
        <v>255</v>
      </c>
      <c r="F154" s="27" t="s">
        <v>82</v>
      </c>
      <c r="G154" s="27" t="s">
        <v>83</v>
      </c>
      <c r="H154" s="27" t="s">
        <v>138</v>
      </c>
      <c r="I154" s="27" t="s">
        <v>85</v>
      </c>
      <c r="J154" s="27">
        <v>5</v>
      </c>
      <c r="K154" s="27">
        <v>25.99</v>
      </c>
      <c r="M154" s="27">
        <v>0</v>
      </c>
      <c r="N154" s="27">
        <v>0</v>
      </c>
      <c r="O154" s="27">
        <v>0</v>
      </c>
      <c r="P154" s="27" t="s">
        <v>86</v>
      </c>
      <c r="Q154" s="27">
        <v>3.295466</v>
      </c>
      <c r="S154" s="27">
        <v>55</v>
      </c>
      <c r="T154" s="27">
        <v>42</v>
      </c>
      <c r="U154" s="27">
        <v>0.567</v>
      </c>
      <c r="V154" s="27" t="s">
        <v>72</v>
      </c>
      <c r="W154" s="27">
        <v>1429.45</v>
      </c>
      <c r="X154" s="27">
        <v>4.025352</v>
      </c>
      <c r="Y154" s="27">
        <v>7.265744</v>
      </c>
      <c r="Z154" s="27">
        <v>6.4807</v>
      </c>
      <c r="AA154" s="27" t="s">
        <v>313</v>
      </c>
      <c r="AB154" s="27">
        <v>1</v>
      </c>
      <c r="AC154" s="27">
        <v>0</v>
      </c>
      <c r="AD154" s="27">
        <v>0</v>
      </c>
      <c r="AE154" s="27">
        <v>0</v>
      </c>
      <c r="AF154" s="27">
        <v>0</v>
      </c>
      <c r="AG154" s="27">
        <v>0</v>
      </c>
      <c r="AH154" s="27">
        <v>0</v>
      </c>
      <c r="AI154" s="27">
        <v>0</v>
      </c>
      <c r="AJ154" s="27">
        <v>0</v>
      </c>
      <c r="AK154" s="27">
        <v>0</v>
      </c>
      <c r="AL154" s="27">
        <v>0</v>
      </c>
      <c r="AM154" s="27">
        <v>0</v>
      </c>
      <c r="AN154" s="27">
        <v>0</v>
      </c>
      <c r="AO154" s="27">
        <v>0</v>
      </c>
      <c r="AP154" s="27">
        <v>0</v>
      </c>
      <c r="AQ154" s="27">
        <v>0</v>
      </c>
      <c r="AR154" s="27">
        <v>0</v>
      </c>
      <c r="AS154" s="27">
        <v>0</v>
      </c>
      <c r="AT154" s="27">
        <v>0</v>
      </c>
      <c r="AU154" s="27">
        <v>0</v>
      </c>
      <c r="AV154" s="27">
        <v>0</v>
      </c>
      <c r="AW154" s="27">
        <v>0</v>
      </c>
      <c r="AX154" s="27">
        <v>0</v>
      </c>
      <c r="AZ154" s="27">
        <v>1</v>
      </c>
      <c r="BA154" s="27">
        <v>1</v>
      </c>
      <c r="BB154" s="27">
        <v>50.88</v>
      </c>
      <c r="BC154" s="27" t="s">
        <v>409</v>
      </c>
      <c r="BD154" s="27" t="s">
        <v>410</v>
      </c>
      <c r="BE154" s="27" t="s">
        <v>407</v>
      </c>
      <c r="BF154" s="27" t="s">
        <v>77</v>
      </c>
      <c r="BG154" s="27">
        <v>162</v>
      </c>
      <c r="BH154" s="27">
        <v>19</v>
      </c>
      <c r="BI154" s="27">
        <v>0.895</v>
      </c>
      <c r="BJ154" s="27">
        <v>0</v>
      </c>
      <c r="BK154" s="27">
        <v>22</v>
      </c>
      <c r="BL154" s="27">
        <v>94</v>
      </c>
    </row>
    <row r="155" customHeight="1" spans="1:64">
      <c r="A155" s="27" t="s">
        <v>652</v>
      </c>
      <c r="B155" s="27" t="s">
        <v>195</v>
      </c>
      <c r="E155" s="27" t="s">
        <v>653</v>
      </c>
      <c r="F155" s="27" t="s">
        <v>198</v>
      </c>
      <c r="G155" s="27" t="s">
        <v>83</v>
      </c>
      <c r="H155" s="27" t="s">
        <v>84</v>
      </c>
      <c r="I155" s="27" t="s">
        <v>85</v>
      </c>
      <c r="J155" s="27">
        <v>5</v>
      </c>
      <c r="K155" s="27">
        <v>7.95</v>
      </c>
      <c r="M155" s="27">
        <v>0</v>
      </c>
      <c r="N155" s="27">
        <v>0</v>
      </c>
      <c r="O155" s="27">
        <v>0</v>
      </c>
      <c r="P155" s="27" t="s">
        <v>133</v>
      </c>
      <c r="Q155" s="27">
        <v>2.191654</v>
      </c>
      <c r="S155" s="27">
        <v>1155</v>
      </c>
      <c r="T155" s="27">
        <v>10</v>
      </c>
      <c r="U155" s="27">
        <v>0.9914</v>
      </c>
      <c r="V155" s="27" t="s">
        <v>109</v>
      </c>
      <c r="W155" s="27">
        <v>9182.25</v>
      </c>
      <c r="X155" s="27">
        <v>7.052721</v>
      </c>
      <c r="Y155" s="27">
        <v>9.125136</v>
      </c>
      <c r="Z155" s="27">
        <v>3.1623</v>
      </c>
      <c r="AA155" s="27" t="s">
        <v>125</v>
      </c>
      <c r="AB155" s="27">
        <v>0</v>
      </c>
      <c r="AC155" s="27">
        <v>0</v>
      </c>
      <c r="AD155" s="27">
        <v>0</v>
      </c>
      <c r="AE155" s="27">
        <v>0</v>
      </c>
      <c r="AF155" s="27">
        <v>0</v>
      </c>
      <c r="AG155" s="27">
        <v>0</v>
      </c>
      <c r="AH155" s="27">
        <v>0</v>
      </c>
      <c r="AI155" s="27">
        <v>0</v>
      </c>
      <c r="AJ155" s="27">
        <v>0</v>
      </c>
      <c r="AK155" s="27">
        <v>0</v>
      </c>
      <c r="AL155" s="27">
        <v>0</v>
      </c>
      <c r="AM155" s="27">
        <v>0</v>
      </c>
      <c r="AN155" s="27">
        <v>0</v>
      </c>
      <c r="AO155" s="27">
        <v>0</v>
      </c>
      <c r="AP155" s="27">
        <v>0</v>
      </c>
      <c r="AQ155" s="27">
        <v>0</v>
      </c>
      <c r="AR155" s="27">
        <v>0</v>
      </c>
      <c r="AS155" s="27">
        <v>0</v>
      </c>
      <c r="AT155" s="27">
        <v>0</v>
      </c>
      <c r="AU155" s="27">
        <v>0</v>
      </c>
      <c r="AV155" s="27">
        <v>0</v>
      </c>
      <c r="AW155" s="27">
        <v>0</v>
      </c>
      <c r="AX155" s="27">
        <v>0</v>
      </c>
      <c r="AZ155" s="27">
        <v>1</v>
      </c>
      <c r="BA155" s="27">
        <v>0</v>
      </c>
      <c r="BB155" s="27">
        <v>67.86</v>
      </c>
      <c r="BC155" s="27" t="s">
        <v>642</v>
      </c>
      <c r="BD155" s="27" t="s">
        <v>643</v>
      </c>
      <c r="BE155" s="27" t="s">
        <v>91</v>
      </c>
      <c r="BF155" s="27" t="s">
        <v>77</v>
      </c>
      <c r="BG155" s="27">
        <v>168</v>
      </c>
      <c r="BH155" s="27">
        <v>11</v>
      </c>
      <c r="BI155" s="27">
        <v>0.9385</v>
      </c>
      <c r="BJ155" s="27">
        <v>0</v>
      </c>
      <c r="BK155" s="27">
        <v>22</v>
      </c>
      <c r="BL155" s="27">
        <v>94</v>
      </c>
    </row>
    <row r="156" customHeight="1" spans="1:64">
      <c r="A156" s="27" t="s">
        <v>654</v>
      </c>
      <c r="B156" s="27" t="s">
        <v>125</v>
      </c>
      <c r="C156" s="27" t="s">
        <v>655</v>
      </c>
      <c r="E156" s="27" t="s">
        <v>656</v>
      </c>
      <c r="F156" s="27" t="s">
        <v>132</v>
      </c>
      <c r="G156" s="27" t="s">
        <v>427</v>
      </c>
      <c r="H156" s="27" t="s">
        <v>138</v>
      </c>
      <c r="I156" s="27" t="s">
        <v>85</v>
      </c>
      <c r="J156" s="27">
        <v>5</v>
      </c>
      <c r="K156" s="27">
        <v>22.99</v>
      </c>
      <c r="M156" s="27">
        <v>0</v>
      </c>
      <c r="N156" s="27">
        <v>0</v>
      </c>
      <c r="O156" s="27">
        <v>0</v>
      </c>
      <c r="P156" s="27" t="s">
        <v>133</v>
      </c>
      <c r="Q156" s="27">
        <v>3.177637</v>
      </c>
      <c r="S156" s="27">
        <v>41</v>
      </c>
      <c r="T156" s="27">
        <v>10</v>
      </c>
      <c r="U156" s="27">
        <v>0.8039</v>
      </c>
      <c r="V156" s="27" t="s">
        <v>72</v>
      </c>
      <c r="W156" s="27">
        <v>942.59</v>
      </c>
      <c r="X156" s="27">
        <v>3.73767</v>
      </c>
      <c r="Y156" s="27">
        <v>6.849692</v>
      </c>
      <c r="Z156" s="27">
        <v>3.1623</v>
      </c>
      <c r="AA156" s="27" t="s">
        <v>125</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v>0</v>
      </c>
      <c r="AS156" s="27">
        <v>0</v>
      </c>
      <c r="AT156" s="27">
        <v>0</v>
      </c>
      <c r="AU156" s="27">
        <v>0</v>
      </c>
      <c r="AV156" s="27">
        <v>0</v>
      </c>
      <c r="AW156" s="27">
        <v>0</v>
      </c>
      <c r="AX156" s="27">
        <v>0</v>
      </c>
      <c r="AZ156" s="27">
        <v>1</v>
      </c>
      <c r="BA156" s="27">
        <v>0</v>
      </c>
      <c r="BB156" s="27">
        <v>61.83</v>
      </c>
      <c r="BC156" s="27" t="s">
        <v>179</v>
      </c>
      <c r="BD156" s="27" t="s">
        <v>225</v>
      </c>
      <c r="BE156" s="27" t="s">
        <v>226</v>
      </c>
      <c r="BF156" s="27" t="s">
        <v>77</v>
      </c>
      <c r="BG156" s="27">
        <v>1</v>
      </c>
      <c r="BH156" s="27">
        <v>65</v>
      </c>
      <c r="BI156" s="27">
        <v>0.0152</v>
      </c>
      <c r="BJ156" s="27">
        <v>1</v>
      </c>
      <c r="BK156" s="27">
        <v>4</v>
      </c>
      <c r="BL156" s="27">
        <v>98.9</v>
      </c>
    </row>
    <row r="157" customHeight="1" spans="1:64">
      <c r="A157" s="27" t="s">
        <v>657</v>
      </c>
      <c r="B157" s="27" t="s">
        <v>658</v>
      </c>
      <c r="E157" s="27" t="s">
        <v>659</v>
      </c>
      <c r="F157" s="27" t="s">
        <v>240</v>
      </c>
      <c r="G157" s="27" t="s">
        <v>83</v>
      </c>
      <c r="H157" s="27" t="s">
        <v>84</v>
      </c>
      <c r="I157" s="27" t="s">
        <v>153</v>
      </c>
      <c r="J157" s="27">
        <v>2</v>
      </c>
      <c r="K157" s="27">
        <v>199.99</v>
      </c>
      <c r="M157" s="27">
        <v>0</v>
      </c>
      <c r="N157" s="27">
        <v>0</v>
      </c>
      <c r="O157" s="27">
        <v>0</v>
      </c>
      <c r="P157" s="27" t="s">
        <v>95</v>
      </c>
      <c r="Q157" s="27">
        <v>5.303255</v>
      </c>
      <c r="R157" s="27">
        <v>50</v>
      </c>
      <c r="S157" s="27">
        <v>3</v>
      </c>
      <c r="T157" s="27">
        <v>2</v>
      </c>
      <c r="U157" s="27">
        <v>0.6</v>
      </c>
      <c r="V157" s="27" t="s">
        <v>87</v>
      </c>
      <c r="W157" s="27">
        <v>599.97</v>
      </c>
      <c r="X157" s="27">
        <v>1.386294</v>
      </c>
      <c r="Y157" s="27">
        <v>6.398545</v>
      </c>
      <c r="Z157" s="27">
        <v>1.4142</v>
      </c>
      <c r="AA157" s="27" t="s">
        <v>125</v>
      </c>
      <c r="AB157" s="27">
        <v>0</v>
      </c>
      <c r="AC157" s="27">
        <v>0</v>
      </c>
      <c r="AD157" s="27">
        <v>0</v>
      </c>
      <c r="AE157" s="27">
        <v>0</v>
      </c>
      <c r="AF157" s="27">
        <v>0</v>
      </c>
      <c r="AG157" s="27">
        <v>1</v>
      </c>
      <c r="AH157" s="27">
        <v>0</v>
      </c>
      <c r="AI157" s="27">
        <v>1</v>
      </c>
      <c r="AJ157" s="27">
        <v>0</v>
      </c>
      <c r="AK157" s="27">
        <v>0</v>
      </c>
      <c r="AL157" s="27">
        <v>0</v>
      </c>
      <c r="AM157" s="27">
        <v>0</v>
      </c>
      <c r="AN157" s="27">
        <v>0</v>
      </c>
      <c r="AO157" s="27">
        <v>0</v>
      </c>
      <c r="AP157" s="27">
        <v>0</v>
      </c>
      <c r="AQ157" s="27">
        <v>0</v>
      </c>
      <c r="AR157" s="27">
        <v>0</v>
      </c>
      <c r="AS157" s="27">
        <v>0</v>
      </c>
      <c r="AT157" s="27">
        <v>0</v>
      </c>
      <c r="AU157" s="27">
        <v>0</v>
      </c>
      <c r="AV157" s="27">
        <v>0</v>
      </c>
      <c r="AW157" s="27">
        <v>1</v>
      </c>
      <c r="AX157" s="27">
        <v>0</v>
      </c>
      <c r="AY157" s="27">
        <v>4</v>
      </c>
      <c r="AZ157" s="27">
        <v>1</v>
      </c>
      <c r="BA157" s="27">
        <v>0</v>
      </c>
      <c r="BB157" s="27">
        <v>24</v>
      </c>
      <c r="BC157" s="27" t="s">
        <v>660</v>
      </c>
      <c r="BD157" s="27" t="s">
        <v>661</v>
      </c>
      <c r="BE157" s="27" t="s">
        <v>363</v>
      </c>
      <c r="BF157" s="27" t="s">
        <v>77</v>
      </c>
      <c r="BG157" s="27">
        <v>162</v>
      </c>
      <c r="BH157" s="27">
        <v>20</v>
      </c>
      <c r="BI157" s="27">
        <v>0.8901</v>
      </c>
      <c r="BJ157" s="27">
        <v>0</v>
      </c>
      <c r="BK157" s="27">
        <v>619</v>
      </c>
      <c r="BL157" s="27">
        <v>0</v>
      </c>
    </row>
    <row r="158" customHeight="1" spans="1:64">
      <c r="A158" s="27" t="s">
        <v>662</v>
      </c>
      <c r="B158" s="27" t="s">
        <v>370</v>
      </c>
      <c r="E158" s="27" t="s">
        <v>559</v>
      </c>
      <c r="F158" s="27" t="s">
        <v>240</v>
      </c>
      <c r="G158" s="27" t="s">
        <v>83</v>
      </c>
      <c r="H158" s="27" t="s">
        <v>84</v>
      </c>
      <c r="I158" s="27" t="s">
        <v>203</v>
      </c>
      <c r="J158" s="27">
        <v>4</v>
      </c>
      <c r="K158" s="27">
        <v>300</v>
      </c>
      <c r="M158" s="27">
        <v>0</v>
      </c>
      <c r="N158" s="27">
        <v>0</v>
      </c>
      <c r="O158" s="27">
        <v>0</v>
      </c>
      <c r="P158" s="27" t="s">
        <v>71</v>
      </c>
      <c r="Q158" s="27">
        <v>5.70711</v>
      </c>
      <c r="V158" s="27" t="s">
        <v>231</v>
      </c>
      <c r="W158" s="27">
        <v>0</v>
      </c>
      <c r="X158" s="27">
        <v>0</v>
      </c>
      <c r="Y158" s="27">
        <v>0</v>
      </c>
      <c r="Z158" s="27">
        <v>0</v>
      </c>
      <c r="AA158" s="27" t="s">
        <v>125</v>
      </c>
      <c r="AB158" s="27">
        <v>0</v>
      </c>
      <c r="AC158" s="27">
        <v>0</v>
      </c>
      <c r="AD158" s="27">
        <v>0</v>
      </c>
      <c r="AE158" s="27">
        <v>0</v>
      </c>
      <c r="AF158" s="27">
        <v>0</v>
      </c>
      <c r="AG158" s="27">
        <v>0</v>
      </c>
      <c r="AH158" s="27">
        <v>0</v>
      </c>
      <c r="AI158" s="27">
        <v>0</v>
      </c>
      <c r="AJ158" s="27">
        <v>0</v>
      </c>
      <c r="AK158" s="27">
        <v>0</v>
      </c>
      <c r="AL158" s="27">
        <v>0</v>
      </c>
      <c r="AM158" s="27">
        <v>0</v>
      </c>
      <c r="AN158" s="27">
        <v>0</v>
      </c>
      <c r="AO158" s="27">
        <v>0</v>
      </c>
      <c r="AP158" s="27">
        <v>0</v>
      </c>
      <c r="AQ158" s="27">
        <v>1</v>
      </c>
      <c r="AR158" s="27">
        <v>0</v>
      </c>
      <c r="AS158" s="27">
        <v>0</v>
      </c>
      <c r="AT158" s="27">
        <v>0</v>
      </c>
      <c r="AU158" s="27">
        <v>0</v>
      </c>
      <c r="AV158" s="27">
        <v>1</v>
      </c>
      <c r="AW158" s="27">
        <v>0</v>
      </c>
      <c r="AX158" s="27">
        <v>0</v>
      </c>
      <c r="AZ158" s="27">
        <v>1</v>
      </c>
      <c r="BA158" s="27">
        <v>1</v>
      </c>
      <c r="BB158" s="27">
        <v>28.53</v>
      </c>
      <c r="BC158" s="27" t="s">
        <v>663</v>
      </c>
      <c r="BD158" s="27" t="s">
        <v>664</v>
      </c>
      <c r="BE158" s="27" t="s">
        <v>665</v>
      </c>
      <c r="BF158" s="27" t="s">
        <v>77</v>
      </c>
      <c r="BG158" s="27">
        <v>168</v>
      </c>
      <c r="BH158" s="27">
        <v>11</v>
      </c>
      <c r="BI158" s="27">
        <v>0.9385</v>
      </c>
      <c r="BJ158" s="27">
        <v>0</v>
      </c>
      <c r="BK158" s="27">
        <v>18</v>
      </c>
      <c r="BL158" s="27">
        <v>95.1</v>
      </c>
    </row>
    <row r="159" customHeight="1" spans="1:64">
      <c r="A159" s="27" t="s">
        <v>389</v>
      </c>
      <c r="B159" s="27" t="s">
        <v>125</v>
      </c>
      <c r="E159" s="27" t="s">
        <v>390</v>
      </c>
      <c r="F159" s="27" t="s">
        <v>240</v>
      </c>
      <c r="G159" s="27" t="s">
        <v>83</v>
      </c>
      <c r="H159" s="27" t="s">
        <v>138</v>
      </c>
      <c r="I159" s="27" t="s">
        <v>85</v>
      </c>
      <c r="J159" s="27">
        <v>5</v>
      </c>
      <c r="K159" s="27">
        <v>29.98</v>
      </c>
      <c r="M159" s="27">
        <v>0</v>
      </c>
      <c r="N159" s="27">
        <v>0</v>
      </c>
      <c r="O159" s="27">
        <v>0</v>
      </c>
      <c r="P159" s="27" t="s">
        <v>86</v>
      </c>
      <c r="Q159" s="27">
        <v>3.433342</v>
      </c>
      <c r="S159" s="27">
        <v>117</v>
      </c>
      <c r="T159" s="27">
        <v>10</v>
      </c>
      <c r="U159" s="27">
        <v>0.9213</v>
      </c>
      <c r="V159" s="27" t="s">
        <v>72</v>
      </c>
      <c r="W159" s="27">
        <v>3507.66</v>
      </c>
      <c r="X159" s="27">
        <v>4.770685</v>
      </c>
      <c r="Y159" s="27">
        <v>8.162989</v>
      </c>
      <c r="Z159" s="27">
        <v>3.1623</v>
      </c>
      <c r="AA159" s="27" t="s">
        <v>125</v>
      </c>
      <c r="AB159" s="27">
        <v>0</v>
      </c>
      <c r="AC159" s="27">
        <v>0</v>
      </c>
      <c r="AD159" s="27">
        <v>0</v>
      </c>
      <c r="AE159" s="27">
        <v>0</v>
      </c>
      <c r="AF159" s="27">
        <v>0</v>
      </c>
      <c r="AG159" s="27">
        <v>0</v>
      </c>
      <c r="AH159" s="27">
        <v>0</v>
      </c>
      <c r="AI159" s="27">
        <v>0</v>
      </c>
      <c r="AJ159" s="27">
        <v>0</v>
      </c>
      <c r="AK159" s="27">
        <v>0</v>
      </c>
      <c r="AL159" s="27">
        <v>0</v>
      </c>
      <c r="AM159" s="27">
        <v>0</v>
      </c>
      <c r="AN159" s="27">
        <v>0</v>
      </c>
      <c r="AO159" s="27">
        <v>0</v>
      </c>
      <c r="AP159" s="27">
        <v>0</v>
      </c>
      <c r="AQ159" s="27">
        <v>1</v>
      </c>
      <c r="AR159" s="27">
        <v>0</v>
      </c>
      <c r="AS159" s="27">
        <v>0</v>
      </c>
      <c r="AT159" s="27">
        <v>0</v>
      </c>
      <c r="AU159" s="27">
        <v>0</v>
      </c>
      <c r="AV159" s="27">
        <v>1</v>
      </c>
      <c r="AW159" s="27">
        <v>0</v>
      </c>
      <c r="AX159" s="27">
        <v>0</v>
      </c>
      <c r="AZ159" s="27">
        <v>1</v>
      </c>
      <c r="BA159" s="27">
        <v>1</v>
      </c>
      <c r="BB159" s="27">
        <v>66.7</v>
      </c>
      <c r="BC159" s="27" t="s">
        <v>666</v>
      </c>
      <c r="BD159" s="27" t="s">
        <v>393</v>
      </c>
      <c r="BE159" s="27" t="s">
        <v>393</v>
      </c>
      <c r="BF159" s="27" t="s">
        <v>77</v>
      </c>
      <c r="BG159" s="27">
        <v>1</v>
      </c>
      <c r="BH159" s="27">
        <v>226</v>
      </c>
      <c r="BI159" s="27">
        <v>0.0044</v>
      </c>
      <c r="BJ159" s="27">
        <v>1</v>
      </c>
      <c r="BK159" s="27">
        <v>2</v>
      </c>
      <c r="BL159" s="27">
        <v>99.5</v>
      </c>
    </row>
    <row r="160" customHeight="1" spans="1:64">
      <c r="A160" s="27" t="s">
        <v>667</v>
      </c>
      <c r="B160" s="27" t="s">
        <v>171</v>
      </c>
      <c r="C160" s="27" t="s">
        <v>668</v>
      </c>
      <c r="E160" s="27" t="s">
        <v>81</v>
      </c>
      <c r="F160" s="27" t="s">
        <v>160</v>
      </c>
      <c r="G160" s="27" t="s">
        <v>83</v>
      </c>
      <c r="H160" s="27" t="s">
        <v>84</v>
      </c>
      <c r="I160" s="27" t="s">
        <v>85</v>
      </c>
      <c r="J160" s="27">
        <v>5</v>
      </c>
      <c r="K160" s="27">
        <v>109.19</v>
      </c>
      <c r="M160" s="27">
        <v>0</v>
      </c>
      <c r="N160" s="27">
        <v>0</v>
      </c>
      <c r="O160" s="27">
        <v>0</v>
      </c>
      <c r="P160" s="27" t="s">
        <v>95</v>
      </c>
      <c r="Q160" s="27">
        <v>4.702206</v>
      </c>
      <c r="S160" s="27">
        <v>97</v>
      </c>
      <c r="T160" s="27">
        <v>100</v>
      </c>
      <c r="U160" s="27">
        <v>0.4924</v>
      </c>
      <c r="V160" s="27" t="s">
        <v>72</v>
      </c>
      <c r="W160" s="27">
        <v>10591.43</v>
      </c>
      <c r="X160" s="27">
        <v>4.584967</v>
      </c>
      <c r="Y160" s="27">
        <v>9.267895</v>
      </c>
      <c r="Z160" s="27">
        <v>10</v>
      </c>
      <c r="AA160" s="27" t="s">
        <v>88</v>
      </c>
      <c r="AB160" s="27">
        <v>0</v>
      </c>
      <c r="AC160" s="27">
        <v>0</v>
      </c>
      <c r="AD160" s="27">
        <v>0</v>
      </c>
      <c r="AE160" s="27">
        <v>1</v>
      </c>
      <c r="AF160" s="27">
        <v>1</v>
      </c>
      <c r="AG160" s="27">
        <v>0</v>
      </c>
      <c r="AH160" s="27">
        <v>1</v>
      </c>
      <c r="AI160" s="27">
        <v>0</v>
      </c>
      <c r="AJ160" s="27">
        <v>0</v>
      </c>
      <c r="AK160" s="27">
        <v>0</v>
      </c>
      <c r="AL160" s="27">
        <v>0</v>
      </c>
      <c r="AM160" s="27">
        <v>0</v>
      </c>
      <c r="AN160" s="27">
        <v>0</v>
      </c>
      <c r="AO160" s="27">
        <v>0</v>
      </c>
      <c r="AP160" s="27">
        <v>0</v>
      </c>
      <c r="AQ160" s="27">
        <v>0</v>
      </c>
      <c r="AR160" s="27">
        <v>0</v>
      </c>
      <c r="AS160" s="27">
        <v>0</v>
      </c>
      <c r="AT160" s="27">
        <v>0</v>
      </c>
      <c r="AU160" s="27">
        <v>0</v>
      </c>
      <c r="AV160" s="27">
        <v>0</v>
      </c>
      <c r="AW160" s="27">
        <v>1</v>
      </c>
      <c r="AX160" s="27">
        <v>0</v>
      </c>
      <c r="AZ160" s="27">
        <v>1</v>
      </c>
      <c r="BA160" s="27">
        <v>2</v>
      </c>
      <c r="BB160" s="27">
        <v>49.46</v>
      </c>
      <c r="BC160" s="27" t="s">
        <v>251</v>
      </c>
      <c r="BD160" s="27" t="s">
        <v>356</v>
      </c>
      <c r="BE160" s="27" t="s">
        <v>423</v>
      </c>
      <c r="BF160" s="27" t="s">
        <v>77</v>
      </c>
      <c r="BG160" s="27">
        <v>162</v>
      </c>
      <c r="BH160" s="27">
        <v>60</v>
      </c>
      <c r="BI160" s="27">
        <v>0.7297</v>
      </c>
      <c r="BJ160" s="27">
        <v>0</v>
      </c>
      <c r="BK160" s="27">
        <v>3</v>
      </c>
      <c r="BL160" s="27">
        <v>99.2</v>
      </c>
    </row>
    <row r="161" customHeight="1" spans="1:64">
      <c r="A161" s="27" t="s">
        <v>669</v>
      </c>
      <c r="B161" s="27" t="s">
        <v>115</v>
      </c>
      <c r="E161" s="27" t="s">
        <v>670</v>
      </c>
      <c r="F161" s="27" t="s">
        <v>82</v>
      </c>
      <c r="G161" s="27" t="s">
        <v>117</v>
      </c>
      <c r="H161" s="27" t="s">
        <v>107</v>
      </c>
      <c r="I161" s="27" t="s">
        <v>85</v>
      </c>
      <c r="J161" s="27">
        <v>5</v>
      </c>
      <c r="K161" s="27">
        <v>7.95</v>
      </c>
      <c r="M161" s="27">
        <v>0</v>
      </c>
      <c r="N161" s="27">
        <v>0</v>
      </c>
      <c r="O161" s="27">
        <v>0</v>
      </c>
      <c r="P161" s="27" t="s">
        <v>133</v>
      </c>
      <c r="Q161" s="27">
        <v>2.191654</v>
      </c>
      <c r="S161" s="27">
        <v>543</v>
      </c>
      <c r="T161" s="27">
        <v>10</v>
      </c>
      <c r="U161" s="27">
        <v>0.9819</v>
      </c>
      <c r="V161" s="27" t="s">
        <v>154</v>
      </c>
      <c r="W161" s="27">
        <v>4316.85</v>
      </c>
      <c r="X161" s="27">
        <v>6.298949</v>
      </c>
      <c r="Y161" s="27">
        <v>8.370513</v>
      </c>
      <c r="Z161" s="27">
        <v>3.1623</v>
      </c>
      <c r="AA161" s="27" t="s">
        <v>125</v>
      </c>
      <c r="AB161" s="27">
        <v>0</v>
      </c>
      <c r="AC161" s="27">
        <v>0</v>
      </c>
      <c r="AD161" s="27">
        <v>0</v>
      </c>
      <c r="AE161" s="27">
        <v>0</v>
      </c>
      <c r="AF161" s="27">
        <v>0</v>
      </c>
      <c r="AG161" s="27">
        <v>0</v>
      </c>
      <c r="AH161" s="27">
        <v>0</v>
      </c>
      <c r="AI161" s="27">
        <v>0</v>
      </c>
      <c r="AJ161" s="27">
        <v>0</v>
      </c>
      <c r="AK161" s="27">
        <v>0</v>
      </c>
      <c r="AL161" s="27">
        <v>0</v>
      </c>
      <c r="AM161" s="27">
        <v>0</v>
      </c>
      <c r="AN161" s="27">
        <v>0</v>
      </c>
      <c r="AO161" s="27">
        <v>0</v>
      </c>
      <c r="AP161" s="27">
        <v>0</v>
      </c>
      <c r="AQ161" s="27">
        <v>0</v>
      </c>
      <c r="AR161" s="27">
        <v>0</v>
      </c>
      <c r="AS161" s="27">
        <v>0</v>
      </c>
      <c r="AT161" s="27">
        <v>0</v>
      </c>
      <c r="AU161" s="27">
        <v>0</v>
      </c>
      <c r="AV161" s="27">
        <v>0</v>
      </c>
      <c r="AW161" s="27">
        <v>1</v>
      </c>
      <c r="AX161" s="27">
        <v>0</v>
      </c>
      <c r="AZ161" s="27">
        <v>1</v>
      </c>
      <c r="BA161" s="27">
        <v>0</v>
      </c>
      <c r="BB161" s="27">
        <v>68.8</v>
      </c>
      <c r="BC161" s="27" t="s">
        <v>671</v>
      </c>
      <c r="BD161" s="27" t="s">
        <v>672</v>
      </c>
      <c r="BE161" s="27" t="s">
        <v>673</v>
      </c>
      <c r="BF161" s="27" t="s">
        <v>77</v>
      </c>
      <c r="BG161" s="27">
        <v>168</v>
      </c>
      <c r="BH161" s="27">
        <v>11</v>
      </c>
      <c r="BI161" s="27">
        <v>0.9385</v>
      </c>
      <c r="BJ161" s="27">
        <v>0</v>
      </c>
      <c r="BK161" s="27">
        <v>6</v>
      </c>
      <c r="BL161" s="27">
        <v>98.4</v>
      </c>
    </row>
    <row r="162" customHeight="1" spans="1:64">
      <c r="A162" s="27" t="s">
        <v>674</v>
      </c>
      <c r="B162" s="27" t="s">
        <v>344</v>
      </c>
      <c r="C162" s="27" t="s">
        <v>675</v>
      </c>
      <c r="D162" s="27">
        <v>840080527864</v>
      </c>
      <c r="E162" s="27" t="s">
        <v>81</v>
      </c>
      <c r="F162" s="27" t="s">
        <v>68</v>
      </c>
      <c r="G162" s="27" t="s">
        <v>346</v>
      </c>
      <c r="H162" s="27" t="s">
        <v>107</v>
      </c>
      <c r="I162" s="27" t="s">
        <v>203</v>
      </c>
      <c r="J162" s="27">
        <v>4</v>
      </c>
      <c r="K162" s="27">
        <v>44.99</v>
      </c>
      <c r="M162" s="27">
        <v>0</v>
      </c>
      <c r="N162" s="27">
        <v>0</v>
      </c>
      <c r="O162" s="27">
        <v>0</v>
      </c>
      <c r="P162" s="27" t="s">
        <v>86</v>
      </c>
      <c r="Q162" s="27">
        <v>3.828424</v>
      </c>
      <c r="S162" s="27">
        <v>577</v>
      </c>
      <c r="T162" s="27">
        <v>10</v>
      </c>
      <c r="U162" s="27">
        <v>0.983</v>
      </c>
      <c r="V162" s="27" t="s">
        <v>154</v>
      </c>
      <c r="W162" s="27">
        <v>25959.23</v>
      </c>
      <c r="X162" s="27">
        <v>6.359574</v>
      </c>
      <c r="Y162" s="27">
        <v>10.164321</v>
      </c>
      <c r="Z162" s="27">
        <v>3.1623</v>
      </c>
      <c r="AA162" s="27" t="s">
        <v>483</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v>0</v>
      </c>
      <c r="AS162" s="27">
        <v>0</v>
      </c>
      <c r="AT162" s="27">
        <v>1</v>
      </c>
      <c r="AU162" s="27">
        <v>0</v>
      </c>
      <c r="AV162" s="27">
        <v>0</v>
      </c>
      <c r="AW162" s="27">
        <v>0</v>
      </c>
      <c r="AX162" s="27">
        <v>0</v>
      </c>
      <c r="AZ162" s="27">
        <v>1</v>
      </c>
      <c r="BA162" s="27">
        <v>0</v>
      </c>
      <c r="BB162" s="27">
        <v>67.85</v>
      </c>
      <c r="BC162" s="27" t="s">
        <v>676</v>
      </c>
      <c r="BD162" s="27" t="s">
        <v>677</v>
      </c>
      <c r="BE162" s="27" t="s">
        <v>678</v>
      </c>
      <c r="BF162" s="27" t="s">
        <v>77</v>
      </c>
      <c r="BG162" s="27">
        <v>45</v>
      </c>
      <c r="BH162" s="27">
        <v>168</v>
      </c>
      <c r="BI162" s="27">
        <v>0.2113</v>
      </c>
      <c r="BJ162" s="27">
        <v>0</v>
      </c>
      <c r="BK162" s="27">
        <v>18</v>
      </c>
      <c r="BL162" s="27">
        <v>95.1</v>
      </c>
    </row>
    <row r="163" customHeight="1" spans="1:64">
      <c r="A163" s="27" t="s">
        <v>679</v>
      </c>
      <c r="B163" s="27" t="s">
        <v>282</v>
      </c>
      <c r="E163" s="27" t="s">
        <v>250</v>
      </c>
      <c r="F163" s="27" t="s">
        <v>160</v>
      </c>
      <c r="G163" s="27" t="s">
        <v>83</v>
      </c>
      <c r="H163" s="27" t="s">
        <v>84</v>
      </c>
      <c r="I163" s="27" t="s">
        <v>85</v>
      </c>
      <c r="J163" s="27">
        <v>5</v>
      </c>
      <c r="K163" s="27">
        <v>139.99</v>
      </c>
      <c r="M163" s="27">
        <v>0</v>
      </c>
      <c r="N163" s="27">
        <v>0</v>
      </c>
      <c r="O163" s="27">
        <v>0</v>
      </c>
      <c r="P163" s="27" t="s">
        <v>95</v>
      </c>
      <c r="Q163" s="27">
        <v>4.948689</v>
      </c>
      <c r="R163" s="27">
        <v>17.5</v>
      </c>
      <c r="S163" s="27">
        <v>21</v>
      </c>
      <c r="T163" s="27">
        <v>7</v>
      </c>
      <c r="U163" s="27">
        <v>0.75</v>
      </c>
      <c r="V163" s="27" t="s">
        <v>72</v>
      </c>
      <c r="W163" s="27">
        <v>2939.79</v>
      </c>
      <c r="X163" s="27">
        <v>3.091042</v>
      </c>
      <c r="Y163" s="27">
        <v>7.986434</v>
      </c>
      <c r="Z163" s="27">
        <v>2.6458</v>
      </c>
      <c r="AA163" s="27" t="s">
        <v>313</v>
      </c>
      <c r="AB163" s="27">
        <v>1</v>
      </c>
      <c r="AC163" s="27">
        <v>0</v>
      </c>
      <c r="AD163" s="27">
        <v>0</v>
      </c>
      <c r="AE163" s="27">
        <v>0</v>
      </c>
      <c r="AF163" s="27">
        <v>0</v>
      </c>
      <c r="AG163" s="27">
        <v>0</v>
      </c>
      <c r="AH163" s="27">
        <v>0</v>
      </c>
      <c r="AI163" s="27">
        <v>0</v>
      </c>
      <c r="AJ163" s="27">
        <v>0</v>
      </c>
      <c r="AK163" s="27">
        <v>1</v>
      </c>
      <c r="AL163" s="27">
        <v>0</v>
      </c>
      <c r="AM163" s="27">
        <v>0</v>
      </c>
      <c r="AN163" s="27">
        <v>0</v>
      </c>
      <c r="AO163" s="27">
        <v>0</v>
      </c>
      <c r="AP163" s="27">
        <v>0</v>
      </c>
      <c r="AQ163" s="27">
        <v>1</v>
      </c>
      <c r="AR163" s="27">
        <v>0</v>
      </c>
      <c r="AS163" s="27">
        <v>0</v>
      </c>
      <c r="AT163" s="27">
        <v>0</v>
      </c>
      <c r="AU163" s="27">
        <v>0</v>
      </c>
      <c r="AV163" s="27">
        <v>1</v>
      </c>
      <c r="AW163" s="27">
        <v>1</v>
      </c>
      <c r="AX163" s="27">
        <v>0</v>
      </c>
      <c r="AY163" s="27">
        <v>8</v>
      </c>
      <c r="AZ163" s="27">
        <v>1</v>
      </c>
      <c r="BA163" s="27">
        <v>3</v>
      </c>
      <c r="BB163" s="27">
        <v>59.67</v>
      </c>
      <c r="BC163" s="27" t="s">
        <v>285</v>
      </c>
      <c r="BD163" s="27" t="s">
        <v>286</v>
      </c>
      <c r="BE163" s="27" t="s">
        <v>287</v>
      </c>
      <c r="BF163" s="27" t="s">
        <v>77</v>
      </c>
      <c r="BG163" s="27">
        <v>1</v>
      </c>
      <c r="BH163" s="27">
        <v>226</v>
      </c>
      <c r="BI163" s="27">
        <v>0.0044</v>
      </c>
      <c r="BJ163" s="27">
        <v>1</v>
      </c>
      <c r="BK163" s="27">
        <v>4</v>
      </c>
      <c r="BL163" s="27">
        <v>98.9</v>
      </c>
    </row>
    <row r="164" customHeight="1" spans="1:64">
      <c r="A164" s="27" t="s">
        <v>680</v>
      </c>
      <c r="B164" s="27" t="s">
        <v>124</v>
      </c>
      <c r="C164" s="27" t="s">
        <v>681</v>
      </c>
      <c r="E164" s="27" t="s">
        <v>81</v>
      </c>
      <c r="F164" s="27" t="s">
        <v>82</v>
      </c>
      <c r="G164" s="27" t="s">
        <v>346</v>
      </c>
      <c r="H164" s="27" t="s">
        <v>84</v>
      </c>
      <c r="I164" s="27" t="s">
        <v>203</v>
      </c>
      <c r="J164" s="27">
        <v>4</v>
      </c>
      <c r="K164" s="27">
        <v>39.99</v>
      </c>
      <c r="M164" s="27">
        <v>0</v>
      </c>
      <c r="N164" s="27">
        <v>0</v>
      </c>
      <c r="O164" s="27">
        <v>0</v>
      </c>
      <c r="P164" s="27" t="s">
        <v>86</v>
      </c>
      <c r="Q164" s="27">
        <v>3.713328</v>
      </c>
      <c r="S164" s="27">
        <v>354</v>
      </c>
      <c r="T164" s="27">
        <v>4</v>
      </c>
      <c r="U164" s="27">
        <v>0.9888</v>
      </c>
      <c r="V164" s="27" t="s">
        <v>154</v>
      </c>
      <c r="W164" s="27">
        <v>14156.46</v>
      </c>
      <c r="X164" s="27">
        <v>5.872118</v>
      </c>
      <c r="Y164" s="27">
        <v>9.557997</v>
      </c>
      <c r="Z164" s="27">
        <v>2</v>
      </c>
      <c r="AA164" s="27" t="s">
        <v>483</v>
      </c>
      <c r="AB164" s="27">
        <v>0</v>
      </c>
      <c r="AC164" s="27">
        <v>0</v>
      </c>
      <c r="AD164" s="27">
        <v>0</v>
      </c>
      <c r="AE164" s="27">
        <v>0</v>
      </c>
      <c r="AF164" s="27">
        <v>0</v>
      </c>
      <c r="AG164" s="27">
        <v>0</v>
      </c>
      <c r="AH164" s="27">
        <v>1</v>
      </c>
      <c r="AI164" s="27">
        <v>0</v>
      </c>
      <c r="AJ164" s="27">
        <v>0</v>
      </c>
      <c r="AK164" s="27">
        <v>0</v>
      </c>
      <c r="AL164" s="27">
        <v>0</v>
      </c>
      <c r="AM164" s="27">
        <v>0</v>
      </c>
      <c r="AN164" s="27">
        <v>0</v>
      </c>
      <c r="AO164" s="27">
        <v>0</v>
      </c>
      <c r="AP164" s="27">
        <v>0</v>
      </c>
      <c r="AQ164" s="27">
        <v>0</v>
      </c>
      <c r="AR164" s="27">
        <v>0</v>
      </c>
      <c r="AS164" s="27">
        <v>0</v>
      </c>
      <c r="AT164" s="27">
        <v>1</v>
      </c>
      <c r="AU164" s="27">
        <v>0</v>
      </c>
      <c r="AV164" s="27">
        <v>0</v>
      </c>
      <c r="AW164" s="27">
        <v>0</v>
      </c>
      <c r="AX164" s="27">
        <v>0</v>
      </c>
      <c r="AZ164" s="27">
        <v>1</v>
      </c>
      <c r="BA164" s="27">
        <v>1</v>
      </c>
      <c r="BB164" s="27">
        <v>66.58</v>
      </c>
      <c r="BC164" s="27" t="s">
        <v>676</v>
      </c>
      <c r="BD164" s="27" t="s">
        <v>677</v>
      </c>
      <c r="BE164" s="27" t="s">
        <v>678</v>
      </c>
      <c r="BF164" s="27" t="s">
        <v>77</v>
      </c>
      <c r="BG164" s="27">
        <v>3</v>
      </c>
      <c r="BH164" s="27">
        <v>216</v>
      </c>
      <c r="BI164" s="27">
        <v>0.0137</v>
      </c>
      <c r="BJ164" s="27">
        <v>0</v>
      </c>
      <c r="BK164" s="27">
        <v>36</v>
      </c>
      <c r="BL164" s="27">
        <v>90.1</v>
      </c>
    </row>
    <row r="165" customHeight="1" spans="1:64">
      <c r="A165" s="27" t="s">
        <v>682</v>
      </c>
      <c r="B165" s="27" t="s">
        <v>125</v>
      </c>
      <c r="E165" s="27" t="s">
        <v>81</v>
      </c>
      <c r="F165" s="27" t="s">
        <v>82</v>
      </c>
      <c r="G165" s="27" t="s">
        <v>83</v>
      </c>
      <c r="H165" s="27" t="s">
        <v>138</v>
      </c>
      <c r="I165" s="27" t="s">
        <v>85</v>
      </c>
      <c r="J165" s="27">
        <v>5</v>
      </c>
      <c r="K165" s="27">
        <v>49.99</v>
      </c>
      <c r="M165" s="27">
        <v>0</v>
      </c>
      <c r="N165" s="27">
        <v>0</v>
      </c>
      <c r="O165" s="27">
        <v>0</v>
      </c>
      <c r="P165" s="27" t="s">
        <v>86</v>
      </c>
      <c r="Q165" s="27">
        <v>3.93163</v>
      </c>
      <c r="S165" s="27">
        <v>34</v>
      </c>
      <c r="T165" s="27">
        <v>10</v>
      </c>
      <c r="U165" s="27">
        <v>0.7727</v>
      </c>
      <c r="V165" s="27" t="s">
        <v>72</v>
      </c>
      <c r="W165" s="27">
        <v>1699.66</v>
      </c>
      <c r="X165" s="27">
        <v>3.555348</v>
      </c>
      <c r="Y165" s="27">
        <v>7.438772</v>
      </c>
      <c r="Z165" s="27">
        <v>3.1623</v>
      </c>
      <c r="AA165" s="27" t="s">
        <v>125</v>
      </c>
      <c r="AB165" s="27">
        <v>0</v>
      </c>
      <c r="AC165" s="27">
        <v>0</v>
      </c>
      <c r="AD165" s="27">
        <v>0</v>
      </c>
      <c r="AE165" s="27">
        <v>1</v>
      </c>
      <c r="AF165" s="27">
        <v>1</v>
      </c>
      <c r="AG165" s="27">
        <v>0</v>
      </c>
      <c r="AH165" s="27">
        <v>1</v>
      </c>
      <c r="AI165" s="27">
        <v>0</v>
      </c>
      <c r="AJ165" s="27">
        <v>0</v>
      </c>
      <c r="AK165" s="27">
        <v>1</v>
      </c>
      <c r="AL165" s="27">
        <v>0</v>
      </c>
      <c r="AM165" s="27">
        <v>0</v>
      </c>
      <c r="AN165" s="27">
        <v>0</v>
      </c>
      <c r="AO165" s="27">
        <v>0</v>
      </c>
      <c r="AP165" s="27">
        <v>0</v>
      </c>
      <c r="AQ165" s="27">
        <v>0</v>
      </c>
      <c r="AR165" s="27">
        <v>0</v>
      </c>
      <c r="AS165" s="27">
        <v>0</v>
      </c>
      <c r="AT165" s="27">
        <v>1</v>
      </c>
      <c r="AU165" s="27">
        <v>0</v>
      </c>
      <c r="AV165" s="27">
        <v>0</v>
      </c>
      <c r="AW165" s="27">
        <v>1</v>
      </c>
      <c r="AX165" s="27">
        <v>0</v>
      </c>
      <c r="AZ165" s="27">
        <v>1</v>
      </c>
      <c r="BA165" s="27">
        <v>3</v>
      </c>
      <c r="BB165" s="27">
        <v>60.76</v>
      </c>
      <c r="BC165" s="27" t="s">
        <v>683</v>
      </c>
      <c r="BD165" s="27" t="s">
        <v>684</v>
      </c>
      <c r="BE165" s="27" t="s">
        <v>128</v>
      </c>
      <c r="BF165" s="27" t="s">
        <v>77</v>
      </c>
      <c r="BG165" s="27">
        <v>1</v>
      </c>
      <c r="BH165" s="27">
        <v>53</v>
      </c>
      <c r="BI165" s="27">
        <v>0.0185</v>
      </c>
      <c r="BJ165" s="27">
        <v>1</v>
      </c>
      <c r="BK165" s="27">
        <v>2</v>
      </c>
      <c r="BL165" s="27">
        <v>99.5</v>
      </c>
    </row>
    <row r="166" customHeight="1" spans="1:64">
      <c r="A166" s="27" t="s">
        <v>685</v>
      </c>
      <c r="B166" s="27" t="s">
        <v>115</v>
      </c>
      <c r="E166" s="27" t="s">
        <v>81</v>
      </c>
      <c r="F166" s="27" t="s">
        <v>82</v>
      </c>
      <c r="G166" s="27" t="s">
        <v>117</v>
      </c>
      <c r="H166" s="27" t="s">
        <v>107</v>
      </c>
      <c r="I166" s="27" t="s">
        <v>85</v>
      </c>
      <c r="J166" s="27">
        <v>5</v>
      </c>
      <c r="K166" s="27">
        <v>114.99</v>
      </c>
      <c r="M166" s="27">
        <v>0</v>
      </c>
      <c r="N166" s="27">
        <v>0</v>
      </c>
      <c r="O166" s="27">
        <v>0</v>
      </c>
      <c r="P166" s="27" t="s">
        <v>95</v>
      </c>
      <c r="Q166" s="27">
        <v>4.753504</v>
      </c>
      <c r="S166" s="27">
        <v>16</v>
      </c>
      <c r="T166" s="27">
        <v>3</v>
      </c>
      <c r="U166" s="27">
        <v>0.8421</v>
      </c>
      <c r="V166" s="27" t="s">
        <v>72</v>
      </c>
      <c r="W166" s="27">
        <v>1839.84</v>
      </c>
      <c r="X166" s="27">
        <v>2.833213</v>
      </c>
      <c r="Y166" s="27">
        <v>7.517977</v>
      </c>
      <c r="Z166" s="27">
        <v>1.7321</v>
      </c>
      <c r="AA166" s="27" t="s">
        <v>139</v>
      </c>
      <c r="AB166" s="27">
        <v>0</v>
      </c>
      <c r="AC166" s="27">
        <v>0</v>
      </c>
      <c r="AD166" s="27">
        <v>0</v>
      </c>
      <c r="AE166" s="27">
        <v>0</v>
      </c>
      <c r="AF166" s="27">
        <v>0</v>
      </c>
      <c r="AG166" s="27">
        <v>1</v>
      </c>
      <c r="AH166" s="27">
        <v>0</v>
      </c>
      <c r="AI166" s="27">
        <v>0</v>
      </c>
      <c r="AJ166" s="27">
        <v>0</v>
      </c>
      <c r="AK166" s="27">
        <v>0</v>
      </c>
      <c r="AL166" s="27">
        <v>0</v>
      </c>
      <c r="AM166" s="27">
        <v>0</v>
      </c>
      <c r="AN166" s="27">
        <v>0</v>
      </c>
      <c r="AO166" s="27">
        <v>0</v>
      </c>
      <c r="AP166" s="27">
        <v>1</v>
      </c>
      <c r="AQ166" s="27">
        <v>0</v>
      </c>
      <c r="AR166" s="27">
        <v>0</v>
      </c>
      <c r="AS166" s="27">
        <v>0</v>
      </c>
      <c r="AT166" s="27">
        <v>0</v>
      </c>
      <c r="AU166" s="27">
        <v>0</v>
      </c>
      <c r="AV166" s="27">
        <v>0</v>
      </c>
      <c r="AW166" s="27">
        <v>0</v>
      </c>
      <c r="AX166" s="27">
        <v>0</v>
      </c>
      <c r="AZ166" s="27">
        <v>1</v>
      </c>
      <c r="BA166" s="27">
        <v>0</v>
      </c>
      <c r="BB166" s="27">
        <v>63.44</v>
      </c>
      <c r="BC166" s="27" t="s">
        <v>686</v>
      </c>
      <c r="BD166" s="27" t="s">
        <v>687</v>
      </c>
      <c r="BE166" s="27" t="s">
        <v>76</v>
      </c>
      <c r="BF166" s="27" t="s">
        <v>77</v>
      </c>
      <c r="BG166" s="27">
        <v>162</v>
      </c>
      <c r="BH166" s="27">
        <v>20</v>
      </c>
      <c r="BI166" s="27">
        <v>0.8901</v>
      </c>
      <c r="BJ166" s="27">
        <v>0</v>
      </c>
      <c r="BK166" s="27">
        <v>3</v>
      </c>
      <c r="BL166" s="27">
        <v>99.2</v>
      </c>
    </row>
    <row r="167" customHeight="1" spans="1:64">
      <c r="A167" s="27" t="s">
        <v>688</v>
      </c>
      <c r="B167" s="27" t="s">
        <v>144</v>
      </c>
      <c r="C167" s="27" t="s">
        <v>689</v>
      </c>
      <c r="D167" s="27">
        <v>845832018430</v>
      </c>
      <c r="E167" s="27" t="s">
        <v>217</v>
      </c>
      <c r="F167" s="27" t="s">
        <v>132</v>
      </c>
      <c r="G167" s="27" t="s">
        <v>83</v>
      </c>
      <c r="H167" s="27" t="s">
        <v>84</v>
      </c>
      <c r="I167" s="27" t="s">
        <v>85</v>
      </c>
      <c r="J167" s="27">
        <v>5</v>
      </c>
      <c r="K167" s="27">
        <v>6.33</v>
      </c>
      <c r="M167" s="27">
        <v>0</v>
      </c>
      <c r="N167" s="27">
        <v>0</v>
      </c>
      <c r="O167" s="27">
        <v>0</v>
      </c>
      <c r="P167" s="27" t="s">
        <v>133</v>
      </c>
      <c r="Q167" s="27">
        <v>1.991976</v>
      </c>
      <c r="S167" s="27">
        <v>650</v>
      </c>
      <c r="T167" s="27">
        <v>10</v>
      </c>
      <c r="U167" s="27">
        <v>0.9848</v>
      </c>
      <c r="V167" s="27" t="s">
        <v>154</v>
      </c>
      <c r="W167" s="27">
        <v>4114.5</v>
      </c>
      <c r="X167" s="27">
        <v>6.47851</v>
      </c>
      <c r="Y167" s="27">
        <v>8.322516</v>
      </c>
      <c r="Z167" s="27">
        <v>3.1623</v>
      </c>
      <c r="AA167" s="27" t="s">
        <v>125</v>
      </c>
      <c r="AB167" s="27">
        <v>0</v>
      </c>
      <c r="AC167" s="27">
        <v>0</v>
      </c>
      <c r="AD167" s="27">
        <v>0</v>
      </c>
      <c r="AE167" s="27">
        <v>0</v>
      </c>
      <c r="AF167" s="27">
        <v>0</v>
      </c>
      <c r="AG167" s="27">
        <v>0</v>
      </c>
      <c r="AH167" s="27">
        <v>0</v>
      </c>
      <c r="AI167" s="27">
        <v>0</v>
      </c>
      <c r="AJ167" s="27">
        <v>0</v>
      </c>
      <c r="AK167" s="27">
        <v>0</v>
      </c>
      <c r="AL167" s="27">
        <v>0</v>
      </c>
      <c r="AM167" s="27">
        <v>0</v>
      </c>
      <c r="AN167" s="27">
        <v>0</v>
      </c>
      <c r="AO167" s="27">
        <v>0</v>
      </c>
      <c r="AP167" s="27">
        <v>0</v>
      </c>
      <c r="AQ167" s="27">
        <v>0</v>
      </c>
      <c r="AR167" s="27">
        <v>0</v>
      </c>
      <c r="AS167" s="27">
        <v>0</v>
      </c>
      <c r="AT167" s="27">
        <v>0</v>
      </c>
      <c r="AU167" s="27">
        <v>0</v>
      </c>
      <c r="AV167" s="27">
        <v>0</v>
      </c>
      <c r="AW167" s="27">
        <v>1</v>
      </c>
      <c r="AX167" s="27">
        <v>0</v>
      </c>
      <c r="AZ167" s="27">
        <v>1</v>
      </c>
      <c r="BA167" s="27">
        <v>0</v>
      </c>
      <c r="BB167" s="27">
        <v>69.24</v>
      </c>
      <c r="BC167" s="27" t="s">
        <v>218</v>
      </c>
      <c r="BD167" s="27" t="s">
        <v>219</v>
      </c>
      <c r="BE167" s="27" t="s">
        <v>690</v>
      </c>
      <c r="BF167" s="27" t="s">
        <v>77</v>
      </c>
      <c r="BG167" s="27">
        <v>168</v>
      </c>
      <c r="BH167" s="27">
        <v>11</v>
      </c>
      <c r="BI167" s="27">
        <v>0.9385</v>
      </c>
      <c r="BJ167" s="27">
        <v>0</v>
      </c>
      <c r="BK167" s="27">
        <v>2</v>
      </c>
      <c r="BL167" s="27">
        <v>99.5</v>
      </c>
    </row>
    <row r="168" customHeight="1" spans="1:64">
      <c r="A168" s="27" t="s">
        <v>691</v>
      </c>
      <c r="B168" s="27" t="s">
        <v>692</v>
      </c>
      <c r="E168" s="27" t="s">
        <v>632</v>
      </c>
      <c r="F168" s="27" t="s">
        <v>240</v>
      </c>
      <c r="G168" s="27" t="s">
        <v>83</v>
      </c>
      <c r="H168" s="27" t="s">
        <v>84</v>
      </c>
      <c r="I168" s="27" t="s">
        <v>203</v>
      </c>
      <c r="J168" s="27">
        <v>4</v>
      </c>
      <c r="K168" s="27">
        <v>169.99</v>
      </c>
      <c r="M168" s="27">
        <v>0</v>
      </c>
      <c r="N168" s="27">
        <v>0</v>
      </c>
      <c r="O168" s="27">
        <v>0</v>
      </c>
      <c r="P168" s="27" t="s">
        <v>95</v>
      </c>
      <c r="Q168" s="27">
        <v>5.141605</v>
      </c>
      <c r="R168" s="27">
        <v>21.25</v>
      </c>
      <c r="V168" s="27" t="s">
        <v>231</v>
      </c>
      <c r="W168" s="27">
        <v>0</v>
      </c>
      <c r="X168" s="27">
        <v>0</v>
      </c>
      <c r="Y168" s="27">
        <v>0</v>
      </c>
      <c r="Z168" s="27">
        <v>0</v>
      </c>
      <c r="AA168" s="27" t="s">
        <v>125</v>
      </c>
      <c r="AB168" s="27">
        <v>0</v>
      </c>
      <c r="AC168" s="27">
        <v>0</v>
      </c>
      <c r="AD168" s="27">
        <v>0</v>
      </c>
      <c r="AE168" s="27">
        <v>0</v>
      </c>
      <c r="AF168" s="27">
        <v>0</v>
      </c>
      <c r="AG168" s="27">
        <v>0</v>
      </c>
      <c r="AH168" s="27">
        <v>0</v>
      </c>
      <c r="AI168" s="27">
        <v>0</v>
      </c>
      <c r="AJ168" s="27">
        <v>0</v>
      </c>
      <c r="AK168" s="27">
        <v>0</v>
      </c>
      <c r="AL168" s="27">
        <v>0</v>
      </c>
      <c r="AM168" s="27">
        <v>0</v>
      </c>
      <c r="AN168" s="27">
        <v>0</v>
      </c>
      <c r="AO168" s="27">
        <v>0</v>
      </c>
      <c r="AP168" s="27">
        <v>0</v>
      </c>
      <c r="AQ168" s="27">
        <v>1</v>
      </c>
      <c r="AR168" s="27">
        <v>0</v>
      </c>
      <c r="AS168" s="27">
        <v>0</v>
      </c>
      <c r="AT168" s="27">
        <v>0</v>
      </c>
      <c r="AU168" s="27">
        <v>0</v>
      </c>
      <c r="AV168" s="27">
        <v>1</v>
      </c>
      <c r="AW168" s="27">
        <v>1</v>
      </c>
      <c r="AX168" s="27">
        <v>0</v>
      </c>
      <c r="AY168" s="27">
        <v>8</v>
      </c>
      <c r="AZ168" s="27">
        <v>1</v>
      </c>
      <c r="BA168" s="27">
        <v>1</v>
      </c>
      <c r="BB168" s="27">
        <v>29.43</v>
      </c>
      <c r="BC168" s="27" t="s">
        <v>693</v>
      </c>
      <c r="BD168" s="27" t="s">
        <v>694</v>
      </c>
      <c r="BE168" s="27" t="s">
        <v>166</v>
      </c>
      <c r="BF168" s="27" t="s">
        <v>77</v>
      </c>
      <c r="BG168" s="27">
        <v>167</v>
      </c>
      <c r="BH168" s="27">
        <v>11</v>
      </c>
      <c r="BI168" s="27">
        <v>0.9382</v>
      </c>
      <c r="BJ168" s="27">
        <v>0</v>
      </c>
      <c r="BK168" s="27">
        <v>7</v>
      </c>
      <c r="BL168" s="27">
        <v>98.1</v>
      </c>
    </row>
    <row r="169" customHeight="1" spans="1:64">
      <c r="A169" s="27" t="s">
        <v>695</v>
      </c>
      <c r="B169" s="27" t="s">
        <v>696</v>
      </c>
      <c r="E169" s="27" t="s">
        <v>131</v>
      </c>
      <c r="F169" s="27" t="s">
        <v>132</v>
      </c>
      <c r="G169" s="27" t="s">
        <v>83</v>
      </c>
      <c r="H169" s="27" t="s">
        <v>84</v>
      </c>
      <c r="I169" s="27" t="s">
        <v>85</v>
      </c>
      <c r="J169" s="27">
        <v>5</v>
      </c>
      <c r="K169" s="27">
        <v>8.9</v>
      </c>
      <c r="M169" s="27">
        <v>0</v>
      </c>
      <c r="N169" s="27">
        <v>0</v>
      </c>
      <c r="O169" s="27">
        <v>0</v>
      </c>
      <c r="P169" s="27" t="s">
        <v>133</v>
      </c>
      <c r="Q169" s="27">
        <v>2.292535</v>
      </c>
      <c r="S169" s="27">
        <v>2356</v>
      </c>
      <c r="T169" s="27">
        <v>10</v>
      </c>
      <c r="U169" s="27">
        <v>0.9958</v>
      </c>
      <c r="V169" s="27" t="s">
        <v>109</v>
      </c>
      <c r="W169" s="27">
        <v>20968.4</v>
      </c>
      <c r="X169" s="27">
        <v>7.765145</v>
      </c>
      <c r="Y169" s="27">
        <v>9.95082</v>
      </c>
      <c r="Z169" s="27">
        <v>3.1623</v>
      </c>
      <c r="AA169" s="27" t="s">
        <v>125</v>
      </c>
      <c r="AB169" s="27">
        <v>0</v>
      </c>
      <c r="AC169" s="27">
        <v>0</v>
      </c>
      <c r="AD169" s="27">
        <v>0</v>
      </c>
      <c r="AE169" s="27">
        <v>0</v>
      </c>
      <c r="AF169" s="27">
        <v>0</v>
      </c>
      <c r="AG169" s="27">
        <v>0</v>
      </c>
      <c r="AH169" s="27">
        <v>0</v>
      </c>
      <c r="AI169" s="27">
        <v>0</v>
      </c>
      <c r="AJ169" s="27">
        <v>0</v>
      </c>
      <c r="AK169" s="27">
        <v>0</v>
      </c>
      <c r="AL169" s="27">
        <v>0</v>
      </c>
      <c r="AM169" s="27">
        <v>0</v>
      </c>
      <c r="AN169" s="27">
        <v>0</v>
      </c>
      <c r="AO169" s="27">
        <v>0</v>
      </c>
      <c r="AP169" s="27">
        <v>0</v>
      </c>
      <c r="AQ169" s="27">
        <v>0</v>
      </c>
      <c r="AR169" s="27">
        <v>0</v>
      </c>
      <c r="AS169" s="27">
        <v>0</v>
      </c>
      <c r="AT169" s="27">
        <v>0</v>
      </c>
      <c r="AU169" s="27">
        <v>0</v>
      </c>
      <c r="AV169" s="27">
        <v>0</v>
      </c>
      <c r="AW169" s="27">
        <v>0</v>
      </c>
      <c r="AX169" s="27">
        <v>0</v>
      </c>
      <c r="AZ169" s="27">
        <v>10</v>
      </c>
      <c r="BA169" s="27">
        <v>0</v>
      </c>
      <c r="BB169" s="27">
        <v>60.05</v>
      </c>
      <c r="BC169" s="27" t="s">
        <v>697</v>
      </c>
      <c r="BD169" s="27" t="s">
        <v>698</v>
      </c>
      <c r="BE169" s="27" t="s">
        <v>166</v>
      </c>
      <c r="BF169" s="27" t="s">
        <v>77</v>
      </c>
      <c r="BG169" s="27">
        <v>168</v>
      </c>
      <c r="BH169" s="27">
        <v>11</v>
      </c>
      <c r="BI169" s="27">
        <v>0.9385</v>
      </c>
      <c r="BJ169" s="27">
        <v>0</v>
      </c>
      <c r="BK169" s="27">
        <v>119</v>
      </c>
      <c r="BL169" s="27">
        <v>67.4</v>
      </c>
    </row>
    <row r="170" customHeight="1" spans="1:64">
      <c r="A170" s="27" t="s">
        <v>699</v>
      </c>
      <c r="B170" s="27" t="s">
        <v>700</v>
      </c>
      <c r="E170" s="27" t="s">
        <v>449</v>
      </c>
      <c r="F170" s="27" t="s">
        <v>82</v>
      </c>
      <c r="G170" s="27" t="s">
        <v>83</v>
      </c>
      <c r="H170" s="27" t="s">
        <v>84</v>
      </c>
      <c r="I170" s="27" t="s">
        <v>85</v>
      </c>
      <c r="J170" s="27">
        <v>5</v>
      </c>
      <c r="K170" s="27">
        <v>59.99</v>
      </c>
      <c r="M170" s="27">
        <v>0</v>
      </c>
      <c r="N170" s="27">
        <v>0</v>
      </c>
      <c r="O170" s="27">
        <v>0</v>
      </c>
      <c r="P170" s="27" t="s">
        <v>86</v>
      </c>
      <c r="Q170" s="27">
        <v>4.11071</v>
      </c>
      <c r="S170" s="27">
        <v>9</v>
      </c>
      <c r="T170" s="27">
        <v>10</v>
      </c>
      <c r="U170" s="27">
        <v>0.4737</v>
      </c>
      <c r="V170" s="27" t="s">
        <v>87</v>
      </c>
      <c r="W170" s="27">
        <v>539.91</v>
      </c>
      <c r="X170" s="27">
        <v>2.302585</v>
      </c>
      <c r="Y170" s="27">
        <v>6.293253</v>
      </c>
      <c r="Z170" s="27">
        <v>3.1623</v>
      </c>
      <c r="AA170" s="27" t="s">
        <v>187</v>
      </c>
      <c r="AB170" s="27">
        <v>1</v>
      </c>
      <c r="AC170" s="27">
        <v>0</v>
      </c>
      <c r="AD170" s="27">
        <v>0</v>
      </c>
      <c r="AE170" s="27">
        <v>1</v>
      </c>
      <c r="AF170" s="27">
        <v>0</v>
      </c>
      <c r="AG170" s="27">
        <v>0</v>
      </c>
      <c r="AH170" s="27">
        <v>1</v>
      </c>
      <c r="AI170" s="27">
        <v>0</v>
      </c>
      <c r="AJ170" s="27">
        <v>0</v>
      </c>
      <c r="AK170" s="27">
        <v>0</v>
      </c>
      <c r="AL170" s="27">
        <v>0</v>
      </c>
      <c r="AM170" s="27">
        <v>0</v>
      </c>
      <c r="AN170" s="27">
        <v>0</v>
      </c>
      <c r="AO170" s="27">
        <v>0</v>
      </c>
      <c r="AP170" s="27">
        <v>0</v>
      </c>
      <c r="AQ170" s="27">
        <v>0</v>
      </c>
      <c r="AR170" s="27">
        <v>0</v>
      </c>
      <c r="AS170" s="27">
        <v>0</v>
      </c>
      <c r="AT170" s="27">
        <v>1</v>
      </c>
      <c r="AU170" s="27">
        <v>0</v>
      </c>
      <c r="AV170" s="27">
        <v>0</v>
      </c>
      <c r="AW170" s="27">
        <v>0</v>
      </c>
      <c r="AX170" s="27">
        <v>0</v>
      </c>
      <c r="AZ170" s="27">
        <v>1</v>
      </c>
      <c r="BA170" s="27">
        <v>3</v>
      </c>
      <c r="BB170" s="27">
        <v>18.95</v>
      </c>
      <c r="BC170" s="27" t="s">
        <v>701</v>
      </c>
      <c r="BD170" s="27" t="s">
        <v>702</v>
      </c>
      <c r="BE170" s="27" t="s">
        <v>150</v>
      </c>
      <c r="BF170" s="27" t="s">
        <v>77</v>
      </c>
      <c r="BG170" s="27">
        <v>208</v>
      </c>
      <c r="BH170" s="27">
        <v>13</v>
      </c>
      <c r="BI170" s="27">
        <v>0.9412</v>
      </c>
      <c r="BJ170" s="27">
        <v>0</v>
      </c>
    </row>
    <row r="171" customHeight="1" spans="1:64">
      <c r="A171" s="27" t="s">
        <v>703</v>
      </c>
      <c r="B171" s="27" t="s">
        <v>704</v>
      </c>
      <c r="E171" s="27" t="s">
        <v>705</v>
      </c>
      <c r="F171" s="27" t="s">
        <v>132</v>
      </c>
      <c r="G171" s="27" t="s">
        <v>83</v>
      </c>
      <c r="H171" s="27" t="s">
        <v>84</v>
      </c>
      <c r="I171" s="27" t="s">
        <v>85</v>
      </c>
      <c r="J171" s="27">
        <v>5</v>
      </c>
      <c r="K171" s="27">
        <v>43.99</v>
      </c>
      <c r="M171" s="27">
        <v>0</v>
      </c>
      <c r="N171" s="27">
        <v>0</v>
      </c>
      <c r="O171" s="27">
        <v>0</v>
      </c>
      <c r="P171" s="27" t="s">
        <v>86</v>
      </c>
      <c r="Q171" s="27">
        <v>3.80644</v>
      </c>
      <c r="S171" s="27">
        <v>51</v>
      </c>
      <c r="T171" s="27">
        <v>10</v>
      </c>
      <c r="U171" s="27">
        <v>0.8361</v>
      </c>
      <c r="V171" s="27" t="s">
        <v>72</v>
      </c>
      <c r="W171" s="27">
        <v>2243.49</v>
      </c>
      <c r="X171" s="27">
        <v>3.951244</v>
      </c>
      <c r="Y171" s="27">
        <v>7.716234</v>
      </c>
      <c r="Z171" s="27">
        <v>3.1623</v>
      </c>
      <c r="AA171" s="27" t="s">
        <v>125</v>
      </c>
      <c r="AB171" s="27">
        <v>0</v>
      </c>
      <c r="AC171" s="27">
        <v>0</v>
      </c>
      <c r="AD171" s="27">
        <v>0</v>
      </c>
      <c r="AE171" s="27">
        <v>0</v>
      </c>
      <c r="AF171" s="27">
        <v>0</v>
      </c>
      <c r="AG171" s="27">
        <v>0</v>
      </c>
      <c r="AH171" s="27">
        <v>0</v>
      </c>
      <c r="AI171" s="27">
        <v>0</v>
      </c>
      <c r="AJ171" s="27">
        <v>0</v>
      </c>
      <c r="AK171" s="27">
        <v>0</v>
      </c>
      <c r="AL171" s="27">
        <v>0</v>
      </c>
      <c r="AM171" s="27">
        <v>0</v>
      </c>
      <c r="AN171" s="27">
        <v>0</v>
      </c>
      <c r="AO171" s="27">
        <v>0</v>
      </c>
      <c r="AP171" s="27">
        <v>0</v>
      </c>
      <c r="AQ171" s="27">
        <v>0</v>
      </c>
      <c r="AR171" s="27">
        <v>0</v>
      </c>
      <c r="AS171" s="27">
        <v>0</v>
      </c>
      <c r="AT171" s="27">
        <v>0</v>
      </c>
      <c r="AU171" s="27">
        <v>0</v>
      </c>
      <c r="AV171" s="27">
        <v>0</v>
      </c>
      <c r="AW171" s="27">
        <v>0</v>
      </c>
      <c r="AX171" s="27">
        <v>0</v>
      </c>
      <c r="AZ171" s="27">
        <v>1</v>
      </c>
      <c r="BA171" s="27">
        <v>0</v>
      </c>
      <c r="BB171" s="27">
        <v>47.99</v>
      </c>
      <c r="BC171" s="27" t="s">
        <v>706</v>
      </c>
      <c r="BD171" s="27" t="s">
        <v>135</v>
      </c>
      <c r="BE171" s="27" t="s">
        <v>136</v>
      </c>
      <c r="BF171" s="27" t="s">
        <v>77</v>
      </c>
      <c r="BG171" s="27">
        <v>161</v>
      </c>
      <c r="BH171" s="27">
        <v>20</v>
      </c>
      <c r="BI171" s="27">
        <v>0.8895</v>
      </c>
      <c r="BJ171" s="27">
        <v>0</v>
      </c>
      <c r="BK171" s="27">
        <v>188</v>
      </c>
      <c r="BL171" s="27">
        <v>48.5</v>
      </c>
    </row>
    <row r="172" customHeight="1" spans="1:64">
      <c r="A172" s="27" t="s">
        <v>707</v>
      </c>
      <c r="B172" s="27" t="s">
        <v>104</v>
      </c>
      <c r="C172" s="27" t="s">
        <v>708</v>
      </c>
      <c r="D172" s="27">
        <v>194644287726</v>
      </c>
      <c r="E172" s="27" t="s">
        <v>209</v>
      </c>
      <c r="F172" s="27" t="s">
        <v>160</v>
      </c>
      <c r="G172" s="27" t="s">
        <v>106</v>
      </c>
      <c r="H172" s="27" t="s">
        <v>107</v>
      </c>
      <c r="I172" s="27" t="s">
        <v>108</v>
      </c>
      <c r="J172" s="27">
        <v>3</v>
      </c>
      <c r="K172" s="27">
        <v>435.99</v>
      </c>
      <c r="L172" s="27">
        <v>799.99</v>
      </c>
      <c r="M172" s="27">
        <v>45.5</v>
      </c>
      <c r="N172" s="27">
        <v>364</v>
      </c>
      <c r="O172" s="27">
        <v>1</v>
      </c>
      <c r="P172" s="27" t="s">
        <v>71</v>
      </c>
      <c r="Q172" s="27">
        <v>6.07991</v>
      </c>
      <c r="S172" s="27">
        <v>442</v>
      </c>
      <c r="T172" s="27">
        <v>114</v>
      </c>
      <c r="U172" s="27">
        <v>0.795</v>
      </c>
      <c r="V172" s="27" t="s">
        <v>154</v>
      </c>
      <c r="W172" s="27">
        <v>192707.58</v>
      </c>
      <c r="X172" s="27">
        <v>6.09357</v>
      </c>
      <c r="Y172" s="27">
        <v>12.168934</v>
      </c>
      <c r="Z172" s="27">
        <v>10.6771</v>
      </c>
      <c r="AA172" s="27" t="s">
        <v>73</v>
      </c>
      <c r="AB172" s="27">
        <v>1</v>
      </c>
      <c r="AC172" s="27">
        <v>1</v>
      </c>
      <c r="AD172" s="27">
        <v>0</v>
      </c>
      <c r="AE172" s="27">
        <v>1</v>
      </c>
      <c r="AF172" s="27">
        <v>0</v>
      </c>
      <c r="AG172" s="27">
        <v>0</v>
      </c>
      <c r="AH172" s="27">
        <v>0</v>
      </c>
      <c r="AI172" s="27">
        <v>0</v>
      </c>
      <c r="AJ172" s="27">
        <v>0</v>
      </c>
      <c r="AK172" s="27">
        <v>0</v>
      </c>
      <c r="AL172" s="27">
        <v>0</v>
      </c>
      <c r="AM172" s="27">
        <v>0</v>
      </c>
      <c r="AN172" s="27">
        <v>0</v>
      </c>
      <c r="AO172" s="27">
        <v>0</v>
      </c>
      <c r="AP172" s="27">
        <v>0</v>
      </c>
      <c r="AQ172" s="27">
        <v>0</v>
      </c>
      <c r="AR172" s="27">
        <v>0</v>
      </c>
      <c r="AS172" s="27">
        <v>0</v>
      </c>
      <c r="AT172" s="27">
        <v>0</v>
      </c>
      <c r="AU172" s="27">
        <v>0</v>
      </c>
      <c r="AV172" s="27">
        <v>0</v>
      </c>
      <c r="AW172" s="27">
        <v>1</v>
      </c>
      <c r="AX172" s="27">
        <v>1</v>
      </c>
      <c r="AZ172" s="27">
        <v>1</v>
      </c>
      <c r="BA172" s="27">
        <v>3</v>
      </c>
      <c r="BB172" s="27">
        <v>75.3</v>
      </c>
      <c r="BC172" s="27" t="s">
        <v>111</v>
      </c>
      <c r="BD172" s="27" t="s">
        <v>112</v>
      </c>
      <c r="BE172" s="27" t="s">
        <v>113</v>
      </c>
      <c r="BF172" s="27" t="s">
        <v>77</v>
      </c>
      <c r="BG172" s="27">
        <v>162</v>
      </c>
      <c r="BH172" s="27">
        <v>24</v>
      </c>
      <c r="BI172" s="27">
        <v>0.871</v>
      </c>
      <c r="BJ172" s="27">
        <v>0</v>
      </c>
      <c r="BK172" s="27">
        <v>2</v>
      </c>
      <c r="BL172" s="27">
        <v>99.5</v>
      </c>
    </row>
    <row r="173" customHeight="1" spans="1:64">
      <c r="A173" s="27" t="s">
        <v>709</v>
      </c>
      <c r="B173" s="27" t="s">
        <v>710</v>
      </c>
      <c r="D173" s="27">
        <v>768231568910</v>
      </c>
      <c r="E173" s="27" t="s">
        <v>711</v>
      </c>
      <c r="F173" s="27" t="s">
        <v>82</v>
      </c>
      <c r="G173" s="27" t="s">
        <v>83</v>
      </c>
      <c r="H173" s="27" t="s">
        <v>84</v>
      </c>
      <c r="I173" s="27" t="s">
        <v>85</v>
      </c>
      <c r="J173" s="27">
        <v>5</v>
      </c>
      <c r="K173" s="27">
        <v>24.99</v>
      </c>
      <c r="L173" s="27">
        <v>49.98</v>
      </c>
      <c r="M173" s="27">
        <v>50</v>
      </c>
      <c r="N173" s="27">
        <v>24.99</v>
      </c>
      <c r="O173" s="27">
        <v>1</v>
      </c>
      <c r="P173" s="27" t="s">
        <v>133</v>
      </c>
      <c r="Q173" s="27">
        <v>3.257712</v>
      </c>
      <c r="S173" s="27">
        <v>44</v>
      </c>
      <c r="T173" s="27">
        <v>10</v>
      </c>
      <c r="U173" s="27">
        <v>0.8148</v>
      </c>
      <c r="V173" s="27" t="s">
        <v>72</v>
      </c>
      <c r="W173" s="27">
        <v>1099.56</v>
      </c>
      <c r="X173" s="27">
        <v>3.806662</v>
      </c>
      <c r="Y173" s="27">
        <v>7.003574</v>
      </c>
      <c r="Z173" s="27">
        <v>3.1623</v>
      </c>
      <c r="AA173" s="27" t="s">
        <v>125</v>
      </c>
      <c r="AB173" s="27">
        <v>0</v>
      </c>
      <c r="AC173" s="27">
        <v>0</v>
      </c>
      <c r="AD173" s="27">
        <v>0</v>
      </c>
      <c r="AE173" s="27">
        <v>1</v>
      </c>
      <c r="AF173" s="27">
        <v>0</v>
      </c>
      <c r="AG173" s="27">
        <v>0</v>
      </c>
      <c r="AH173" s="27">
        <v>1</v>
      </c>
      <c r="AI173" s="27">
        <v>0</v>
      </c>
      <c r="AJ173" s="27">
        <v>1</v>
      </c>
      <c r="AK173" s="27">
        <v>0</v>
      </c>
      <c r="AL173" s="27">
        <v>0</v>
      </c>
      <c r="AM173" s="27">
        <v>0</v>
      </c>
      <c r="AN173" s="27">
        <v>0</v>
      </c>
      <c r="AO173" s="27">
        <v>0</v>
      </c>
      <c r="AP173" s="27">
        <v>0</v>
      </c>
      <c r="AQ173" s="27">
        <v>0</v>
      </c>
      <c r="AR173" s="27">
        <v>0</v>
      </c>
      <c r="AS173" s="27">
        <v>0</v>
      </c>
      <c r="AT173" s="27">
        <v>1</v>
      </c>
      <c r="AU173" s="27">
        <v>0</v>
      </c>
      <c r="AV173" s="27">
        <v>0</v>
      </c>
      <c r="AW173" s="27">
        <v>0</v>
      </c>
      <c r="AX173" s="27">
        <v>0</v>
      </c>
      <c r="AZ173" s="27">
        <v>1</v>
      </c>
      <c r="BA173" s="27">
        <v>2</v>
      </c>
      <c r="BB173" s="27">
        <v>76.27</v>
      </c>
      <c r="BC173" s="27" t="s">
        <v>712</v>
      </c>
      <c r="BD173" s="27" t="s">
        <v>684</v>
      </c>
      <c r="BE173" s="27" t="s">
        <v>128</v>
      </c>
      <c r="BF173" s="27" t="s">
        <v>77</v>
      </c>
      <c r="BG173" s="27">
        <v>1</v>
      </c>
      <c r="BH173" s="27">
        <v>27</v>
      </c>
      <c r="BI173" s="27">
        <v>0.0357</v>
      </c>
      <c r="BJ173" s="27">
        <v>1</v>
      </c>
      <c r="BK173" s="27">
        <v>16</v>
      </c>
      <c r="BL173" s="27">
        <v>95.6</v>
      </c>
    </row>
    <row r="174" customHeight="1" spans="1:64">
      <c r="A174" s="27" t="s">
        <v>713</v>
      </c>
      <c r="B174" s="27" t="s">
        <v>714</v>
      </c>
      <c r="C174" s="27" t="s">
        <v>715</v>
      </c>
      <c r="E174" s="27" t="s">
        <v>716</v>
      </c>
      <c r="F174" s="27" t="s">
        <v>82</v>
      </c>
      <c r="G174" s="27" t="s">
        <v>117</v>
      </c>
      <c r="H174" s="27" t="s">
        <v>84</v>
      </c>
      <c r="I174" s="27" t="s">
        <v>85</v>
      </c>
      <c r="J174" s="27">
        <v>5</v>
      </c>
      <c r="K174" s="27">
        <v>19.95</v>
      </c>
      <c r="M174" s="27">
        <v>0</v>
      </c>
      <c r="N174" s="27">
        <v>0</v>
      </c>
      <c r="O174" s="27">
        <v>0</v>
      </c>
      <c r="P174" s="27" t="s">
        <v>133</v>
      </c>
      <c r="Q174" s="27">
        <v>3.042139</v>
      </c>
      <c r="S174" s="27">
        <v>24</v>
      </c>
      <c r="T174" s="27">
        <v>10</v>
      </c>
      <c r="U174" s="27">
        <v>0.7059</v>
      </c>
      <c r="V174" s="27" t="s">
        <v>72</v>
      </c>
      <c r="W174" s="27">
        <v>478.8</v>
      </c>
      <c r="X174" s="27">
        <v>3.218876</v>
      </c>
      <c r="Y174" s="27">
        <v>6.173369</v>
      </c>
      <c r="Z174" s="27">
        <v>3.1623</v>
      </c>
      <c r="AA174" s="27" t="s">
        <v>125</v>
      </c>
      <c r="AB174" s="27">
        <v>0</v>
      </c>
      <c r="AC174" s="27">
        <v>0</v>
      </c>
      <c r="AD174" s="27">
        <v>0</v>
      </c>
      <c r="AE174" s="27">
        <v>0</v>
      </c>
      <c r="AF174" s="27">
        <v>0</v>
      </c>
      <c r="AG174" s="27">
        <v>0</v>
      </c>
      <c r="AH174" s="27">
        <v>1</v>
      </c>
      <c r="AI174" s="27">
        <v>0</v>
      </c>
      <c r="AJ174" s="27">
        <v>0</v>
      </c>
      <c r="AK174" s="27">
        <v>0</v>
      </c>
      <c r="AL174" s="27">
        <v>0</v>
      </c>
      <c r="AM174" s="27">
        <v>0</v>
      </c>
      <c r="AN174" s="27">
        <v>0</v>
      </c>
      <c r="AO174" s="27">
        <v>0</v>
      </c>
      <c r="AP174" s="27">
        <v>0</v>
      </c>
      <c r="AQ174" s="27">
        <v>0</v>
      </c>
      <c r="AR174" s="27">
        <v>0</v>
      </c>
      <c r="AS174" s="27">
        <v>0</v>
      </c>
      <c r="AT174" s="27">
        <v>0</v>
      </c>
      <c r="AU174" s="27">
        <v>0</v>
      </c>
      <c r="AV174" s="27">
        <v>0</v>
      </c>
      <c r="AW174" s="27">
        <v>0</v>
      </c>
      <c r="AX174" s="27">
        <v>0</v>
      </c>
      <c r="AZ174" s="27">
        <v>1</v>
      </c>
      <c r="BA174" s="27">
        <v>1</v>
      </c>
      <c r="BB174" s="27">
        <v>57.76</v>
      </c>
      <c r="BC174" s="27" t="s">
        <v>717</v>
      </c>
      <c r="BD174" s="27" t="s">
        <v>718</v>
      </c>
      <c r="BE174" s="27" t="s">
        <v>166</v>
      </c>
      <c r="BF174" s="27" t="s">
        <v>77</v>
      </c>
      <c r="BG174" s="27">
        <v>162</v>
      </c>
      <c r="BH174" s="27">
        <v>20</v>
      </c>
      <c r="BI174" s="27">
        <v>0.8901</v>
      </c>
      <c r="BJ174" s="27">
        <v>0</v>
      </c>
      <c r="BK174" s="27">
        <v>6</v>
      </c>
      <c r="BL174" s="27">
        <v>98.4</v>
      </c>
    </row>
    <row r="175" customHeight="1" spans="1:64">
      <c r="A175" s="27" t="s">
        <v>719</v>
      </c>
      <c r="B175" s="27" t="s">
        <v>427</v>
      </c>
      <c r="C175" s="27" t="s">
        <v>720</v>
      </c>
      <c r="D175" s="27">
        <v>753575864149</v>
      </c>
      <c r="E175" s="27" t="s">
        <v>721</v>
      </c>
      <c r="F175" s="27" t="s">
        <v>68</v>
      </c>
      <c r="G175" s="27" t="s">
        <v>427</v>
      </c>
      <c r="H175" s="27" t="s">
        <v>107</v>
      </c>
      <c r="I175" s="27" t="s">
        <v>203</v>
      </c>
      <c r="J175" s="27">
        <v>4</v>
      </c>
      <c r="K175" s="27">
        <v>215</v>
      </c>
      <c r="M175" s="27">
        <v>0</v>
      </c>
      <c r="N175" s="27">
        <v>0</v>
      </c>
      <c r="O175" s="27">
        <v>0</v>
      </c>
      <c r="P175" s="27" t="s">
        <v>71</v>
      </c>
      <c r="Q175" s="27">
        <v>5.375278</v>
      </c>
      <c r="S175" s="27">
        <v>1</v>
      </c>
      <c r="T175" s="27">
        <v>2</v>
      </c>
      <c r="U175" s="27">
        <v>0.3333</v>
      </c>
      <c r="V175" s="27" t="s">
        <v>87</v>
      </c>
      <c r="W175" s="27">
        <v>215</v>
      </c>
      <c r="X175" s="27">
        <v>0.693147</v>
      </c>
      <c r="Y175" s="27">
        <v>5.375278</v>
      </c>
      <c r="Z175" s="27">
        <v>1.4142</v>
      </c>
      <c r="AA175" s="27" t="s">
        <v>73</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v>0</v>
      </c>
      <c r="AS175" s="27">
        <v>0</v>
      </c>
      <c r="AT175" s="27">
        <v>0</v>
      </c>
      <c r="AU175" s="27">
        <v>0</v>
      </c>
      <c r="AV175" s="27">
        <v>0</v>
      </c>
      <c r="AW175" s="27">
        <v>0</v>
      </c>
      <c r="AX175" s="27">
        <v>0</v>
      </c>
      <c r="AZ175" s="27">
        <v>1</v>
      </c>
      <c r="BA175" s="27">
        <v>0</v>
      </c>
      <c r="BB175" s="27">
        <v>42.91</v>
      </c>
      <c r="BC175" s="27" t="s">
        <v>722</v>
      </c>
      <c r="BD175" s="27" t="s">
        <v>723</v>
      </c>
      <c r="BE175" s="27" t="s">
        <v>166</v>
      </c>
      <c r="BF175" s="27" t="s">
        <v>77</v>
      </c>
      <c r="BG175" s="27">
        <v>162</v>
      </c>
      <c r="BH175" s="27">
        <v>60</v>
      </c>
      <c r="BI175" s="27">
        <v>0.7297</v>
      </c>
      <c r="BJ175" s="27">
        <v>0</v>
      </c>
      <c r="BK175" s="27">
        <v>5</v>
      </c>
      <c r="BL175" s="27">
        <v>98.6</v>
      </c>
    </row>
    <row r="176" customHeight="1" spans="1:64">
      <c r="A176" s="27" t="s">
        <v>724</v>
      </c>
      <c r="B176" s="27" t="s">
        <v>725</v>
      </c>
      <c r="E176" s="27" t="s">
        <v>726</v>
      </c>
      <c r="F176" s="27" t="s">
        <v>727</v>
      </c>
      <c r="G176" s="27" t="s">
        <v>83</v>
      </c>
      <c r="H176" s="27" t="s">
        <v>84</v>
      </c>
      <c r="I176" s="27" t="s">
        <v>85</v>
      </c>
      <c r="J176" s="27">
        <v>5</v>
      </c>
      <c r="K176" s="27">
        <v>40.49</v>
      </c>
      <c r="M176" s="27">
        <v>0</v>
      </c>
      <c r="N176" s="27">
        <v>0</v>
      </c>
      <c r="O176" s="27">
        <v>0</v>
      </c>
      <c r="P176" s="27" t="s">
        <v>86</v>
      </c>
      <c r="Q176" s="27">
        <v>3.725452</v>
      </c>
      <c r="S176" s="27">
        <v>195</v>
      </c>
      <c r="T176" s="27">
        <v>2</v>
      </c>
      <c r="U176" s="27">
        <v>0.9898</v>
      </c>
      <c r="V176" s="27" t="s">
        <v>154</v>
      </c>
      <c r="W176" s="27">
        <v>7895.55</v>
      </c>
      <c r="X176" s="27">
        <v>5.278115</v>
      </c>
      <c r="Y176" s="27">
        <v>8.974181</v>
      </c>
      <c r="Z176" s="27">
        <v>1.4142</v>
      </c>
      <c r="AA176" s="27" t="s">
        <v>125</v>
      </c>
      <c r="AB176" s="27">
        <v>0</v>
      </c>
      <c r="AC176" s="27">
        <v>0</v>
      </c>
      <c r="AD176" s="27">
        <v>0</v>
      </c>
      <c r="AE176" s="27">
        <v>1</v>
      </c>
      <c r="AF176" s="27">
        <v>0</v>
      </c>
      <c r="AG176" s="27">
        <v>0</v>
      </c>
      <c r="AH176" s="27">
        <v>1</v>
      </c>
      <c r="AI176" s="27">
        <v>0</v>
      </c>
      <c r="AJ176" s="27">
        <v>0</v>
      </c>
      <c r="AK176" s="27">
        <v>0</v>
      </c>
      <c r="AL176" s="27">
        <v>0</v>
      </c>
      <c r="AM176" s="27">
        <v>0</v>
      </c>
      <c r="AN176" s="27">
        <v>0</v>
      </c>
      <c r="AO176" s="27">
        <v>0</v>
      </c>
      <c r="AP176" s="27">
        <v>0</v>
      </c>
      <c r="AQ176" s="27">
        <v>0</v>
      </c>
      <c r="AR176" s="27">
        <v>0</v>
      </c>
      <c r="AS176" s="27">
        <v>0</v>
      </c>
      <c r="AT176" s="27">
        <v>0</v>
      </c>
      <c r="AU176" s="27">
        <v>0</v>
      </c>
      <c r="AV176" s="27">
        <v>0</v>
      </c>
      <c r="AW176" s="27">
        <v>0</v>
      </c>
      <c r="AX176" s="27">
        <v>0</v>
      </c>
      <c r="AZ176" s="27">
        <v>1</v>
      </c>
      <c r="BA176" s="27">
        <v>2</v>
      </c>
      <c r="BB176" s="27">
        <v>69.35</v>
      </c>
      <c r="BC176" s="27" t="s">
        <v>728</v>
      </c>
      <c r="BD176" s="27" t="s">
        <v>356</v>
      </c>
      <c r="BE176" s="27" t="s">
        <v>287</v>
      </c>
      <c r="BF176" s="27" t="s">
        <v>77</v>
      </c>
      <c r="BG176" s="27">
        <v>168</v>
      </c>
      <c r="BH176" s="27">
        <v>53</v>
      </c>
      <c r="BI176" s="27">
        <v>0.7602</v>
      </c>
      <c r="BJ176" s="27">
        <v>0</v>
      </c>
      <c r="BK176" s="27">
        <v>3</v>
      </c>
      <c r="BL176" s="27">
        <v>99.2</v>
      </c>
    </row>
    <row r="177" customHeight="1" spans="1:64">
      <c r="A177" s="27" t="s">
        <v>729</v>
      </c>
      <c r="B177" s="27" t="s">
        <v>280</v>
      </c>
      <c r="C177" s="27">
        <v>900057</v>
      </c>
      <c r="E177" s="27" t="s">
        <v>131</v>
      </c>
      <c r="F177" s="27" t="s">
        <v>132</v>
      </c>
      <c r="G177" s="27" t="s">
        <v>83</v>
      </c>
      <c r="H177" s="27" t="s">
        <v>84</v>
      </c>
      <c r="I177" s="27" t="s">
        <v>85</v>
      </c>
      <c r="J177" s="27">
        <v>5</v>
      </c>
      <c r="K177" s="27">
        <v>6.99</v>
      </c>
      <c r="M177" s="27">
        <v>0</v>
      </c>
      <c r="N177" s="27">
        <v>0</v>
      </c>
      <c r="O177" s="27">
        <v>0</v>
      </c>
      <c r="P177" s="27" t="s">
        <v>133</v>
      </c>
      <c r="Q177" s="27">
        <v>2.078191</v>
      </c>
      <c r="S177" s="27">
        <v>560</v>
      </c>
      <c r="T177" s="27">
        <v>10</v>
      </c>
      <c r="U177" s="27">
        <v>0.9825</v>
      </c>
      <c r="V177" s="27" t="s">
        <v>154</v>
      </c>
      <c r="W177" s="27">
        <v>3914.4</v>
      </c>
      <c r="X177" s="27">
        <v>6.329721</v>
      </c>
      <c r="Y177" s="27">
        <v>8.272673</v>
      </c>
      <c r="Z177" s="27">
        <v>3.1623</v>
      </c>
      <c r="AA177" s="27" t="s">
        <v>125</v>
      </c>
      <c r="AB177" s="27">
        <v>0</v>
      </c>
      <c r="AC177" s="27">
        <v>0</v>
      </c>
      <c r="AD177" s="27">
        <v>0</v>
      </c>
      <c r="AE177" s="27">
        <v>0</v>
      </c>
      <c r="AF177" s="27">
        <v>0</v>
      </c>
      <c r="AG177" s="27">
        <v>0</v>
      </c>
      <c r="AH177" s="27">
        <v>0</v>
      </c>
      <c r="AI177" s="27">
        <v>0</v>
      </c>
      <c r="AJ177" s="27">
        <v>0</v>
      </c>
      <c r="AK177" s="27">
        <v>0</v>
      </c>
      <c r="AL177" s="27">
        <v>0</v>
      </c>
      <c r="AM177" s="27">
        <v>0</v>
      </c>
      <c r="AN177" s="27">
        <v>0</v>
      </c>
      <c r="AO177" s="27">
        <v>0</v>
      </c>
      <c r="AP177" s="27">
        <v>0</v>
      </c>
      <c r="AQ177" s="27">
        <v>0</v>
      </c>
      <c r="AR177" s="27">
        <v>0</v>
      </c>
      <c r="AS177" s="27">
        <v>0</v>
      </c>
      <c r="AT177" s="27">
        <v>0</v>
      </c>
      <c r="AU177" s="27">
        <v>0</v>
      </c>
      <c r="AV177" s="27">
        <v>0</v>
      </c>
      <c r="AW177" s="27">
        <v>1</v>
      </c>
      <c r="AX177" s="27">
        <v>0</v>
      </c>
      <c r="AZ177" s="27">
        <v>1</v>
      </c>
      <c r="BA177" s="27">
        <v>0</v>
      </c>
      <c r="BB177" s="27">
        <v>54</v>
      </c>
      <c r="BC177" s="27" t="s">
        <v>134</v>
      </c>
      <c r="BD177" s="27" t="s">
        <v>135</v>
      </c>
      <c r="BE177" s="27" t="s">
        <v>150</v>
      </c>
      <c r="BF177" s="27" t="s">
        <v>77</v>
      </c>
      <c r="BG177" s="27">
        <v>208</v>
      </c>
      <c r="BH177" s="27">
        <v>11</v>
      </c>
      <c r="BI177" s="27">
        <v>0.9498</v>
      </c>
      <c r="BJ177" s="27">
        <v>0</v>
      </c>
      <c r="BK177" s="27">
        <v>186</v>
      </c>
      <c r="BL177" s="27">
        <v>49</v>
      </c>
    </row>
    <row r="178" customHeight="1" spans="1:64">
      <c r="A178" s="27" t="s">
        <v>730</v>
      </c>
      <c r="B178" s="27" t="s">
        <v>245</v>
      </c>
      <c r="C178" s="27" t="s">
        <v>400</v>
      </c>
      <c r="E178" s="27" t="s">
        <v>731</v>
      </c>
      <c r="F178" s="27" t="s">
        <v>160</v>
      </c>
      <c r="G178" s="27" t="s">
        <v>83</v>
      </c>
      <c r="H178" s="27" t="s">
        <v>84</v>
      </c>
      <c r="I178" s="27" t="s">
        <v>85</v>
      </c>
      <c r="J178" s="27">
        <v>5</v>
      </c>
      <c r="K178" s="27">
        <v>119.99</v>
      </c>
      <c r="L178" s="27">
        <v>199.99</v>
      </c>
      <c r="M178" s="27">
        <v>40</v>
      </c>
      <c r="N178" s="27">
        <v>80</v>
      </c>
      <c r="O178" s="27">
        <v>1</v>
      </c>
      <c r="P178" s="27" t="s">
        <v>95</v>
      </c>
      <c r="Q178" s="27">
        <v>4.795708</v>
      </c>
      <c r="R178" s="27">
        <v>15</v>
      </c>
      <c r="S178" s="27">
        <v>140</v>
      </c>
      <c r="T178" s="27">
        <v>10</v>
      </c>
      <c r="U178" s="27">
        <v>0.9333</v>
      </c>
      <c r="V178" s="27" t="s">
        <v>72</v>
      </c>
      <c r="W178" s="27">
        <v>16798.6</v>
      </c>
      <c r="X178" s="27">
        <v>4.94876</v>
      </c>
      <c r="Y178" s="27">
        <v>9.72911</v>
      </c>
      <c r="Z178" s="27">
        <v>3.1623</v>
      </c>
      <c r="AA178" s="27" t="s">
        <v>73</v>
      </c>
      <c r="AB178" s="27">
        <v>0</v>
      </c>
      <c r="AC178" s="27">
        <v>0</v>
      </c>
      <c r="AD178" s="27">
        <v>0</v>
      </c>
      <c r="AE178" s="27">
        <v>0</v>
      </c>
      <c r="AF178" s="27">
        <v>0</v>
      </c>
      <c r="AG178" s="27">
        <v>1</v>
      </c>
      <c r="AH178" s="27">
        <v>0</v>
      </c>
      <c r="AI178" s="27">
        <v>1</v>
      </c>
      <c r="AJ178" s="27">
        <v>0</v>
      </c>
      <c r="AK178" s="27">
        <v>0</v>
      </c>
      <c r="AL178" s="27">
        <v>0</v>
      </c>
      <c r="AM178" s="27">
        <v>0</v>
      </c>
      <c r="AN178" s="27">
        <v>1</v>
      </c>
      <c r="AO178" s="27">
        <v>0</v>
      </c>
      <c r="AP178" s="27">
        <v>0</v>
      </c>
      <c r="AQ178" s="27">
        <v>1</v>
      </c>
      <c r="AR178" s="27">
        <v>0</v>
      </c>
      <c r="AS178" s="27">
        <v>0</v>
      </c>
      <c r="AT178" s="27">
        <v>0</v>
      </c>
      <c r="AU178" s="27">
        <v>0</v>
      </c>
      <c r="AV178" s="27">
        <v>1</v>
      </c>
      <c r="AW178" s="27">
        <v>1</v>
      </c>
      <c r="AX178" s="27">
        <v>0</v>
      </c>
      <c r="AY178" s="27">
        <v>8</v>
      </c>
      <c r="AZ178" s="27">
        <v>1</v>
      </c>
      <c r="BA178" s="27">
        <v>2</v>
      </c>
      <c r="BB178" s="27">
        <v>79.09</v>
      </c>
      <c r="BC178" s="27" t="s">
        <v>732</v>
      </c>
      <c r="BD178" s="27" t="s">
        <v>175</v>
      </c>
      <c r="BE178" s="27" t="s">
        <v>91</v>
      </c>
      <c r="BF178" s="27" t="s">
        <v>77</v>
      </c>
      <c r="BG178" s="27">
        <v>161</v>
      </c>
      <c r="BH178" s="27">
        <v>61</v>
      </c>
      <c r="BI178" s="27">
        <v>0.7252</v>
      </c>
      <c r="BJ178" s="27">
        <v>0</v>
      </c>
      <c r="BK178" s="27">
        <v>3</v>
      </c>
      <c r="BL178" s="27">
        <v>99.2</v>
      </c>
    </row>
    <row r="179" customHeight="1" spans="1:64">
      <c r="A179" s="27" t="s">
        <v>733</v>
      </c>
      <c r="B179" s="27" t="s">
        <v>734</v>
      </c>
      <c r="E179" s="27" t="s">
        <v>735</v>
      </c>
      <c r="F179" s="27" t="s">
        <v>352</v>
      </c>
      <c r="G179" s="27" t="s">
        <v>83</v>
      </c>
      <c r="H179" s="27" t="s">
        <v>84</v>
      </c>
      <c r="I179" s="27" t="s">
        <v>85</v>
      </c>
      <c r="J179" s="27">
        <v>5</v>
      </c>
      <c r="K179" s="27">
        <v>49.97</v>
      </c>
      <c r="M179" s="27">
        <v>0</v>
      </c>
      <c r="N179" s="27">
        <v>0</v>
      </c>
      <c r="O179" s="27">
        <v>0</v>
      </c>
      <c r="P179" s="27" t="s">
        <v>86</v>
      </c>
      <c r="Q179" s="27">
        <v>3.931237</v>
      </c>
      <c r="S179" s="27">
        <v>304</v>
      </c>
      <c r="T179" s="27">
        <v>10</v>
      </c>
      <c r="U179" s="27">
        <v>0.9682</v>
      </c>
      <c r="V179" s="27" t="s">
        <v>154</v>
      </c>
      <c r="W179" s="27">
        <v>15190.88</v>
      </c>
      <c r="X179" s="27">
        <v>5.720312</v>
      </c>
      <c r="Y179" s="27">
        <v>9.628516</v>
      </c>
      <c r="Z179" s="27">
        <v>3.1623</v>
      </c>
      <c r="AA179" s="27" t="s">
        <v>125</v>
      </c>
      <c r="AB179" s="27">
        <v>0</v>
      </c>
      <c r="AC179" s="27">
        <v>0</v>
      </c>
      <c r="AD179" s="27">
        <v>0</v>
      </c>
      <c r="AE179" s="27">
        <v>0</v>
      </c>
      <c r="AF179" s="27">
        <v>0</v>
      </c>
      <c r="AG179" s="27">
        <v>0</v>
      </c>
      <c r="AH179" s="27">
        <v>0</v>
      </c>
      <c r="AI179" s="27">
        <v>0</v>
      </c>
      <c r="AJ179" s="27">
        <v>0</v>
      </c>
      <c r="AK179" s="27">
        <v>0</v>
      </c>
      <c r="AL179" s="27">
        <v>0</v>
      </c>
      <c r="AM179" s="27">
        <v>0</v>
      </c>
      <c r="AN179" s="27">
        <v>0</v>
      </c>
      <c r="AO179" s="27">
        <v>0</v>
      </c>
      <c r="AP179" s="27">
        <v>0</v>
      </c>
      <c r="AQ179" s="27">
        <v>0</v>
      </c>
      <c r="AR179" s="27">
        <v>0</v>
      </c>
      <c r="AS179" s="27">
        <v>0</v>
      </c>
      <c r="AT179" s="27">
        <v>0</v>
      </c>
      <c r="AU179" s="27">
        <v>0</v>
      </c>
      <c r="AV179" s="27">
        <v>0</v>
      </c>
      <c r="AW179" s="27">
        <v>0</v>
      </c>
      <c r="AX179" s="27">
        <v>0</v>
      </c>
      <c r="AZ179" s="27">
        <v>1</v>
      </c>
      <c r="BA179" s="27">
        <v>0</v>
      </c>
      <c r="BB179" s="27">
        <v>58.2</v>
      </c>
      <c r="BC179" s="27" t="s">
        <v>736</v>
      </c>
      <c r="BD179" s="27" t="s">
        <v>737</v>
      </c>
      <c r="BE179" s="27" t="s">
        <v>113</v>
      </c>
      <c r="BF179" s="27" t="s">
        <v>77</v>
      </c>
      <c r="BG179" s="27">
        <v>168</v>
      </c>
      <c r="BH179" s="27">
        <v>47</v>
      </c>
      <c r="BI179" s="27">
        <v>0.7814</v>
      </c>
      <c r="BJ179" s="27">
        <v>0</v>
      </c>
      <c r="BK179" s="27">
        <v>128</v>
      </c>
      <c r="BL179" s="27">
        <v>64.9</v>
      </c>
    </row>
    <row r="180" customHeight="1" spans="1:64">
      <c r="A180" s="27" t="s">
        <v>738</v>
      </c>
      <c r="B180" s="27" t="s">
        <v>739</v>
      </c>
      <c r="E180" s="27" t="s">
        <v>81</v>
      </c>
      <c r="F180" s="27" t="s">
        <v>82</v>
      </c>
      <c r="G180" s="27" t="s">
        <v>83</v>
      </c>
      <c r="H180" s="27" t="s">
        <v>84</v>
      </c>
      <c r="I180" s="27" t="s">
        <v>203</v>
      </c>
      <c r="J180" s="27">
        <v>4</v>
      </c>
      <c r="K180" s="27">
        <v>189.99</v>
      </c>
      <c r="M180" s="27">
        <v>0</v>
      </c>
      <c r="N180" s="27">
        <v>0</v>
      </c>
      <c r="O180" s="27">
        <v>0</v>
      </c>
      <c r="P180" s="27" t="s">
        <v>95</v>
      </c>
      <c r="Q180" s="27">
        <v>5.252221</v>
      </c>
      <c r="S180" s="27">
        <v>4</v>
      </c>
      <c r="T180" s="27">
        <v>2</v>
      </c>
      <c r="U180" s="27">
        <v>0.6667</v>
      </c>
      <c r="V180" s="27" t="s">
        <v>87</v>
      </c>
      <c r="W180" s="27">
        <v>759.96</v>
      </c>
      <c r="X180" s="27">
        <v>1.609438</v>
      </c>
      <c r="Y180" s="27">
        <v>6.634581</v>
      </c>
      <c r="Z180" s="27">
        <v>1.4142</v>
      </c>
      <c r="AA180" s="27" t="s">
        <v>125</v>
      </c>
      <c r="AB180" s="27">
        <v>0</v>
      </c>
      <c r="AC180" s="27">
        <v>0</v>
      </c>
      <c r="AD180" s="27">
        <v>0</v>
      </c>
      <c r="AE180" s="27">
        <v>1</v>
      </c>
      <c r="AF180" s="27">
        <v>0</v>
      </c>
      <c r="AG180" s="27">
        <v>0</v>
      </c>
      <c r="AH180" s="27">
        <v>1</v>
      </c>
      <c r="AI180" s="27">
        <v>0</v>
      </c>
      <c r="AJ180" s="27">
        <v>0</v>
      </c>
      <c r="AK180" s="27">
        <v>0</v>
      </c>
      <c r="AL180" s="27">
        <v>0</v>
      </c>
      <c r="AM180" s="27">
        <v>0</v>
      </c>
      <c r="AN180" s="27">
        <v>0</v>
      </c>
      <c r="AO180" s="27">
        <v>0</v>
      </c>
      <c r="AP180" s="27">
        <v>0</v>
      </c>
      <c r="AQ180" s="27">
        <v>0</v>
      </c>
      <c r="AR180" s="27">
        <v>0</v>
      </c>
      <c r="AS180" s="27">
        <v>0</v>
      </c>
      <c r="AT180" s="27">
        <v>1</v>
      </c>
      <c r="AU180" s="27">
        <v>0</v>
      </c>
      <c r="AV180" s="27">
        <v>0</v>
      </c>
      <c r="AW180" s="27">
        <v>1</v>
      </c>
      <c r="AX180" s="27">
        <v>1</v>
      </c>
      <c r="AZ180" s="27">
        <v>1</v>
      </c>
      <c r="BA180" s="27">
        <v>2</v>
      </c>
      <c r="BB180" s="27">
        <v>54.69</v>
      </c>
      <c r="BC180" s="27" t="s">
        <v>740</v>
      </c>
      <c r="BD180" s="27" t="s">
        <v>741</v>
      </c>
      <c r="BE180" s="27" t="s">
        <v>113</v>
      </c>
      <c r="BF180" s="27" t="s">
        <v>77</v>
      </c>
      <c r="BG180" s="27">
        <v>162</v>
      </c>
      <c r="BH180" s="27">
        <v>58</v>
      </c>
      <c r="BI180" s="27">
        <v>0.7364</v>
      </c>
      <c r="BJ180" s="27">
        <v>0</v>
      </c>
      <c r="BK180" s="27">
        <v>24</v>
      </c>
      <c r="BL180" s="27">
        <v>93.4</v>
      </c>
    </row>
    <row r="181" customHeight="1" spans="1:64">
      <c r="A181" s="27" t="s">
        <v>742</v>
      </c>
      <c r="B181" s="27" t="s">
        <v>222</v>
      </c>
      <c r="C181" s="27" t="s">
        <v>566</v>
      </c>
      <c r="E181" s="27" t="s">
        <v>209</v>
      </c>
      <c r="F181" s="27" t="s">
        <v>160</v>
      </c>
      <c r="G181" s="27" t="s">
        <v>83</v>
      </c>
      <c r="H181" s="27" t="s">
        <v>84</v>
      </c>
      <c r="I181" s="27" t="s">
        <v>85</v>
      </c>
      <c r="J181" s="27">
        <v>5</v>
      </c>
      <c r="K181" s="27">
        <v>279.99</v>
      </c>
      <c r="M181" s="27">
        <v>0</v>
      </c>
      <c r="N181" s="27">
        <v>0</v>
      </c>
      <c r="O181" s="27">
        <v>0</v>
      </c>
      <c r="P181" s="27" t="s">
        <v>71</v>
      </c>
      <c r="Q181" s="27">
        <v>5.638319</v>
      </c>
      <c r="R181" s="27">
        <v>35</v>
      </c>
      <c r="S181" s="27">
        <v>15</v>
      </c>
      <c r="T181" s="27">
        <v>10</v>
      </c>
      <c r="U181" s="27">
        <v>0.6</v>
      </c>
      <c r="V181" s="27" t="s">
        <v>72</v>
      </c>
      <c r="W181" s="27">
        <v>4199.85</v>
      </c>
      <c r="X181" s="27">
        <v>2.772589</v>
      </c>
      <c r="Y181" s="27">
        <v>8.343042</v>
      </c>
      <c r="Z181" s="27">
        <v>3.1623</v>
      </c>
      <c r="AA181" s="27" t="s">
        <v>313</v>
      </c>
      <c r="AB181" s="27">
        <v>1</v>
      </c>
      <c r="AC181" s="27">
        <v>0</v>
      </c>
      <c r="AD181" s="27">
        <v>0</v>
      </c>
      <c r="AE181" s="27">
        <v>0</v>
      </c>
      <c r="AF181" s="27">
        <v>0</v>
      </c>
      <c r="AG181" s="27">
        <v>0</v>
      </c>
      <c r="AH181" s="27">
        <v>1</v>
      </c>
      <c r="AI181" s="27">
        <v>0</v>
      </c>
      <c r="AJ181" s="27">
        <v>0</v>
      </c>
      <c r="AK181" s="27">
        <v>0</v>
      </c>
      <c r="AL181" s="27">
        <v>0</v>
      </c>
      <c r="AM181" s="27">
        <v>0</v>
      </c>
      <c r="AN181" s="27">
        <v>0</v>
      </c>
      <c r="AO181" s="27">
        <v>0</v>
      </c>
      <c r="AP181" s="27">
        <v>0</v>
      </c>
      <c r="AQ181" s="27">
        <v>1</v>
      </c>
      <c r="AR181" s="27">
        <v>0</v>
      </c>
      <c r="AS181" s="27">
        <v>0</v>
      </c>
      <c r="AT181" s="27">
        <v>1</v>
      </c>
      <c r="AU181" s="27">
        <v>0</v>
      </c>
      <c r="AV181" s="27">
        <v>1</v>
      </c>
      <c r="AW181" s="27">
        <v>1</v>
      </c>
      <c r="AX181" s="27">
        <v>0</v>
      </c>
      <c r="AY181" s="27">
        <v>8</v>
      </c>
      <c r="AZ181" s="27">
        <v>1</v>
      </c>
      <c r="BA181" s="27">
        <v>3</v>
      </c>
      <c r="BB181" s="27">
        <v>53.1</v>
      </c>
      <c r="BC181" s="27" t="s">
        <v>567</v>
      </c>
      <c r="BD181" s="27" t="s">
        <v>225</v>
      </c>
      <c r="BE181" s="27" t="s">
        <v>226</v>
      </c>
      <c r="BF181" s="27" t="s">
        <v>77</v>
      </c>
      <c r="BG181" s="27">
        <v>1</v>
      </c>
      <c r="BH181" s="27">
        <v>147</v>
      </c>
      <c r="BI181" s="27">
        <v>0.0068</v>
      </c>
      <c r="BJ181" s="27">
        <v>1</v>
      </c>
      <c r="BK181" s="27">
        <v>11</v>
      </c>
      <c r="BL181" s="27">
        <v>97</v>
      </c>
    </row>
    <row r="182" customHeight="1" spans="1:64">
      <c r="A182" s="27" t="s">
        <v>743</v>
      </c>
      <c r="B182" s="27" t="s">
        <v>171</v>
      </c>
      <c r="C182" s="27" t="s">
        <v>744</v>
      </c>
      <c r="E182" s="27" t="s">
        <v>239</v>
      </c>
      <c r="F182" s="27" t="s">
        <v>240</v>
      </c>
      <c r="G182" s="27" t="s">
        <v>83</v>
      </c>
      <c r="H182" s="27" t="s">
        <v>84</v>
      </c>
      <c r="I182" s="27" t="s">
        <v>85</v>
      </c>
      <c r="J182" s="27">
        <v>5</v>
      </c>
      <c r="K182" s="27">
        <v>90</v>
      </c>
      <c r="M182" s="27">
        <v>0</v>
      </c>
      <c r="N182" s="27">
        <v>0</v>
      </c>
      <c r="O182" s="27">
        <v>0</v>
      </c>
      <c r="P182" s="27" t="s">
        <v>95</v>
      </c>
      <c r="Q182" s="27">
        <v>4.51086</v>
      </c>
      <c r="V182" s="27" t="s">
        <v>231</v>
      </c>
      <c r="W182" s="27">
        <v>0</v>
      </c>
      <c r="X182" s="27">
        <v>0</v>
      </c>
      <c r="Y182" s="27">
        <v>0</v>
      </c>
      <c r="Z182" s="27">
        <v>0</v>
      </c>
      <c r="AA182" s="27" t="s">
        <v>125</v>
      </c>
      <c r="AB182" s="27">
        <v>0</v>
      </c>
      <c r="AC182" s="27">
        <v>0</v>
      </c>
      <c r="AD182" s="27">
        <v>0</v>
      </c>
      <c r="AE182" s="27">
        <v>0</v>
      </c>
      <c r="AF182" s="27">
        <v>0</v>
      </c>
      <c r="AG182" s="27">
        <v>0</v>
      </c>
      <c r="AH182" s="27">
        <v>0</v>
      </c>
      <c r="AI182" s="27">
        <v>0</v>
      </c>
      <c r="AJ182" s="27">
        <v>0</v>
      </c>
      <c r="AK182" s="27">
        <v>0</v>
      </c>
      <c r="AL182" s="27">
        <v>0</v>
      </c>
      <c r="AM182" s="27">
        <v>0</v>
      </c>
      <c r="AN182" s="27">
        <v>0</v>
      </c>
      <c r="AO182" s="27">
        <v>0</v>
      </c>
      <c r="AP182" s="27">
        <v>0</v>
      </c>
      <c r="AQ182" s="27">
        <v>1</v>
      </c>
      <c r="AR182" s="27">
        <v>0</v>
      </c>
      <c r="AS182" s="27">
        <v>0</v>
      </c>
      <c r="AT182" s="27">
        <v>0</v>
      </c>
      <c r="AU182" s="27">
        <v>0</v>
      </c>
      <c r="AV182" s="27">
        <v>1</v>
      </c>
      <c r="AW182" s="27">
        <v>0</v>
      </c>
      <c r="AX182" s="27">
        <v>0</v>
      </c>
      <c r="AZ182" s="27">
        <v>1</v>
      </c>
      <c r="BA182" s="27">
        <v>1</v>
      </c>
      <c r="BB182" s="27">
        <v>26.79</v>
      </c>
      <c r="BC182" s="27" t="s">
        <v>745</v>
      </c>
      <c r="BD182" s="27" t="s">
        <v>746</v>
      </c>
      <c r="BE182" s="27" t="s">
        <v>747</v>
      </c>
      <c r="BF182" s="27" t="s">
        <v>77</v>
      </c>
      <c r="BG182" s="27">
        <v>1</v>
      </c>
      <c r="BH182" s="27">
        <v>11</v>
      </c>
      <c r="BI182" s="27">
        <v>0.0833</v>
      </c>
      <c r="BJ182" s="27">
        <v>1</v>
      </c>
      <c r="BK182" s="27">
        <v>39</v>
      </c>
      <c r="BL182" s="27">
        <v>89.3</v>
      </c>
    </row>
    <row r="183" customHeight="1" spans="1:64">
      <c r="A183" s="27" t="s">
        <v>748</v>
      </c>
      <c r="B183" s="27" t="s">
        <v>616</v>
      </c>
      <c r="C183" s="27" t="s">
        <v>749</v>
      </c>
      <c r="E183" s="27" t="s">
        <v>239</v>
      </c>
      <c r="F183" s="27" t="s">
        <v>240</v>
      </c>
      <c r="G183" s="27" t="s">
        <v>83</v>
      </c>
      <c r="H183" s="27" t="s">
        <v>84</v>
      </c>
      <c r="I183" s="27" t="s">
        <v>153</v>
      </c>
      <c r="J183" s="27">
        <v>2</v>
      </c>
      <c r="K183" s="27">
        <v>374.95</v>
      </c>
      <c r="M183" s="27">
        <v>0</v>
      </c>
      <c r="N183" s="27">
        <v>0</v>
      </c>
      <c r="O183" s="27">
        <v>0</v>
      </c>
      <c r="P183" s="27" t="s">
        <v>71</v>
      </c>
      <c r="Q183" s="27">
        <v>5.929456</v>
      </c>
      <c r="V183" s="27" t="s">
        <v>231</v>
      </c>
      <c r="W183" s="27">
        <v>0</v>
      </c>
      <c r="X183" s="27">
        <v>0</v>
      </c>
      <c r="Y183" s="27">
        <v>0</v>
      </c>
      <c r="Z183" s="27">
        <v>0</v>
      </c>
      <c r="AA183" s="27" t="s">
        <v>125</v>
      </c>
      <c r="AB183" s="27">
        <v>0</v>
      </c>
      <c r="AC183" s="27">
        <v>0</v>
      </c>
      <c r="AD183" s="27">
        <v>0</v>
      </c>
      <c r="AE183" s="27">
        <v>0</v>
      </c>
      <c r="AF183" s="27">
        <v>0</v>
      </c>
      <c r="AG183" s="27">
        <v>0</v>
      </c>
      <c r="AH183" s="27">
        <v>0</v>
      </c>
      <c r="AI183" s="27">
        <v>0</v>
      </c>
      <c r="AJ183" s="27">
        <v>0</v>
      </c>
      <c r="AK183" s="27">
        <v>0</v>
      </c>
      <c r="AL183" s="27">
        <v>0</v>
      </c>
      <c r="AM183" s="27">
        <v>0</v>
      </c>
      <c r="AN183" s="27">
        <v>0</v>
      </c>
      <c r="AO183" s="27">
        <v>0</v>
      </c>
      <c r="AP183" s="27">
        <v>0</v>
      </c>
      <c r="AQ183" s="27">
        <v>1</v>
      </c>
      <c r="AR183" s="27">
        <v>0</v>
      </c>
      <c r="AS183" s="27">
        <v>0</v>
      </c>
      <c r="AT183" s="27">
        <v>0</v>
      </c>
      <c r="AU183" s="27">
        <v>0</v>
      </c>
      <c r="AV183" s="27">
        <v>1</v>
      </c>
      <c r="AW183" s="27">
        <v>1</v>
      </c>
      <c r="AX183" s="27">
        <v>0</v>
      </c>
      <c r="AZ183" s="27">
        <v>1</v>
      </c>
      <c r="BA183" s="27">
        <v>1</v>
      </c>
      <c r="BB183" s="27">
        <v>0</v>
      </c>
      <c r="BC183" s="27" t="s">
        <v>618</v>
      </c>
      <c r="BG183" s="27">
        <v>0</v>
      </c>
      <c r="BH183" s="27">
        <v>0</v>
      </c>
      <c r="BJ183" s="27">
        <v>0</v>
      </c>
    </row>
    <row r="184" customHeight="1" spans="1:64">
      <c r="A184" s="27" t="s">
        <v>750</v>
      </c>
      <c r="B184" s="27" t="s">
        <v>171</v>
      </c>
      <c r="C184" s="27" t="s">
        <v>751</v>
      </c>
      <c r="E184" s="27" t="s">
        <v>255</v>
      </c>
      <c r="F184" s="27" t="s">
        <v>160</v>
      </c>
      <c r="G184" s="27" t="s">
        <v>83</v>
      </c>
      <c r="H184" s="27" t="s">
        <v>84</v>
      </c>
      <c r="I184" s="27" t="s">
        <v>85</v>
      </c>
      <c r="J184" s="27">
        <v>5</v>
      </c>
      <c r="K184" s="27">
        <v>192.39</v>
      </c>
      <c r="M184" s="27">
        <v>0</v>
      </c>
      <c r="N184" s="27">
        <v>0</v>
      </c>
      <c r="O184" s="27">
        <v>0</v>
      </c>
      <c r="P184" s="27" t="s">
        <v>95</v>
      </c>
      <c r="Q184" s="27">
        <v>5.264709</v>
      </c>
      <c r="R184" s="27">
        <v>12.02</v>
      </c>
      <c r="S184" s="27">
        <v>248</v>
      </c>
      <c r="T184" s="27">
        <v>30</v>
      </c>
      <c r="U184" s="27">
        <v>0.8921</v>
      </c>
      <c r="V184" s="27" t="s">
        <v>154</v>
      </c>
      <c r="W184" s="27">
        <v>47712.72</v>
      </c>
      <c r="X184" s="27">
        <v>5.517453</v>
      </c>
      <c r="Y184" s="27">
        <v>10.772974</v>
      </c>
      <c r="Z184" s="27">
        <v>5.4772</v>
      </c>
      <c r="AA184" s="27" t="s">
        <v>313</v>
      </c>
      <c r="AB184" s="27">
        <v>1</v>
      </c>
      <c r="AC184" s="27">
        <v>1</v>
      </c>
      <c r="AD184" s="27">
        <v>0</v>
      </c>
      <c r="AE184" s="27">
        <v>0</v>
      </c>
      <c r="AF184" s="27">
        <v>0</v>
      </c>
      <c r="AG184" s="27">
        <v>0</v>
      </c>
      <c r="AH184" s="27">
        <v>0</v>
      </c>
      <c r="AI184" s="27">
        <v>0</v>
      </c>
      <c r="AJ184" s="27">
        <v>0</v>
      </c>
      <c r="AK184" s="27">
        <v>0</v>
      </c>
      <c r="AL184" s="27">
        <v>0</v>
      </c>
      <c r="AM184" s="27">
        <v>0</v>
      </c>
      <c r="AN184" s="27">
        <v>0</v>
      </c>
      <c r="AO184" s="27">
        <v>0</v>
      </c>
      <c r="AP184" s="27">
        <v>0</v>
      </c>
      <c r="AQ184" s="27">
        <v>1</v>
      </c>
      <c r="AR184" s="27">
        <v>0</v>
      </c>
      <c r="AS184" s="27">
        <v>0</v>
      </c>
      <c r="AT184" s="27">
        <v>1</v>
      </c>
      <c r="AU184" s="27">
        <v>0</v>
      </c>
      <c r="AV184" s="27">
        <v>1</v>
      </c>
      <c r="AW184" s="27">
        <v>1</v>
      </c>
      <c r="AX184" s="27">
        <v>0</v>
      </c>
      <c r="AY184" s="27">
        <v>16</v>
      </c>
      <c r="AZ184" s="27">
        <v>1</v>
      </c>
      <c r="BA184" s="27">
        <v>3</v>
      </c>
      <c r="BB184" s="27">
        <v>65.26</v>
      </c>
      <c r="BC184" s="27" t="s">
        <v>251</v>
      </c>
      <c r="BG184" s="27">
        <v>0</v>
      </c>
      <c r="BH184" s="27">
        <v>0</v>
      </c>
      <c r="BJ184" s="27">
        <v>0</v>
      </c>
      <c r="BK184" s="27">
        <v>5</v>
      </c>
      <c r="BL184" s="27">
        <v>98.6</v>
      </c>
    </row>
    <row r="185" customHeight="1" spans="1:64">
      <c r="A185" s="27" t="s">
        <v>752</v>
      </c>
      <c r="B185" s="27" t="s">
        <v>753</v>
      </c>
      <c r="E185" s="27" t="s">
        <v>81</v>
      </c>
      <c r="F185" s="27" t="s">
        <v>240</v>
      </c>
      <c r="G185" s="27" t="s">
        <v>83</v>
      </c>
      <c r="H185" s="27" t="s">
        <v>84</v>
      </c>
      <c r="I185" s="27" t="s">
        <v>153</v>
      </c>
      <c r="J185" s="27">
        <v>2</v>
      </c>
      <c r="K185" s="27">
        <v>65</v>
      </c>
      <c r="M185" s="27">
        <v>0</v>
      </c>
      <c r="N185" s="27">
        <v>0</v>
      </c>
      <c r="O185" s="27">
        <v>0</v>
      </c>
      <c r="P185" s="27" t="s">
        <v>86</v>
      </c>
      <c r="Q185" s="27">
        <v>4.189655</v>
      </c>
      <c r="V185" s="27" t="s">
        <v>231</v>
      </c>
      <c r="W185" s="27">
        <v>0</v>
      </c>
      <c r="X185" s="27">
        <v>0</v>
      </c>
      <c r="Y185" s="27">
        <v>0</v>
      </c>
      <c r="Z185" s="27">
        <v>0</v>
      </c>
      <c r="AA185" s="27" t="s">
        <v>125</v>
      </c>
      <c r="AB185" s="27">
        <v>0</v>
      </c>
      <c r="AC185" s="27">
        <v>0</v>
      </c>
      <c r="AD185" s="27">
        <v>0</v>
      </c>
      <c r="AE185" s="27">
        <v>0</v>
      </c>
      <c r="AF185" s="27">
        <v>0</v>
      </c>
      <c r="AG185" s="27">
        <v>0</v>
      </c>
      <c r="AH185" s="27">
        <v>0</v>
      </c>
      <c r="AI185" s="27">
        <v>0</v>
      </c>
      <c r="AJ185" s="27">
        <v>0</v>
      </c>
      <c r="AK185" s="27">
        <v>0</v>
      </c>
      <c r="AL185" s="27">
        <v>0</v>
      </c>
      <c r="AM185" s="27">
        <v>0</v>
      </c>
      <c r="AN185" s="27">
        <v>0</v>
      </c>
      <c r="AO185" s="27">
        <v>0</v>
      </c>
      <c r="AP185" s="27">
        <v>0</v>
      </c>
      <c r="AQ185" s="27">
        <v>0</v>
      </c>
      <c r="AR185" s="27">
        <v>0</v>
      </c>
      <c r="AS185" s="27">
        <v>0</v>
      </c>
      <c r="AT185" s="27">
        <v>0</v>
      </c>
      <c r="AU185" s="27">
        <v>0</v>
      </c>
      <c r="AV185" s="27">
        <v>0</v>
      </c>
      <c r="AW185" s="27">
        <v>0</v>
      </c>
      <c r="AX185" s="27">
        <v>0</v>
      </c>
      <c r="AZ185" s="27">
        <v>1</v>
      </c>
      <c r="BA185" s="27">
        <v>0</v>
      </c>
      <c r="BB185" s="27">
        <v>0</v>
      </c>
      <c r="BC185" s="27" t="s">
        <v>754</v>
      </c>
      <c r="BD185" s="27" t="s">
        <v>755</v>
      </c>
      <c r="BE185" s="27" t="s">
        <v>756</v>
      </c>
      <c r="BF185" s="27" t="s">
        <v>77</v>
      </c>
      <c r="BG185" s="27">
        <v>162</v>
      </c>
      <c r="BH185" s="27">
        <v>19</v>
      </c>
      <c r="BI185" s="27">
        <v>0.895</v>
      </c>
      <c r="BJ185" s="27">
        <v>0</v>
      </c>
    </row>
    <row r="186" customHeight="1" spans="1:64">
      <c r="A186" s="27" t="s">
        <v>757</v>
      </c>
      <c r="B186" s="27" t="s">
        <v>202</v>
      </c>
      <c r="E186" s="27" t="s">
        <v>81</v>
      </c>
      <c r="F186" s="27" t="s">
        <v>160</v>
      </c>
      <c r="G186" s="27" t="s">
        <v>83</v>
      </c>
      <c r="H186" s="27" t="s">
        <v>84</v>
      </c>
      <c r="I186" s="27" t="s">
        <v>203</v>
      </c>
      <c r="J186" s="27">
        <v>4</v>
      </c>
      <c r="K186" s="27">
        <v>145</v>
      </c>
      <c r="M186" s="27">
        <v>0</v>
      </c>
      <c r="N186" s="27">
        <v>0</v>
      </c>
      <c r="O186" s="27">
        <v>0</v>
      </c>
      <c r="P186" s="27" t="s">
        <v>95</v>
      </c>
      <c r="Q186" s="27">
        <v>4.983607</v>
      </c>
      <c r="S186" s="27">
        <v>6</v>
      </c>
      <c r="T186" s="27">
        <v>7</v>
      </c>
      <c r="U186" s="27">
        <v>0.4615</v>
      </c>
      <c r="V186" s="27" t="s">
        <v>87</v>
      </c>
      <c r="W186" s="27">
        <v>870</v>
      </c>
      <c r="X186" s="27">
        <v>1.94591</v>
      </c>
      <c r="Y186" s="27">
        <v>6.769642</v>
      </c>
      <c r="Z186" s="27">
        <v>2.6458</v>
      </c>
      <c r="AA186" s="27" t="s">
        <v>125</v>
      </c>
      <c r="AB186" s="27">
        <v>0</v>
      </c>
      <c r="AC186" s="27">
        <v>0</v>
      </c>
      <c r="AD186" s="27">
        <v>0</v>
      </c>
      <c r="AE186" s="27">
        <v>0</v>
      </c>
      <c r="AF186" s="27">
        <v>0</v>
      </c>
      <c r="AG186" s="27">
        <v>0</v>
      </c>
      <c r="AH186" s="27">
        <v>0</v>
      </c>
      <c r="AI186" s="27">
        <v>0</v>
      </c>
      <c r="AJ186" s="27">
        <v>0</v>
      </c>
      <c r="AK186" s="27">
        <v>0</v>
      </c>
      <c r="AL186" s="27">
        <v>0</v>
      </c>
      <c r="AM186" s="27">
        <v>0</v>
      </c>
      <c r="AN186" s="27">
        <v>0</v>
      </c>
      <c r="AO186" s="27">
        <v>0</v>
      </c>
      <c r="AP186" s="27">
        <v>0</v>
      </c>
      <c r="AQ186" s="27">
        <v>1</v>
      </c>
      <c r="AR186" s="27">
        <v>0</v>
      </c>
      <c r="AS186" s="27">
        <v>0</v>
      </c>
      <c r="AT186" s="27">
        <v>0</v>
      </c>
      <c r="AU186" s="27">
        <v>0</v>
      </c>
      <c r="AV186" s="27">
        <v>1</v>
      </c>
      <c r="AW186" s="27">
        <v>0</v>
      </c>
      <c r="AX186" s="27">
        <v>0</v>
      </c>
      <c r="AZ186" s="27">
        <v>1</v>
      </c>
      <c r="BA186" s="27">
        <v>1</v>
      </c>
      <c r="BB186" s="27">
        <v>48.04</v>
      </c>
      <c r="BC186" s="27" t="s">
        <v>758</v>
      </c>
      <c r="BD186" s="27" t="s">
        <v>759</v>
      </c>
      <c r="BE186" s="27" t="s">
        <v>760</v>
      </c>
      <c r="BF186" s="27" t="s">
        <v>77</v>
      </c>
      <c r="BG186" s="27">
        <v>161</v>
      </c>
      <c r="BH186" s="27">
        <v>62</v>
      </c>
      <c r="BI186" s="27">
        <v>0.722</v>
      </c>
      <c r="BJ186" s="27">
        <v>0</v>
      </c>
      <c r="BK186" s="27">
        <v>5</v>
      </c>
      <c r="BL186" s="27">
        <v>98.6</v>
      </c>
    </row>
    <row r="187" customHeight="1" spans="1:64">
      <c r="A187" s="27" t="s">
        <v>761</v>
      </c>
      <c r="B187" s="27" t="s">
        <v>725</v>
      </c>
      <c r="E187" s="27" t="s">
        <v>198</v>
      </c>
      <c r="F187" s="27" t="s">
        <v>198</v>
      </c>
      <c r="G187" s="27" t="s">
        <v>83</v>
      </c>
      <c r="H187" s="27" t="s">
        <v>84</v>
      </c>
      <c r="I187" s="27" t="s">
        <v>85</v>
      </c>
      <c r="J187" s="27">
        <v>5</v>
      </c>
      <c r="K187" s="27">
        <v>42.99</v>
      </c>
      <c r="M187" s="27">
        <v>0</v>
      </c>
      <c r="N187" s="27">
        <v>0</v>
      </c>
      <c r="O187" s="27">
        <v>0</v>
      </c>
      <c r="P187" s="27" t="s">
        <v>86</v>
      </c>
      <c r="Q187" s="27">
        <v>3.783962</v>
      </c>
      <c r="S187" s="27">
        <v>349</v>
      </c>
      <c r="T187" s="27">
        <v>3</v>
      </c>
      <c r="U187" s="27">
        <v>0.9915</v>
      </c>
      <c r="V187" s="27" t="s">
        <v>154</v>
      </c>
      <c r="W187" s="27">
        <v>15003.51</v>
      </c>
      <c r="X187" s="27">
        <v>5.857933</v>
      </c>
      <c r="Y187" s="27">
        <v>9.616106</v>
      </c>
      <c r="Z187" s="27">
        <v>1.7321</v>
      </c>
      <c r="AA187" s="27" t="s">
        <v>125</v>
      </c>
      <c r="AB187" s="27">
        <v>0</v>
      </c>
      <c r="AC187" s="27">
        <v>0</v>
      </c>
      <c r="AD187" s="27">
        <v>0</v>
      </c>
      <c r="AE187" s="27">
        <v>0</v>
      </c>
      <c r="AF187" s="27">
        <v>0</v>
      </c>
      <c r="AG187" s="27">
        <v>0</v>
      </c>
      <c r="AH187" s="27">
        <v>1</v>
      </c>
      <c r="AI187" s="27">
        <v>0</v>
      </c>
      <c r="AJ187" s="27">
        <v>0</v>
      </c>
      <c r="AK187" s="27">
        <v>0</v>
      </c>
      <c r="AL187" s="27">
        <v>1</v>
      </c>
      <c r="AM187" s="27">
        <v>0</v>
      </c>
      <c r="AN187" s="27">
        <v>0</v>
      </c>
      <c r="AO187" s="27">
        <v>0</v>
      </c>
      <c r="AP187" s="27">
        <v>0</v>
      </c>
      <c r="AQ187" s="27">
        <v>0</v>
      </c>
      <c r="AR187" s="27">
        <v>0</v>
      </c>
      <c r="AS187" s="27">
        <v>0</v>
      </c>
      <c r="AT187" s="27">
        <v>1</v>
      </c>
      <c r="AU187" s="27">
        <v>0</v>
      </c>
      <c r="AV187" s="27">
        <v>0</v>
      </c>
      <c r="AW187" s="27">
        <v>0</v>
      </c>
      <c r="AX187" s="27">
        <v>0</v>
      </c>
      <c r="AZ187" s="27">
        <v>1</v>
      </c>
      <c r="BA187" s="27">
        <v>1</v>
      </c>
      <c r="BB187" s="27">
        <v>69.42</v>
      </c>
      <c r="BC187" s="27" t="s">
        <v>728</v>
      </c>
      <c r="BD187" s="27" t="s">
        <v>356</v>
      </c>
      <c r="BE187" s="27" t="s">
        <v>287</v>
      </c>
      <c r="BF187" s="27" t="s">
        <v>77</v>
      </c>
      <c r="BG187" s="27">
        <v>168</v>
      </c>
      <c r="BH187" s="27">
        <v>53</v>
      </c>
      <c r="BI187" s="27">
        <v>0.7602</v>
      </c>
      <c r="BJ187" s="27">
        <v>0</v>
      </c>
      <c r="BK187" s="27">
        <v>3</v>
      </c>
      <c r="BL187" s="27">
        <v>99.2</v>
      </c>
    </row>
    <row r="188" customHeight="1" spans="1:64">
      <c r="A188" s="27" t="s">
        <v>762</v>
      </c>
      <c r="B188" s="27" t="s">
        <v>125</v>
      </c>
      <c r="E188" s="27" t="s">
        <v>763</v>
      </c>
      <c r="F188" s="27" t="s">
        <v>132</v>
      </c>
      <c r="G188" s="27" t="s">
        <v>427</v>
      </c>
      <c r="H188" s="27" t="s">
        <v>138</v>
      </c>
      <c r="I188" s="27" t="s">
        <v>85</v>
      </c>
      <c r="J188" s="27">
        <v>5</v>
      </c>
      <c r="K188" s="27">
        <v>19.68</v>
      </c>
      <c r="M188" s="27">
        <v>0</v>
      </c>
      <c r="N188" s="27">
        <v>0</v>
      </c>
      <c r="O188" s="27">
        <v>0</v>
      </c>
      <c r="P188" s="27" t="s">
        <v>133</v>
      </c>
      <c r="Q188" s="27">
        <v>3.029167</v>
      </c>
      <c r="S188" s="27">
        <v>235</v>
      </c>
      <c r="T188" s="27">
        <v>10</v>
      </c>
      <c r="U188" s="27">
        <v>0.9592</v>
      </c>
      <c r="V188" s="27" t="s">
        <v>154</v>
      </c>
      <c r="W188" s="27">
        <v>4624.8</v>
      </c>
      <c r="X188" s="27">
        <v>5.463832</v>
      </c>
      <c r="Y188" s="27">
        <v>8.439405</v>
      </c>
      <c r="Z188" s="27">
        <v>3.1623</v>
      </c>
      <c r="AA188" s="27" t="s">
        <v>125</v>
      </c>
      <c r="AB188" s="27">
        <v>0</v>
      </c>
      <c r="AC188" s="27">
        <v>0</v>
      </c>
      <c r="AD188" s="27">
        <v>0</v>
      </c>
      <c r="AE188" s="27">
        <v>1</v>
      </c>
      <c r="AF188" s="27">
        <v>0</v>
      </c>
      <c r="AG188" s="27">
        <v>0</v>
      </c>
      <c r="AH188" s="27">
        <v>0</v>
      </c>
      <c r="AI188" s="27">
        <v>0</v>
      </c>
      <c r="AJ188" s="27">
        <v>0</v>
      </c>
      <c r="AK188" s="27">
        <v>0</v>
      </c>
      <c r="AL188" s="27">
        <v>0</v>
      </c>
      <c r="AM188" s="27">
        <v>0</v>
      </c>
      <c r="AN188" s="27">
        <v>0</v>
      </c>
      <c r="AO188" s="27">
        <v>0</v>
      </c>
      <c r="AP188" s="27">
        <v>1</v>
      </c>
      <c r="AQ188" s="27">
        <v>0</v>
      </c>
      <c r="AR188" s="27">
        <v>0</v>
      </c>
      <c r="AS188" s="27">
        <v>0</v>
      </c>
      <c r="AT188" s="27">
        <v>0</v>
      </c>
      <c r="AU188" s="27">
        <v>0</v>
      </c>
      <c r="AV188" s="27">
        <v>0</v>
      </c>
      <c r="AW188" s="27">
        <v>0</v>
      </c>
      <c r="AX188" s="27">
        <v>0</v>
      </c>
      <c r="AZ188" s="27">
        <v>1</v>
      </c>
      <c r="BA188" s="27">
        <v>1</v>
      </c>
      <c r="BB188" s="27">
        <v>65.58</v>
      </c>
      <c r="BC188" s="27" t="s">
        <v>764</v>
      </c>
      <c r="BD188" s="27" t="s">
        <v>765</v>
      </c>
      <c r="BE188" s="27" t="s">
        <v>113</v>
      </c>
      <c r="BF188" s="27" t="s">
        <v>77</v>
      </c>
      <c r="BG188" s="27">
        <v>166</v>
      </c>
      <c r="BH188" s="27">
        <v>53</v>
      </c>
      <c r="BI188" s="27">
        <v>0.758</v>
      </c>
      <c r="BJ188" s="27">
        <v>0</v>
      </c>
      <c r="BK188" s="27">
        <v>34</v>
      </c>
      <c r="BL188" s="27">
        <v>90.7</v>
      </c>
    </row>
    <row r="189" customHeight="1" spans="1:64">
      <c r="A189" s="27" t="s">
        <v>766</v>
      </c>
      <c r="B189" s="27" t="s">
        <v>125</v>
      </c>
      <c r="E189" s="27" t="s">
        <v>81</v>
      </c>
      <c r="F189" s="27" t="s">
        <v>82</v>
      </c>
      <c r="G189" s="27" t="s">
        <v>83</v>
      </c>
      <c r="H189" s="27" t="s">
        <v>138</v>
      </c>
      <c r="I189" s="27" t="s">
        <v>85</v>
      </c>
      <c r="J189" s="27">
        <v>5</v>
      </c>
      <c r="K189" s="27">
        <v>52.82</v>
      </c>
      <c r="M189" s="27">
        <v>0</v>
      </c>
      <c r="N189" s="27">
        <v>0</v>
      </c>
      <c r="O189" s="27">
        <v>0</v>
      </c>
      <c r="P189" s="27" t="s">
        <v>86</v>
      </c>
      <c r="Q189" s="27">
        <v>3.985645</v>
      </c>
      <c r="S189" s="27">
        <v>3</v>
      </c>
      <c r="T189" s="27">
        <v>10</v>
      </c>
      <c r="U189" s="27">
        <v>0.2308</v>
      </c>
      <c r="V189" s="27" t="s">
        <v>87</v>
      </c>
      <c r="W189" s="27">
        <v>158.46</v>
      </c>
      <c r="X189" s="27">
        <v>1.386294</v>
      </c>
      <c r="Y189" s="27">
        <v>5.071793</v>
      </c>
      <c r="Z189" s="27">
        <v>3.1623</v>
      </c>
      <c r="AA189" s="27" t="s">
        <v>125</v>
      </c>
      <c r="AB189" s="27">
        <v>0</v>
      </c>
      <c r="AC189" s="27">
        <v>0</v>
      </c>
      <c r="AD189" s="27">
        <v>0</v>
      </c>
      <c r="AE189" s="27">
        <v>0</v>
      </c>
      <c r="AF189" s="27">
        <v>0</v>
      </c>
      <c r="AG189" s="27">
        <v>0</v>
      </c>
      <c r="AH189" s="27">
        <v>1</v>
      </c>
      <c r="AI189" s="27">
        <v>0</v>
      </c>
      <c r="AJ189" s="27">
        <v>0</v>
      </c>
      <c r="AK189" s="27">
        <v>0</v>
      </c>
      <c r="AL189" s="27">
        <v>0</v>
      </c>
      <c r="AM189" s="27">
        <v>1</v>
      </c>
      <c r="AN189" s="27">
        <v>1</v>
      </c>
      <c r="AO189" s="27">
        <v>0</v>
      </c>
      <c r="AP189" s="27">
        <v>0</v>
      </c>
      <c r="AQ189" s="27">
        <v>0</v>
      </c>
      <c r="AR189" s="27">
        <v>0</v>
      </c>
      <c r="AS189" s="27">
        <v>0</v>
      </c>
      <c r="AT189" s="27">
        <v>0</v>
      </c>
      <c r="AU189" s="27">
        <v>0</v>
      </c>
      <c r="AV189" s="27">
        <v>0</v>
      </c>
      <c r="AW189" s="27">
        <v>0</v>
      </c>
      <c r="AX189" s="27">
        <v>0</v>
      </c>
      <c r="AZ189" s="27">
        <v>1</v>
      </c>
      <c r="BA189" s="27">
        <v>3</v>
      </c>
      <c r="BB189" s="27">
        <v>38.09</v>
      </c>
      <c r="BC189" s="27" t="s">
        <v>767</v>
      </c>
      <c r="BD189" s="27" t="s">
        <v>768</v>
      </c>
      <c r="BE189" s="27" t="s">
        <v>769</v>
      </c>
      <c r="BF189" s="27" t="s">
        <v>77</v>
      </c>
      <c r="BG189" s="27">
        <v>1</v>
      </c>
      <c r="BH189" s="27">
        <v>2</v>
      </c>
      <c r="BI189" s="27">
        <v>0.3333</v>
      </c>
      <c r="BJ189" s="27">
        <v>1</v>
      </c>
      <c r="BK189" s="27">
        <v>14</v>
      </c>
      <c r="BL189" s="27">
        <v>96.2</v>
      </c>
    </row>
    <row r="190" customHeight="1" spans="1:64">
      <c r="A190" s="27" t="s">
        <v>770</v>
      </c>
      <c r="B190" s="27" t="s">
        <v>384</v>
      </c>
      <c r="C190" s="27" t="s">
        <v>771</v>
      </c>
      <c r="E190" s="27" t="s">
        <v>81</v>
      </c>
      <c r="F190" s="27" t="s">
        <v>462</v>
      </c>
      <c r="G190" s="27" t="s">
        <v>83</v>
      </c>
      <c r="H190" s="27" t="s">
        <v>84</v>
      </c>
      <c r="I190" s="27" t="s">
        <v>85</v>
      </c>
      <c r="J190" s="27">
        <v>5</v>
      </c>
      <c r="K190" s="27">
        <v>99.99</v>
      </c>
      <c r="L190" s="27">
        <v>162.84</v>
      </c>
      <c r="M190" s="27">
        <v>38.6</v>
      </c>
      <c r="N190" s="27">
        <v>62.85</v>
      </c>
      <c r="O190" s="27">
        <v>1</v>
      </c>
      <c r="P190" s="27" t="s">
        <v>95</v>
      </c>
      <c r="Q190" s="27">
        <v>4.615022</v>
      </c>
      <c r="R190" s="27">
        <v>6.25</v>
      </c>
      <c r="S190" s="27">
        <v>1</v>
      </c>
      <c r="T190" s="27">
        <v>20</v>
      </c>
      <c r="U190" s="27">
        <v>0.0476</v>
      </c>
      <c r="V190" s="27" t="s">
        <v>87</v>
      </c>
      <c r="W190" s="27">
        <v>99.99</v>
      </c>
      <c r="X190" s="27">
        <v>0.693147</v>
      </c>
      <c r="Y190" s="27">
        <v>4.615022</v>
      </c>
      <c r="Z190" s="27">
        <v>4.4721</v>
      </c>
      <c r="AA190" s="27" t="s">
        <v>291</v>
      </c>
      <c r="AB190" s="27">
        <v>0</v>
      </c>
      <c r="AC190" s="27">
        <v>0</v>
      </c>
      <c r="AD190" s="27">
        <v>0</v>
      </c>
      <c r="AE190" s="27">
        <v>0</v>
      </c>
      <c r="AF190" s="27">
        <v>0</v>
      </c>
      <c r="AG190" s="27">
        <v>0</v>
      </c>
      <c r="AH190" s="27">
        <v>1</v>
      </c>
      <c r="AI190" s="27">
        <v>0</v>
      </c>
      <c r="AJ190" s="27">
        <v>1</v>
      </c>
      <c r="AK190" s="27">
        <v>0</v>
      </c>
      <c r="AL190" s="27">
        <v>0</v>
      </c>
      <c r="AM190" s="27">
        <v>0</v>
      </c>
      <c r="AN190" s="27">
        <v>0</v>
      </c>
      <c r="AO190" s="27">
        <v>0</v>
      </c>
      <c r="AP190" s="27">
        <v>0</v>
      </c>
      <c r="AQ190" s="27">
        <v>1</v>
      </c>
      <c r="AR190" s="27">
        <v>0</v>
      </c>
      <c r="AS190" s="27">
        <v>0</v>
      </c>
      <c r="AT190" s="27">
        <v>1</v>
      </c>
      <c r="AU190" s="27">
        <v>0</v>
      </c>
      <c r="AV190" s="27">
        <v>1</v>
      </c>
      <c r="AW190" s="27">
        <v>1</v>
      </c>
      <c r="AX190" s="27">
        <v>0</v>
      </c>
      <c r="AY190" s="27">
        <v>16</v>
      </c>
      <c r="AZ190" s="27">
        <v>1</v>
      </c>
      <c r="BA190" s="27">
        <v>2</v>
      </c>
      <c r="BB190" s="27">
        <v>43</v>
      </c>
      <c r="BC190" s="27" t="s">
        <v>772</v>
      </c>
      <c r="BD190" s="27" t="s">
        <v>773</v>
      </c>
      <c r="BE190" s="27" t="s">
        <v>774</v>
      </c>
      <c r="BF190" s="27" t="s">
        <v>77</v>
      </c>
      <c r="BG190" s="27">
        <v>1</v>
      </c>
      <c r="BH190" s="27">
        <v>28</v>
      </c>
      <c r="BI190" s="27">
        <v>0.0345</v>
      </c>
      <c r="BJ190" s="27">
        <v>1</v>
      </c>
      <c r="BK190" s="27">
        <v>6</v>
      </c>
      <c r="BL190" s="27">
        <v>98.4</v>
      </c>
    </row>
    <row r="191" customHeight="1" spans="1:64">
      <c r="A191" s="27" t="s">
        <v>775</v>
      </c>
      <c r="B191" s="27" t="s">
        <v>104</v>
      </c>
      <c r="C191" s="27" t="s">
        <v>776</v>
      </c>
      <c r="D191" s="27">
        <v>760575257451</v>
      </c>
      <c r="E191" s="27" t="s">
        <v>653</v>
      </c>
      <c r="F191" s="27" t="s">
        <v>198</v>
      </c>
      <c r="G191" s="27" t="s">
        <v>106</v>
      </c>
      <c r="H191" s="27" t="s">
        <v>107</v>
      </c>
      <c r="I191" s="27" t="s">
        <v>108</v>
      </c>
      <c r="J191" s="27">
        <v>3</v>
      </c>
      <c r="K191" s="27">
        <v>23.99</v>
      </c>
      <c r="M191" s="27">
        <v>0</v>
      </c>
      <c r="N191" s="27">
        <v>0</v>
      </c>
      <c r="O191" s="27">
        <v>0</v>
      </c>
      <c r="P191" s="27" t="s">
        <v>133</v>
      </c>
      <c r="Q191" s="27">
        <v>3.218476</v>
      </c>
      <c r="S191" s="27">
        <v>129</v>
      </c>
      <c r="T191" s="27">
        <v>95</v>
      </c>
      <c r="U191" s="27">
        <v>0.5759</v>
      </c>
      <c r="V191" s="27" t="s">
        <v>72</v>
      </c>
      <c r="W191" s="27">
        <v>3094.71</v>
      </c>
      <c r="X191" s="27">
        <v>4.867534</v>
      </c>
      <c r="Y191" s="27">
        <v>8.037773</v>
      </c>
      <c r="Z191" s="27">
        <v>9.7468</v>
      </c>
      <c r="AA191" s="27" t="s">
        <v>125</v>
      </c>
      <c r="AB191" s="27">
        <v>0</v>
      </c>
      <c r="AC191" s="27">
        <v>0</v>
      </c>
      <c r="AD191" s="27">
        <v>0</v>
      </c>
      <c r="AE191" s="27">
        <v>0</v>
      </c>
      <c r="AF191" s="27">
        <v>0</v>
      </c>
      <c r="AG191" s="27">
        <v>0</v>
      </c>
      <c r="AH191" s="27">
        <v>0</v>
      </c>
      <c r="AI191" s="27">
        <v>0</v>
      </c>
      <c r="AJ191" s="27">
        <v>0</v>
      </c>
      <c r="AK191" s="27">
        <v>0</v>
      </c>
      <c r="AL191" s="27">
        <v>0</v>
      </c>
      <c r="AM191" s="27">
        <v>0</v>
      </c>
      <c r="AN191" s="27">
        <v>0</v>
      </c>
      <c r="AO191" s="27">
        <v>0</v>
      </c>
      <c r="AP191" s="27">
        <v>0</v>
      </c>
      <c r="AQ191" s="27">
        <v>0</v>
      </c>
      <c r="AR191" s="27">
        <v>0</v>
      </c>
      <c r="AS191" s="27">
        <v>0</v>
      </c>
      <c r="AT191" s="27">
        <v>0</v>
      </c>
      <c r="AU191" s="27">
        <v>0</v>
      </c>
      <c r="AV191" s="27">
        <v>0</v>
      </c>
      <c r="AW191" s="27">
        <v>0</v>
      </c>
      <c r="AX191" s="27">
        <v>1</v>
      </c>
      <c r="AZ191" s="27">
        <v>1</v>
      </c>
      <c r="BA191" s="27">
        <v>0</v>
      </c>
      <c r="BB191" s="27">
        <v>52.89</v>
      </c>
      <c r="BC191" s="27" t="s">
        <v>111</v>
      </c>
      <c r="BD191" s="27" t="s">
        <v>112</v>
      </c>
      <c r="BE191" s="27" t="s">
        <v>113</v>
      </c>
      <c r="BF191" s="27" t="s">
        <v>77</v>
      </c>
      <c r="BG191" s="27">
        <v>162</v>
      </c>
      <c r="BH191" s="27">
        <v>24</v>
      </c>
      <c r="BI191" s="27">
        <v>0.871</v>
      </c>
      <c r="BJ191" s="27">
        <v>0</v>
      </c>
      <c r="BK191" s="27">
        <v>2</v>
      </c>
      <c r="BL191" s="27">
        <v>99.5</v>
      </c>
    </row>
    <row r="192" customHeight="1" spans="1:64">
      <c r="A192" s="27" t="s">
        <v>777</v>
      </c>
      <c r="B192" s="27" t="s">
        <v>778</v>
      </c>
      <c r="E192" s="27" t="s">
        <v>255</v>
      </c>
      <c r="F192" s="27" t="s">
        <v>82</v>
      </c>
      <c r="G192" s="27" t="s">
        <v>83</v>
      </c>
      <c r="H192" s="27" t="s">
        <v>84</v>
      </c>
      <c r="I192" s="27" t="s">
        <v>153</v>
      </c>
      <c r="J192" s="27">
        <v>2</v>
      </c>
      <c r="K192" s="27">
        <v>70</v>
      </c>
      <c r="M192" s="27">
        <v>0</v>
      </c>
      <c r="N192" s="27">
        <v>0</v>
      </c>
      <c r="O192" s="27">
        <v>0</v>
      </c>
      <c r="P192" s="27" t="s">
        <v>86</v>
      </c>
      <c r="Q192" s="27">
        <v>4.26268</v>
      </c>
      <c r="S192" s="27">
        <v>1</v>
      </c>
      <c r="T192" s="27">
        <v>4</v>
      </c>
      <c r="U192" s="27">
        <v>0.2</v>
      </c>
      <c r="V192" s="27" t="s">
        <v>87</v>
      </c>
      <c r="W192" s="27">
        <v>70</v>
      </c>
      <c r="X192" s="27">
        <v>0.693147</v>
      </c>
      <c r="Y192" s="27">
        <v>4.26268</v>
      </c>
      <c r="Z192" s="27">
        <v>2</v>
      </c>
      <c r="AA192" s="27" t="s">
        <v>88</v>
      </c>
      <c r="AB192" s="27">
        <v>1</v>
      </c>
      <c r="AC192" s="27">
        <v>0</v>
      </c>
      <c r="AD192" s="27">
        <v>0</v>
      </c>
      <c r="AE192" s="27">
        <v>0</v>
      </c>
      <c r="AF192" s="27">
        <v>0</v>
      </c>
      <c r="AG192" s="27">
        <v>0</v>
      </c>
      <c r="AH192" s="27">
        <v>0</v>
      </c>
      <c r="AI192" s="27">
        <v>0</v>
      </c>
      <c r="AJ192" s="27">
        <v>0</v>
      </c>
      <c r="AK192" s="27">
        <v>0</v>
      </c>
      <c r="AL192" s="27">
        <v>0</v>
      </c>
      <c r="AM192" s="27">
        <v>0</v>
      </c>
      <c r="AN192" s="27">
        <v>0</v>
      </c>
      <c r="AO192" s="27">
        <v>0</v>
      </c>
      <c r="AP192" s="27">
        <v>0</v>
      </c>
      <c r="AQ192" s="27">
        <v>0</v>
      </c>
      <c r="AR192" s="27">
        <v>0</v>
      </c>
      <c r="AS192" s="27">
        <v>0</v>
      </c>
      <c r="AT192" s="27">
        <v>0</v>
      </c>
      <c r="AU192" s="27">
        <v>0</v>
      </c>
      <c r="AV192" s="27">
        <v>0</v>
      </c>
      <c r="AW192" s="27">
        <v>0</v>
      </c>
      <c r="AX192" s="27">
        <v>0</v>
      </c>
      <c r="AZ192" s="27">
        <v>1</v>
      </c>
      <c r="BA192" s="27">
        <v>1</v>
      </c>
      <c r="BB192" s="27">
        <v>8</v>
      </c>
      <c r="BC192" s="27" t="s">
        <v>779</v>
      </c>
      <c r="BD192" s="27" t="s">
        <v>780</v>
      </c>
      <c r="BE192" s="27" t="s">
        <v>781</v>
      </c>
      <c r="BF192" s="27" t="s">
        <v>77</v>
      </c>
      <c r="BG192" s="27">
        <v>168</v>
      </c>
      <c r="BH192" s="27">
        <v>11</v>
      </c>
      <c r="BI192" s="27">
        <v>0.9385</v>
      </c>
      <c r="BJ192" s="27">
        <v>0</v>
      </c>
    </row>
    <row r="193" customHeight="1" spans="1:64">
      <c r="A193" s="27" t="s">
        <v>782</v>
      </c>
      <c r="B193" s="27" t="s">
        <v>65</v>
      </c>
      <c r="C193" s="27" t="s">
        <v>783</v>
      </c>
      <c r="E193" s="27" t="s">
        <v>163</v>
      </c>
      <c r="F193" s="27" t="s">
        <v>240</v>
      </c>
      <c r="G193" s="27" t="s">
        <v>65</v>
      </c>
      <c r="H193" s="27" t="s">
        <v>69</v>
      </c>
      <c r="I193" s="27" t="s">
        <v>85</v>
      </c>
      <c r="J193" s="27">
        <v>5</v>
      </c>
      <c r="K193" s="27">
        <v>675</v>
      </c>
      <c r="M193" s="27">
        <v>0</v>
      </c>
      <c r="N193" s="27">
        <v>0</v>
      </c>
      <c r="O193" s="27">
        <v>0</v>
      </c>
      <c r="P193" s="27" t="s">
        <v>147</v>
      </c>
      <c r="Q193" s="27">
        <v>6.516193</v>
      </c>
      <c r="R193" s="27">
        <v>56.25</v>
      </c>
      <c r="S193" s="27">
        <v>1</v>
      </c>
      <c r="T193" s="27">
        <v>10</v>
      </c>
      <c r="U193" s="27">
        <v>0.0909</v>
      </c>
      <c r="V193" s="27" t="s">
        <v>87</v>
      </c>
      <c r="W193" s="27">
        <v>675</v>
      </c>
      <c r="X193" s="27">
        <v>0.693147</v>
      </c>
      <c r="Y193" s="27">
        <v>6.516193</v>
      </c>
      <c r="Z193" s="27">
        <v>3.1623</v>
      </c>
      <c r="AA193" s="27" t="s">
        <v>73</v>
      </c>
      <c r="AB193" s="27">
        <v>0</v>
      </c>
      <c r="AC193" s="27">
        <v>0</v>
      </c>
      <c r="AD193" s="27">
        <v>0</v>
      </c>
      <c r="AE193" s="27">
        <v>0</v>
      </c>
      <c r="AF193" s="27">
        <v>0</v>
      </c>
      <c r="AG193" s="27">
        <v>1</v>
      </c>
      <c r="AH193" s="27">
        <v>1</v>
      </c>
      <c r="AI193" s="27">
        <v>0</v>
      </c>
      <c r="AJ193" s="27">
        <v>0</v>
      </c>
      <c r="AK193" s="27">
        <v>0</v>
      </c>
      <c r="AL193" s="27">
        <v>0</v>
      </c>
      <c r="AM193" s="27">
        <v>0</v>
      </c>
      <c r="AN193" s="27">
        <v>0</v>
      </c>
      <c r="AO193" s="27">
        <v>0</v>
      </c>
      <c r="AP193" s="27">
        <v>0</v>
      </c>
      <c r="AQ193" s="27">
        <v>1</v>
      </c>
      <c r="AR193" s="27">
        <v>0</v>
      </c>
      <c r="AS193" s="27">
        <v>0</v>
      </c>
      <c r="AT193" s="27">
        <v>0</v>
      </c>
      <c r="AU193" s="27">
        <v>0</v>
      </c>
      <c r="AV193" s="27">
        <v>1</v>
      </c>
      <c r="AW193" s="27">
        <v>1</v>
      </c>
      <c r="AX193" s="27">
        <v>0</v>
      </c>
      <c r="AY193" s="27">
        <v>12</v>
      </c>
      <c r="AZ193" s="27">
        <v>1</v>
      </c>
      <c r="BA193" s="27">
        <v>2</v>
      </c>
      <c r="BB193" s="27">
        <v>33.22</v>
      </c>
      <c r="BC193" s="27" t="s">
        <v>784</v>
      </c>
      <c r="BD193" s="27" t="s">
        <v>785</v>
      </c>
      <c r="BE193" s="27" t="s">
        <v>774</v>
      </c>
      <c r="BF193" s="27" t="s">
        <v>77</v>
      </c>
      <c r="BG193" s="27">
        <v>1</v>
      </c>
      <c r="BH193" s="27">
        <v>27</v>
      </c>
      <c r="BI193" s="27">
        <v>0.0357</v>
      </c>
      <c r="BJ193" s="27">
        <v>1</v>
      </c>
      <c r="BK193" s="27">
        <v>5</v>
      </c>
      <c r="BL193" s="27">
        <v>98.6</v>
      </c>
    </row>
    <row r="194" customHeight="1" spans="1:64">
      <c r="A194" s="27" t="s">
        <v>786</v>
      </c>
      <c r="B194" s="27" t="s">
        <v>301</v>
      </c>
      <c r="E194" s="27" t="s">
        <v>302</v>
      </c>
      <c r="F194" s="27" t="s">
        <v>240</v>
      </c>
      <c r="G194" s="27" t="s">
        <v>83</v>
      </c>
      <c r="H194" s="27" t="s">
        <v>84</v>
      </c>
      <c r="I194" s="27" t="s">
        <v>153</v>
      </c>
      <c r="J194" s="27">
        <v>2</v>
      </c>
      <c r="K194" s="27">
        <v>265.5</v>
      </c>
      <c r="L194" s="27">
        <v>589.99</v>
      </c>
      <c r="M194" s="27">
        <v>55</v>
      </c>
      <c r="N194" s="27">
        <v>324.49</v>
      </c>
      <c r="O194" s="27">
        <v>1</v>
      </c>
      <c r="P194" s="27" t="s">
        <v>71</v>
      </c>
      <c r="Q194" s="27">
        <v>5.585374</v>
      </c>
      <c r="R194" s="27">
        <v>16.59</v>
      </c>
      <c r="T194" s="27">
        <v>2</v>
      </c>
      <c r="U194" s="27">
        <v>0</v>
      </c>
      <c r="V194" s="27" t="s">
        <v>231</v>
      </c>
      <c r="W194" s="27">
        <v>0</v>
      </c>
      <c r="X194" s="27">
        <v>0</v>
      </c>
      <c r="Y194" s="27">
        <v>0</v>
      </c>
      <c r="Z194" s="27">
        <v>1.4142</v>
      </c>
      <c r="AA194" s="27" t="s">
        <v>125</v>
      </c>
      <c r="AB194" s="27">
        <v>0</v>
      </c>
      <c r="AC194" s="27">
        <v>0</v>
      </c>
      <c r="AD194" s="27">
        <v>0</v>
      </c>
      <c r="AE194" s="27">
        <v>0</v>
      </c>
      <c r="AF194" s="27">
        <v>0</v>
      </c>
      <c r="AG194" s="27">
        <v>0</v>
      </c>
      <c r="AH194" s="27">
        <v>0</v>
      </c>
      <c r="AI194" s="27">
        <v>0</v>
      </c>
      <c r="AJ194" s="27">
        <v>0</v>
      </c>
      <c r="AK194" s="27">
        <v>0</v>
      </c>
      <c r="AL194" s="27">
        <v>0</v>
      </c>
      <c r="AM194" s="27">
        <v>0</v>
      </c>
      <c r="AN194" s="27">
        <v>0</v>
      </c>
      <c r="AO194" s="27">
        <v>0</v>
      </c>
      <c r="AP194" s="27">
        <v>0</v>
      </c>
      <c r="AQ194" s="27">
        <v>1</v>
      </c>
      <c r="AR194" s="27">
        <v>0</v>
      </c>
      <c r="AS194" s="27">
        <v>0</v>
      </c>
      <c r="AT194" s="27">
        <v>0</v>
      </c>
      <c r="AU194" s="27">
        <v>0</v>
      </c>
      <c r="AV194" s="27">
        <v>1</v>
      </c>
      <c r="AW194" s="27">
        <v>1</v>
      </c>
      <c r="AX194" s="27">
        <v>0</v>
      </c>
      <c r="AY194" s="27">
        <v>16</v>
      </c>
      <c r="AZ194" s="27">
        <v>1</v>
      </c>
      <c r="BA194" s="27">
        <v>1</v>
      </c>
      <c r="BB194" s="27">
        <v>41.31</v>
      </c>
      <c r="BC194" s="27" t="s">
        <v>787</v>
      </c>
      <c r="BD194" s="27" t="s">
        <v>788</v>
      </c>
      <c r="BE194" s="27" t="s">
        <v>789</v>
      </c>
      <c r="BF194" s="27" t="s">
        <v>77</v>
      </c>
      <c r="BG194" s="27">
        <v>208</v>
      </c>
      <c r="BH194" s="27">
        <v>13</v>
      </c>
      <c r="BI194" s="27">
        <v>0.9412</v>
      </c>
      <c r="BJ194" s="27">
        <v>0</v>
      </c>
      <c r="BK194" s="27">
        <v>63</v>
      </c>
      <c r="BL194" s="27">
        <v>82.7</v>
      </c>
    </row>
    <row r="195" customHeight="1" spans="1:64">
      <c r="A195" s="27" t="s">
        <v>790</v>
      </c>
      <c r="B195" s="27" t="s">
        <v>791</v>
      </c>
      <c r="E195" s="27" t="s">
        <v>653</v>
      </c>
      <c r="F195" s="27" t="s">
        <v>160</v>
      </c>
      <c r="G195" s="27" t="s">
        <v>83</v>
      </c>
      <c r="H195" s="27" t="s">
        <v>84</v>
      </c>
      <c r="I195" s="27" t="s">
        <v>85</v>
      </c>
      <c r="J195" s="27">
        <v>5</v>
      </c>
      <c r="K195" s="27">
        <v>13.29</v>
      </c>
      <c r="M195" s="27">
        <v>0</v>
      </c>
      <c r="N195" s="27">
        <v>0</v>
      </c>
      <c r="O195" s="27">
        <v>0</v>
      </c>
      <c r="P195" s="27" t="s">
        <v>133</v>
      </c>
      <c r="Q195" s="27">
        <v>2.65956</v>
      </c>
      <c r="S195" s="27">
        <v>54</v>
      </c>
      <c r="T195" s="27">
        <v>10</v>
      </c>
      <c r="U195" s="27">
        <v>0.8438</v>
      </c>
      <c r="V195" s="27" t="s">
        <v>72</v>
      </c>
      <c r="W195" s="27">
        <v>717.66</v>
      </c>
      <c r="X195" s="27">
        <v>4.007333</v>
      </c>
      <c r="Y195" s="27">
        <v>6.577388</v>
      </c>
      <c r="Z195" s="27">
        <v>3.1623</v>
      </c>
      <c r="AA195" s="27" t="s">
        <v>125</v>
      </c>
      <c r="AB195" s="27">
        <v>0</v>
      </c>
      <c r="AC195" s="27">
        <v>0</v>
      </c>
      <c r="AD195" s="27">
        <v>0</v>
      </c>
      <c r="AE195" s="27">
        <v>0</v>
      </c>
      <c r="AF195" s="27">
        <v>0</v>
      </c>
      <c r="AG195" s="27">
        <v>0</v>
      </c>
      <c r="AH195" s="27">
        <v>0</v>
      </c>
      <c r="AI195" s="27">
        <v>0</v>
      </c>
      <c r="AJ195" s="27">
        <v>0</v>
      </c>
      <c r="AK195" s="27">
        <v>0</v>
      </c>
      <c r="AL195" s="27">
        <v>0</v>
      </c>
      <c r="AM195" s="27">
        <v>0</v>
      </c>
      <c r="AN195" s="27">
        <v>0</v>
      </c>
      <c r="AO195" s="27">
        <v>0</v>
      </c>
      <c r="AP195" s="27">
        <v>0</v>
      </c>
      <c r="AQ195" s="27">
        <v>0</v>
      </c>
      <c r="AR195" s="27">
        <v>0</v>
      </c>
      <c r="AS195" s="27">
        <v>0</v>
      </c>
      <c r="AT195" s="27">
        <v>0</v>
      </c>
      <c r="AU195" s="27">
        <v>1</v>
      </c>
      <c r="AV195" s="27">
        <v>0</v>
      </c>
      <c r="AW195" s="27">
        <v>0</v>
      </c>
      <c r="AX195" s="27">
        <v>0</v>
      </c>
      <c r="AZ195" s="27">
        <v>1</v>
      </c>
      <c r="BA195" s="27">
        <v>0</v>
      </c>
      <c r="BB195" s="27">
        <v>63.51</v>
      </c>
      <c r="BC195" s="27" t="s">
        <v>792</v>
      </c>
      <c r="BD195" s="27" t="s">
        <v>793</v>
      </c>
      <c r="BE195" s="27" t="s">
        <v>113</v>
      </c>
      <c r="BF195" s="27" t="s">
        <v>77</v>
      </c>
      <c r="BG195" s="27">
        <v>168</v>
      </c>
      <c r="BH195" s="27">
        <v>51</v>
      </c>
      <c r="BI195" s="27">
        <v>0.7671</v>
      </c>
      <c r="BJ195" s="27">
        <v>0</v>
      </c>
      <c r="BK195" s="27">
        <v>3</v>
      </c>
      <c r="BL195" s="27">
        <v>99.2</v>
      </c>
    </row>
    <row r="196" customHeight="1" spans="1:64">
      <c r="A196" s="27" t="s">
        <v>794</v>
      </c>
      <c r="B196" s="27" t="s">
        <v>65</v>
      </c>
      <c r="E196" s="27" t="s">
        <v>255</v>
      </c>
      <c r="F196" s="27" t="s">
        <v>160</v>
      </c>
      <c r="G196" s="27" t="s">
        <v>65</v>
      </c>
      <c r="H196" s="27" t="s">
        <v>69</v>
      </c>
      <c r="I196" s="27" t="s">
        <v>70</v>
      </c>
      <c r="J196" s="27">
        <v>3</v>
      </c>
      <c r="K196" s="27">
        <v>113.05</v>
      </c>
      <c r="M196" s="27">
        <v>0</v>
      </c>
      <c r="N196" s="27">
        <v>0</v>
      </c>
      <c r="O196" s="27">
        <v>0</v>
      </c>
      <c r="P196" s="27" t="s">
        <v>95</v>
      </c>
      <c r="Q196" s="27">
        <v>4.736637</v>
      </c>
      <c r="S196" s="27">
        <v>86</v>
      </c>
      <c r="T196" s="27">
        <v>1</v>
      </c>
      <c r="U196" s="27">
        <v>0.9885</v>
      </c>
      <c r="V196" s="27" t="s">
        <v>72</v>
      </c>
      <c r="W196" s="27">
        <v>9722.3</v>
      </c>
      <c r="X196" s="27">
        <v>4.465908</v>
      </c>
      <c r="Y196" s="27">
        <v>9.18228</v>
      </c>
      <c r="Z196" s="27">
        <v>1</v>
      </c>
      <c r="AA196" s="27" t="s">
        <v>73</v>
      </c>
      <c r="AB196" s="27">
        <v>0</v>
      </c>
      <c r="AC196" s="27">
        <v>0</v>
      </c>
      <c r="AD196" s="27">
        <v>0</v>
      </c>
      <c r="AE196" s="27">
        <v>0</v>
      </c>
      <c r="AF196" s="27">
        <v>0</v>
      </c>
      <c r="AG196" s="27">
        <v>1</v>
      </c>
      <c r="AH196" s="27">
        <v>0</v>
      </c>
      <c r="AI196" s="27">
        <v>0</v>
      </c>
      <c r="AJ196" s="27">
        <v>0</v>
      </c>
      <c r="AK196" s="27">
        <v>0</v>
      </c>
      <c r="AL196" s="27">
        <v>0</v>
      </c>
      <c r="AM196" s="27">
        <v>0</v>
      </c>
      <c r="AN196" s="27">
        <v>0</v>
      </c>
      <c r="AO196" s="27">
        <v>0</v>
      </c>
      <c r="AP196" s="27">
        <v>0</v>
      </c>
      <c r="AQ196" s="27">
        <v>0</v>
      </c>
      <c r="AR196" s="27">
        <v>0</v>
      </c>
      <c r="AS196" s="27">
        <v>0</v>
      </c>
      <c r="AT196" s="27">
        <v>0</v>
      </c>
      <c r="AU196" s="27">
        <v>0</v>
      </c>
      <c r="AV196" s="27">
        <v>0</v>
      </c>
      <c r="AW196" s="27">
        <v>0</v>
      </c>
      <c r="AX196" s="27">
        <v>0</v>
      </c>
      <c r="AZ196" s="27">
        <v>1</v>
      </c>
      <c r="BA196" s="27">
        <v>0</v>
      </c>
      <c r="BB196" s="27">
        <v>65.43</v>
      </c>
      <c r="BC196" s="27" t="s">
        <v>795</v>
      </c>
      <c r="BD196" s="27" t="s">
        <v>796</v>
      </c>
      <c r="BE196" s="27" t="s">
        <v>407</v>
      </c>
      <c r="BF196" s="27" t="s">
        <v>77</v>
      </c>
      <c r="BG196" s="27">
        <v>168</v>
      </c>
      <c r="BH196" s="27">
        <v>11</v>
      </c>
      <c r="BI196" s="27">
        <v>0.9385</v>
      </c>
      <c r="BJ196" s="27">
        <v>0</v>
      </c>
      <c r="BK196" s="27">
        <v>50</v>
      </c>
      <c r="BL196" s="27">
        <v>86.3</v>
      </c>
    </row>
    <row r="197" customHeight="1" spans="1:64">
      <c r="A197" s="27" t="s">
        <v>797</v>
      </c>
      <c r="B197" s="27" t="s">
        <v>798</v>
      </c>
      <c r="E197" s="27" t="s">
        <v>163</v>
      </c>
      <c r="F197" s="27" t="s">
        <v>82</v>
      </c>
      <c r="G197" s="27" t="s">
        <v>346</v>
      </c>
      <c r="H197" s="27" t="s">
        <v>84</v>
      </c>
      <c r="I197" s="27" t="s">
        <v>85</v>
      </c>
      <c r="J197" s="27">
        <v>5</v>
      </c>
      <c r="K197" s="27">
        <v>13.66</v>
      </c>
      <c r="L197" s="27">
        <v>14.38</v>
      </c>
      <c r="M197" s="27">
        <v>5.01</v>
      </c>
      <c r="N197" s="27">
        <v>0.72</v>
      </c>
      <c r="O197" s="27">
        <v>1</v>
      </c>
      <c r="P197" s="27" t="s">
        <v>133</v>
      </c>
      <c r="Q197" s="27">
        <v>2.685123</v>
      </c>
      <c r="S197" s="27">
        <v>22</v>
      </c>
      <c r="T197" s="27">
        <v>1</v>
      </c>
      <c r="U197" s="27">
        <v>0.9565</v>
      </c>
      <c r="V197" s="27" t="s">
        <v>72</v>
      </c>
      <c r="W197" s="27">
        <v>300.52</v>
      </c>
      <c r="X197" s="27">
        <v>3.135494</v>
      </c>
      <c r="Y197" s="27">
        <v>5.708836</v>
      </c>
      <c r="Z197" s="27">
        <v>1</v>
      </c>
      <c r="AA197" s="27" t="s">
        <v>125</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v>0</v>
      </c>
      <c r="AS197" s="27">
        <v>0</v>
      </c>
      <c r="AT197" s="27">
        <v>1</v>
      </c>
      <c r="AU197" s="27">
        <v>0</v>
      </c>
      <c r="AV197" s="27">
        <v>0</v>
      </c>
      <c r="AW197" s="27">
        <v>1</v>
      </c>
      <c r="AX197" s="27">
        <v>0</v>
      </c>
      <c r="AZ197" s="27">
        <v>3</v>
      </c>
      <c r="BA197" s="27">
        <v>0</v>
      </c>
      <c r="BB197" s="27">
        <v>69.43</v>
      </c>
      <c r="BC197" s="27" t="s">
        <v>799</v>
      </c>
      <c r="BD197" s="27" t="s">
        <v>664</v>
      </c>
      <c r="BE197" s="27" t="s">
        <v>665</v>
      </c>
      <c r="BF197" s="27" t="s">
        <v>77</v>
      </c>
      <c r="BG197" s="27">
        <v>1</v>
      </c>
      <c r="BH197" s="27">
        <v>15</v>
      </c>
      <c r="BI197" s="27">
        <v>0.0625</v>
      </c>
      <c r="BJ197" s="27">
        <v>1</v>
      </c>
      <c r="BK197" s="27">
        <v>4</v>
      </c>
      <c r="BL197" s="27">
        <v>98.9</v>
      </c>
    </row>
    <row r="198" customHeight="1" spans="1:64">
      <c r="A198" s="27" t="s">
        <v>800</v>
      </c>
      <c r="B198" s="27" t="s">
        <v>125</v>
      </c>
      <c r="E198" s="27" t="s">
        <v>801</v>
      </c>
      <c r="F198" s="27" t="s">
        <v>198</v>
      </c>
      <c r="G198" s="27" t="s">
        <v>83</v>
      </c>
      <c r="H198" s="27" t="s">
        <v>138</v>
      </c>
      <c r="I198" s="27" t="s">
        <v>85</v>
      </c>
      <c r="J198" s="27">
        <v>5</v>
      </c>
      <c r="K198" s="27">
        <v>12.99</v>
      </c>
      <c r="M198" s="27">
        <v>0</v>
      </c>
      <c r="N198" s="27">
        <v>0</v>
      </c>
      <c r="O198" s="27">
        <v>0</v>
      </c>
      <c r="P198" s="27" t="s">
        <v>133</v>
      </c>
      <c r="Q198" s="27">
        <v>2.638343</v>
      </c>
      <c r="S198" s="27">
        <v>290</v>
      </c>
      <c r="T198" s="27">
        <v>1</v>
      </c>
      <c r="U198" s="27">
        <v>0.9966</v>
      </c>
      <c r="V198" s="27" t="s">
        <v>154</v>
      </c>
      <c r="W198" s="27">
        <v>3767.1</v>
      </c>
      <c r="X198" s="27">
        <v>5.673323</v>
      </c>
      <c r="Y198" s="27">
        <v>8.234326</v>
      </c>
      <c r="Z198" s="27">
        <v>1</v>
      </c>
      <c r="AA198" s="27" t="s">
        <v>125</v>
      </c>
      <c r="AB198" s="27">
        <v>1</v>
      </c>
      <c r="AC198" s="27">
        <v>0</v>
      </c>
      <c r="AD198" s="27">
        <v>0</v>
      </c>
      <c r="AE198" s="27">
        <v>0</v>
      </c>
      <c r="AF198" s="27">
        <v>0</v>
      </c>
      <c r="AG198" s="27">
        <v>0</v>
      </c>
      <c r="AH198" s="27">
        <v>0</v>
      </c>
      <c r="AI198" s="27">
        <v>0</v>
      </c>
      <c r="AJ198" s="27">
        <v>0</v>
      </c>
      <c r="AK198" s="27">
        <v>0</v>
      </c>
      <c r="AL198" s="27">
        <v>0</v>
      </c>
      <c r="AM198" s="27">
        <v>0</v>
      </c>
      <c r="AN198" s="27">
        <v>0</v>
      </c>
      <c r="AO198" s="27">
        <v>0</v>
      </c>
      <c r="AP198" s="27">
        <v>0</v>
      </c>
      <c r="AQ198" s="27">
        <v>0</v>
      </c>
      <c r="AR198" s="27">
        <v>0</v>
      </c>
      <c r="AS198" s="27">
        <v>0</v>
      </c>
      <c r="AT198" s="27">
        <v>0</v>
      </c>
      <c r="AU198" s="27">
        <v>0</v>
      </c>
      <c r="AV198" s="27">
        <v>0</v>
      </c>
      <c r="AW198" s="27">
        <v>0</v>
      </c>
      <c r="AX198" s="27">
        <v>0</v>
      </c>
      <c r="AZ198" s="27">
        <v>1</v>
      </c>
      <c r="BA198" s="27">
        <v>1</v>
      </c>
      <c r="BB198" s="27">
        <v>69.71</v>
      </c>
      <c r="BC198" s="27" t="s">
        <v>802</v>
      </c>
      <c r="BD198" s="27" t="s">
        <v>537</v>
      </c>
      <c r="BE198" s="27" t="s">
        <v>91</v>
      </c>
      <c r="BF198" s="27" t="s">
        <v>77</v>
      </c>
      <c r="BG198" s="27">
        <v>162</v>
      </c>
      <c r="BH198" s="27">
        <v>59</v>
      </c>
      <c r="BI198" s="27">
        <v>0.733</v>
      </c>
      <c r="BJ198" s="27">
        <v>0</v>
      </c>
      <c r="BK198" s="27">
        <v>2</v>
      </c>
      <c r="BL198" s="27">
        <v>99.5</v>
      </c>
    </row>
    <row r="199" customHeight="1" spans="1:64">
      <c r="A199" s="27" t="s">
        <v>803</v>
      </c>
      <c r="B199" s="27" t="s">
        <v>171</v>
      </c>
      <c r="C199" s="27" t="s">
        <v>804</v>
      </c>
      <c r="E199" s="27" t="s">
        <v>805</v>
      </c>
      <c r="F199" s="27" t="s">
        <v>160</v>
      </c>
      <c r="G199" s="27" t="s">
        <v>83</v>
      </c>
      <c r="H199" s="27" t="s">
        <v>84</v>
      </c>
      <c r="I199" s="27" t="s">
        <v>85</v>
      </c>
      <c r="J199" s="27">
        <v>5</v>
      </c>
      <c r="K199" s="27">
        <v>59.19</v>
      </c>
      <c r="M199" s="27">
        <v>0</v>
      </c>
      <c r="N199" s="27">
        <v>0</v>
      </c>
      <c r="O199" s="27">
        <v>0</v>
      </c>
      <c r="P199" s="27" t="s">
        <v>86</v>
      </c>
      <c r="Q199" s="27">
        <v>4.097506</v>
      </c>
      <c r="R199" s="27">
        <v>7.4</v>
      </c>
      <c r="S199" s="27">
        <v>72</v>
      </c>
      <c r="T199" s="27">
        <v>100</v>
      </c>
      <c r="U199" s="27">
        <v>0.4186</v>
      </c>
      <c r="V199" s="27" t="s">
        <v>72</v>
      </c>
      <c r="W199" s="27">
        <v>4261.68</v>
      </c>
      <c r="X199" s="27">
        <v>4.290459</v>
      </c>
      <c r="Y199" s="27">
        <v>8.357653</v>
      </c>
      <c r="Z199" s="27">
        <v>10</v>
      </c>
      <c r="AA199" s="27" t="s">
        <v>110</v>
      </c>
      <c r="AB199" s="27">
        <v>0</v>
      </c>
      <c r="AC199" s="27">
        <v>0</v>
      </c>
      <c r="AD199" s="27">
        <v>0</v>
      </c>
      <c r="AE199" s="27">
        <v>0</v>
      </c>
      <c r="AF199" s="27">
        <v>0</v>
      </c>
      <c r="AG199" s="27">
        <v>0</v>
      </c>
      <c r="AH199" s="27">
        <v>0</v>
      </c>
      <c r="AI199" s="27">
        <v>0</v>
      </c>
      <c r="AJ199" s="27">
        <v>0</v>
      </c>
      <c r="AK199" s="27">
        <v>0</v>
      </c>
      <c r="AL199" s="27">
        <v>0</v>
      </c>
      <c r="AM199" s="27">
        <v>1</v>
      </c>
      <c r="AN199" s="27">
        <v>0</v>
      </c>
      <c r="AO199" s="27">
        <v>0</v>
      </c>
      <c r="AP199" s="27">
        <v>0</v>
      </c>
      <c r="AQ199" s="27">
        <v>1</v>
      </c>
      <c r="AR199" s="27">
        <v>0</v>
      </c>
      <c r="AS199" s="27">
        <v>0</v>
      </c>
      <c r="AT199" s="27">
        <v>0</v>
      </c>
      <c r="AU199" s="27">
        <v>0</v>
      </c>
      <c r="AV199" s="27">
        <v>1</v>
      </c>
      <c r="AW199" s="27">
        <v>1</v>
      </c>
      <c r="AX199" s="27">
        <v>0</v>
      </c>
      <c r="AY199" s="27">
        <v>8</v>
      </c>
      <c r="AZ199" s="27">
        <v>1</v>
      </c>
      <c r="BA199" s="27">
        <v>2</v>
      </c>
      <c r="BB199" s="27">
        <v>46.41</v>
      </c>
      <c r="BC199" s="27" t="s">
        <v>251</v>
      </c>
      <c r="BD199" s="27" t="s">
        <v>175</v>
      </c>
      <c r="BE199" s="27" t="s">
        <v>91</v>
      </c>
      <c r="BF199" s="27" t="s">
        <v>77</v>
      </c>
      <c r="BG199" s="27">
        <v>161</v>
      </c>
      <c r="BH199" s="27">
        <v>61</v>
      </c>
      <c r="BI199" s="27">
        <v>0.7252</v>
      </c>
      <c r="BJ199" s="27">
        <v>0</v>
      </c>
      <c r="BK199" s="27">
        <v>4</v>
      </c>
      <c r="BL199" s="27">
        <v>98.9</v>
      </c>
    </row>
    <row r="200" customHeight="1" spans="1:64">
      <c r="A200" s="27" t="s">
        <v>806</v>
      </c>
      <c r="B200" s="27" t="s">
        <v>807</v>
      </c>
      <c r="E200" s="27" t="s">
        <v>808</v>
      </c>
      <c r="F200" s="27" t="s">
        <v>198</v>
      </c>
      <c r="G200" s="27" t="s">
        <v>83</v>
      </c>
      <c r="H200" s="27" t="s">
        <v>84</v>
      </c>
      <c r="I200" s="27" t="s">
        <v>85</v>
      </c>
      <c r="J200" s="27">
        <v>5</v>
      </c>
      <c r="K200" s="27">
        <v>12.89</v>
      </c>
      <c r="M200" s="27">
        <v>0</v>
      </c>
      <c r="N200" s="27">
        <v>0</v>
      </c>
      <c r="O200" s="27">
        <v>0</v>
      </c>
      <c r="P200" s="27" t="s">
        <v>133</v>
      </c>
      <c r="Q200" s="27">
        <v>2.631169</v>
      </c>
      <c r="S200" s="27">
        <v>87</v>
      </c>
      <c r="T200" s="27">
        <v>10</v>
      </c>
      <c r="U200" s="27">
        <v>0.8969</v>
      </c>
      <c r="V200" s="27" t="s">
        <v>72</v>
      </c>
      <c r="W200" s="27">
        <v>1121.43</v>
      </c>
      <c r="X200" s="27">
        <v>4.477337</v>
      </c>
      <c r="Y200" s="27">
        <v>7.023251</v>
      </c>
      <c r="Z200" s="27">
        <v>3.1623</v>
      </c>
      <c r="AA200" s="27" t="s">
        <v>125</v>
      </c>
      <c r="AB200" s="27">
        <v>1</v>
      </c>
      <c r="AC200" s="27">
        <v>0</v>
      </c>
      <c r="AD200" s="27">
        <v>0</v>
      </c>
      <c r="AE200" s="27">
        <v>0</v>
      </c>
      <c r="AF200" s="27">
        <v>0</v>
      </c>
      <c r="AG200" s="27">
        <v>0</v>
      </c>
      <c r="AH200" s="27">
        <v>0</v>
      </c>
      <c r="AI200" s="27">
        <v>0</v>
      </c>
      <c r="AJ200" s="27">
        <v>0</v>
      </c>
      <c r="AK200" s="27">
        <v>0</v>
      </c>
      <c r="AL200" s="27">
        <v>0</v>
      </c>
      <c r="AM200" s="27">
        <v>0</v>
      </c>
      <c r="AN200" s="27">
        <v>0</v>
      </c>
      <c r="AO200" s="27">
        <v>0</v>
      </c>
      <c r="AP200" s="27">
        <v>0</v>
      </c>
      <c r="AQ200" s="27">
        <v>0</v>
      </c>
      <c r="AR200" s="27">
        <v>0</v>
      </c>
      <c r="AS200" s="27">
        <v>0</v>
      </c>
      <c r="AT200" s="27">
        <v>0</v>
      </c>
      <c r="AU200" s="27">
        <v>0</v>
      </c>
      <c r="AV200" s="27">
        <v>0</v>
      </c>
      <c r="AW200" s="27">
        <v>0</v>
      </c>
      <c r="AX200" s="27">
        <v>0</v>
      </c>
      <c r="AZ200" s="27">
        <v>1</v>
      </c>
      <c r="BA200" s="27">
        <v>1</v>
      </c>
      <c r="BB200" s="27">
        <v>63.24</v>
      </c>
      <c r="BC200" s="27" t="s">
        <v>809</v>
      </c>
      <c r="BD200" s="27" t="s">
        <v>180</v>
      </c>
      <c r="BE200" s="27" t="s">
        <v>113</v>
      </c>
      <c r="BF200" s="27" t="s">
        <v>77</v>
      </c>
      <c r="BG200" s="27">
        <v>168</v>
      </c>
      <c r="BH200" s="27">
        <v>11</v>
      </c>
      <c r="BI200" s="27">
        <v>0.9385</v>
      </c>
      <c r="BJ200" s="27">
        <v>0</v>
      </c>
      <c r="BK200" s="27">
        <v>32</v>
      </c>
      <c r="BL200" s="27">
        <v>91.2</v>
      </c>
    </row>
    <row r="201" customHeight="1" spans="1:64">
      <c r="A201" s="27" t="s">
        <v>810</v>
      </c>
      <c r="B201" s="27" t="s">
        <v>811</v>
      </c>
      <c r="E201" s="27" t="s">
        <v>250</v>
      </c>
      <c r="F201" s="27" t="s">
        <v>82</v>
      </c>
      <c r="G201" s="27" t="s">
        <v>83</v>
      </c>
      <c r="H201" s="27" t="s">
        <v>84</v>
      </c>
      <c r="I201" s="27" t="s">
        <v>85</v>
      </c>
      <c r="J201" s="27">
        <v>5</v>
      </c>
      <c r="K201" s="27">
        <v>29.94</v>
      </c>
      <c r="M201" s="27">
        <v>0</v>
      </c>
      <c r="N201" s="27">
        <v>0</v>
      </c>
      <c r="O201" s="27">
        <v>0</v>
      </c>
      <c r="P201" s="27" t="s">
        <v>86</v>
      </c>
      <c r="Q201" s="27">
        <v>3.43205</v>
      </c>
      <c r="S201" s="27">
        <v>3</v>
      </c>
      <c r="T201" s="27">
        <v>10</v>
      </c>
      <c r="U201" s="27">
        <v>0.2308</v>
      </c>
      <c r="V201" s="27" t="s">
        <v>87</v>
      </c>
      <c r="W201" s="27">
        <v>89.82</v>
      </c>
      <c r="X201" s="27">
        <v>1.386294</v>
      </c>
      <c r="Y201" s="27">
        <v>4.50888</v>
      </c>
      <c r="Z201" s="27">
        <v>3.1623</v>
      </c>
      <c r="AA201" s="27" t="s">
        <v>88</v>
      </c>
      <c r="AB201" s="27">
        <v>0</v>
      </c>
      <c r="AC201" s="27">
        <v>0</v>
      </c>
      <c r="AD201" s="27">
        <v>0</v>
      </c>
      <c r="AE201" s="27">
        <v>0</v>
      </c>
      <c r="AF201" s="27">
        <v>0</v>
      </c>
      <c r="AG201" s="27">
        <v>1</v>
      </c>
      <c r="AH201" s="27">
        <v>0</v>
      </c>
      <c r="AI201" s="27">
        <v>1</v>
      </c>
      <c r="AJ201" s="27">
        <v>0</v>
      </c>
      <c r="AK201" s="27">
        <v>0</v>
      </c>
      <c r="AL201" s="27">
        <v>0</v>
      </c>
      <c r="AM201" s="27">
        <v>0</v>
      </c>
      <c r="AN201" s="27">
        <v>0</v>
      </c>
      <c r="AO201" s="27">
        <v>0</v>
      </c>
      <c r="AP201" s="27">
        <v>0</v>
      </c>
      <c r="AQ201" s="27">
        <v>0</v>
      </c>
      <c r="AR201" s="27">
        <v>0</v>
      </c>
      <c r="AS201" s="27">
        <v>0</v>
      </c>
      <c r="AT201" s="27">
        <v>1</v>
      </c>
      <c r="AU201" s="27">
        <v>0</v>
      </c>
      <c r="AV201" s="27">
        <v>0</v>
      </c>
      <c r="AW201" s="27">
        <v>0</v>
      </c>
      <c r="AX201" s="27">
        <v>0</v>
      </c>
      <c r="AZ201" s="27">
        <v>1</v>
      </c>
      <c r="BA201" s="27">
        <v>0</v>
      </c>
      <c r="BB201" s="27">
        <v>38.81</v>
      </c>
      <c r="BC201" s="27" t="s">
        <v>812</v>
      </c>
      <c r="BD201" s="27" t="s">
        <v>626</v>
      </c>
      <c r="BE201" s="27" t="s">
        <v>166</v>
      </c>
      <c r="BF201" s="27" t="s">
        <v>77</v>
      </c>
      <c r="BG201" s="27">
        <v>208</v>
      </c>
      <c r="BH201" s="27">
        <v>11</v>
      </c>
      <c r="BI201" s="27">
        <v>0.9498</v>
      </c>
      <c r="BJ201" s="27">
        <v>0</v>
      </c>
      <c r="BK201" s="27">
        <v>5</v>
      </c>
      <c r="BL201" s="27">
        <v>98.6</v>
      </c>
    </row>
    <row r="202" customHeight="1" spans="1:64">
      <c r="A202" s="27" t="s">
        <v>813</v>
      </c>
      <c r="B202" s="27" t="s">
        <v>171</v>
      </c>
      <c r="E202" s="27" t="s">
        <v>239</v>
      </c>
      <c r="F202" s="27" t="s">
        <v>160</v>
      </c>
      <c r="G202" s="27" t="s">
        <v>83</v>
      </c>
      <c r="H202" s="27" t="s">
        <v>84</v>
      </c>
      <c r="I202" s="27" t="s">
        <v>85</v>
      </c>
      <c r="J202" s="27">
        <v>5</v>
      </c>
      <c r="K202" s="27">
        <v>103.59</v>
      </c>
      <c r="M202" s="27">
        <v>0</v>
      </c>
      <c r="N202" s="27">
        <v>0</v>
      </c>
      <c r="O202" s="27">
        <v>0</v>
      </c>
      <c r="P202" s="27" t="s">
        <v>95</v>
      </c>
      <c r="Q202" s="27">
        <v>4.650048</v>
      </c>
      <c r="R202" s="27">
        <v>6.47</v>
      </c>
      <c r="S202" s="27">
        <v>146</v>
      </c>
      <c r="T202" s="27">
        <v>100</v>
      </c>
      <c r="U202" s="27">
        <v>0.5935</v>
      </c>
      <c r="V202" s="27" t="s">
        <v>72</v>
      </c>
      <c r="W202" s="27">
        <v>15124.14</v>
      </c>
      <c r="X202" s="27">
        <v>4.990433</v>
      </c>
      <c r="Y202" s="27">
        <v>9.624114</v>
      </c>
      <c r="Z202" s="27">
        <v>10</v>
      </c>
      <c r="AA202" s="27" t="s">
        <v>313</v>
      </c>
      <c r="AB202" s="27">
        <v>0</v>
      </c>
      <c r="AC202" s="27">
        <v>0</v>
      </c>
      <c r="AD202" s="27">
        <v>0</v>
      </c>
      <c r="AE202" s="27">
        <v>0</v>
      </c>
      <c r="AF202" s="27">
        <v>0</v>
      </c>
      <c r="AG202" s="27">
        <v>0</v>
      </c>
      <c r="AH202" s="27">
        <v>0</v>
      </c>
      <c r="AI202" s="27">
        <v>0</v>
      </c>
      <c r="AJ202" s="27">
        <v>0</v>
      </c>
      <c r="AK202" s="27">
        <v>0</v>
      </c>
      <c r="AL202" s="27">
        <v>0</v>
      </c>
      <c r="AM202" s="27">
        <v>0</v>
      </c>
      <c r="AN202" s="27">
        <v>0</v>
      </c>
      <c r="AO202" s="27">
        <v>0</v>
      </c>
      <c r="AP202" s="27">
        <v>0</v>
      </c>
      <c r="AQ202" s="27">
        <v>1</v>
      </c>
      <c r="AR202" s="27">
        <v>0</v>
      </c>
      <c r="AS202" s="27">
        <v>0</v>
      </c>
      <c r="AT202" s="27">
        <v>0</v>
      </c>
      <c r="AU202" s="27">
        <v>0</v>
      </c>
      <c r="AV202" s="27">
        <v>1</v>
      </c>
      <c r="AW202" s="27">
        <v>0</v>
      </c>
      <c r="AX202" s="27">
        <v>0</v>
      </c>
      <c r="AY202" s="27">
        <v>16</v>
      </c>
      <c r="AZ202" s="27">
        <v>1</v>
      </c>
      <c r="BA202" s="27">
        <v>1</v>
      </c>
      <c r="BB202" s="27">
        <v>53.26</v>
      </c>
      <c r="BC202" s="27" t="s">
        <v>251</v>
      </c>
      <c r="BD202" s="27" t="s">
        <v>175</v>
      </c>
      <c r="BE202" s="27" t="s">
        <v>91</v>
      </c>
      <c r="BF202" s="27" t="s">
        <v>77</v>
      </c>
      <c r="BG202" s="27">
        <v>162</v>
      </c>
      <c r="BH202" s="27">
        <v>60</v>
      </c>
      <c r="BI202" s="27">
        <v>0.7297</v>
      </c>
      <c r="BJ202" s="27">
        <v>0</v>
      </c>
      <c r="BK202" s="27">
        <v>6</v>
      </c>
      <c r="BL202" s="27">
        <v>98.4</v>
      </c>
    </row>
    <row r="203" customHeight="1" spans="1:64">
      <c r="A203" s="27" t="s">
        <v>814</v>
      </c>
      <c r="B203" s="27" t="s">
        <v>344</v>
      </c>
      <c r="E203" s="27" t="s">
        <v>815</v>
      </c>
      <c r="F203" s="27" t="s">
        <v>82</v>
      </c>
      <c r="G203" s="27" t="s">
        <v>346</v>
      </c>
      <c r="H203" s="27" t="s">
        <v>107</v>
      </c>
      <c r="I203" s="27" t="s">
        <v>203</v>
      </c>
      <c r="J203" s="27">
        <v>4</v>
      </c>
      <c r="K203" s="27">
        <v>19.99</v>
      </c>
      <c r="M203" s="27">
        <v>0</v>
      </c>
      <c r="N203" s="27">
        <v>0</v>
      </c>
      <c r="O203" s="27">
        <v>0</v>
      </c>
      <c r="P203" s="27" t="s">
        <v>133</v>
      </c>
      <c r="Q203" s="27">
        <v>3.044046</v>
      </c>
      <c r="S203" s="27">
        <v>1</v>
      </c>
      <c r="T203" s="27">
        <v>1</v>
      </c>
      <c r="U203" s="27">
        <v>0.5</v>
      </c>
      <c r="V203" s="27" t="s">
        <v>87</v>
      </c>
      <c r="W203" s="27">
        <v>19.99</v>
      </c>
      <c r="X203" s="27">
        <v>0.693147</v>
      </c>
      <c r="Y203" s="27">
        <v>3.044046</v>
      </c>
      <c r="Z203" s="27">
        <v>1</v>
      </c>
      <c r="AA203" s="27" t="s">
        <v>125</v>
      </c>
      <c r="AB203" s="27">
        <v>0</v>
      </c>
      <c r="AC203" s="27">
        <v>0</v>
      </c>
      <c r="AD203" s="27">
        <v>0</v>
      </c>
      <c r="AE203" s="27">
        <v>0</v>
      </c>
      <c r="AF203" s="27">
        <v>0</v>
      </c>
      <c r="AG203" s="27">
        <v>0</v>
      </c>
      <c r="AH203" s="27">
        <v>0</v>
      </c>
      <c r="AI203" s="27">
        <v>0</v>
      </c>
      <c r="AJ203" s="27">
        <v>0</v>
      </c>
      <c r="AK203" s="27">
        <v>0</v>
      </c>
      <c r="AL203" s="27">
        <v>0</v>
      </c>
      <c r="AM203" s="27">
        <v>0</v>
      </c>
      <c r="AN203" s="27">
        <v>0</v>
      </c>
      <c r="AO203" s="27">
        <v>0</v>
      </c>
      <c r="AP203" s="27">
        <v>0</v>
      </c>
      <c r="AQ203" s="27">
        <v>0</v>
      </c>
      <c r="AR203" s="27">
        <v>0</v>
      </c>
      <c r="AS203" s="27">
        <v>0</v>
      </c>
      <c r="AT203" s="27">
        <v>0</v>
      </c>
      <c r="AU203" s="27">
        <v>0</v>
      </c>
      <c r="AV203" s="27">
        <v>0</v>
      </c>
      <c r="AW203" s="27">
        <v>1</v>
      </c>
      <c r="AX203" s="27">
        <v>0</v>
      </c>
      <c r="AZ203" s="27">
        <v>1</v>
      </c>
      <c r="BA203" s="27">
        <v>0</v>
      </c>
      <c r="BB203" s="27">
        <v>45.14</v>
      </c>
      <c r="BC203" s="27" t="s">
        <v>816</v>
      </c>
      <c r="BD203" s="27" t="s">
        <v>817</v>
      </c>
      <c r="BE203" s="27" t="s">
        <v>690</v>
      </c>
      <c r="BF203" s="27" t="s">
        <v>77</v>
      </c>
      <c r="BG203" s="27">
        <v>168</v>
      </c>
      <c r="BH203" s="27">
        <v>51</v>
      </c>
      <c r="BI203" s="27">
        <v>0.7671</v>
      </c>
      <c r="BJ203" s="27">
        <v>0</v>
      </c>
      <c r="BK203" s="27">
        <v>59</v>
      </c>
      <c r="BL203" s="27">
        <v>83.8</v>
      </c>
    </row>
    <row r="204" customHeight="1" spans="1:64">
      <c r="A204" s="27" t="s">
        <v>818</v>
      </c>
      <c r="B204" s="27" t="s">
        <v>819</v>
      </c>
      <c r="D204" s="27">
        <v>810083471167</v>
      </c>
      <c r="E204" s="27" t="s">
        <v>81</v>
      </c>
      <c r="F204" s="27" t="s">
        <v>82</v>
      </c>
      <c r="G204" s="27" t="s">
        <v>819</v>
      </c>
      <c r="H204" s="27" t="s">
        <v>102</v>
      </c>
      <c r="I204" s="27" t="s">
        <v>108</v>
      </c>
      <c r="J204" s="27">
        <v>3</v>
      </c>
      <c r="K204" s="27">
        <v>79.99</v>
      </c>
      <c r="M204" s="27">
        <v>0</v>
      </c>
      <c r="N204" s="27">
        <v>0</v>
      </c>
      <c r="O204" s="27">
        <v>0</v>
      </c>
      <c r="P204" s="27" t="s">
        <v>95</v>
      </c>
      <c r="Q204" s="27">
        <v>4.394326</v>
      </c>
      <c r="S204" s="27">
        <v>39</v>
      </c>
      <c r="T204" s="27">
        <v>10</v>
      </c>
      <c r="U204" s="27">
        <v>0.7959</v>
      </c>
      <c r="V204" s="27" t="s">
        <v>72</v>
      </c>
      <c r="W204" s="27">
        <v>3119.61</v>
      </c>
      <c r="X204" s="27">
        <v>3.688879</v>
      </c>
      <c r="Y204" s="27">
        <v>8.045784</v>
      </c>
      <c r="Z204" s="27">
        <v>3.1623</v>
      </c>
      <c r="AA204" s="27" t="s">
        <v>483</v>
      </c>
      <c r="AB204" s="27">
        <v>0</v>
      </c>
      <c r="AC204" s="27">
        <v>0</v>
      </c>
      <c r="AD204" s="27">
        <v>1</v>
      </c>
      <c r="AE204" s="27">
        <v>0</v>
      </c>
      <c r="AF204" s="27">
        <v>0</v>
      </c>
      <c r="AG204" s="27">
        <v>0</v>
      </c>
      <c r="AH204" s="27">
        <v>0</v>
      </c>
      <c r="AI204" s="27">
        <v>0</v>
      </c>
      <c r="AJ204" s="27">
        <v>0</v>
      </c>
      <c r="AK204" s="27">
        <v>0</v>
      </c>
      <c r="AL204" s="27">
        <v>0</v>
      </c>
      <c r="AM204" s="27">
        <v>0</v>
      </c>
      <c r="AN204" s="27">
        <v>0</v>
      </c>
      <c r="AO204" s="27">
        <v>0</v>
      </c>
      <c r="AP204" s="27">
        <v>1</v>
      </c>
      <c r="AQ204" s="27">
        <v>0</v>
      </c>
      <c r="AR204" s="27">
        <v>0</v>
      </c>
      <c r="AS204" s="27">
        <v>0</v>
      </c>
      <c r="AT204" s="27">
        <v>1</v>
      </c>
      <c r="AU204" s="27">
        <v>0</v>
      </c>
      <c r="AV204" s="27">
        <v>0</v>
      </c>
      <c r="AW204" s="27">
        <v>0</v>
      </c>
      <c r="AX204" s="27">
        <v>0</v>
      </c>
      <c r="AZ204" s="27">
        <v>1</v>
      </c>
      <c r="BA204" s="27">
        <v>0</v>
      </c>
      <c r="BB204" s="27">
        <v>61.09</v>
      </c>
      <c r="BC204" s="27" t="s">
        <v>820</v>
      </c>
      <c r="BD204" s="27" t="s">
        <v>821</v>
      </c>
      <c r="BE204" s="27" t="s">
        <v>822</v>
      </c>
      <c r="BF204" s="27" t="s">
        <v>77</v>
      </c>
      <c r="BG204" s="27">
        <v>1</v>
      </c>
      <c r="BH204" s="27">
        <v>53</v>
      </c>
      <c r="BI204" s="27">
        <v>0.0185</v>
      </c>
      <c r="BJ204" s="27">
        <v>1</v>
      </c>
      <c r="BK204" s="27">
        <v>9</v>
      </c>
      <c r="BL204" s="27">
        <v>97.5</v>
      </c>
    </row>
    <row r="205" customHeight="1" spans="1:64">
      <c r="A205" s="27" t="s">
        <v>823</v>
      </c>
      <c r="B205" s="27" t="s">
        <v>245</v>
      </c>
      <c r="C205" s="27" t="s">
        <v>824</v>
      </c>
      <c r="E205" s="27" t="s">
        <v>250</v>
      </c>
      <c r="F205" s="27" t="s">
        <v>160</v>
      </c>
      <c r="G205" s="27" t="s">
        <v>83</v>
      </c>
      <c r="H205" s="27" t="s">
        <v>84</v>
      </c>
      <c r="I205" s="27" t="s">
        <v>85</v>
      </c>
      <c r="J205" s="27">
        <v>5</v>
      </c>
      <c r="K205" s="27">
        <v>129.49</v>
      </c>
      <c r="L205" s="27">
        <v>184.99</v>
      </c>
      <c r="M205" s="27">
        <v>30</v>
      </c>
      <c r="N205" s="27">
        <v>55.5</v>
      </c>
      <c r="O205" s="27">
        <v>1</v>
      </c>
      <c r="P205" s="27" t="s">
        <v>95</v>
      </c>
      <c r="Q205" s="27">
        <v>4.871297</v>
      </c>
      <c r="R205" s="27">
        <v>12.95</v>
      </c>
      <c r="S205" s="27">
        <v>2376</v>
      </c>
      <c r="T205" s="27">
        <v>10</v>
      </c>
      <c r="U205" s="27">
        <v>0.9958</v>
      </c>
      <c r="V205" s="27" t="s">
        <v>109</v>
      </c>
      <c r="W205" s="27">
        <v>307668.24</v>
      </c>
      <c r="X205" s="27">
        <v>7.773594</v>
      </c>
      <c r="Y205" s="27">
        <v>12.636781</v>
      </c>
      <c r="Z205" s="27">
        <v>3.1623</v>
      </c>
      <c r="AA205" s="27" t="s">
        <v>313</v>
      </c>
      <c r="AB205" s="27">
        <v>0</v>
      </c>
      <c r="AC205" s="27">
        <v>0</v>
      </c>
      <c r="AD205" s="27">
        <v>0</v>
      </c>
      <c r="AE205" s="27">
        <v>0</v>
      </c>
      <c r="AF205" s="27">
        <v>0</v>
      </c>
      <c r="AG205" s="27">
        <v>0</v>
      </c>
      <c r="AH205" s="27">
        <v>1</v>
      </c>
      <c r="AI205" s="27">
        <v>0</v>
      </c>
      <c r="AJ205" s="27">
        <v>0</v>
      </c>
      <c r="AK205" s="27">
        <v>0</v>
      </c>
      <c r="AL205" s="27">
        <v>0</v>
      </c>
      <c r="AM205" s="27">
        <v>0</v>
      </c>
      <c r="AN205" s="27">
        <v>1</v>
      </c>
      <c r="AO205" s="27">
        <v>0</v>
      </c>
      <c r="AP205" s="27">
        <v>0</v>
      </c>
      <c r="AQ205" s="27">
        <v>1</v>
      </c>
      <c r="AR205" s="27">
        <v>0</v>
      </c>
      <c r="AS205" s="27">
        <v>0</v>
      </c>
      <c r="AT205" s="27">
        <v>0</v>
      </c>
      <c r="AU205" s="27">
        <v>0</v>
      </c>
      <c r="AV205" s="27">
        <v>1</v>
      </c>
      <c r="AW205" s="27">
        <v>1</v>
      </c>
      <c r="AX205" s="27">
        <v>0</v>
      </c>
      <c r="AY205" s="27">
        <v>10</v>
      </c>
      <c r="AZ205" s="27">
        <v>1</v>
      </c>
      <c r="BA205" s="27">
        <v>3</v>
      </c>
      <c r="BB205" s="27">
        <v>77.51</v>
      </c>
      <c r="BC205" s="27" t="s">
        <v>732</v>
      </c>
      <c r="BD205" s="27" t="s">
        <v>175</v>
      </c>
      <c r="BE205" s="27" t="s">
        <v>91</v>
      </c>
      <c r="BF205" s="27" t="s">
        <v>77</v>
      </c>
      <c r="BG205" s="27">
        <v>162</v>
      </c>
      <c r="BH205" s="27">
        <v>60</v>
      </c>
      <c r="BI205" s="27">
        <v>0.7297</v>
      </c>
      <c r="BJ205" s="27">
        <v>0</v>
      </c>
      <c r="BK205" s="27">
        <v>16</v>
      </c>
      <c r="BL205" s="27">
        <v>95.6</v>
      </c>
    </row>
    <row r="206" customHeight="1" spans="1:64">
      <c r="A206" s="27" t="s">
        <v>825</v>
      </c>
      <c r="B206" s="27" t="s">
        <v>344</v>
      </c>
      <c r="E206" s="27" t="s">
        <v>81</v>
      </c>
      <c r="F206" s="27" t="s">
        <v>160</v>
      </c>
      <c r="G206" s="27" t="s">
        <v>346</v>
      </c>
      <c r="H206" s="27" t="s">
        <v>107</v>
      </c>
      <c r="I206" s="27" t="s">
        <v>85</v>
      </c>
      <c r="J206" s="27">
        <v>5</v>
      </c>
      <c r="K206" s="27">
        <v>119.4</v>
      </c>
      <c r="M206" s="27">
        <v>0</v>
      </c>
      <c r="N206" s="27">
        <v>0</v>
      </c>
      <c r="O206" s="27">
        <v>0</v>
      </c>
      <c r="P206" s="27" t="s">
        <v>95</v>
      </c>
      <c r="Q206" s="27">
        <v>4.79082</v>
      </c>
      <c r="V206" s="27" t="s">
        <v>231</v>
      </c>
      <c r="W206" s="27">
        <v>0</v>
      </c>
      <c r="X206" s="27">
        <v>0</v>
      </c>
      <c r="Y206" s="27">
        <v>0</v>
      </c>
      <c r="Z206" s="27">
        <v>0</v>
      </c>
      <c r="AA206" s="27" t="s">
        <v>125</v>
      </c>
      <c r="AB206" s="27">
        <v>0</v>
      </c>
      <c r="AC206" s="27">
        <v>0</v>
      </c>
      <c r="AD206" s="27">
        <v>0</v>
      </c>
      <c r="AE206" s="27">
        <v>0</v>
      </c>
      <c r="AF206" s="27">
        <v>0</v>
      </c>
      <c r="AG206" s="27">
        <v>0</v>
      </c>
      <c r="AH206" s="27">
        <v>1</v>
      </c>
      <c r="AI206" s="27">
        <v>0</v>
      </c>
      <c r="AJ206" s="27">
        <v>0</v>
      </c>
      <c r="AK206" s="27">
        <v>0</v>
      </c>
      <c r="AL206" s="27">
        <v>0</v>
      </c>
      <c r="AM206" s="27">
        <v>0</v>
      </c>
      <c r="AN206" s="27">
        <v>0</v>
      </c>
      <c r="AO206" s="27">
        <v>0</v>
      </c>
      <c r="AP206" s="27">
        <v>0</v>
      </c>
      <c r="AQ206" s="27">
        <v>0</v>
      </c>
      <c r="AR206" s="27">
        <v>0</v>
      </c>
      <c r="AS206" s="27">
        <v>1</v>
      </c>
      <c r="AT206" s="27">
        <v>1</v>
      </c>
      <c r="AU206" s="27">
        <v>0</v>
      </c>
      <c r="AV206" s="27">
        <v>0</v>
      </c>
      <c r="AW206" s="27">
        <v>0</v>
      </c>
      <c r="AX206" s="27">
        <v>0</v>
      </c>
      <c r="AZ206" s="27">
        <v>1</v>
      </c>
      <c r="BA206" s="27">
        <v>1</v>
      </c>
      <c r="BB206" s="27">
        <v>0</v>
      </c>
      <c r="BC206" s="27" t="s">
        <v>826</v>
      </c>
      <c r="BD206" s="27" t="s">
        <v>827</v>
      </c>
      <c r="BE206" s="27" t="s">
        <v>128</v>
      </c>
      <c r="BF206" s="27" t="s">
        <v>77</v>
      </c>
      <c r="BG206" s="27">
        <v>1</v>
      </c>
      <c r="BH206" s="27">
        <v>11</v>
      </c>
      <c r="BI206" s="27">
        <v>0.0833</v>
      </c>
      <c r="BJ206" s="27">
        <v>1</v>
      </c>
    </row>
    <row r="207" customHeight="1" spans="1:64">
      <c r="A207" s="27" t="s">
        <v>828</v>
      </c>
      <c r="B207" s="27" t="s">
        <v>335</v>
      </c>
      <c r="C207" s="27" t="s">
        <v>829</v>
      </c>
      <c r="E207" s="27" t="s">
        <v>250</v>
      </c>
      <c r="F207" s="27" t="s">
        <v>82</v>
      </c>
      <c r="G207" s="27" t="s">
        <v>83</v>
      </c>
      <c r="H207" s="27" t="s">
        <v>84</v>
      </c>
      <c r="I207" s="27" t="s">
        <v>85</v>
      </c>
      <c r="J207" s="27">
        <v>5</v>
      </c>
      <c r="K207" s="27">
        <v>32.92</v>
      </c>
      <c r="L207" s="27">
        <v>39.19</v>
      </c>
      <c r="M207" s="27">
        <v>16</v>
      </c>
      <c r="N207" s="27">
        <v>6.27</v>
      </c>
      <c r="O207" s="27">
        <v>1</v>
      </c>
      <c r="P207" s="27" t="s">
        <v>86</v>
      </c>
      <c r="Q207" s="27">
        <v>3.524005</v>
      </c>
      <c r="S207" s="27">
        <v>73</v>
      </c>
      <c r="T207" s="27">
        <v>10</v>
      </c>
      <c r="U207" s="27">
        <v>0.8795</v>
      </c>
      <c r="V207" s="27" t="s">
        <v>72</v>
      </c>
      <c r="W207" s="27">
        <v>2403.16</v>
      </c>
      <c r="X207" s="27">
        <v>4.304065</v>
      </c>
      <c r="Y207" s="27">
        <v>7.784956</v>
      </c>
      <c r="Z207" s="27">
        <v>3.1623</v>
      </c>
      <c r="AA207" s="27" t="s">
        <v>73</v>
      </c>
      <c r="AB207" s="27">
        <v>1</v>
      </c>
      <c r="AC207" s="27">
        <v>1</v>
      </c>
      <c r="AD207" s="27">
        <v>0</v>
      </c>
      <c r="AE207" s="27">
        <v>0</v>
      </c>
      <c r="AF207" s="27">
        <v>0</v>
      </c>
      <c r="AG207" s="27">
        <v>1</v>
      </c>
      <c r="AH207" s="27">
        <v>0</v>
      </c>
      <c r="AI207" s="27">
        <v>1</v>
      </c>
      <c r="AJ207" s="27">
        <v>0</v>
      </c>
      <c r="AK207" s="27">
        <v>0</v>
      </c>
      <c r="AL207" s="27">
        <v>0</v>
      </c>
      <c r="AM207" s="27">
        <v>0</v>
      </c>
      <c r="AN207" s="27">
        <v>0</v>
      </c>
      <c r="AO207" s="27">
        <v>0</v>
      </c>
      <c r="AP207" s="27">
        <v>0</v>
      </c>
      <c r="AQ207" s="27">
        <v>0</v>
      </c>
      <c r="AR207" s="27">
        <v>0</v>
      </c>
      <c r="AS207" s="27">
        <v>0</v>
      </c>
      <c r="AT207" s="27">
        <v>1</v>
      </c>
      <c r="AU207" s="27">
        <v>0</v>
      </c>
      <c r="AV207" s="27">
        <v>0</v>
      </c>
      <c r="AW207" s="27">
        <v>0</v>
      </c>
      <c r="AX207" s="27">
        <v>0</v>
      </c>
      <c r="AZ207" s="27">
        <v>1</v>
      </c>
      <c r="BA207" s="27">
        <v>2</v>
      </c>
      <c r="BB207" s="27">
        <v>68.42</v>
      </c>
      <c r="BC207" s="27" t="s">
        <v>336</v>
      </c>
      <c r="BD207" s="27" t="s">
        <v>337</v>
      </c>
      <c r="BE207" s="27" t="s">
        <v>76</v>
      </c>
      <c r="BF207" s="27" t="s">
        <v>77</v>
      </c>
      <c r="BG207" s="27">
        <v>168</v>
      </c>
      <c r="BH207" s="27">
        <v>53</v>
      </c>
      <c r="BI207" s="27">
        <v>0.7602</v>
      </c>
      <c r="BJ207" s="27">
        <v>0</v>
      </c>
      <c r="BK207" s="27">
        <v>19</v>
      </c>
      <c r="BL207" s="27">
        <v>94.8</v>
      </c>
    </row>
    <row r="208" customHeight="1" spans="1:64">
      <c r="A208" s="27" t="s">
        <v>830</v>
      </c>
      <c r="B208" s="27" t="s">
        <v>831</v>
      </c>
      <c r="E208" s="27" t="s">
        <v>505</v>
      </c>
      <c r="F208" s="27" t="s">
        <v>198</v>
      </c>
      <c r="G208" s="27" t="s">
        <v>83</v>
      </c>
      <c r="H208" s="27" t="s">
        <v>84</v>
      </c>
      <c r="I208" s="27" t="s">
        <v>85</v>
      </c>
      <c r="J208" s="27">
        <v>5</v>
      </c>
      <c r="K208" s="27">
        <v>29.88</v>
      </c>
      <c r="M208" s="27">
        <v>0</v>
      </c>
      <c r="N208" s="27">
        <v>0</v>
      </c>
      <c r="O208" s="27">
        <v>0</v>
      </c>
      <c r="P208" s="27" t="s">
        <v>86</v>
      </c>
      <c r="Q208" s="27">
        <v>3.430109</v>
      </c>
      <c r="S208" s="27">
        <v>37</v>
      </c>
      <c r="T208" s="27">
        <v>10</v>
      </c>
      <c r="U208" s="27">
        <v>0.7872</v>
      </c>
      <c r="V208" s="27" t="s">
        <v>72</v>
      </c>
      <c r="W208" s="27">
        <v>1105.56</v>
      </c>
      <c r="X208" s="27">
        <v>3.637586</v>
      </c>
      <c r="Y208" s="27">
        <v>7.009011</v>
      </c>
      <c r="Z208" s="27">
        <v>3.1623</v>
      </c>
      <c r="AA208" s="27" t="s">
        <v>125</v>
      </c>
      <c r="AB208" s="27">
        <v>0</v>
      </c>
      <c r="AC208" s="27">
        <v>0</v>
      </c>
      <c r="AD208" s="27">
        <v>0</v>
      </c>
      <c r="AE208" s="27">
        <v>1</v>
      </c>
      <c r="AF208" s="27">
        <v>0</v>
      </c>
      <c r="AG208" s="27">
        <v>0</v>
      </c>
      <c r="AH208" s="27">
        <v>0</v>
      </c>
      <c r="AI208" s="27">
        <v>0</v>
      </c>
      <c r="AJ208" s="27">
        <v>0</v>
      </c>
      <c r="AK208" s="27">
        <v>0</v>
      </c>
      <c r="AL208" s="27">
        <v>0</v>
      </c>
      <c r="AM208" s="27">
        <v>0</v>
      </c>
      <c r="AN208" s="27">
        <v>0</v>
      </c>
      <c r="AO208" s="27">
        <v>0</v>
      </c>
      <c r="AP208" s="27">
        <v>0</v>
      </c>
      <c r="AQ208" s="27">
        <v>0</v>
      </c>
      <c r="AR208" s="27">
        <v>0</v>
      </c>
      <c r="AS208" s="27">
        <v>0</v>
      </c>
      <c r="AT208" s="27">
        <v>1</v>
      </c>
      <c r="AU208" s="27">
        <v>0</v>
      </c>
      <c r="AV208" s="27">
        <v>0</v>
      </c>
      <c r="AW208" s="27">
        <v>0</v>
      </c>
      <c r="AX208" s="27">
        <v>0</v>
      </c>
      <c r="AZ208" s="27">
        <v>1</v>
      </c>
      <c r="BA208" s="27">
        <v>1</v>
      </c>
      <c r="BB208" s="27">
        <v>61.34</v>
      </c>
      <c r="BC208" s="27" t="s">
        <v>832</v>
      </c>
      <c r="BD208" s="27" t="s">
        <v>833</v>
      </c>
      <c r="BE208" s="27" t="s">
        <v>834</v>
      </c>
      <c r="BF208" s="27" t="s">
        <v>77</v>
      </c>
      <c r="BG208" s="27">
        <v>1</v>
      </c>
      <c r="BH208" s="27">
        <v>93</v>
      </c>
      <c r="BI208" s="27">
        <v>0.0106</v>
      </c>
      <c r="BJ208" s="27">
        <v>1</v>
      </c>
      <c r="BK208" s="27">
        <v>2</v>
      </c>
      <c r="BL208" s="27">
        <v>99.5</v>
      </c>
    </row>
    <row r="209" customHeight="1" spans="1:64">
      <c r="A209" s="27" t="s">
        <v>835</v>
      </c>
      <c r="B209" s="27" t="s">
        <v>104</v>
      </c>
      <c r="C209" s="27" t="s">
        <v>836</v>
      </c>
      <c r="D209" s="27">
        <v>649661372202</v>
      </c>
      <c r="E209" s="27" t="s">
        <v>81</v>
      </c>
      <c r="F209" s="27" t="s">
        <v>82</v>
      </c>
      <c r="G209" s="27" t="s">
        <v>106</v>
      </c>
      <c r="H209" s="27" t="s">
        <v>107</v>
      </c>
      <c r="I209" s="27" t="s">
        <v>108</v>
      </c>
      <c r="J209" s="27">
        <v>3</v>
      </c>
      <c r="K209" s="27">
        <v>52.79</v>
      </c>
      <c r="L209" s="27">
        <v>95.99</v>
      </c>
      <c r="M209" s="27">
        <v>45</v>
      </c>
      <c r="N209" s="27">
        <v>43.2</v>
      </c>
      <c r="O209" s="27">
        <v>1</v>
      </c>
      <c r="P209" s="27" t="s">
        <v>86</v>
      </c>
      <c r="Q209" s="27">
        <v>3.985088</v>
      </c>
      <c r="S209" s="27">
        <v>213</v>
      </c>
      <c r="T209" s="27">
        <v>184</v>
      </c>
      <c r="U209" s="27">
        <v>0.5365</v>
      </c>
      <c r="V209" s="27" t="s">
        <v>154</v>
      </c>
      <c r="W209" s="27">
        <v>11244.27</v>
      </c>
      <c r="X209" s="27">
        <v>5.365976</v>
      </c>
      <c r="Y209" s="27">
        <v>9.327703</v>
      </c>
      <c r="Z209" s="27">
        <v>13.5647</v>
      </c>
      <c r="AA209" s="27" t="s">
        <v>187</v>
      </c>
      <c r="AB209" s="27">
        <v>0</v>
      </c>
      <c r="AC209" s="27">
        <v>0</v>
      </c>
      <c r="AD209" s="27">
        <v>0</v>
      </c>
      <c r="AE209" s="27">
        <v>0</v>
      </c>
      <c r="AF209" s="27">
        <v>0</v>
      </c>
      <c r="AG209" s="27">
        <v>0</v>
      </c>
      <c r="AH209" s="27">
        <v>1</v>
      </c>
      <c r="AI209" s="27">
        <v>0</v>
      </c>
      <c r="AJ209" s="27">
        <v>0</v>
      </c>
      <c r="AK209" s="27">
        <v>0</v>
      </c>
      <c r="AL209" s="27">
        <v>0</v>
      </c>
      <c r="AM209" s="27">
        <v>0</v>
      </c>
      <c r="AN209" s="27">
        <v>0</v>
      </c>
      <c r="AO209" s="27">
        <v>0</v>
      </c>
      <c r="AP209" s="27">
        <v>0</v>
      </c>
      <c r="AQ209" s="27">
        <v>0</v>
      </c>
      <c r="AR209" s="27">
        <v>0</v>
      </c>
      <c r="AS209" s="27">
        <v>0</v>
      </c>
      <c r="AT209" s="27">
        <v>0</v>
      </c>
      <c r="AU209" s="27">
        <v>1</v>
      </c>
      <c r="AV209" s="27">
        <v>0</v>
      </c>
      <c r="AW209" s="27">
        <v>0</v>
      </c>
      <c r="AX209" s="27">
        <v>1</v>
      </c>
      <c r="AZ209" s="27">
        <v>1</v>
      </c>
      <c r="BA209" s="27">
        <v>1</v>
      </c>
      <c r="BB209" s="27">
        <v>64.81</v>
      </c>
      <c r="BC209" s="27" t="s">
        <v>111</v>
      </c>
      <c r="BD209" s="27" t="s">
        <v>112</v>
      </c>
      <c r="BE209" s="27" t="s">
        <v>113</v>
      </c>
      <c r="BF209" s="27" t="s">
        <v>77</v>
      </c>
      <c r="BG209" s="27">
        <v>162</v>
      </c>
      <c r="BH209" s="27">
        <v>24</v>
      </c>
      <c r="BI209" s="27">
        <v>0.871</v>
      </c>
      <c r="BJ209" s="27">
        <v>0</v>
      </c>
      <c r="BK209" s="27">
        <v>2</v>
      </c>
      <c r="BL209" s="27">
        <v>99.5</v>
      </c>
    </row>
    <row r="210" customHeight="1" spans="1:64">
      <c r="A210" s="27" t="s">
        <v>837</v>
      </c>
      <c r="B210" s="27" t="s">
        <v>704</v>
      </c>
      <c r="E210" s="27" t="s">
        <v>131</v>
      </c>
      <c r="F210" s="27" t="s">
        <v>132</v>
      </c>
      <c r="G210" s="27" t="s">
        <v>83</v>
      </c>
      <c r="H210" s="27" t="s">
        <v>84</v>
      </c>
      <c r="I210" s="27" t="s">
        <v>85</v>
      </c>
      <c r="J210" s="27">
        <v>5</v>
      </c>
      <c r="K210" s="27">
        <v>6.75</v>
      </c>
      <c r="M210" s="27">
        <v>0</v>
      </c>
      <c r="N210" s="27">
        <v>0</v>
      </c>
      <c r="O210" s="27">
        <v>0</v>
      </c>
      <c r="P210" s="27" t="s">
        <v>133</v>
      </c>
      <c r="Q210" s="27">
        <v>2.047693</v>
      </c>
      <c r="S210" s="27">
        <v>34</v>
      </c>
      <c r="T210" s="27">
        <v>10</v>
      </c>
      <c r="U210" s="27">
        <v>0.7727</v>
      </c>
      <c r="V210" s="27" t="s">
        <v>72</v>
      </c>
      <c r="W210" s="27">
        <v>229.5</v>
      </c>
      <c r="X210" s="27">
        <v>3.555348</v>
      </c>
      <c r="Y210" s="27">
        <v>5.440251</v>
      </c>
      <c r="Z210" s="27">
        <v>3.1623</v>
      </c>
      <c r="AA210" s="27" t="s">
        <v>125</v>
      </c>
      <c r="AB210" s="27">
        <v>0</v>
      </c>
      <c r="AC210" s="27">
        <v>0</v>
      </c>
      <c r="AD210" s="27">
        <v>0</v>
      </c>
      <c r="AE210" s="27">
        <v>0</v>
      </c>
      <c r="AF210" s="27">
        <v>0</v>
      </c>
      <c r="AG210" s="27">
        <v>0</v>
      </c>
      <c r="AH210" s="27">
        <v>0</v>
      </c>
      <c r="AI210" s="27">
        <v>0</v>
      </c>
      <c r="AJ210" s="27">
        <v>0</v>
      </c>
      <c r="AK210" s="27">
        <v>0</v>
      </c>
      <c r="AL210" s="27">
        <v>0</v>
      </c>
      <c r="AM210" s="27">
        <v>0</v>
      </c>
      <c r="AN210" s="27">
        <v>0</v>
      </c>
      <c r="AO210" s="27">
        <v>0</v>
      </c>
      <c r="AP210" s="27">
        <v>0</v>
      </c>
      <c r="AQ210" s="27">
        <v>0</v>
      </c>
      <c r="AR210" s="27">
        <v>0</v>
      </c>
      <c r="AS210" s="27">
        <v>0</v>
      </c>
      <c r="AT210" s="27">
        <v>0</v>
      </c>
      <c r="AU210" s="27">
        <v>0</v>
      </c>
      <c r="AV210" s="27">
        <v>0</v>
      </c>
      <c r="AW210" s="27">
        <v>0</v>
      </c>
      <c r="AX210" s="27">
        <v>0</v>
      </c>
      <c r="AZ210" s="27">
        <v>1</v>
      </c>
      <c r="BA210" s="27">
        <v>0</v>
      </c>
      <c r="BB210" s="27">
        <v>46.27</v>
      </c>
      <c r="BC210" s="27" t="s">
        <v>706</v>
      </c>
      <c r="BD210" s="27" t="s">
        <v>135</v>
      </c>
      <c r="BE210" s="27" t="s">
        <v>136</v>
      </c>
      <c r="BF210" s="27" t="s">
        <v>77</v>
      </c>
      <c r="BG210" s="27">
        <v>168</v>
      </c>
      <c r="BH210" s="27">
        <v>11</v>
      </c>
      <c r="BI210" s="27">
        <v>0.9385</v>
      </c>
      <c r="BJ210" s="27">
        <v>0</v>
      </c>
      <c r="BK210" s="27">
        <v>178</v>
      </c>
      <c r="BL210" s="27">
        <v>51.2</v>
      </c>
    </row>
    <row r="211" customHeight="1" spans="1:64">
      <c r="A211" s="27" t="s">
        <v>838</v>
      </c>
      <c r="B211" s="27" t="s">
        <v>427</v>
      </c>
      <c r="E211" s="27" t="s">
        <v>839</v>
      </c>
      <c r="F211" s="27" t="s">
        <v>160</v>
      </c>
      <c r="G211" s="27" t="s">
        <v>427</v>
      </c>
      <c r="H211" s="27" t="s">
        <v>107</v>
      </c>
      <c r="I211" s="27" t="s">
        <v>85</v>
      </c>
      <c r="J211" s="27">
        <v>5</v>
      </c>
      <c r="K211" s="27">
        <v>19.99</v>
      </c>
      <c r="M211" s="27">
        <v>0</v>
      </c>
      <c r="N211" s="27">
        <v>0</v>
      </c>
      <c r="O211" s="27">
        <v>0</v>
      </c>
      <c r="P211" s="27" t="s">
        <v>133</v>
      </c>
      <c r="Q211" s="27">
        <v>3.044046</v>
      </c>
      <c r="S211" s="27">
        <v>41</v>
      </c>
      <c r="T211" s="27">
        <v>2</v>
      </c>
      <c r="U211" s="27">
        <v>0.9535</v>
      </c>
      <c r="V211" s="27" t="s">
        <v>72</v>
      </c>
      <c r="W211" s="27">
        <v>819.59</v>
      </c>
      <c r="X211" s="27">
        <v>3.73767</v>
      </c>
      <c r="Y211" s="27">
        <v>6.710024</v>
      </c>
      <c r="Z211" s="27">
        <v>1.4142</v>
      </c>
      <c r="AA211" s="27" t="s">
        <v>125</v>
      </c>
      <c r="AB211" s="27">
        <v>0</v>
      </c>
      <c r="AC211" s="27">
        <v>0</v>
      </c>
      <c r="AD211" s="27">
        <v>0</v>
      </c>
      <c r="AE211" s="27">
        <v>0</v>
      </c>
      <c r="AF211" s="27">
        <v>0</v>
      </c>
      <c r="AG211" s="27">
        <v>0</v>
      </c>
      <c r="AH211" s="27">
        <v>0</v>
      </c>
      <c r="AI211" s="27">
        <v>0</v>
      </c>
      <c r="AJ211" s="27">
        <v>0</v>
      </c>
      <c r="AK211" s="27">
        <v>0</v>
      </c>
      <c r="AL211" s="27">
        <v>0</v>
      </c>
      <c r="AM211" s="27">
        <v>0</v>
      </c>
      <c r="AN211" s="27">
        <v>0</v>
      </c>
      <c r="AO211" s="27">
        <v>0</v>
      </c>
      <c r="AP211" s="27">
        <v>0</v>
      </c>
      <c r="AQ211" s="27">
        <v>0</v>
      </c>
      <c r="AR211" s="27">
        <v>0</v>
      </c>
      <c r="AS211" s="27">
        <v>0</v>
      </c>
      <c r="AT211" s="27">
        <v>0</v>
      </c>
      <c r="AU211" s="27">
        <v>0</v>
      </c>
      <c r="AV211" s="27">
        <v>0</v>
      </c>
      <c r="AW211" s="27">
        <v>0</v>
      </c>
      <c r="AX211" s="27">
        <v>0</v>
      </c>
      <c r="AZ211" s="27">
        <v>1</v>
      </c>
      <c r="BA211" s="27">
        <v>0</v>
      </c>
      <c r="BB211" s="27">
        <v>67.99</v>
      </c>
      <c r="BC211" s="27" t="s">
        <v>597</v>
      </c>
      <c r="BD211" s="27" t="s">
        <v>598</v>
      </c>
      <c r="BE211" s="27" t="s">
        <v>113</v>
      </c>
      <c r="BF211" s="27" t="s">
        <v>77</v>
      </c>
      <c r="BG211" s="27">
        <v>162</v>
      </c>
      <c r="BH211" s="27">
        <v>19</v>
      </c>
      <c r="BI211" s="27">
        <v>0.895</v>
      </c>
      <c r="BJ211" s="27">
        <v>0</v>
      </c>
      <c r="BK211" s="27">
        <v>2</v>
      </c>
      <c r="BL211" s="27">
        <v>99.5</v>
      </c>
    </row>
    <row r="212" customHeight="1" spans="1:64">
      <c r="A212" s="27" t="s">
        <v>840</v>
      </c>
      <c r="B212" s="27" t="s">
        <v>344</v>
      </c>
      <c r="E212" s="27" t="s">
        <v>209</v>
      </c>
      <c r="F212" s="27" t="s">
        <v>82</v>
      </c>
      <c r="G212" s="27" t="s">
        <v>346</v>
      </c>
      <c r="H212" s="27" t="s">
        <v>107</v>
      </c>
      <c r="I212" s="27" t="s">
        <v>203</v>
      </c>
      <c r="J212" s="27">
        <v>4</v>
      </c>
      <c r="K212" s="27">
        <v>89.24</v>
      </c>
      <c r="L212" s="27">
        <v>104.99</v>
      </c>
      <c r="M212" s="27">
        <v>15</v>
      </c>
      <c r="N212" s="27">
        <v>15.75</v>
      </c>
      <c r="O212" s="27">
        <v>1</v>
      </c>
      <c r="P212" s="27" t="s">
        <v>95</v>
      </c>
      <c r="Q212" s="27">
        <v>4.502473</v>
      </c>
      <c r="R212" s="27">
        <v>44.62</v>
      </c>
      <c r="S212" s="27">
        <v>42</v>
      </c>
      <c r="T212" s="27">
        <v>10</v>
      </c>
      <c r="U212" s="27">
        <v>0.8077</v>
      </c>
      <c r="V212" s="27" t="s">
        <v>72</v>
      </c>
      <c r="W212" s="27">
        <v>3748.08</v>
      </c>
      <c r="X212" s="27">
        <v>3.7612</v>
      </c>
      <c r="Y212" s="27">
        <v>8.229266</v>
      </c>
      <c r="Z212" s="27">
        <v>3.1623</v>
      </c>
      <c r="AA212" s="27" t="s">
        <v>125</v>
      </c>
      <c r="AB212" s="27">
        <v>0</v>
      </c>
      <c r="AC212" s="27">
        <v>0</v>
      </c>
      <c r="AD212" s="27">
        <v>0</v>
      </c>
      <c r="AE212" s="27">
        <v>0</v>
      </c>
      <c r="AF212" s="27">
        <v>0</v>
      </c>
      <c r="AG212" s="27">
        <v>0</v>
      </c>
      <c r="AH212" s="27">
        <v>1</v>
      </c>
      <c r="AI212" s="27">
        <v>0</v>
      </c>
      <c r="AJ212" s="27">
        <v>0</v>
      </c>
      <c r="AK212" s="27">
        <v>0</v>
      </c>
      <c r="AL212" s="27">
        <v>0</v>
      </c>
      <c r="AM212" s="27">
        <v>0</v>
      </c>
      <c r="AN212" s="27">
        <v>0</v>
      </c>
      <c r="AO212" s="27">
        <v>0</v>
      </c>
      <c r="AP212" s="27">
        <v>0</v>
      </c>
      <c r="AQ212" s="27">
        <v>0</v>
      </c>
      <c r="AR212" s="27">
        <v>0</v>
      </c>
      <c r="AS212" s="27">
        <v>0</v>
      </c>
      <c r="AT212" s="27">
        <v>1</v>
      </c>
      <c r="AU212" s="27">
        <v>0</v>
      </c>
      <c r="AV212" s="27">
        <v>0</v>
      </c>
      <c r="AW212" s="27">
        <v>1</v>
      </c>
      <c r="AX212" s="27">
        <v>0</v>
      </c>
      <c r="AY212" s="27">
        <v>2</v>
      </c>
      <c r="AZ212" s="27">
        <v>1</v>
      </c>
      <c r="BA212" s="27">
        <v>1</v>
      </c>
      <c r="BB212" s="27">
        <v>66.57</v>
      </c>
      <c r="BC212" s="27" t="s">
        <v>795</v>
      </c>
      <c r="BD212" s="27" t="s">
        <v>841</v>
      </c>
      <c r="BE212" s="27" t="s">
        <v>407</v>
      </c>
      <c r="BF212" s="27" t="s">
        <v>77</v>
      </c>
      <c r="BG212" s="27">
        <v>168</v>
      </c>
      <c r="BH212" s="27">
        <v>11</v>
      </c>
      <c r="BI212" s="27">
        <v>0.9385</v>
      </c>
      <c r="BJ212" s="27">
        <v>0</v>
      </c>
      <c r="BK212" s="27">
        <v>3</v>
      </c>
      <c r="BL212" s="27">
        <v>99.2</v>
      </c>
    </row>
    <row r="213" customHeight="1" spans="1:64">
      <c r="A213" s="27" t="s">
        <v>842</v>
      </c>
      <c r="B213" s="27" t="s">
        <v>843</v>
      </c>
      <c r="C213" s="27" t="s">
        <v>844</v>
      </c>
      <c r="E213" s="27" t="s">
        <v>656</v>
      </c>
      <c r="F213" s="27" t="s">
        <v>82</v>
      </c>
      <c r="G213" s="27" t="s">
        <v>427</v>
      </c>
      <c r="H213" s="27" t="s">
        <v>84</v>
      </c>
      <c r="I213" s="27" t="s">
        <v>85</v>
      </c>
      <c r="J213" s="27">
        <v>5</v>
      </c>
      <c r="K213" s="27">
        <v>62.67</v>
      </c>
      <c r="M213" s="27">
        <v>0</v>
      </c>
      <c r="N213" s="27">
        <v>0</v>
      </c>
      <c r="O213" s="27">
        <v>0</v>
      </c>
      <c r="P213" s="27" t="s">
        <v>86</v>
      </c>
      <c r="Q213" s="27">
        <v>4.153713</v>
      </c>
      <c r="S213" s="27">
        <v>53</v>
      </c>
      <c r="T213" s="27">
        <v>10</v>
      </c>
      <c r="U213" s="27">
        <v>0.8413</v>
      </c>
      <c r="V213" s="27" t="s">
        <v>72</v>
      </c>
      <c r="W213" s="27">
        <v>3321.51</v>
      </c>
      <c r="X213" s="27">
        <v>3.988984</v>
      </c>
      <c r="Y213" s="27">
        <v>8.108476</v>
      </c>
      <c r="Z213" s="27">
        <v>3.1623</v>
      </c>
      <c r="AA213" s="27" t="s">
        <v>125</v>
      </c>
      <c r="AB213" s="27">
        <v>0</v>
      </c>
      <c r="AC213" s="27">
        <v>0</v>
      </c>
      <c r="AD213" s="27">
        <v>0</v>
      </c>
      <c r="AE213" s="27">
        <v>0</v>
      </c>
      <c r="AF213" s="27">
        <v>1</v>
      </c>
      <c r="AG213" s="27">
        <v>0</v>
      </c>
      <c r="AH213" s="27">
        <v>0</v>
      </c>
      <c r="AI213" s="27">
        <v>0</v>
      </c>
      <c r="AJ213" s="27">
        <v>0</v>
      </c>
      <c r="AK213" s="27">
        <v>0</v>
      </c>
      <c r="AL213" s="27">
        <v>0</v>
      </c>
      <c r="AM213" s="27">
        <v>0</v>
      </c>
      <c r="AN213" s="27">
        <v>0</v>
      </c>
      <c r="AO213" s="27">
        <v>0</v>
      </c>
      <c r="AP213" s="27">
        <v>0</v>
      </c>
      <c r="AQ213" s="27">
        <v>0</v>
      </c>
      <c r="AR213" s="27">
        <v>0</v>
      </c>
      <c r="AS213" s="27">
        <v>0</v>
      </c>
      <c r="AT213" s="27">
        <v>0</v>
      </c>
      <c r="AU213" s="27">
        <v>0</v>
      </c>
      <c r="AV213" s="27">
        <v>0</v>
      </c>
      <c r="AW213" s="27">
        <v>0</v>
      </c>
      <c r="AX213" s="27">
        <v>0</v>
      </c>
      <c r="AZ213" s="27">
        <v>1</v>
      </c>
      <c r="BA213" s="27">
        <v>0</v>
      </c>
      <c r="BB213" s="27">
        <v>63.5</v>
      </c>
      <c r="BC213" s="27" t="s">
        <v>845</v>
      </c>
      <c r="BD213" s="27" t="s">
        <v>180</v>
      </c>
      <c r="BE213" s="27" t="s">
        <v>128</v>
      </c>
      <c r="BF213" s="27" t="s">
        <v>77</v>
      </c>
      <c r="BG213" s="27">
        <v>1</v>
      </c>
      <c r="BH213" s="27">
        <v>53</v>
      </c>
      <c r="BI213" s="27">
        <v>0.0185</v>
      </c>
      <c r="BJ213" s="27">
        <v>1</v>
      </c>
      <c r="BK213" s="27">
        <v>2</v>
      </c>
      <c r="BL213" s="27">
        <v>99.5</v>
      </c>
    </row>
    <row r="214" customHeight="1" spans="1:64">
      <c r="A214" s="27" t="s">
        <v>846</v>
      </c>
      <c r="B214" s="27" t="s">
        <v>125</v>
      </c>
      <c r="D214" s="27">
        <v>313101250237</v>
      </c>
      <c r="E214" s="27" t="s">
        <v>163</v>
      </c>
      <c r="F214" s="27" t="s">
        <v>198</v>
      </c>
      <c r="G214" s="27" t="s">
        <v>83</v>
      </c>
      <c r="H214" s="27" t="s">
        <v>138</v>
      </c>
      <c r="I214" s="27" t="s">
        <v>85</v>
      </c>
      <c r="J214" s="27">
        <v>5</v>
      </c>
      <c r="K214" s="27">
        <v>286.28</v>
      </c>
      <c r="M214" s="27">
        <v>0</v>
      </c>
      <c r="N214" s="27">
        <v>0</v>
      </c>
      <c r="O214" s="27">
        <v>0</v>
      </c>
      <c r="P214" s="27" t="s">
        <v>71</v>
      </c>
      <c r="Q214" s="27">
        <v>5.660457</v>
      </c>
      <c r="S214" s="27">
        <v>1</v>
      </c>
      <c r="T214" s="27">
        <v>1</v>
      </c>
      <c r="U214" s="27">
        <v>0.5</v>
      </c>
      <c r="V214" s="27" t="s">
        <v>87</v>
      </c>
      <c r="W214" s="27">
        <v>286.28</v>
      </c>
      <c r="X214" s="27">
        <v>0.693147</v>
      </c>
      <c r="Y214" s="27">
        <v>5.660457</v>
      </c>
      <c r="Z214" s="27">
        <v>1</v>
      </c>
      <c r="AA214" s="27" t="s">
        <v>125</v>
      </c>
      <c r="AB214" s="27">
        <v>0</v>
      </c>
      <c r="AC214" s="27">
        <v>0</v>
      </c>
      <c r="AD214" s="27">
        <v>0</v>
      </c>
      <c r="AE214" s="27">
        <v>0</v>
      </c>
      <c r="AF214" s="27">
        <v>0</v>
      </c>
      <c r="AG214" s="27">
        <v>0</v>
      </c>
      <c r="AH214" s="27">
        <v>1</v>
      </c>
      <c r="AI214" s="27">
        <v>0</v>
      </c>
      <c r="AJ214" s="27">
        <v>0</v>
      </c>
      <c r="AK214" s="27">
        <v>0</v>
      </c>
      <c r="AL214" s="27">
        <v>0</v>
      </c>
      <c r="AM214" s="27">
        <v>0</v>
      </c>
      <c r="AN214" s="27">
        <v>0</v>
      </c>
      <c r="AO214" s="27">
        <v>0</v>
      </c>
      <c r="AP214" s="27">
        <v>0</v>
      </c>
      <c r="AQ214" s="27">
        <v>0</v>
      </c>
      <c r="AR214" s="27">
        <v>0</v>
      </c>
      <c r="AS214" s="27">
        <v>0</v>
      </c>
      <c r="AT214" s="27">
        <v>0</v>
      </c>
      <c r="AU214" s="27">
        <v>0</v>
      </c>
      <c r="AV214" s="27">
        <v>0</v>
      </c>
      <c r="AW214" s="27">
        <v>0</v>
      </c>
      <c r="AX214" s="27">
        <v>0</v>
      </c>
      <c r="AZ214" s="27">
        <v>1</v>
      </c>
      <c r="BA214" s="27">
        <v>1</v>
      </c>
      <c r="BB214" s="27">
        <v>49.19</v>
      </c>
      <c r="BC214" s="27" t="s">
        <v>847</v>
      </c>
      <c r="BD214" s="27" t="s">
        <v>322</v>
      </c>
      <c r="BE214" s="27" t="s">
        <v>76</v>
      </c>
      <c r="BF214" s="27" t="s">
        <v>77</v>
      </c>
      <c r="BG214" s="27">
        <v>162</v>
      </c>
      <c r="BH214" s="27">
        <v>20</v>
      </c>
      <c r="BI214" s="27">
        <v>0.8901</v>
      </c>
      <c r="BJ214" s="27">
        <v>0</v>
      </c>
      <c r="BK214" s="27">
        <v>10</v>
      </c>
      <c r="BL214" s="27">
        <v>97.3</v>
      </c>
    </row>
    <row r="215" customHeight="1" spans="1:64">
      <c r="A215" s="27" t="s">
        <v>848</v>
      </c>
      <c r="B215" s="27" t="s">
        <v>849</v>
      </c>
      <c r="C215" s="27" t="s">
        <v>850</v>
      </c>
      <c r="E215" s="27" t="s">
        <v>851</v>
      </c>
      <c r="F215" s="27" t="s">
        <v>68</v>
      </c>
      <c r="G215" s="27" t="s">
        <v>83</v>
      </c>
      <c r="H215" s="27" t="s">
        <v>84</v>
      </c>
      <c r="I215" s="27" t="s">
        <v>203</v>
      </c>
      <c r="J215" s="27">
        <v>4</v>
      </c>
      <c r="K215" s="27">
        <v>149</v>
      </c>
      <c r="M215" s="27">
        <v>0</v>
      </c>
      <c r="N215" s="27">
        <v>0</v>
      </c>
      <c r="O215" s="27">
        <v>0</v>
      </c>
      <c r="P215" s="27" t="s">
        <v>95</v>
      </c>
      <c r="Q215" s="27">
        <v>5.010635</v>
      </c>
      <c r="V215" s="27" t="s">
        <v>231</v>
      </c>
      <c r="W215" s="27">
        <v>0</v>
      </c>
      <c r="X215" s="27">
        <v>0</v>
      </c>
      <c r="Y215" s="27">
        <v>0</v>
      </c>
      <c r="Z215" s="27">
        <v>0</v>
      </c>
      <c r="AA215" s="27" t="s">
        <v>125</v>
      </c>
      <c r="AB215" s="27">
        <v>0</v>
      </c>
      <c r="AC215" s="27">
        <v>0</v>
      </c>
      <c r="AD215" s="27">
        <v>0</v>
      </c>
      <c r="AE215" s="27">
        <v>0</v>
      </c>
      <c r="AF215" s="27">
        <v>0</v>
      </c>
      <c r="AG215" s="27">
        <v>0</v>
      </c>
      <c r="AH215" s="27">
        <v>0</v>
      </c>
      <c r="AI215" s="27">
        <v>0</v>
      </c>
      <c r="AJ215" s="27">
        <v>0</v>
      </c>
      <c r="AK215" s="27">
        <v>0</v>
      </c>
      <c r="AL215" s="27">
        <v>0</v>
      </c>
      <c r="AM215" s="27">
        <v>0</v>
      </c>
      <c r="AN215" s="27">
        <v>0</v>
      </c>
      <c r="AO215" s="27">
        <v>0</v>
      </c>
      <c r="AP215" s="27">
        <v>0</v>
      </c>
      <c r="AQ215" s="27">
        <v>0</v>
      </c>
      <c r="AR215" s="27">
        <v>0</v>
      </c>
      <c r="AS215" s="27">
        <v>0</v>
      </c>
      <c r="AT215" s="27">
        <v>1</v>
      </c>
      <c r="AU215" s="27">
        <v>0</v>
      </c>
      <c r="AV215" s="27">
        <v>0</v>
      </c>
      <c r="AW215" s="27">
        <v>0</v>
      </c>
      <c r="AX215" s="27">
        <v>1</v>
      </c>
      <c r="AZ215" s="27">
        <v>1</v>
      </c>
      <c r="BA215" s="27">
        <v>0</v>
      </c>
      <c r="BB215" s="27">
        <v>0</v>
      </c>
      <c r="BC215" s="27" t="s">
        <v>457</v>
      </c>
      <c r="BD215" s="27" t="s">
        <v>458</v>
      </c>
      <c r="BE215" s="27" t="s">
        <v>136</v>
      </c>
      <c r="BF215" s="27" t="s">
        <v>77</v>
      </c>
      <c r="BG215" s="27">
        <v>168</v>
      </c>
      <c r="BH215" s="27">
        <v>11</v>
      </c>
      <c r="BI215" s="27">
        <v>0.9385</v>
      </c>
      <c r="BJ215" s="27">
        <v>0</v>
      </c>
    </row>
    <row r="216" customHeight="1" spans="1:64">
      <c r="A216" s="27" t="s">
        <v>852</v>
      </c>
      <c r="B216" s="27" t="s">
        <v>853</v>
      </c>
      <c r="C216" s="27">
        <v>93146854</v>
      </c>
      <c r="D216" s="27">
        <v>850001215428</v>
      </c>
      <c r="E216" s="27" t="s">
        <v>854</v>
      </c>
      <c r="F216" s="27" t="s">
        <v>82</v>
      </c>
      <c r="G216" s="27" t="s">
        <v>83</v>
      </c>
      <c r="H216" s="27" t="s">
        <v>84</v>
      </c>
      <c r="I216" s="27" t="s">
        <v>85</v>
      </c>
      <c r="J216" s="27">
        <v>5</v>
      </c>
      <c r="K216" s="27">
        <v>20.99</v>
      </c>
      <c r="L216" s="27">
        <v>49.99</v>
      </c>
      <c r="M216" s="27">
        <v>58.01</v>
      </c>
      <c r="N216" s="27">
        <v>29</v>
      </c>
      <c r="O216" s="27">
        <v>1</v>
      </c>
      <c r="P216" s="27" t="s">
        <v>133</v>
      </c>
      <c r="Q216" s="27">
        <v>3.090588</v>
      </c>
      <c r="S216" s="27">
        <v>51</v>
      </c>
      <c r="T216" s="27">
        <v>10</v>
      </c>
      <c r="U216" s="27">
        <v>0.8361</v>
      </c>
      <c r="V216" s="27" t="s">
        <v>72</v>
      </c>
      <c r="W216" s="27">
        <v>1070.49</v>
      </c>
      <c r="X216" s="27">
        <v>3.951244</v>
      </c>
      <c r="Y216" s="27">
        <v>6.976805</v>
      </c>
      <c r="Z216" s="27">
        <v>3.1623</v>
      </c>
      <c r="AA216" s="27" t="s">
        <v>483</v>
      </c>
      <c r="AB216" s="27">
        <v>0</v>
      </c>
      <c r="AC216" s="27">
        <v>0</v>
      </c>
      <c r="AD216" s="27">
        <v>0</v>
      </c>
      <c r="AE216" s="27">
        <v>0</v>
      </c>
      <c r="AF216" s="27">
        <v>0</v>
      </c>
      <c r="AG216" s="27">
        <v>0</v>
      </c>
      <c r="AH216" s="27">
        <v>0</v>
      </c>
      <c r="AI216" s="27">
        <v>0</v>
      </c>
      <c r="AJ216" s="27">
        <v>0</v>
      </c>
      <c r="AK216" s="27">
        <v>0</v>
      </c>
      <c r="AL216" s="27">
        <v>0</v>
      </c>
      <c r="AM216" s="27">
        <v>0</v>
      </c>
      <c r="AN216" s="27">
        <v>0</v>
      </c>
      <c r="AO216" s="27">
        <v>0</v>
      </c>
      <c r="AP216" s="27">
        <v>0</v>
      </c>
      <c r="AQ216" s="27">
        <v>0</v>
      </c>
      <c r="AR216" s="27">
        <v>0</v>
      </c>
      <c r="AS216" s="27">
        <v>0</v>
      </c>
      <c r="AT216" s="27">
        <v>0</v>
      </c>
      <c r="AU216" s="27">
        <v>0</v>
      </c>
      <c r="AV216" s="27">
        <v>0</v>
      </c>
      <c r="AW216" s="27">
        <v>0</v>
      </c>
      <c r="AX216" s="27">
        <v>0</v>
      </c>
      <c r="AZ216" s="27">
        <v>1</v>
      </c>
      <c r="BA216" s="27">
        <v>0</v>
      </c>
      <c r="BB216" s="27">
        <v>80.7</v>
      </c>
      <c r="BC216" s="27" t="s">
        <v>855</v>
      </c>
      <c r="BD216" s="27" t="s">
        <v>856</v>
      </c>
      <c r="BE216" s="27" t="s">
        <v>690</v>
      </c>
      <c r="BF216" s="27" t="s">
        <v>77</v>
      </c>
      <c r="BG216" s="27">
        <v>162</v>
      </c>
      <c r="BH216" s="27">
        <v>49</v>
      </c>
      <c r="BI216" s="27">
        <v>0.7678</v>
      </c>
      <c r="BJ216" s="27">
        <v>0</v>
      </c>
      <c r="BK216" s="27">
        <v>2</v>
      </c>
      <c r="BL216" s="27">
        <v>99.5</v>
      </c>
    </row>
    <row r="217" customHeight="1" spans="1:64">
      <c r="A217" s="27" t="s">
        <v>857</v>
      </c>
      <c r="B217" s="27" t="s">
        <v>171</v>
      </c>
      <c r="C217" s="27" t="s">
        <v>858</v>
      </c>
      <c r="E217" s="27" t="s">
        <v>173</v>
      </c>
      <c r="F217" s="27" t="s">
        <v>160</v>
      </c>
      <c r="G217" s="27" t="s">
        <v>83</v>
      </c>
      <c r="H217" s="27" t="s">
        <v>84</v>
      </c>
      <c r="I217" s="27" t="s">
        <v>85</v>
      </c>
      <c r="J217" s="27">
        <v>5</v>
      </c>
      <c r="K217" s="27">
        <v>153.99</v>
      </c>
      <c r="L217" s="27">
        <v>219.99</v>
      </c>
      <c r="M217" s="27">
        <v>30</v>
      </c>
      <c r="N217" s="27">
        <v>66</v>
      </c>
      <c r="O217" s="27">
        <v>1</v>
      </c>
      <c r="P217" s="27" t="s">
        <v>95</v>
      </c>
      <c r="Q217" s="27">
        <v>5.043361</v>
      </c>
      <c r="R217" s="27">
        <v>19.25</v>
      </c>
      <c r="S217" s="27">
        <v>22</v>
      </c>
      <c r="T217" s="27">
        <v>10</v>
      </c>
      <c r="U217" s="27">
        <v>0.6875</v>
      </c>
      <c r="V217" s="27" t="s">
        <v>72</v>
      </c>
      <c r="W217" s="27">
        <v>3387.78</v>
      </c>
      <c r="X217" s="27">
        <v>3.135494</v>
      </c>
      <c r="Y217" s="27">
        <v>8.128225</v>
      </c>
      <c r="Z217" s="27">
        <v>3.1623</v>
      </c>
      <c r="AA217" s="27" t="s">
        <v>313</v>
      </c>
      <c r="AB217" s="27">
        <v>1</v>
      </c>
      <c r="AC217" s="27">
        <v>1</v>
      </c>
      <c r="AD217" s="27">
        <v>0</v>
      </c>
      <c r="AE217" s="27">
        <v>0</v>
      </c>
      <c r="AF217" s="27">
        <v>0</v>
      </c>
      <c r="AG217" s="27">
        <v>0</v>
      </c>
      <c r="AH217" s="27">
        <v>0</v>
      </c>
      <c r="AI217" s="27">
        <v>0</v>
      </c>
      <c r="AJ217" s="27">
        <v>0</v>
      </c>
      <c r="AK217" s="27">
        <v>0</v>
      </c>
      <c r="AL217" s="27">
        <v>1</v>
      </c>
      <c r="AM217" s="27">
        <v>1</v>
      </c>
      <c r="AN217" s="27">
        <v>0</v>
      </c>
      <c r="AO217" s="27">
        <v>0</v>
      </c>
      <c r="AP217" s="27">
        <v>0</v>
      </c>
      <c r="AQ217" s="27">
        <v>1</v>
      </c>
      <c r="AR217" s="27">
        <v>0</v>
      </c>
      <c r="AS217" s="27">
        <v>0</v>
      </c>
      <c r="AT217" s="27">
        <v>0</v>
      </c>
      <c r="AU217" s="27">
        <v>0</v>
      </c>
      <c r="AV217" s="27">
        <v>1</v>
      </c>
      <c r="AW217" s="27">
        <v>1</v>
      </c>
      <c r="AX217" s="27">
        <v>0</v>
      </c>
      <c r="AY217" s="27">
        <v>8</v>
      </c>
      <c r="AZ217" s="27">
        <v>1</v>
      </c>
      <c r="BA217" s="27">
        <v>4</v>
      </c>
      <c r="BB217" s="27">
        <v>66.35</v>
      </c>
      <c r="BC217" s="27" t="s">
        <v>174</v>
      </c>
      <c r="BD217" s="27" t="s">
        <v>175</v>
      </c>
      <c r="BE217" s="27" t="s">
        <v>91</v>
      </c>
      <c r="BF217" s="27" t="s">
        <v>77</v>
      </c>
      <c r="BG217" s="27">
        <v>161</v>
      </c>
      <c r="BH217" s="27">
        <v>61</v>
      </c>
      <c r="BI217" s="27">
        <v>0.7252</v>
      </c>
      <c r="BJ217" s="27">
        <v>0</v>
      </c>
      <c r="BK217" s="27">
        <v>2</v>
      </c>
      <c r="BL217" s="27">
        <v>99.5</v>
      </c>
    </row>
    <row r="218" customHeight="1" spans="1:64">
      <c r="A218" s="27" t="s">
        <v>859</v>
      </c>
      <c r="B218" s="27" t="s">
        <v>171</v>
      </c>
      <c r="C218" s="27" t="s">
        <v>860</v>
      </c>
      <c r="E218" s="27" t="s">
        <v>250</v>
      </c>
      <c r="F218" s="27" t="s">
        <v>160</v>
      </c>
      <c r="G218" s="27" t="s">
        <v>83</v>
      </c>
      <c r="H218" s="27" t="s">
        <v>84</v>
      </c>
      <c r="I218" s="27" t="s">
        <v>85</v>
      </c>
      <c r="J218" s="27">
        <v>5</v>
      </c>
      <c r="K218" s="27">
        <v>67.19</v>
      </c>
      <c r="L218" s="27">
        <v>79.99</v>
      </c>
      <c r="M218" s="27">
        <v>16</v>
      </c>
      <c r="N218" s="27">
        <v>12.8</v>
      </c>
      <c r="O218" s="27">
        <v>1</v>
      </c>
      <c r="P218" s="27" t="s">
        <v>86</v>
      </c>
      <c r="Q218" s="27">
        <v>4.222298</v>
      </c>
      <c r="R218" s="27">
        <v>8.4</v>
      </c>
      <c r="S218" s="27">
        <v>308</v>
      </c>
      <c r="T218" s="27">
        <v>10</v>
      </c>
      <c r="U218" s="27">
        <v>0.9686</v>
      </c>
      <c r="V218" s="27" t="s">
        <v>154</v>
      </c>
      <c r="W218" s="27">
        <v>20694.52</v>
      </c>
      <c r="X218" s="27">
        <v>5.733341</v>
      </c>
      <c r="Y218" s="27">
        <v>9.937673</v>
      </c>
      <c r="Z218" s="27">
        <v>3.1623</v>
      </c>
      <c r="AA218" s="27" t="s">
        <v>313</v>
      </c>
      <c r="AB218" s="27">
        <v>1</v>
      </c>
      <c r="AC218" s="27">
        <v>1</v>
      </c>
      <c r="AD218" s="27">
        <v>0</v>
      </c>
      <c r="AE218" s="27">
        <v>0</v>
      </c>
      <c r="AF218" s="27">
        <v>0</v>
      </c>
      <c r="AG218" s="27">
        <v>0</v>
      </c>
      <c r="AH218" s="27">
        <v>0</v>
      </c>
      <c r="AI218" s="27">
        <v>0</v>
      </c>
      <c r="AJ218" s="27">
        <v>0</v>
      </c>
      <c r="AK218" s="27">
        <v>0</v>
      </c>
      <c r="AL218" s="27">
        <v>0</v>
      </c>
      <c r="AM218" s="27">
        <v>0</v>
      </c>
      <c r="AN218" s="27">
        <v>0</v>
      </c>
      <c r="AO218" s="27">
        <v>0</v>
      </c>
      <c r="AP218" s="27">
        <v>0</v>
      </c>
      <c r="AQ218" s="27">
        <v>1</v>
      </c>
      <c r="AR218" s="27">
        <v>0</v>
      </c>
      <c r="AS218" s="27">
        <v>0</v>
      </c>
      <c r="AT218" s="27">
        <v>0</v>
      </c>
      <c r="AU218" s="27">
        <v>0</v>
      </c>
      <c r="AV218" s="27">
        <v>1</v>
      </c>
      <c r="AW218" s="27">
        <v>1</v>
      </c>
      <c r="AX218" s="27">
        <v>0</v>
      </c>
      <c r="AY218" s="27">
        <v>8</v>
      </c>
      <c r="AZ218" s="27">
        <v>1</v>
      </c>
      <c r="BA218" s="27">
        <v>3</v>
      </c>
      <c r="BB218" s="27">
        <v>70.51</v>
      </c>
      <c r="BC218" s="27" t="s">
        <v>732</v>
      </c>
      <c r="BD218" s="27" t="s">
        <v>175</v>
      </c>
      <c r="BE218" s="27" t="s">
        <v>91</v>
      </c>
      <c r="BF218" s="27" t="s">
        <v>77</v>
      </c>
      <c r="BG218" s="27">
        <v>161</v>
      </c>
      <c r="BH218" s="27">
        <v>61</v>
      </c>
      <c r="BI218" s="27">
        <v>0.7252</v>
      </c>
      <c r="BJ218" s="27">
        <v>0</v>
      </c>
      <c r="BK218" s="27">
        <v>37</v>
      </c>
      <c r="BL218" s="27">
        <v>89.9</v>
      </c>
    </row>
    <row r="219" customHeight="1" spans="1:64">
      <c r="A219" s="27" t="s">
        <v>861</v>
      </c>
      <c r="B219" s="27" t="s">
        <v>171</v>
      </c>
      <c r="C219" s="27" t="s">
        <v>862</v>
      </c>
      <c r="E219" s="27" t="s">
        <v>173</v>
      </c>
      <c r="F219" s="27" t="s">
        <v>160</v>
      </c>
      <c r="G219" s="27" t="s">
        <v>83</v>
      </c>
      <c r="H219" s="27" t="s">
        <v>84</v>
      </c>
      <c r="I219" s="27" t="s">
        <v>85</v>
      </c>
      <c r="J219" s="27">
        <v>5</v>
      </c>
      <c r="K219" s="27">
        <v>135.97</v>
      </c>
      <c r="M219" s="27">
        <v>0</v>
      </c>
      <c r="N219" s="27">
        <v>0</v>
      </c>
      <c r="O219" s="27">
        <v>0</v>
      </c>
      <c r="P219" s="27" t="s">
        <v>95</v>
      </c>
      <c r="Q219" s="27">
        <v>4.919762</v>
      </c>
      <c r="R219" s="27">
        <v>17</v>
      </c>
      <c r="S219" s="27">
        <v>67</v>
      </c>
      <c r="T219" s="27">
        <v>100</v>
      </c>
      <c r="U219" s="27">
        <v>0.4012</v>
      </c>
      <c r="V219" s="27" t="s">
        <v>72</v>
      </c>
      <c r="W219" s="27">
        <v>9109.99</v>
      </c>
      <c r="X219" s="27">
        <v>4.219508</v>
      </c>
      <c r="Y219" s="27">
        <v>9.117237</v>
      </c>
      <c r="Z219" s="27">
        <v>10</v>
      </c>
      <c r="AA219" s="27" t="s">
        <v>313</v>
      </c>
      <c r="AB219" s="27">
        <v>0</v>
      </c>
      <c r="AC219" s="27">
        <v>0</v>
      </c>
      <c r="AD219" s="27">
        <v>0</v>
      </c>
      <c r="AE219" s="27">
        <v>0</v>
      </c>
      <c r="AF219" s="27">
        <v>0</v>
      </c>
      <c r="AG219" s="27">
        <v>1</v>
      </c>
      <c r="AH219" s="27">
        <v>0</v>
      </c>
      <c r="AI219" s="27">
        <v>1</v>
      </c>
      <c r="AJ219" s="27">
        <v>0</v>
      </c>
      <c r="AK219" s="27">
        <v>0</v>
      </c>
      <c r="AL219" s="27">
        <v>0</v>
      </c>
      <c r="AM219" s="27">
        <v>0</v>
      </c>
      <c r="AN219" s="27">
        <v>1</v>
      </c>
      <c r="AO219" s="27">
        <v>0</v>
      </c>
      <c r="AP219" s="27">
        <v>0</v>
      </c>
      <c r="AQ219" s="27">
        <v>1</v>
      </c>
      <c r="AR219" s="27">
        <v>0</v>
      </c>
      <c r="AS219" s="27">
        <v>0</v>
      </c>
      <c r="AT219" s="27">
        <v>1</v>
      </c>
      <c r="AU219" s="27">
        <v>0</v>
      </c>
      <c r="AV219" s="27">
        <v>1</v>
      </c>
      <c r="AW219" s="27">
        <v>1</v>
      </c>
      <c r="AX219" s="27">
        <v>0</v>
      </c>
      <c r="AY219" s="27">
        <v>8</v>
      </c>
      <c r="AZ219" s="27">
        <v>1</v>
      </c>
      <c r="BA219" s="27">
        <v>2</v>
      </c>
      <c r="BB219" s="27">
        <v>45.81</v>
      </c>
      <c r="BC219" s="27" t="s">
        <v>251</v>
      </c>
      <c r="BD219" s="27" t="s">
        <v>175</v>
      </c>
      <c r="BE219" s="27" t="s">
        <v>91</v>
      </c>
      <c r="BF219" s="27" t="s">
        <v>77</v>
      </c>
      <c r="BG219" s="27">
        <v>161</v>
      </c>
      <c r="BH219" s="27">
        <v>61</v>
      </c>
      <c r="BI219" s="27">
        <v>0.7252</v>
      </c>
      <c r="BJ219" s="27">
        <v>0</v>
      </c>
      <c r="BK219" s="27">
        <v>3</v>
      </c>
      <c r="BL219" s="27">
        <v>99.2</v>
      </c>
    </row>
    <row r="220" customHeight="1" spans="1:64">
      <c r="A220" s="27" t="s">
        <v>863</v>
      </c>
      <c r="B220" s="27" t="s">
        <v>115</v>
      </c>
      <c r="D220" s="27">
        <v>842861101560</v>
      </c>
      <c r="E220" s="27" t="s">
        <v>864</v>
      </c>
      <c r="F220" s="27" t="s">
        <v>132</v>
      </c>
      <c r="G220" s="27" t="s">
        <v>117</v>
      </c>
      <c r="H220" s="27" t="s">
        <v>107</v>
      </c>
      <c r="I220" s="27" t="s">
        <v>85</v>
      </c>
      <c r="J220" s="27">
        <v>5</v>
      </c>
      <c r="K220" s="27">
        <v>29</v>
      </c>
      <c r="M220" s="27">
        <v>0</v>
      </c>
      <c r="N220" s="27">
        <v>0</v>
      </c>
      <c r="O220" s="27">
        <v>0</v>
      </c>
      <c r="P220" s="27" t="s">
        <v>86</v>
      </c>
      <c r="Q220" s="27">
        <v>3.401197</v>
      </c>
      <c r="S220" s="27">
        <v>7</v>
      </c>
      <c r="T220" s="27">
        <v>10</v>
      </c>
      <c r="U220" s="27">
        <v>0.4118</v>
      </c>
      <c r="V220" s="27" t="s">
        <v>87</v>
      </c>
      <c r="W220" s="27">
        <v>203</v>
      </c>
      <c r="X220" s="27">
        <v>2.079442</v>
      </c>
      <c r="Y220" s="27">
        <v>5.31812</v>
      </c>
      <c r="Z220" s="27">
        <v>3.1623</v>
      </c>
      <c r="AA220" s="27" t="s">
        <v>125</v>
      </c>
      <c r="AB220" s="27">
        <v>0</v>
      </c>
      <c r="AC220" s="27">
        <v>0</v>
      </c>
      <c r="AD220" s="27">
        <v>0</v>
      </c>
      <c r="AE220" s="27">
        <v>0</v>
      </c>
      <c r="AF220" s="27">
        <v>0</v>
      </c>
      <c r="AG220" s="27">
        <v>0</v>
      </c>
      <c r="AH220" s="27">
        <v>0</v>
      </c>
      <c r="AI220" s="27">
        <v>0</v>
      </c>
      <c r="AJ220" s="27">
        <v>0</v>
      </c>
      <c r="AK220" s="27">
        <v>0</v>
      </c>
      <c r="AL220" s="27">
        <v>0</v>
      </c>
      <c r="AM220" s="27">
        <v>0</v>
      </c>
      <c r="AN220" s="27">
        <v>0</v>
      </c>
      <c r="AO220" s="27">
        <v>0</v>
      </c>
      <c r="AP220" s="27">
        <v>0</v>
      </c>
      <c r="AQ220" s="27">
        <v>0</v>
      </c>
      <c r="AR220" s="27">
        <v>0</v>
      </c>
      <c r="AS220" s="27">
        <v>0</v>
      </c>
      <c r="AT220" s="27">
        <v>0</v>
      </c>
      <c r="AU220" s="27">
        <v>0</v>
      </c>
      <c r="AV220" s="27">
        <v>0</v>
      </c>
      <c r="AW220" s="27">
        <v>0</v>
      </c>
      <c r="AX220" s="27">
        <v>0</v>
      </c>
      <c r="AZ220" s="27">
        <v>1</v>
      </c>
      <c r="BA220" s="27">
        <v>0</v>
      </c>
      <c r="BB220" s="27">
        <v>16.47</v>
      </c>
      <c r="BC220" s="27" t="s">
        <v>865</v>
      </c>
      <c r="BD220" s="27" t="s">
        <v>698</v>
      </c>
      <c r="BE220" s="27" t="s">
        <v>166</v>
      </c>
      <c r="BF220" s="27" t="s">
        <v>77</v>
      </c>
      <c r="BG220" s="27">
        <v>169</v>
      </c>
      <c r="BH220" s="27">
        <v>11</v>
      </c>
      <c r="BI220" s="27">
        <v>0.9389</v>
      </c>
      <c r="BJ220" s="27">
        <v>0</v>
      </c>
    </row>
    <row r="221" customHeight="1" spans="1:64">
      <c r="A221" s="27" t="s">
        <v>866</v>
      </c>
      <c r="B221" s="27" t="s">
        <v>171</v>
      </c>
      <c r="C221" s="27" t="s">
        <v>867</v>
      </c>
      <c r="E221" s="27" t="s">
        <v>173</v>
      </c>
      <c r="F221" s="27" t="s">
        <v>160</v>
      </c>
      <c r="G221" s="27" t="s">
        <v>83</v>
      </c>
      <c r="H221" s="27" t="s">
        <v>84</v>
      </c>
      <c r="I221" s="27" t="s">
        <v>85</v>
      </c>
      <c r="J221" s="27">
        <v>5</v>
      </c>
      <c r="K221" s="27">
        <v>275.59</v>
      </c>
      <c r="M221" s="27">
        <v>0</v>
      </c>
      <c r="N221" s="27">
        <v>0</v>
      </c>
      <c r="O221" s="27">
        <v>0</v>
      </c>
      <c r="P221" s="27" t="s">
        <v>71</v>
      </c>
      <c r="Q221" s="27">
        <v>5.622536</v>
      </c>
      <c r="R221" s="27">
        <v>17.22</v>
      </c>
      <c r="S221" s="27">
        <v>128</v>
      </c>
      <c r="T221" s="27">
        <v>20</v>
      </c>
      <c r="U221" s="27">
        <v>0.8649</v>
      </c>
      <c r="V221" s="27" t="s">
        <v>72</v>
      </c>
      <c r="W221" s="27">
        <v>35275.52</v>
      </c>
      <c r="X221" s="27">
        <v>4.859812</v>
      </c>
      <c r="Y221" s="27">
        <v>10.470973</v>
      </c>
      <c r="Z221" s="27">
        <v>4.4721</v>
      </c>
      <c r="AA221" s="27" t="s">
        <v>73</v>
      </c>
      <c r="AB221" s="27">
        <v>1</v>
      </c>
      <c r="AC221" s="27">
        <v>1</v>
      </c>
      <c r="AD221" s="27">
        <v>0</v>
      </c>
      <c r="AE221" s="27">
        <v>0</v>
      </c>
      <c r="AF221" s="27">
        <v>0</v>
      </c>
      <c r="AG221" s="27">
        <v>1</v>
      </c>
      <c r="AH221" s="27">
        <v>0</v>
      </c>
      <c r="AI221" s="27">
        <v>1</v>
      </c>
      <c r="AJ221" s="27">
        <v>0</v>
      </c>
      <c r="AK221" s="27">
        <v>0</v>
      </c>
      <c r="AL221" s="27">
        <v>0</v>
      </c>
      <c r="AM221" s="27">
        <v>0</v>
      </c>
      <c r="AN221" s="27">
        <v>0</v>
      </c>
      <c r="AO221" s="27">
        <v>0</v>
      </c>
      <c r="AP221" s="27">
        <v>0</v>
      </c>
      <c r="AQ221" s="27">
        <v>1</v>
      </c>
      <c r="AR221" s="27">
        <v>0</v>
      </c>
      <c r="AS221" s="27">
        <v>0</v>
      </c>
      <c r="AT221" s="27">
        <v>1</v>
      </c>
      <c r="AU221" s="27">
        <v>0</v>
      </c>
      <c r="AV221" s="27">
        <v>1</v>
      </c>
      <c r="AW221" s="27">
        <v>1</v>
      </c>
      <c r="AX221" s="27">
        <v>0</v>
      </c>
      <c r="AY221" s="27">
        <v>16</v>
      </c>
      <c r="AZ221" s="27">
        <v>1</v>
      </c>
      <c r="BA221" s="27">
        <v>3</v>
      </c>
      <c r="BB221" s="27">
        <v>64.45</v>
      </c>
      <c r="BC221" s="27" t="s">
        <v>251</v>
      </c>
      <c r="BD221" s="27" t="s">
        <v>175</v>
      </c>
      <c r="BE221" s="27" t="s">
        <v>91</v>
      </c>
      <c r="BF221" s="27" t="s">
        <v>77</v>
      </c>
      <c r="BG221" s="27">
        <v>161</v>
      </c>
      <c r="BH221" s="27">
        <v>61</v>
      </c>
      <c r="BI221" s="27">
        <v>0.7252</v>
      </c>
      <c r="BJ221" s="27">
        <v>0</v>
      </c>
      <c r="BK221" s="27">
        <v>2</v>
      </c>
      <c r="BL221" s="27">
        <v>99.5</v>
      </c>
    </row>
    <row r="222" customHeight="1" spans="1:64">
      <c r="A222" s="27" t="s">
        <v>868</v>
      </c>
      <c r="B222" s="27" t="s">
        <v>125</v>
      </c>
      <c r="E222" s="27" t="s">
        <v>705</v>
      </c>
      <c r="F222" s="27" t="s">
        <v>132</v>
      </c>
      <c r="G222" s="27" t="s">
        <v>83</v>
      </c>
      <c r="H222" s="27" t="s">
        <v>138</v>
      </c>
      <c r="I222" s="27" t="s">
        <v>85</v>
      </c>
      <c r="J222" s="27">
        <v>5</v>
      </c>
      <c r="K222" s="27">
        <v>7.95</v>
      </c>
      <c r="M222" s="27">
        <v>0</v>
      </c>
      <c r="N222" s="27">
        <v>0</v>
      </c>
      <c r="O222" s="27">
        <v>0</v>
      </c>
      <c r="P222" s="27" t="s">
        <v>133</v>
      </c>
      <c r="Q222" s="27">
        <v>2.191654</v>
      </c>
      <c r="S222" s="27">
        <v>2282</v>
      </c>
      <c r="T222" s="27">
        <v>10</v>
      </c>
      <c r="U222" s="27">
        <v>0.9956</v>
      </c>
      <c r="V222" s="27" t="s">
        <v>109</v>
      </c>
      <c r="W222" s="27">
        <v>18141.9</v>
      </c>
      <c r="X222" s="27">
        <v>7.733246</v>
      </c>
      <c r="Y222" s="27">
        <v>9.806035</v>
      </c>
      <c r="Z222" s="27">
        <v>3.1623</v>
      </c>
      <c r="AA222" s="27" t="s">
        <v>125</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v>0</v>
      </c>
      <c r="AS222" s="27">
        <v>0</v>
      </c>
      <c r="AT222" s="27">
        <v>0</v>
      </c>
      <c r="AU222" s="27">
        <v>0</v>
      </c>
      <c r="AV222" s="27">
        <v>0</v>
      </c>
      <c r="AW222" s="27">
        <v>0</v>
      </c>
      <c r="AX222" s="27">
        <v>0</v>
      </c>
      <c r="AZ222" s="27">
        <v>1</v>
      </c>
      <c r="BA222" s="27">
        <v>0</v>
      </c>
      <c r="BB222" s="27">
        <v>68.74</v>
      </c>
      <c r="BC222" s="27" t="s">
        <v>869</v>
      </c>
      <c r="BD222" s="27" t="s">
        <v>870</v>
      </c>
      <c r="BE222" s="27" t="s">
        <v>113</v>
      </c>
      <c r="BF222" s="27" t="s">
        <v>77</v>
      </c>
      <c r="BG222" s="27">
        <v>208</v>
      </c>
      <c r="BH222" s="27">
        <v>11</v>
      </c>
      <c r="BI222" s="27">
        <v>0.9498</v>
      </c>
      <c r="BJ222" s="27">
        <v>0</v>
      </c>
      <c r="BK222" s="27">
        <v>13</v>
      </c>
      <c r="BL222" s="27">
        <v>96.4</v>
      </c>
    </row>
    <row r="223" customHeight="1" spans="1:64">
      <c r="A223" s="27" t="s">
        <v>871</v>
      </c>
      <c r="B223" s="27" t="s">
        <v>125</v>
      </c>
      <c r="E223" s="27" t="s">
        <v>872</v>
      </c>
      <c r="F223" s="27" t="s">
        <v>132</v>
      </c>
      <c r="G223" s="27" t="s">
        <v>427</v>
      </c>
      <c r="H223" s="27" t="s">
        <v>138</v>
      </c>
      <c r="I223" s="27" t="s">
        <v>85</v>
      </c>
      <c r="J223" s="27">
        <v>5</v>
      </c>
      <c r="K223" s="27">
        <v>13.49</v>
      </c>
      <c r="M223" s="27">
        <v>0</v>
      </c>
      <c r="N223" s="27">
        <v>0</v>
      </c>
      <c r="O223" s="27">
        <v>0</v>
      </c>
      <c r="P223" s="27" t="s">
        <v>133</v>
      </c>
      <c r="Q223" s="27">
        <v>2.673459</v>
      </c>
      <c r="S223" s="27">
        <v>180</v>
      </c>
      <c r="T223" s="27">
        <v>10</v>
      </c>
      <c r="U223" s="27">
        <v>0.9474</v>
      </c>
      <c r="V223" s="27" t="s">
        <v>154</v>
      </c>
      <c r="W223" s="27">
        <v>2428.2</v>
      </c>
      <c r="X223" s="27">
        <v>5.198497</v>
      </c>
      <c r="Y223" s="27">
        <v>7.795317</v>
      </c>
      <c r="Z223" s="27">
        <v>3.1623</v>
      </c>
      <c r="AA223" s="27" t="s">
        <v>125</v>
      </c>
      <c r="AB223" s="27">
        <v>0</v>
      </c>
      <c r="AC223" s="27">
        <v>0</v>
      </c>
      <c r="AD223" s="27">
        <v>0</v>
      </c>
      <c r="AE223" s="27">
        <v>0</v>
      </c>
      <c r="AF223" s="27">
        <v>0</v>
      </c>
      <c r="AG223" s="27">
        <v>0</v>
      </c>
      <c r="AH223" s="27">
        <v>0</v>
      </c>
      <c r="AI223" s="27">
        <v>0</v>
      </c>
      <c r="AJ223" s="27">
        <v>0</v>
      </c>
      <c r="AK223" s="27">
        <v>0</v>
      </c>
      <c r="AL223" s="27">
        <v>0</v>
      </c>
      <c r="AM223" s="27">
        <v>0</v>
      </c>
      <c r="AN223" s="27">
        <v>0</v>
      </c>
      <c r="AO223" s="27">
        <v>0</v>
      </c>
      <c r="AP223" s="27">
        <v>0</v>
      </c>
      <c r="AQ223" s="27">
        <v>0</v>
      </c>
      <c r="AR223" s="27">
        <v>0</v>
      </c>
      <c r="AS223" s="27">
        <v>0</v>
      </c>
      <c r="AT223" s="27">
        <v>0</v>
      </c>
      <c r="AU223" s="27">
        <v>0</v>
      </c>
      <c r="AV223" s="27">
        <v>0</v>
      </c>
      <c r="AW223" s="27">
        <v>0</v>
      </c>
      <c r="AX223" s="27">
        <v>0</v>
      </c>
      <c r="AZ223" s="27">
        <v>1</v>
      </c>
      <c r="BA223" s="27">
        <v>0</v>
      </c>
      <c r="BB223" s="27">
        <v>61.15</v>
      </c>
      <c r="BC223" s="27" t="s">
        <v>873</v>
      </c>
      <c r="BD223" s="27" t="s">
        <v>322</v>
      </c>
      <c r="BE223" s="27" t="s">
        <v>76</v>
      </c>
      <c r="BF223" s="27" t="s">
        <v>77</v>
      </c>
      <c r="BG223" s="27">
        <v>170</v>
      </c>
      <c r="BH223" s="27">
        <v>11</v>
      </c>
      <c r="BI223" s="27">
        <v>0.9392</v>
      </c>
      <c r="BJ223" s="27">
        <v>0</v>
      </c>
      <c r="BK223" s="27">
        <v>82</v>
      </c>
      <c r="BL223" s="27">
        <v>77.5</v>
      </c>
    </row>
    <row r="224" customHeight="1" spans="1:64">
      <c r="A224" s="27" t="s">
        <v>874</v>
      </c>
      <c r="B224" s="27" t="s">
        <v>93</v>
      </c>
      <c r="E224" s="27" t="s">
        <v>250</v>
      </c>
      <c r="F224" s="27" t="s">
        <v>82</v>
      </c>
      <c r="G224" s="27" t="s">
        <v>93</v>
      </c>
      <c r="H224" s="27" t="s">
        <v>69</v>
      </c>
      <c r="I224" s="27" t="s">
        <v>85</v>
      </c>
      <c r="J224" s="27">
        <v>5</v>
      </c>
      <c r="K224" s="27">
        <v>209.99</v>
      </c>
      <c r="M224" s="27">
        <v>0</v>
      </c>
      <c r="N224" s="27">
        <v>0</v>
      </c>
      <c r="O224" s="27">
        <v>0</v>
      </c>
      <c r="P224" s="27" t="s">
        <v>71</v>
      </c>
      <c r="Q224" s="27">
        <v>5.351811</v>
      </c>
      <c r="S224" s="27">
        <v>46</v>
      </c>
      <c r="T224" s="27">
        <v>20</v>
      </c>
      <c r="U224" s="27">
        <v>0.697</v>
      </c>
      <c r="V224" s="27" t="s">
        <v>72</v>
      </c>
      <c r="W224" s="27">
        <v>9659.54</v>
      </c>
      <c r="X224" s="27">
        <v>3.850148</v>
      </c>
      <c r="Y224" s="27">
        <v>9.175805</v>
      </c>
      <c r="Z224" s="27">
        <v>4.4721</v>
      </c>
      <c r="AA224" s="27" t="s">
        <v>313</v>
      </c>
      <c r="AB224" s="27">
        <v>0</v>
      </c>
      <c r="AC224" s="27">
        <v>0</v>
      </c>
      <c r="AD224" s="27">
        <v>0</v>
      </c>
      <c r="AE224" s="27">
        <v>0</v>
      </c>
      <c r="AF224" s="27">
        <v>0</v>
      </c>
      <c r="AG224" s="27">
        <v>1</v>
      </c>
      <c r="AH224" s="27">
        <v>0</v>
      </c>
      <c r="AI224" s="27">
        <v>1</v>
      </c>
      <c r="AJ224" s="27">
        <v>0</v>
      </c>
      <c r="AK224" s="27">
        <v>0</v>
      </c>
      <c r="AL224" s="27">
        <v>0</v>
      </c>
      <c r="AM224" s="27">
        <v>1</v>
      </c>
      <c r="AN224" s="27">
        <v>0</v>
      </c>
      <c r="AO224" s="27">
        <v>0</v>
      </c>
      <c r="AP224" s="27">
        <v>0</v>
      </c>
      <c r="AQ224" s="27">
        <v>0</v>
      </c>
      <c r="AR224" s="27">
        <v>0</v>
      </c>
      <c r="AS224" s="27">
        <v>0</v>
      </c>
      <c r="AT224" s="27">
        <v>1</v>
      </c>
      <c r="AU224" s="27">
        <v>0</v>
      </c>
      <c r="AV224" s="27">
        <v>0</v>
      </c>
      <c r="AW224" s="27">
        <v>0</v>
      </c>
      <c r="AX224" s="27">
        <v>0</v>
      </c>
      <c r="AZ224" s="27">
        <v>4</v>
      </c>
      <c r="BA224" s="27">
        <v>1</v>
      </c>
      <c r="BB224" s="27">
        <v>57.73</v>
      </c>
      <c r="BC224" s="27" t="s">
        <v>96</v>
      </c>
      <c r="BD224" s="27" t="s">
        <v>97</v>
      </c>
      <c r="BE224" s="27" t="s">
        <v>98</v>
      </c>
      <c r="BF224" s="27" t="s">
        <v>77</v>
      </c>
      <c r="BG224" s="27">
        <v>1</v>
      </c>
      <c r="BH224" s="27">
        <v>28</v>
      </c>
      <c r="BI224" s="27">
        <v>0.0345</v>
      </c>
      <c r="BJ224" s="27">
        <v>1</v>
      </c>
      <c r="BK224" s="27">
        <v>2</v>
      </c>
      <c r="BL224" s="27">
        <v>99.5</v>
      </c>
    </row>
    <row r="225" customHeight="1" spans="1:64">
      <c r="A225" s="27" t="s">
        <v>875</v>
      </c>
      <c r="B225" s="27" t="s">
        <v>384</v>
      </c>
      <c r="E225" s="27" t="s">
        <v>876</v>
      </c>
      <c r="F225" s="27" t="s">
        <v>462</v>
      </c>
      <c r="G225" s="27" t="s">
        <v>83</v>
      </c>
      <c r="H225" s="27" t="s">
        <v>84</v>
      </c>
      <c r="I225" s="27" t="s">
        <v>85</v>
      </c>
      <c r="J225" s="27">
        <v>5</v>
      </c>
      <c r="K225" s="27">
        <v>36.99</v>
      </c>
      <c r="M225" s="27">
        <v>0</v>
      </c>
      <c r="N225" s="27">
        <v>0</v>
      </c>
      <c r="O225" s="27">
        <v>0</v>
      </c>
      <c r="P225" s="27" t="s">
        <v>86</v>
      </c>
      <c r="Q225" s="27">
        <v>3.637323</v>
      </c>
      <c r="S225" s="27">
        <v>12</v>
      </c>
      <c r="T225" s="27">
        <v>10</v>
      </c>
      <c r="U225" s="27">
        <v>0.5455</v>
      </c>
      <c r="V225" s="27" t="s">
        <v>72</v>
      </c>
      <c r="W225" s="27">
        <v>443.88</v>
      </c>
      <c r="X225" s="27">
        <v>2.564949</v>
      </c>
      <c r="Y225" s="27">
        <v>6.097805</v>
      </c>
      <c r="Z225" s="27">
        <v>3.1623</v>
      </c>
      <c r="AA225" s="27" t="s">
        <v>187</v>
      </c>
      <c r="AB225" s="27">
        <v>0</v>
      </c>
      <c r="AC225" s="27">
        <v>0</v>
      </c>
      <c r="AD225" s="27">
        <v>0</v>
      </c>
      <c r="AE225" s="27">
        <v>1</v>
      </c>
      <c r="AF225" s="27">
        <v>1</v>
      </c>
      <c r="AG225" s="27">
        <v>0</v>
      </c>
      <c r="AH225" s="27">
        <v>1</v>
      </c>
      <c r="AI225" s="27">
        <v>0</v>
      </c>
      <c r="AJ225" s="27">
        <v>0</v>
      </c>
      <c r="AK225" s="27">
        <v>0</v>
      </c>
      <c r="AL225" s="27">
        <v>0</v>
      </c>
      <c r="AM225" s="27">
        <v>0</v>
      </c>
      <c r="AN225" s="27">
        <v>0</v>
      </c>
      <c r="AO225" s="27">
        <v>0</v>
      </c>
      <c r="AP225" s="27">
        <v>0</v>
      </c>
      <c r="AQ225" s="27">
        <v>0</v>
      </c>
      <c r="AR225" s="27">
        <v>0</v>
      </c>
      <c r="AS225" s="27">
        <v>0</v>
      </c>
      <c r="AT225" s="27">
        <v>1</v>
      </c>
      <c r="AU225" s="27">
        <v>0</v>
      </c>
      <c r="AV225" s="27">
        <v>0</v>
      </c>
      <c r="AW225" s="27">
        <v>1</v>
      </c>
      <c r="AX225" s="27">
        <v>0</v>
      </c>
      <c r="AZ225" s="27">
        <v>1</v>
      </c>
      <c r="BA225" s="27">
        <v>2</v>
      </c>
      <c r="BB225" s="27">
        <v>51.67</v>
      </c>
      <c r="BC225" s="27" t="s">
        <v>385</v>
      </c>
      <c r="BD225" s="27" t="s">
        <v>773</v>
      </c>
      <c r="BE225" s="27" t="s">
        <v>774</v>
      </c>
      <c r="BF225" s="27" t="s">
        <v>77</v>
      </c>
      <c r="BG225" s="27">
        <v>1</v>
      </c>
      <c r="BH225" s="27">
        <v>28</v>
      </c>
      <c r="BI225" s="27">
        <v>0.0345</v>
      </c>
      <c r="BJ225" s="27">
        <v>1</v>
      </c>
      <c r="BK225" s="27">
        <v>2</v>
      </c>
      <c r="BL225" s="27">
        <v>99.5</v>
      </c>
    </row>
    <row r="226" customHeight="1" spans="1:64">
      <c r="A226" s="27" t="s">
        <v>877</v>
      </c>
      <c r="B226" s="27" t="s">
        <v>878</v>
      </c>
      <c r="C226" s="27" t="s">
        <v>879</v>
      </c>
      <c r="E226" s="27" t="s">
        <v>880</v>
      </c>
      <c r="F226" s="27" t="s">
        <v>198</v>
      </c>
      <c r="G226" s="27" t="s">
        <v>117</v>
      </c>
      <c r="H226" s="27" t="s">
        <v>84</v>
      </c>
      <c r="I226" s="27" t="s">
        <v>203</v>
      </c>
      <c r="J226" s="27">
        <v>4</v>
      </c>
      <c r="K226" s="27">
        <v>35</v>
      </c>
      <c r="M226" s="27">
        <v>0</v>
      </c>
      <c r="N226" s="27">
        <v>0</v>
      </c>
      <c r="O226" s="27">
        <v>0</v>
      </c>
      <c r="P226" s="27" t="s">
        <v>86</v>
      </c>
      <c r="Q226" s="27">
        <v>3.583519</v>
      </c>
      <c r="S226" s="27">
        <v>116</v>
      </c>
      <c r="T226" s="27">
        <v>10</v>
      </c>
      <c r="U226" s="27">
        <v>0.9206</v>
      </c>
      <c r="V226" s="27" t="s">
        <v>72</v>
      </c>
      <c r="W226" s="27">
        <v>4060</v>
      </c>
      <c r="X226" s="27">
        <v>4.762174</v>
      </c>
      <c r="Y226" s="27">
        <v>8.309185</v>
      </c>
      <c r="Z226" s="27">
        <v>3.1623</v>
      </c>
      <c r="AA226" s="27" t="s">
        <v>125</v>
      </c>
      <c r="AB226" s="27">
        <v>0</v>
      </c>
      <c r="AC226" s="27">
        <v>0</v>
      </c>
      <c r="AD226" s="27">
        <v>0</v>
      </c>
      <c r="AE226" s="27">
        <v>0</v>
      </c>
      <c r="AF226" s="27">
        <v>0</v>
      </c>
      <c r="AG226" s="27">
        <v>0</v>
      </c>
      <c r="AH226" s="27">
        <v>0</v>
      </c>
      <c r="AI226" s="27">
        <v>0</v>
      </c>
      <c r="AJ226" s="27">
        <v>0</v>
      </c>
      <c r="AK226" s="27">
        <v>0</v>
      </c>
      <c r="AL226" s="27">
        <v>0</v>
      </c>
      <c r="AM226" s="27">
        <v>0</v>
      </c>
      <c r="AN226" s="27">
        <v>0</v>
      </c>
      <c r="AO226" s="27">
        <v>0</v>
      </c>
      <c r="AP226" s="27">
        <v>0</v>
      </c>
      <c r="AQ226" s="27">
        <v>0</v>
      </c>
      <c r="AR226" s="27">
        <v>0</v>
      </c>
      <c r="AS226" s="27">
        <v>0</v>
      </c>
      <c r="AT226" s="27">
        <v>0</v>
      </c>
      <c r="AU226" s="27">
        <v>0</v>
      </c>
      <c r="AV226" s="27">
        <v>0</v>
      </c>
      <c r="AW226" s="27">
        <v>1</v>
      </c>
      <c r="AX226" s="27">
        <v>0</v>
      </c>
      <c r="AZ226" s="27">
        <v>2</v>
      </c>
      <c r="BA226" s="27">
        <v>0</v>
      </c>
      <c r="BB226" s="27">
        <v>65.26</v>
      </c>
      <c r="BC226" s="27" t="s">
        <v>881</v>
      </c>
      <c r="BD226" s="27" t="s">
        <v>882</v>
      </c>
      <c r="BE226" s="27" t="s">
        <v>91</v>
      </c>
      <c r="BF226" s="27" t="s">
        <v>77</v>
      </c>
      <c r="BG226" s="27">
        <v>168</v>
      </c>
      <c r="BH226" s="27">
        <v>17</v>
      </c>
      <c r="BI226" s="27">
        <v>0.9081</v>
      </c>
      <c r="BJ226" s="27">
        <v>0</v>
      </c>
      <c r="BK226" s="27">
        <v>19</v>
      </c>
      <c r="BL226" s="27">
        <v>94.8</v>
      </c>
    </row>
    <row r="227" customHeight="1" spans="1:64">
      <c r="A227" s="27" t="s">
        <v>883</v>
      </c>
      <c r="B227" s="27" t="s">
        <v>884</v>
      </c>
      <c r="C227" s="27" t="s">
        <v>885</v>
      </c>
      <c r="D227" s="27">
        <v>12381230310</v>
      </c>
      <c r="E227" s="27" t="s">
        <v>81</v>
      </c>
      <c r="F227" s="27" t="s">
        <v>82</v>
      </c>
      <c r="G227" s="27" t="s">
        <v>83</v>
      </c>
      <c r="H227" s="27" t="s">
        <v>84</v>
      </c>
      <c r="I227" s="27" t="s">
        <v>85</v>
      </c>
      <c r="J227" s="27">
        <v>5</v>
      </c>
      <c r="K227" s="27">
        <v>49.5</v>
      </c>
      <c r="M227" s="27">
        <v>0</v>
      </c>
      <c r="N227" s="27">
        <v>0</v>
      </c>
      <c r="O227" s="27">
        <v>0</v>
      </c>
      <c r="P227" s="27" t="s">
        <v>86</v>
      </c>
      <c r="Q227" s="27">
        <v>3.921973</v>
      </c>
      <c r="S227" s="27">
        <v>9</v>
      </c>
      <c r="T227" s="27">
        <v>1</v>
      </c>
      <c r="U227" s="27">
        <v>0.9</v>
      </c>
      <c r="V227" s="27" t="s">
        <v>87</v>
      </c>
      <c r="W227" s="27">
        <v>445.5</v>
      </c>
      <c r="X227" s="27">
        <v>2.302585</v>
      </c>
      <c r="Y227" s="27">
        <v>6.101439</v>
      </c>
      <c r="Z227" s="27">
        <v>1</v>
      </c>
      <c r="AA227" s="27" t="s">
        <v>187</v>
      </c>
      <c r="AB227" s="27">
        <v>1</v>
      </c>
      <c r="AC227" s="27">
        <v>1</v>
      </c>
      <c r="AD227" s="27">
        <v>0</v>
      </c>
      <c r="AE227" s="27">
        <v>0</v>
      </c>
      <c r="AF227" s="27">
        <v>1</v>
      </c>
      <c r="AG227" s="27">
        <v>0</v>
      </c>
      <c r="AH227" s="27">
        <v>0</v>
      </c>
      <c r="AI227" s="27">
        <v>0</v>
      </c>
      <c r="AJ227" s="27">
        <v>0</v>
      </c>
      <c r="AK227" s="27">
        <v>0</v>
      </c>
      <c r="AL227" s="27">
        <v>0</v>
      </c>
      <c r="AM227" s="27">
        <v>0</v>
      </c>
      <c r="AN227" s="27">
        <v>0</v>
      </c>
      <c r="AO227" s="27">
        <v>0</v>
      </c>
      <c r="AP227" s="27">
        <v>1</v>
      </c>
      <c r="AQ227" s="27">
        <v>0</v>
      </c>
      <c r="AR227" s="27">
        <v>0</v>
      </c>
      <c r="AS227" s="27">
        <v>0</v>
      </c>
      <c r="AT227" s="27">
        <v>1</v>
      </c>
      <c r="AU227" s="27">
        <v>0</v>
      </c>
      <c r="AV227" s="27">
        <v>0</v>
      </c>
      <c r="AW227" s="27">
        <v>0</v>
      </c>
      <c r="AX227" s="27">
        <v>0</v>
      </c>
      <c r="AZ227" s="27">
        <v>1</v>
      </c>
      <c r="BA227" s="27">
        <v>2</v>
      </c>
      <c r="BB227" s="27">
        <v>65.19</v>
      </c>
      <c r="BC227" s="27" t="s">
        <v>886</v>
      </c>
      <c r="BD227" s="27" t="s">
        <v>887</v>
      </c>
      <c r="BE227" s="27" t="s">
        <v>673</v>
      </c>
      <c r="BF227" s="27" t="s">
        <v>77</v>
      </c>
      <c r="BG227" s="27">
        <v>168</v>
      </c>
      <c r="BH227" s="27">
        <v>11</v>
      </c>
      <c r="BI227" s="27">
        <v>0.9385</v>
      </c>
      <c r="BJ227" s="27">
        <v>0</v>
      </c>
      <c r="BK227" s="27">
        <v>10</v>
      </c>
      <c r="BL227" s="27">
        <v>97.3</v>
      </c>
    </row>
    <row r="228" customHeight="1" spans="1:64">
      <c r="A228" s="27" t="s">
        <v>888</v>
      </c>
      <c r="B228" s="27" t="s">
        <v>144</v>
      </c>
      <c r="E228" s="27" t="s">
        <v>889</v>
      </c>
      <c r="F228" s="27" t="s">
        <v>132</v>
      </c>
      <c r="G228" s="27" t="s">
        <v>65</v>
      </c>
      <c r="H228" s="27" t="s">
        <v>84</v>
      </c>
      <c r="I228" s="27" t="s">
        <v>85</v>
      </c>
      <c r="J228" s="27">
        <v>5</v>
      </c>
      <c r="K228" s="27">
        <v>11.99</v>
      </c>
      <c r="M228" s="27">
        <v>0</v>
      </c>
      <c r="N228" s="27">
        <v>0</v>
      </c>
      <c r="O228" s="27">
        <v>0</v>
      </c>
      <c r="P228" s="27" t="s">
        <v>133</v>
      </c>
      <c r="Q228" s="27">
        <v>2.56418</v>
      </c>
      <c r="S228" s="27">
        <v>4106</v>
      </c>
      <c r="T228" s="27">
        <v>10</v>
      </c>
      <c r="U228" s="27">
        <v>0.9976</v>
      </c>
      <c r="V228" s="27" t="s">
        <v>109</v>
      </c>
      <c r="W228" s="27">
        <v>49230.94</v>
      </c>
      <c r="X228" s="27">
        <v>8.320448</v>
      </c>
      <c r="Y228" s="27">
        <v>10.804298</v>
      </c>
      <c r="Z228" s="27">
        <v>3.1623</v>
      </c>
      <c r="AA228" s="27" t="s">
        <v>125</v>
      </c>
      <c r="AB228" s="27">
        <v>0</v>
      </c>
      <c r="AC228" s="27">
        <v>0</v>
      </c>
      <c r="AD228" s="27">
        <v>0</v>
      </c>
      <c r="AE228" s="27">
        <v>0</v>
      </c>
      <c r="AF228" s="27">
        <v>0</v>
      </c>
      <c r="AG228" s="27">
        <v>0</v>
      </c>
      <c r="AH228" s="27">
        <v>0</v>
      </c>
      <c r="AI228" s="27">
        <v>0</v>
      </c>
      <c r="AJ228" s="27">
        <v>0</v>
      </c>
      <c r="AK228" s="27">
        <v>0</v>
      </c>
      <c r="AL228" s="27">
        <v>0</v>
      </c>
      <c r="AM228" s="27">
        <v>0</v>
      </c>
      <c r="AN228" s="27">
        <v>0</v>
      </c>
      <c r="AO228" s="27">
        <v>0</v>
      </c>
      <c r="AP228" s="27">
        <v>0</v>
      </c>
      <c r="AQ228" s="27">
        <v>1</v>
      </c>
      <c r="AR228" s="27">
        <v>0</v>
      </c>
      <c r="AS228" s="27">
        <v>0</v>
      </c>
      <c r="AT228" s="27">
        <v>0</v>
      </c>
      <c r="AU228" s="27">
        <v>0</v>
      </c>
      <c r="AV228" s="27">
        <v>1</v>
      </c>
      <c r="AW228" s="27">
        <v>0</v>
      </c>
      <c r="AX228" s="27">
        <v>0</v>
      </c>
      <c r="AZ228" s="27">
        <v>1</v>
      </c>
      <c r="BA228" s="27">
        <v>1</v>
      </c>
      <c r="BB228" s="27">
        <v>69.75</v>
      </c>
      <c r="BC228" s="27" t="s">
        <v>890</v>
      </c>
      <c r="BD228" s="27" t="s">
        <v>112</v>
      </c>
      <c r="BE228" s="27" t="s">
        <v>128</v>
      </c>
      <c r="BF228" s="27" t="s">
        <v>77</v>
      </c>
      <c r="BG228" s="27">
        <v>1</v>
      </c>
      <c r="BH228" s="27">
        <v>57</v>
      </c>
      <c r="BI228" s="27">
        <v>0.0172</v>
      </c>
      <c r="BJ228" s="27">
        <v>1</v>
      </c>
      <c r="BK228" s="27">
        <v>2</v>
      </c>
      <c r="BL228" s="27">
        <v>99.5</v>
      </c>
    </row>
    <row r="229" customHeight="1" spans="1:64">
      <c r="A229" s="27" t="s">
        <v>891</v>
      </c>
      <c r="B229" s="27" t="s">
        <v>125</v>
      </c>
      <c r="D229" s="27">
        <v>711181021455</v>
      </c>
      <c r="E229" s="27" t="s">
        <v>163</v>
      </c>
      <c r="F229" s="27" t="s">
        <v>198</v>
      </c>
      <c r="G229" s="27" t="s">
        <v>83</v>
      </c>
      <c r="H229" s="27" t="s">
        <v>138</v>
      </c>
      <c r="I229" s="27" t="s">
        <v>85</v>
      </c>
      <c r="J229" s="27">
        <v>5</v>
      </c>
      <c r="K229" s="27">
        <v>9.79</v>
      </c>
      <c r="M229" s="27">
        <v>0</v>
      </c>
      <c r="N229" s="27">
        <v>0</v>
      </c>
      <c r="O229" s="27">
        <v>0</v>
      </c>
      <c r="P229" s="27" t="s">
        <v>133</v>
      </c>
      <c r="Q229" s="27">
        <v>2.37862</v>
      </c>
      <c r="S229" s="27">
        <v>58</v>
      </c>
      <c r="T229" s="27">
        <v>5</v>
      </c>
      <c r="U229" s="27">
        <v>0.9206</v>
      </c>
      <c r="V229" s="27" t="s">
        <v>72</v>
      </c>
      <c r="W229" s="27">
        <v>567.82</v>
      </c>
      <c r="X229" s="27">
        <v>4.077537</v>
      </c>
      <c r="Y229" s="27">
        <v>6.343564</v>
      </c>
      <c r="Z229" s="27">
        <v>2.2361</v>
      </c>
      <c r="AA229" s="27" t="s">
        <v>125</v>
      </c>
      <c r="AB229" s="27">
        <v>0</v>
      </c>
      <c r="AC229" s="27">
        <v>0</v>
      </c>
      <c r="AD229" s="27">
        <v>0</v>
      </c>
      <c r="AE229" s="27">
        <v>0</v>
      </c>
      <c r="AF229" s="27">
        <v>0</v>
      </c>
      <c r="AG229" s="27">
        <v>1</v>
      </c>
      <c r="AH229" s="27">
        <v>0</v>
      </c>
      <c r="AI229" s="27">
        <v>0</v>
      </c>
      <c r="AJ229" s="27">
        <v>0</v>
      </c>
      <c r="AK229" s="27">
        <v>0</v>
      </c>
      <c r="AL229" s="27">
        <v>0</v>
      </c>
      <c r="AM229" s="27">
        <v>0</v>
      </c>
      <c r="AN229" s="27">
        <v>0</v>
      </c>
      <c r="AO229" s="27">
        <v>0</v>
      </c>
      <c r="AP229" s="27">
        <v>0</v>
      </c>
      <c r="AQ229" s="27">
        <v>0</v>
      </c>
      <c r="AR229" s="27">
        <v>0</v>
      </c>
      <c r="AS229" s="27">
        <v>0</v>
      </c>
      <c r="AT229" s="27">
        <v>0</v>
      </c>
      <c r="AU229" s="27">
        <v>0</v>
      </c>
      <c r="AV229" s="27">
        <v>0</v>
      </c>
      <c r="AW229" s="27">
        <v>1</v>
      </c>
      <c r="AX229" s="27">
        <v>0</v>
      </c>
      <c r="AZ229" s="27">
        <v>5</v>
      </c>
      <c r="BA229" s="27">
        <v>0</v>
      </c>
      <c r="BB229" s="27">
        <v>66.49</v>
      </c>
      <c r="BC229" s="27" t="s">
        <v>892</v>
      </c>
      <c r="BD229" s="27" t="s">
        <v>698</v>
      </c>
      <c r="BE229" s="27" t="s">
        <v>627</v>
      </c>
      <c r="BF229" s="27" t="s">
        <v>77</v>
      </c>
      <c r="BG229" s="27">
        <v>1</v>
      </c>
      <c r="BH229" s="27">
        <v>15</v>
      </c>
      <c r="BI229" s="27">
        <v>0.0625</v>
      </c>
      <c r="BJ229" s="27">
        <v>1</v>
      </c>
      <c r="BK229" s="27">
        <v>4</v>
      </c>
      <c r="BL229" s="27">
        <v>98.9</v>
      </c>
    </row>
    <row r="230" customHeight="1" spans="1:64">
      <c r="A230" s="27" t="s">
        <v>893</v>
      </c>
      <c r="B230" s="27" t="s">
        <v>125</v>
      </c>
      <c r="C230" s="27" t="s">
        <v>177</v>
      </c>
      <c r="E230" s="27" t="s">
        <v>894</v>
      </c>
      <c r="F230" s="27" t="s">
        <v>82</v>
      </c>
      <c r="G230" s="27" t="s">
        <v>117</v>
      </c>
      <c r="H230" s="27" t="s">
        <v>138</v>
      </c>
      <c r="I230" s="27" t="s">
        <v>85</v>
      </c>
      <c r="J230" s="27">
        <v>5</v>
      </c>
      <c r="K230" s="27">
        <v>99.99</v>
      </c>
      <c r="M230" s="27">
        <v>0</v>
      </c>
      <c r="N230" s="27">
        <v>0</v>
      </c>
      <c r="O230" s="27">
        <v>0</v>
      </c>
      <c r="P230" s="27" t="s">
        <v>95</v>
      </c>
      <c r="Q230" s="27">
        <v>4.615022</v>
      </c>
      <c r="S230" s="27">
        <v>1</v>
      </c>
      <c r="T230" s="27">
        <v>10</v>
      </c>
      <c r="U230" s="27">
        <v>0.0909</v>
      </c>
      <c r="V230" s="27" t="s">
        <v>87</v>
      </c>
      <c r="W230" s="27">
        <v>99.99</v>
      </c>
      <c r="X230" s="27">
        <v>0.693147</v>
      </c>
      <c r="Y230" s="27">
        <v>4.615022</v>
      </c>
      <c r="Z230" s="27">
        <v>3.1623</v>
      </c>
      <c r="AA230" s="27" t="s">
        <v>125</v>
      </c>
      <c r="AB230" s="27">
        <v>0</v>
      </c>
      <c r="AC230" s="27">
        <v>0</v>
      </c>
      <c r="AD230" s="27">
        <v>0</v>
      </c>
      <c r="AE230" s="27">
        <v>1</v>
      </c>
      <c r="AF230" s="27">
        <v>1</v>
      </c>
      <c r="AG230" s="27">
        <v>0</v>
      </c>
      <c r="AH230" s="27">
        <v>0</v>
      </c>
      <c r="AI230" s="27">
        <v>0</v>
      </c>
      <c r="AJ230" s="27">
        <v>0</v>
      </c>
      <c r="AK230" s="27">
        <v>0</v>
      </c>
      <c r="AL230" s="27">
        <v>0</v>
      </c>
      <c r="AM230" s="27">
        <v>0</v>
      </c>
      <c r="AN230" s="27">
        <v>0</v>
      </c>
      <c r="AO230" s="27">
        <v>0</v>
      </c>
      <c r="AP230" s="27">
        <v>0</v>
      </c>
      <c r="AQ230" s="27">
        <v>0</v>
      </c>
      <c r="AR230" s="27">
        <v>0</v>
      </c>
      <c r="AS230" s="27">
        <v>1</v>
      </c>
      <c r="AT230" s="27">
        <v>0</v>
      </c>
      <c r="AU230" s="27">
        <v>0</v>
      </c>
      <c r="AV230" s="27">
        <v>0</v>
      </c>
      <c r="AW230" s="27">
        <v>1</v>
      </c>
      <c r="AX230" s="27">
        <v>0</v>
      </c>
      <c r="AZ230" s="27">
        <v>4</v>
      </c>
      <c r="BA230" s="27">
        <v>1</v>
      </c>
      <c r="BB230" s="27">
        <v>33.4</v>
      </c>
      <c r="BC230" s="27" t="s">
        <v>895</v>
      </c>
      <c r="BD230" s="27" t="s">
        <v>112</v>
      </c>
      <c r="BE230" s="27" t="s">
        <v>128</v>
      </c>
      <c r="BF230" s="27" t="s">
        <v>77</v>
      </c>
      <c r="BG230" s="27">
        <v>2</v>
      </c>
      <c r="BH230" s="27">
        <v>13</v>
      </c>
      <c r="BI230" s="27">
        <v>0.1333</v>
      </c>
      <c r="BJ230" s="27">
        <v>0</v>
      </c>
      <c r="BK230" s="27">
        <v>3</v>
      </c>
      <c r="BL230" s="27">
        <v>99.2</v>
      </c>
    </row>
    <row r="231" customHeight="1" spans="1:64">
      <c r="A231" s="27" t="s">
        <v>896</v>
      </c>
      <c r="B231" s="27" t="s">
        <v>125</v>
      </c>
      <c r="E231" s="27" t="s">
        <v>81</v>
      </c>
      <c r="F231" s="27" t="s">
        <v>240</v>
      </c>
      <c r="G231" s="27" t="s">
        <v>83</v>
      </c>
      <c r="H231" s="27" t="s">
        <v>138</v>
      </c>
      <c r="I231" s="27" t="s">
        <v>153</v>
      </c>
      <c r="J231" s="27">
        <v>2</v>
      </c>
      <c r="K231" s="27">
        <v>170</v>
      </c>
      <c r="M231" s="27">
        <v>0</v>
      </c>
      <c r="N231" s="27">
        <v>0</v>
      </c>
      <c r="O231" s="27">
        <v>0</v>
      </c>
      <c r="P231" s="27" t="s">
        <v>95</v>
      </c>
      <c r="Q231" s="27">
        <v>5.141664</v>
      </c>
      <c r="V231" s="27" t="s">
        <v>231</v>
      </c>
      <c r="W231" s="27">
        <v>0</v>
      </c>
      <c r="X231" s="27">
        <v>0</v>
      </c>
      <c r="Y231" s="27">
        <v>0</v>
      </c>
      <c r="Z231" s="27">
        <v>0</v>
      </c>
      <c r="AA231" s="27" t="s">
        <v>125</v>
      </c>
      <c r="AB231" s="27">
        <v>0</v>
      </c>
      <c r="AC231" s="27">
        <v>0</v>
      </c>
      <c r="AD231" s="27">
        <v>0</v>
      </c>
      <c r="AE231" s="27">
        <v>0</v>
      </c>
      <c r="AF231" s="27">
        <v>0</v>
      </c>
      <c r="AG231" s="27">
        <v>0</v>
      </c>
      <c r="AH231" s="27">
        <v>0</v>
      </c>
      <c r="AI231" s="27">
        <v>0</v>
      </c>
      <c r="AJ231" s="27">
        <v>0</v>
      </c>
      <c r="AK231" s="27">
        <v>0</v>
      </c>
      <c r="AL231" s="27">
        <v>0</v>
      </c>
      <c r="AM231" s="27">
        <v>0</v>
      </c>
      <c r="AN231" s="27">
        <v>0</v>
      </c>
      <c r="AO231" s="27">
        <v>0</v>
      </c>
      <c r="AP231" s="27">
        <v>0</v>
      </c>
      <c r="AQ231" s="27">
        <v>1</v>
      </c>
      <c r="AR231" s="27">
        <v>0</v>
      </c>
      <c r="AS231" s="27">
        <v>0</v>
      </c>
      <c r="AT231" s="27">
        <v>0</v>
      </c>
      <c r="AU231" s="27">
        <v>0</v>
      </c>
      <c r="AV231" s="27">
        <v>1</v>
      </c>
      <c r="AW231" s="27">
        <v>0</v>
      </c>
      <c r="AX231" s="27">
        <v>0</v>
      </c>
      <c r="AZ231" s="27">
        <v>1</v>
      </c>
      <c r="BA231" s="27">
        <v>1</v>
      </c>
      <c r="BB231" s="27">
        <v>0</v>
      </c>
      <c r="BC231" s="27" t="s">
        <v>897</v>
      </c>
      <c r="BD231" s="27" t="s">
        <v>898</v>
      </c>
      <c r="BE231" s="27" t="s">
        <v>627</v>
      </c>
      <c r="BF231" s="27" t="s">
        <v>77</v>
      </c>
      <c r="BG231" s="27">
        <v>1</v>
      </c>
      <c r="BH231" s="27">
        <v>11</v>
      </c>
      <c r="BI231" s="27">
        <v>0.0833</v>
      </c>
      <c r="BJ231" s="27">
        <v>1</v>
      </c>
    </row>
    <row r="232" customHeight="1" spans="1:64">
      <c r="A232" s="27" t="s">
        <v>899</v>
      </c>
      <c r="B232" s="27" t="s">
        <v>93</v>
      </c>
      <c r="E232" s="27" t="s">
        <v>559</v>
      </c>
      <c r="F232" s="27" t="s">
        <v>160</v>
      </c>
      <c r="G232" s="27" t="s">
        <v>93</v>
      </c>
      <c r="H232" s="27" t="s">
        <v>69</v>
      </c>
      <c r="I232" s="27" t="s">
        <v>108</v>
      </c>
      <c r="J232" s="27">
        <v>3</v>
      </c>
      <c r="K232" s="27">
        <v>239.99</v>
      </c>
      <c r="L232" s="27">
        <v>399.99</v>
      </c>
      <c r="M232" s="27">
        <v>40</v>
      </c>
      <c r="N232" s="27">
        <v>160</v>
      </c>
      <c r="O232" s="27">
        <v>1</v>
      </c>
      <c r="P232" s="27" t="s">
        <v>71</v>
      </c>
      <c r="Q232" s="27">
        <v>5.484755</v>
      </c>
      <c r="R232" s="27">
        <v>15</v>
      </c>
      <c r="S232" s="27">
        <v>131</v>
      </c>
      <c r="T232" s="27">
        <v>19</v>
      </c>
      <c r="U232" s="27">
        <v>0.8733</v>
      </c>
      <c r="V232" s="27" t="s">
        <v>72</v>
      </c>
      <c r="W232" s="27">
        <v>31438.69</v>
      </c>
      <c r="X232" s="27">
        <v>4.882802</v>
      </c>
      <c r="Y232" s="27">
        <v>10.355826</v>
      </c>
      <c r="Z232" s="27">
        <v>4.3589</v>
      </c>
      <c r="AA232" s="27" t="s">
        <v>125</v>
      </c>
      <c r="AB232" s="27">
        <v>0</v>
      </c>
      <c r="AC232" s="27">
        <v>0</v>
      </c>
      <c r="AD232" s="27">
        <v>0</v>
      </c>
      <c r="AE232" s="27">
        <v>0</v>
      </c>
      <c r="AF232" s="27">
        <v>0</v>
      </c>
      <c r="AG232" s="27">
        <v>0</v>
      </c>
      <c r="AH232" s="27">
        <v>0</v>
      </c>
      <c r="AI232" s="27">
        <v>0</v>
      </c>
      <c r="AJ232" s="27">
        <v>0</v>
      </c>
      <c r="AK232" s="27">
        <v>0</v>
      </c>
      <c r="AL232" s="27">
        <v>0</v>
      </c>
      <c r="AM232" s="27">
        <v>0</v>
      </c>
      <c r="AN232" s="27">
        <v>0</v>
      </c>
      <c r="AO232" s="27">
        <v>0</v>
      </c>
      <c r="AP232" s="27">
        <v>0</v>
      </c>
      <c r="AQ232" s="27">
        <v>1</v>
      </c>
      <c r="AR232" s="27">
        <v>0</v>
      </c>
      <c r="AS232" s="27">
        <v>0</v>
      </c>
      <c r="AT232" s="27">
        <v>0</v>
      </c>
      <c r="AU232" s="27">
        <v>0</v>
      </c>
      <c r="AV232" s="27">
        <v>1</v>
      </c>
      <c r="AW232" s="27">
        <v>1</v>
      </c>
      <c r="AX232" s="27">
        <v>0</v>
      </c>
      <c r="AY232" s="27">
        <v>16</v>
      </c>
      <c r="AZ232" s="27">
        <v>1</v>
      </c>
      <c r="BA232" s="27">
        <v>1</v>
      </c>
      <c r="BB232" s="27">
        <v>76.78</v>
      </c>
      <c r="BC232" s="27" t="s">
        <v>96</v>
      </c>
      <c r="BD232" s="27" t="s">
        <v>97</v>
      </c>
      <c r="BE232" s="27" t="s">
        <v>98</v>
      </c>
      <c r="BF232" s="27" t="s">
        <v>77</v>
      </c>
      <c r="BG232" s="27">
        <v>1</v>
      </c>
      <c r="BH232" s="27">
        <v>28</v>
      </c>
      <c r="BI232" s="27">
        <v>0.0345</v>
      </c>
      <c r="BJ232" s="27">
        <v>1</v>
      </c>
      <c r="BK232" s="27">
        <v>2</v>
      </c>
      <c r="BL232" s="27">
        <v>99.5</v>
      </c>
    </row>
    <row r="233" customHeight="1" spans="1:64">
      <c r="A233" s="27" t="s">
        <v>900</v>
      </c>
      <c r="B233" s="27" t="s">
        <v>125</v>
      </c>
      <c r="E233" s="27" t="s">
        <v>163</v>
      </c>
      <c r="F233" s="27" t="s">
        <v>68</v>
      </c>
      <c r="G233" s="27" t="s">
        <v>901</v>
      </c>
      <c r="H233" s="27" t="s">
        <v>138</v>
      </c>
      <c r="I233" s="27" t="s">
        <v>85</v>
      </c>
      <c r="J233" s="27">
        <v>5</v>
      </c>
      <c r="K233" s="27">
        <v>79.99</v>
      </c>
      <c r="M233" s="27">
        <v>0</v>
      </c>
      <c r="N233" s="27">
        <v>0</v>
      </c>
      <c r="O233" s="27">
        <v>0</v>
      </c>
      <c r="P233" s="27" t="s">
        <v>95</v>
      </c>
      <c r="Q233" s="27">
        <v>4.394326</v>
      </c>
      <c r="S233" s="27">
        <v>12</v>
      </c>
      <c r="T233" s="27">
        <v>22</v>
      </c>
      <c r="U233" s="27">
        <v>0.3529</v>
      </c>
      <c r="V233" s="27" t="s">
        <v>72</v>
      </c>
      <c r="W233" s="27">
        <v>959.88</v>
      </c>
      <c r="X233" s="27">
        <v>2.564949</v>
      </c>
      <c r="Y233" s="27">
        <v>6.86785</v>
      </c>
      <c r="Z233" s="27">
        <v>4.6904</v>
      </c>
      <c r="AA233" s="27" t="s">
        <v>187</v>
      </c>
      <c r="AB233" s="27">
        <v>0</v>
      </c>
      <c r="AC233" s="27">
        <v>0</v>
      </c>
      <c r="AD233" s="27">
        <v>0</v>
      </c>
      <c r="AE233" s="27">
        <v>0</v>
      </c>
      <c r="AF233" s="27">
        <v>0</v>
      </c>
      <c r="AG233" s="27">
        <v>1</v>
      </c>
      <c r="AH233" s="27">
        <v>0</v>
      </c>
      <c r="AI233" s="27">
        <v>0</v>
      </c>
      <c r="AJ233" s="27">
        <v>0</v>
      </c>
      <c r="AK233" s="27">
        <v>0</v>
      </c>
      <c r="AL233" s="27">
        <v>0</v>
      </c>
      <c r="AM233" s="27">
        <v>0</v>
      </c>
      <c r="AN233" s="27">
        <v>0</v>
      </c>
      <c r="AO233" s="27">
        <v>0</v>
      </c>
      <c r="AP233" s="27">
        <v>0</v>
      </c>
      <c r="AQ233" s="27">
        <v>0</v>
      </c>
      <c r="AR233" s="27">
        <v>0</v>
      </c>
      <c r="AS233" s="27">
        <v>0</v>
      </c>
      <c r="AT233" s="27">
        <v>1</v>
      </c>
      <c r="AU233" s="27">
        <v>0</v>
      </c>
      <c r="AV233" s="27">
        <v>0</v>
      </c>
      <c r="AW233" s="27">
        <v>0</v>
      </c>
      <c r="AX233" s="27">
        <v>0</v>
      </c>
      <c r="AZ233" s="27">
        <v>1</v>
      </c>
      <c r="BA233" s="27">
        <v>0</v>
      </c>
      <c r="BB233" s="27">
        <v>14.12</v>
      </c>
      <c r="BC233" s="27" t="s">
        <v>902</v>
      </c>
      <c r="BG233" s="27">
        <v>0</v>
      </c>
      <c r="BH233" s="27">
        <v>0</v>
      </c>
      <c r="BJ233" s="27">
        <v>0</v>
      </c>
    </row>
    <row r="234" customHeight="1" spans="1:64">
      <c r="A234" s="27" t="s">
        <v>903</v>
      </c>
      <c r="B234" s="27" t="s">
        <v>125</v>
      </c>
      <c r="E234" s="27" t="s">
        <v>163</v>
      </c>
      <c r="F234" s="27" t="s">
        <v>68</v>
      </c>
      <c r="G234" s="27" t="s">
        <v>117</v>
      </c>
      <c r="H234" s="27" t="s">
        <v>138</v>
      </c>
      <c r="I234" s="27" t="s">
        <v>85</v>
      </c>
      <c r="J234" s="27">
        <v>5</v>
      </c>
      <c r="K234" s="27">
        <v>178</v>
      </c>
      <c r="M234" s="27">
        <v>0</v>
      </c>
      <c r="N234" s="27">
        <v>0</v>
      </c>
      <c r="O234" s="27">
        <v>0</v>
      </c>
      <c r="P234" s="27" t="s">
        <v>95</v>
      </c>
      <c r="Q234" s="27">
        <v>5.187386</v>
      </c>
      <c r="S234" s="27">
        <v>2</v>
      </c>
      <c r="T234" s="27">
        <v>10</v>
      </c>
      <c r="U234" s="27">
        <v>0.1667</v>
      </c>
      <c r="V234" s="27" t="s">
        <v>87</v>
      </c>
      <c r="W234" s="27">
        <v>356</v>
      </c>
      <c r="X234" s="27">
        <v>1.098612</v>
      </c>
      <c r="Y234" s="27">
        <v>5.877736</v>
      </c>
      <c r="Z234" s="27">
        <v>3.1623</v>
      </c>
      <c r="AA234" s="27" t="s">
        <v>73</v>
      </c>
      <c r="AB234" s="27">
        <v>0</v>
      </c>
      <c r="AC234" s="27">
        <v>0</v>
      </c>
      <c r="AD234" s="27">
        <v>0</v>
      </c>
      <c r="AE234" s="27">
        <v>0</v>
      </c>
      <c r="AF234" s="27">
        <v>0</v>
      </c>
      <c r="AG234" s="27">
        <v>1</v>
      </c>
      <c r="AH234" s="27">
        <v>0</v>
      </c>
      <c r="AI234" s="27">
        <v>0</v>
      </c>
      <c r="AJ234" s="27">
        <v>0</v>
      </c>
      <c r="AK234" s="27">
        <v>0</v>
      </c>
      <c r="AL234" s="27">
        <v>0</v>
      </c>
      <c r="AM234" s="27">
        <v>0</v>
      </c>
      <c r="AN234" s="27">
        <v>0</v>
      </c>
      <c r="AO234" s="27">
        <v>0</v>
      </c>
      <c r="AP234" s="27">
        <v>1</v>
      </c>
      <c r="AQ234" s="27">
        <v>0</v>
      </c>
      <c r="AR234" s="27">
        <v>0</v>
      </c>
      <c r="AS234" s="27">
        <v>0</v>
      </c>
      <c r="AT234" s="27">
        <v>0</v>
      </c>
      <c r="AU234" s="27">
        <v>0</v>
      </c>
      <c r="AV234" s="27">
        <v>0</v>
      </c>
      <c r="AW234" s="27">
        <v>0</v>
      </c>
      <c r="AX234" s="27">
        <v>0</v>
      </c>
      <c r="AZ234" s="27">
        <v>1</v>
      </c>
      <c r="BA234" s="27">
        <v>0</v>
      </c>
      <c r="BB234" s="27">
        <v>6.67</v>
      </c>
      <c r="BC234" s="27" t="s">
        <v>211</v>
      </c>
      <c r="BG234" s="27">
        <v>0</v>
      </c>
      <c r="BH234" s="27">
        <v>0</v>
      </c>
      <c r="BJ234" s="27">
        <v>0</v>
      </c>
    </row>
    <row r="235" customHeight="1" spans="1:64">
      <c r="A235" s="27" t="s">
        <v>904</v>
      </c>
      <c r="B235" s="27" t="s">
        <v>245</v>
      </c>
      <c r="C235" s="27" t="s">
        <v>905</v>
      </c>
      <c r="E235" s="27" t="s">
        <v>390</v>
      </c>
      <c r="F235" s="27" t="s">
        <v>160</v>
      </c>
      <c r="G235" s="27" t="s">
        <v>83</v>
      </c>
      <c r="H235" s="27" t="s">
        <v>84</v>
      </c>
      <c r="I235" s="27" t="s">
        <v>85</v>
      </c>
      <c r="J235" s="27">
        <v>5</v>
      </c>
      <c r="K235" s="27">
        <v>323.99</v>
      </c>
      <c r="M235" s="27">
        <v>0</v>
      </c>
      <c r="N235" s="27">
        <v>0</v>
      </c>
      <c r="O235" s="27">
        <v>0</v>
      </c>
      <c r="P235" s="27" t="s">
        <v>71</v>
      </c>
      <c r="Q235" s="27">
        <v>5.783794</v>
      </c>
      <c r="R235" s="27">
        <v>40.5</v>
      </c>
      <c r="S235" s="27">
        <v>155</v>
      </c>
      <c r="T235" s="27">
        <v>100</v>
      </c>
      <c r="U235" s="27">
        <v>0.6078</v>
      </c>
      <c r="V235" s="27" t="s">
        <v>72</v>
      </c>
      <c r="W235" s="27">
        <v>50218.45</v>
      </c>
      <c r="X235" s="27">
        <v>5.049856</v>
      </c>
      <c r="Y235" s="27">
        <v>10.824158</v>
      </c>
      <c r="Z235" s="27">
        <v>10</v>
      </c>
      <c r="AA235" s="27" t="s">
        <v>73</v>
      </c>
      <c r="AB235" s="27">
        <v>0</v>
      </c>
      <c r="AC235" s="27">
        <v>0</v>
      </c>
      <c r="AD235" s="27">
        <v>0</v>
      </c>
      <c r="AE235" s="27">
        <v>0</v>
      </c>
      <c r="AF235" s="27">
        <v>0</v>
      </c>
      <c r="AG235" s="27">
        <v>1</v>
      </c>
      <c r="AH235" s="27">
        <v>0</v>
      </c>
      <c r="AI235" s="27">
        <v>1</v>
      </c>
      <c r="AJ235" s="27">
        <v>0</v>
      </c>
      <c r="AK235" s="27">
        <v>0</v>
      </c>
      <c r="AL235" s="27">
        <v>0</v>
      </c>
      <c r="AM235" s="27">
        <v>0</v>
      </c>
      <c r="AN235" s="27">
        <v>0</v>
      </c>
      <c r="AO235" s="27">
        <v>0</v>
      </c>
      <c r="AP235" s="27">
        <v>0</v>
      </c>
      <c r="AQ235" s="27">
        <v>1</v>
      </c>
      <c r="AR235" s="27">
        <v>0</v>
      </c>
      <c r="AS235" s="27">
        <v>0</v>
      </c>
      <c r="AT235" s="27">
        <v>0</v>
      </c>
      <c r="AU235" s="27">
        <v>0</v>
      </c>
      <c r="AV235" s="27">
        <v>1</v>
      </c>
      <c r="AW235" s="27">
        <v>1</v>
      </c>
      <c r="AX235" s="27">
        <v>0</v>
      </c>
      <c r="AY235" s="27">
        <v>8</v>
      </c>
      <c r="AZ235" s="27">
        <v>1</v>
      </c>
      <c r="BA235" s="27">
        <v>1</v>
      </c>
      <c r="BB235" s="27">
        <v>54.16</v>
      </c>
      <c r="BC235" s="27" t="s">
        <v>251</v>
      </c>
      <c r="BD235" s="27" t="s">
        <v>175</v>
      </c>
      <c r="BE235" s="27" t="s">
        <v>91</v>
      </c>
      <c r="BF235" s="27" t="s">
        <v>77</v>
      </c>
      <c r="BG235" s="27">
        <v>162</v>
      </c>
      <c r="BH235" s="27">
        <v>60</v>
      </c>
      <c r="BI235" s="27">
        <v>0.7297</v>
      </c>
      <c r="BJ235" s="27">
        <v>0</v>
      </c>
      <c r="BK235" s="27">
        <v>2</v>
      </c>
      <c r="BL235" s="27">
        <v>99.5</v>
      </c>
    </row>
    <row r="236" customHeight="1" spans="1:64">
      <c r="A236" s="27" t="s">
        <v>906</v>
      </c>
      <c r="B236" s="27" t="s">
        <v>125</v>
      </c>
      <c r="C236" s="27" t="s">
        <v>655</v>
      </c>
      <c r="E236" s="27" t="s">
        <v>656</v>
      </c>
      <c r="F236" s="27" t="s">
        <v>132</v>
      </c>
      <c r="G236" s="27" t="s">
        <v>427</v>
      </c>
      <c r="H236" s="27" t="s">
        <v>138</v>
      </c>
      <c r="I236" s="27" t="s">
        <v>85</v>
      </c>
      <c r="J236" s="27">
        <v>5</v>
      </c>
      <c r="K236" s="27">
        <v>41.99</v>
      </c>
      <c r="M236" s="27">
        <v>0</v>
      </c>
      <c r="N236" s="27">
        <v>0</v>
      </c>
      <c r="O236" s="27">
        <v>0</v>
      </c>
      <c r="P236" s="27" t="s">
        <v>86</v>
      </c>
      <c r="Q236" s="27">
        <v>3.760968</v>
      </c>
      <c r="S236" s="27">
        <v>65</v>
      </c>
      <c r="T236" s="27">
        <v>10</v>
      </c>
      <c r="U236" s="27">
        <v>0.8667</v>
      </c>
      <c r="V236" s="27" t="s">
        <v>72</v>
      </c>
      <c r="W236" s="27">
        <v>2729.35</v>
      </c>
      <c r="X236" s="27">
        <v>4.189655</v>
      </c>
      <c r="Y236" s="27">
        <v>7.912185</v>
      </c>
      <c r="Z236" s="27">
        <v>3.1623</v>
      </c>
      <c r="AA236" s="27" t="s">
        <v>125</v>
      </c>
      <c r="AB236" s="27">
        <v>0</v>
      </c>
      <c r="AC236" s="27">
        <v>0</v>
      </c>
      <c r="AD236" s="27">
        <v>0</v>
      </c>
      <c r="AE236" s="27">
        <v>0</v>
      </c>
      <c r="AF236" s="27">
        <v>1</v>
      </c>
      <c r="AG236" s="27">
        <v>0</v>
      </c>
      <c r="AH236" s="27">
        <v>0</v>
      </c>
      <c r="AI236" s="27">
        <v>0</v>
      </c>
      <c r="AJ236" s="27">
        <v>0</v>
      </c>
      <c r="AK236" s="27">
        <v>0</v>
      </c>
      <c r="AL236" s="27">
        <v>0</v>
      </c>
      <c r="AM236" s="27">
        <v>0</v>
      </c>
      <c r="AN236" s="27">
        <v>0</v>
      </c>
      <c r="AO236" s="27">
        <v>0</v>
      </c>
      <c r="AP236" s="27">
        <v>0</v>
      </c>
      <c r="AQ236" s="27">
        <v>0</v>
      </c>
      <c r="AR236" s="27">
        <v>0</v>
      </c>
      <c r="AS236" s="27">
        <v>0</v>
      </c>
      <c r="AT236" s="27">
        <v>0</v>
      </c>
      <c r="AU236" s="27">
        <v>0</v>
      </c>
      <c r="AV236" s="27">
        <v>0</v>
      </c>
      <c r="AW236" s="27">
        <v>1</v>
      </c>
      <c r="AX236" s="27">
        <v>0</v>
      </c>
      <c r="AZ236" s="27">
        <v>2</v>
      </c>
      <c r="BA236" s="27">
        <v>0</v>
      </c>
      <c r="BB236" s="27">
        <v>64.34</v>
      </c>
      <c r="BC236" s="27" t="s">
        <v>179</v>
      </c>
      <c r="BD236" s="27" t="s">
        <v>225</v>
      </c>
      <c r="BE236" s="27" t="s">
        <v>226</v>
      </c>
      <c r="BF236" s="27" t="s">
        <v>77</v>
      </c>
      <c r="BG236" s="27">
        <v>1</v>
      </c>
      <c r="BH236" s="27">
        <v>65</v>
      </c>
      <c r="BI236" s="27">
        <v>0.0152</v>
      </c>
      <c r="BJ236" s="27">
        <v>1</v>
      </c>
      <c r="BK236" s="27">
        <v>4</v>
      </c>
      <c r="BL236" s="27">
        <v>98.9</v>
      </c>
    </row>
    <row r="237" customHeight="1" spans="1:64">
      <c r="A237" s="27" t="s">
        <v>907</v>
      </c>
      <c r="B237" s="27" t="s">
        <v>282</v>
      </c>
      <c r="E237" s="27" t="s">
        <v>239</v>
      </c>
      <c r="F237" s="27" t="s">
        <v>240</v>
      </c>
      <c r="G237" s="27" t="s">
        <v>83</v>
      </c>
      <c r="H237" s="27" t="s">
        <v>84</v>
      </c>
      <c r="I237" s="27" t="s">
        <v>85</v>
      </c>
      <c r="J237" s="27">
        <v>5</v>
      </c>
      <c r="K237" s="27">
        <v>69.99</v>
      </c>
      <c r="L237" s="27">
        <v>87.49</v>
      </c>
      <c r="M237" s="27">
        <v>20</v>
      </c>
      <c r="N237" s="27">
        <v>17.5</v>
      </c>
      <c r="O237" s="27">
        <v>1</v>
      </c>
      <c r="P237" s="27" t="s">
        <v>86</v>
      </c>
      <c r="Q237" s="27">
        <v>4.262539</v>
      </c>
      <c r="R237" s="27">
        <v>8.75</v>
      </c>
      <c r="S237" s="27">
        <v>103</v>
      </c>
      <c r="T237" s="27">
        <v>10</v>
      </c>
      <c r="U237" s="27">
        <v>0.9115</v>
      </c>
      <c r="V237" s="27" t="s">
        <v>72</v>
      </c>
      <c r="W237" s="27">
        <v>7208.97</v>
      </c>
      <c r="X237" s="27">
        <v>4.644391</v>
      </c>
      <c r="Y237" s="27">
        <v>8.88322</v>
      </c>
      <c r="Z237" s="27">
        <v>3.1623</v>
      </c>
      <c r="AA237" s="27" t="s">
        <v>139</v>
      </c>
      <c r="AB237" s="27">
        <v>0</v>
      </c>
      <c r="AC237" s="27">
        <v>0</v>
      </c>
      <c r="AD237" s="27">
        <v>0</v>
      </c>
      <c r="AE237" s="27">
        <v>0</v>
      </c>
      <c r="AF237" s="27">
        <v>0</v>
      </c>
      <c r="AG237" s="27">
        <v>0</v>
      </c>
      <c r="AH237" s="27">
        <v>0</v>
      </c>
      <c r="AI237" s="27">
        <v>0</v>
      </c>
      <c r="AJ237" s="27">
        <v>0</v>
      </c>
      <c r="AK237" s="27">
        <v>0</v>
      </c>
      <c r="AL237" s="27">
        <v>0</v>
      </c>
      <c r="AM237" s="27">
        <v>0</v>
      </c>
      <c r="AN237" s="27">
        <v>0</v>
      </c>
      <c r="AO237" s="27">
        <v>0</v>
      </c>
      <c r="AP237" s="27">
        <v>0</v>
      </c>
      <c r="AQ237" s="27">
        <v>1</v>
      </c>
      <c r="AR237" s="27">
        <v>0</v>
      </c>
      <c r="AS237" s="27">
        <v>0</v>
      </c>
      <c r="AT237" s="27">
        <v>0</v>
      </c>
      <c r="AU237" s="27">
        <v>0</v>
      </c>
      <c r="AV237" s="27">
        <v>1</v>
      </c>
      <c r="AW237" s="27">
        <v>1</v>
      </c>
      <c r="AX237" s="27">
        <v>0</v>
      </c>
      <c r="AY237" s="27">
        <v>8</v>
      </c>
      <c r="AZ237" s="27">
        <v>1</v>
      </c>
      <c r="BA237" s="27">
        <v>1</v>
      </c>
      <c r="BB237" s="27">
        <v>72.31</v>
      </c>
      <c r="BC237" s="27" t="s">
        <v>285</v>
      </c>
      <c r="BD237" s="27" t="s">
        <v>286</v>
      </c>
      <c r="BE237" s="27" t="s">
        <v>287</v>
      </c>
      <c r="BF237" s="27" t="s">
        <v>77</v>
      </c>
      <c r="BG237" s="27">
        <v>1</v>
      </c>
      <c r="BH237" s="27">
        <v>20</v>
      </c>
      <c r="BI237" s="27">
        <v>0.0476</v>
      </c>
      <c r="BJ237" s="27">
        <v>1</v>
      </c>
      <c r="BK237" s="27">
        <v>2</v>
      </c>
      <c r="BL237" s="27">
        <v>99.5</v>
      </c>
    </row>
    <row r="238" customHeight="1" spans="1:64">
      <c r="A238" s="27" t="s">
        <v>908</v>
      </c>
      <c r="B238" s="27" t="s">
        <v>245</v>
      </c>
      <c r="C238" s="27" t="s">
        <v>909</v>
      </c>
      <c r="E238" s="27" t="s">
        <v>81</v>
      </c>
      <c r="F238" s="27" t="s">
        <v>160</v>
      </c>
      <c r="G238" s="27" t="s">
        <v>83</v>
      </c>
      <c r="H238" s="27" t="s">
        <v>84</v>
      </c>
      <c r="I238" s="27" t="s">
        <v>85</v>
      </c>
      <c r="J238" s="27">
        <v>5</v>
      </c>
      <c r="K238" s="27">
        <v>58.49</v>
      </c>
      <c r="M238" s="27">
        <v>0</v>
      </c>
      <c r="N238" s="27">
        <v>0</v>
      </c>
      <c r="O238" s="27">
        <v>0</v>
      </c>
      <c r="P238" s="27" t="s">
        <v>86</v>
      </c>
      <c r="Q238" s="27">
        <v>4.085808</v>
      </c>
      <c r="R238" s="27">
        <v>14.62</v>
      </c>
      <c r="S238" s="27">
        <v>595</v>
      </c>
      <c r="T238" s="27">
        <v>100</v>
      </c>
      <c r="U238" s="27">
        <v>0.8561</v>
      </c>
      <c r="V238" s="27" t="s">
        <v>154</v>
      </c>
      <c r="W238" s="27">
        <v>34801.55</v>
      </c>
      <c r="X238" s="27">
        <v>6.390241</v>
      </c>
      <c r="Y238" s="27">
        <v>10.457446</v>
      </c>
      <c r="Z238" s="27">
        <v>10</v>
      </c>
      <c r="AA238" s="27" t="s">
        <v>139</v>
      </c>
      <c r="AB238" s="27">
        <v>1</v>
      </c>
      <c r="AC238" s="27">
        <v>0</v>
      </c>
      <c r="AD238" s="27">
        <v>0</v>
      </c>
      <c r="AE238" s="27">
        <v>0</v>
      </c>
      <c r="AF238" s="27">
        <v>0</v>
      </c>
      <c r="AG238" s="27">
        <v>0</v>
      </c>
      <c r="AH238" s="27">
        <v>0</v>
      </c>
      <c r="AI238" s="27">
        <v>0</v>
      </c>
      <c r="AJ238" s="27">
        <v>0</v>
      </c>
      <c r="AK238" s="27">
        <v>0</v>
      </c>
      <c r="AL238" s="27">
        <v>0</v>
      </c>
      <c r="AM238" s="27">
        <v>0</v>
      </c>
      <c r="AN238" s="27">
        <v>0</v>
      </c>
      <c r="AO238" s="27">
        <v>0</v>
      </c>
      <c r="AP238" s="27">
        <v>0</v>
      </c>
      <c r="AQ238" s="27">
        <v>1</v>
      </c>
      <c r="AR238" s="27">
        <v>0</v>
      </c>
      <c r="AS238" s="27">
        <v>0</v>
      </c>
      <c r="AT238" s="27">
        <v>1</v>
      </c>
      <c r="AU238" s="27">
        <v>0</v>
      </c>
      <c r="AV238" s="27">
        <v>1</v>
      </c>
      <c r="AW238" s="27">
        <v>1</v>
      </c>
      <c r="AX238" s="27">
        <v>0</v>
      </c>
      <c r="AY238" s="27">
        <v>4</v>
      </c>
      <c r="AZ238" s="27">
        <v>1</v>
      </c>
      <c r="BA238" s="27">
        <v>2</v>
      </c>
      <c r="BB238" s="27">
        <v>63.91</v>
      </c>
      <c r="BC238" s="27" t="s">
        <v>251</v>
      </c>
      <c r="BD238" s="27" t="s">
        <v>175</v>
      </c>
      <c r="BE238" s="27" t="s">
        <v>91</v>
      </c>
      <c r="BF238" s="27" t="s">
        <v>77</v>
      </c>
      <c r="BG238" s="27">
        <v>161</v>
      </c>
      <c r="BH238" s="27">
        <v>61</v>
      </c>
      <c r="BI238" s="27">
        <v>0.7252</v>
      </c>
      <c r="BJ238" s="27">
        <v>0</v>
      </c>
      <c r="BK238" s="27">
        <v>4</v>
      </c>
      <c r="BL238" s="27">
        <v>98.9</v>
      </c>
    </row>
    <row r="239" customHeight="1" spans="1:64">
      <c r="A239" s="27" t="s">
        <v>910</v>
      </c>
      <c r="B239" s="27" t="s">
        <v>344</v>
      </c>
      <c r="D239" s="27">
        <v>840268907754</v>
      </c>
      <c r="E239" s="27" t="s">
        <v>911</v>
      </c>
      <c r="F239" s="27" t="s">
        <v>82</v>
      </c>
      <c r="G239" s="27" t="s">
        <v>346</v>
      </c>
      <c r="H239" s="27" t="s">
        <v>107</v>
      </c>
      <c r="I239" s="27" t="s">
        <v>203</v>
      </c>
      <c r="J239" s="27">
        <v>4</v>
      </c>
      <c r="K239" s="27">
        <v>49.99</v>
      </c>
      <c r="M239" s="27">
        <v>0</v>
      </c>
      <c r="N239" s="27">
        <v>0</v>
      </c>
      <c r="O239" s="27">
        <v>0</v>
      </c>
      <c r="P239" s="27" t="s">
        <v>86</v>
      </c>
      <c r="Q239" s="27">
        <v>3.93163</v>
      </c>
      <c r="T239" s="27">
        <v>5</v>
      </c>
      <c r="U239" s="27">
        <v>0</v>
      </c>
      <c r="V239" s="27" t="s">
        <v>231</v>
      </c>
      <c r="W239" s="27">
        <v>0</v>
      </c>
      <c r="X239" s="27">
        <v>0</v>
      </c>
      <c r="Y239" s="27">
        <v>0</v>
      </c>
      <c r="Z239" s="27">
        <v>2.2361</v>
      </c>
      <c r="AA239" s="27" t="s">
        <v>125</v>
      </c>
      <c r="AB239" s="27">
        <v>0</v>
      </c>
      <c r="AC239" s="27">
        <v>0</v>
      </c>
      <c r="AD239" s="27">
        <v>0</v>
      </c>
      <c r="AE239" s="27">
        <v>0</v>
      </c>
      <c r="AF239" s="27">
        <v>0</v>
      </c>
      <c r="AG239" s="27">
        <v>0</v>
      </c>
      <c r="AH239" s="27">
        <v>0</v>
      </c>
      <c r="AI239" s="27">
        <v>0</v>
      </c>
      <c r="AJ239" s="27">
        <v>0</v>
      </c>
      <c r="AK239" s="27">
        <v>0</v>
      </c>
      <c r="AL239" s="27">
        <v>0</v>
      </c>
      <c r="AM239" s="27">
        <v>0</v>
      </c>
      <c r="AN239" s="27">
        <v>0</v>
      </c>
      <c r="AO239" s="27">
        <v>0</v>
      </c>
      <c r="AP239" s="27">
        <v>0</v>
      </c>
      <c r="AQ239" s="27">
        <v>0</v>
      </c>
      <c r="AR239" s="27">
        <v>0</v>
      </c>
      <c r="AS239" s="27">
        <v>0</v>
      </c>
      <c r="AT239" s="27">
        <v>1</v>
      </c>
      <c r="AU239" s="27">
        <v>0</v>
      </c>
      <c r="AV239" s="27">
        <v>0</v>
      </c>
      <c r="AW239" s="27">
        <v>0</v>
      </c>
      <c r="AX239" s="27">
        <v>0</v>
      </c>
      <c r="AZ239" s="27">
        <v>1</v>
      </c>
      <c r="BA239" s="27">
        <v>0</v>
      </c>
      <c r="BB239" s="27">
        <v>0</v>
      </c>
      <c r="BC239" s="27" t="s">
        <v>912</v>
      </c>
      <c r="BD239" s="27" t="s">
        <v>698</v>
      </c>
      <c r="BE239" s="27" t="s">
        <v>166</v>
      </c>
      <c r="BF239" s="27" t="s">
        <v>77</v>
      </c>
      <c r="BG239" s="27">
        <v>162</v>
      </c>
      <c r="BH239" s="27">
        <v>53</v>
      </c>
      <c r="BI239" s="27">
        <v>0.7535</v>
      </c>
      <c r="BJ239" s="27">
        <v>0</v>
      </c>
    </row>
    <row r="240" customHeight="1" spans="1:64">
      <c r="A240" s="27" t="s">
        <v>913</v>
      </c>
      <c r="B240" s="27" t="s">
        <v>914</v>
      </c>
      <c r="D240" s="27">
        <v>610098787006</v>
      </c>
      <c r="E240" s="27" t="s">
        <v>735</v>
      </c>
      <c r="F240" s="27" t="s">
        <v>352</v>
      </c>
      <c r="G240" s="27" t="s">
        <v>83</v>
      </c>
      <c r="H240" s="27" t="s">
        <v>84</v>
      </c>
      <c r="I240" s="27" t="s">
        <v>85</v>
      </c>
      <c r="J240" s="27">
        <v>5</v>
      </c>
      <c r="K240" s="27">
        <v>16.96</v>
      </c>
      <c r="L240" s="27">
        <v>19.95</v>
      </c>
      <c r="M240" s="27">
        <v>14.99</v>
      </c>
      <c r="N240" s="27">
        <v>2.99</v>
      </c>
      <c r="O240" s="27">
        <v>1</v>
      </c>
      <c r="P240" s="27" t="s">
        <v>133</v>
      </c>
      <c r="Q240" s="27">
        <v>2.888147</v>
      </c>
      <c r="S240" s="27">
        <v>6027</v>
      </c>
      <c r="T240" s="27">
        <v>10</v>
      </c>
      <c r="U240" s="27">
        <v>0.9983</v>
      </c>
      <c r="V240" s="27" t="s">
        <v>109</v>
      </c>
      <c r="W240" s="27">
        <v>102217.92</v>
      </c>
      <c r="X240" s="27">
        <v>8.704171</v>
      </c>
      <c r="Y240" s="27">
        <v>11.534872</v>
      </c>
      <c r="Z240" s="27">
        <v>3.1623</v>
      </c>
      <c r="AA240" s="27" t="s">
        <v>125</v>
      </c>
      <c r="AB240" s="27">
        <v>0</v>
      </c>
      <c r="AC240" s="27">
        <v>0</v>
      </c>
      <c r="AD240" s="27">
        <v>0</v>
      </c>
      <c r="AE240" s="27">
        <v>0</v>
      </c>
      <c r="AF240" s="27">
        <v>0</v>
      </c>
      <c r="AG240" s="27">
        <v>0</v>
      </c>
      <c r="AH240" s="27">
        <v>0</v>
      </c>
      <c r="AI240" s="27">
        <v>0</v>
      </c>
      <c r="AJ240" s="27">
        <v>0</v>
      </c>
      <c r="AK240" s="27">
        <v>0</v>
      </c>
      <c r="AL240" s="27">
        <v>0</v>
      </c>
      <c r="AM240" s="27">
        <v>0</v>
      </c>
      <c r="AN240" s="27">
        <v>0</v>
      </c>
      <c r="AO240" s="27">
        <v>0</v>
      </c>
      <c r="AP240" s="27">
        <v>0</v>
      </c>
      <c r="AQ240" s="27">
        <v>0</v>
      </c>
      <c r="AR240" s="27">
        <v>0</v>
      </c>
      <c r="AS240" s="27">
        <v>0</v>
      </c>
      <c r="AT240" s="27">
        <v>1</v>
      </c>
      <c r="AU240" s="27">
        <v>0</v>
      </c>
      <c r="AV240" s="27">
        <v>0</v>
      </c>
      <c r="AW240" s="27">
        <v>0</v>
      </c>
      <c r="AX240" s="27">
        <v>0</v>
      </c>
      <c r="AZ240" s="27">
        <v>1</v>
      </c>
      <c r="BA240" s="27">
        <v>0</v>
      </c>
      <c r="BB240" s="27">
        <v>73.68</v>
      </c>
      <c r="BC240" s="27" t="s">
        <v>915</v>
      </c>
      <c r="BD240" s="27" t="s">
        <v>916</v>
      </c>
      <c r="BE240" s="27" t="s">
        <v>113</v>
      </c>
      <c r="BF240" s="27" t="s">
        <v>77</v>
      </c>
      <c r="BG240" s="27">
        <v>168</v>
      </c>
      <c r="BH240" s="27">
        <v>28</v>
      </c>
      <c r="BI240" s="27">
        <v>0.8571</v>
      </c>
      <c r="BJ240" s="27">
        <v>0</v>
      </c>
      <c r="BK240" s="27">
        <v>9</v>
      </c>
      <c r="BL240" s="27">
        <v>97.5</v>
      </c>
    </row>
    <row r="241" customHeight="1" spans="1:64">
      <c r="A241" s="27" t="s">
        <v>917</v>
      </c>
      <c r="B241" s="27" t="s">
        <v>65</v>
      </c>
      <c r="C241" s="27" t="s">
        <v>918</v>
      </c>
      <c r="D241" s="27">
        <v>695529021133</v>
      </c>
      <c r="E241" s="27" t="s">
        <v>239</v>
      </c>
      <c r="F241" s="27" t="s">
        <v>68</v>
      </c>
      <c r="G241" s="27" t="s">
        <v>65</v>
      </c>
      <c r="H241" s="27" t="s">
        <v>69</v>
      </c>
      <c r="I241" s="27" t="s">
        <v>85</v>
      </c>
      <c r="J241" s="27">
        <v>5</v>
      </c>
      <c r="K241" s="27">
        <v>399.99</v>
      </c>
      <c r="M241" s="27">
        <v>0</v>
      </c>
      <c r="N241" s="27">
        <v>0</v>
      </c>
      <c r="O241" s="27">
        <v>0</v>
      </c>
      <c r="P241" s="27" t="s">
        <v>71</v>
      </c>
      <c r="Q241" s="27">
        <v>5.993936</v>
      </c>
      <c r="R241" s="27">
        <v>50</v>
      </c>
      <c r="S241" s="27">
        <v>36</v>
      </c>
      <c r="T241" s="27">
        <v>19</v>
      </c>
      <c r="U241" s="27">
        <v>0.6545</v>
      </c>
      <c r="V241" s="27" t="s">
        <v>72</v>
      </c>
      <c r="W241" s="27">
        <v>14399.64</v>
      </c>
      <c r="X241" s="27">
        <v>3.610918</v>
      </c>
      <c r="Y241" s="27">
        <v>9.575028</v>
      </c>
      <c r="Z241" s="27">
        <v>4.3589</v>
      </c>
      <c r="AA241" s="27" t="s">
        <v>73</v>
      </c>
      <c r="AB241" s="27">
        <v>0</v>
      </c>
      <c r="AC241" s="27">
        <v>0</v>
      </c>
      <c r="AD241" s="27">
        <v>0</v>
      </c>
      <c r="AE241" s="27">
        <v>0</v>
      </c>
      <c r="AF241" s="27">
        <v>0</v>
      </c>
      <c r="AG241" s="27">
        <v>0</v>
      </c>
      <c r="AH241" s="27">
        <v>0</v>
      </c>
      <c r="AI241" s="27">
        <v>0</v>
      </c>
      <c r="AJ241" s="27">
        <v>0</v>
      </c>
      <c r="AK241" s="27">
        <v>0</v>
      </c>
      <c r="AL241" s="27">
        <v>0</v>
      </c>
      <c r="AM241" s="27">
        <v>0</v>
      </c>
      <c r="AN241" s="27">
        <v>0</v>
      </c>
      <c r="AO241" s="27">
        <v>0</v>
      </c>
      <c r="AP241" s="27">
        <v>0</v>
      </c>
      <c r="AQ241" s="27">
        <v>1</v>
      </c>
      <c r="AR241" s="27">
        <v>0</v>
      </c>
      <c r="AS241" s="27">
        <v>0</v>
      </c>
      <c r="AT241" s="27">
        <v>0</v>
      </c>
      <c r="AU241" s="27">
        <v>0</v>
      </c>
      <c r="AV241" s="27">
        <v>1</v>
      </c>
      <c r="AW241" s="27">
        <v>0</v>
      </c>
      <c r="AX241" s="27">
        <v>0</v>
      </c>
      <c r="AY241" s="27">
        <v>8</v>
      </c>
      <c r="AZ241" s="27">
        <v>1</v>
      </c>
      <c r="BA241" s="27">
        <v>1</v>
      </c>
      <c r="BB241" s="27">
        <v>56.03</v>
      </c>
      <c r="BC241" s="27" t="s">
        <v>74</v>
      </c>
      <c r="BD241" s="27" t="s">
        <v>75</v>
      </c>
      <c r="BE241" s="27" t="s">
        <v>76</v>
      </c>
      <c r="BF241" s="27" t="s">
        <v>77</v>
      </c>
      <c r="BG241" s="27">
        <v>168</v>
      </c>
      <c r="BH241" s="27">
        <v>13</v>
      </c>
      <c r="BI241" s="27">
        <v>0.9282</v>
      </c>
      <c r="BJ241" s="27">
        <v>0</v>
      </c>
      <c r="BK241" s="27">
        <v>2</v>
      </c>
      <c r="BL241" s="27">
        <v>99.5</v>
      </c>
    </row>
    <row r="242" customHeight="1" spans="1:64">
      <c r="A242" s="27" t="s">
        <v>919</v>
      </c>
      <c r="B242" s="27" t="s">
        <v>171</v>
      </c>
      <c r="C242" s="27" t="s">
        <v>920</v>
      </c>
      <c r="E242" s="27" t="s">
        <v>921</v>
      </c>
      <c r="F242" s="27" t="s">
        <v>132</v>
      </c>
      <c r="G242" s="27" t="s">
        <v>83</v>
      </c>
      <c r="H242" s="27" t="s">
        <v>84</v>
      </c>
      <c r="I242" s="27" t="s">
        <v>85</v>
      </c>
      <c r="J242" s="27">
        <v>5</v>
      </c>
      <c r="K242" s="27">
        <v>11.99</v>
      </c>
      <c r="M242" s="27">
        <v>0</v>
      </c>
      <c r="N242" s="27">
        <v>0</v>
      </c>
      <c r="O242" s="27">
        <v>0</v>
      </c>
      <c r="P242" s="27" t="s">
        <v>133</v>
      </c>
      <c r="Q242" s="27">
        <v>2.56418</v>
      </c>
      <c r="S242" s="27">
        <v>1011</v>
      </c>
      <c r="T242" s="27">
        <v>10</v>
      </c>
      <c r="U242" s="27">
        <v>0.9902</v>
      </c>
      <c r="V242" s="27" t="s">
        <v>154</v>
      </c>
      <c r="W242" s="27">
        <v>12121.89</v>
      </c>
      <c r="X242" s="27">
        <v>6.919684</v>
      </c>
      <c r="Y242" s="27">
        <v>9.402851</v>
      </c>
      <c r="Z242" s="27">
        <v>3.1623</v>
      </c>
      <c r="AA242" s="27" t="s">
        <v>125</v>
      </c>
      <c r="AB242" s="27">
        <v>0</v>
      </c>
      <c r="AC242" s="27">
        <v>0</v>
      </c>
      <c r="AD242" s="27">
        <v>0</v>
      </c>
      <c r="AE242" s="27">
        <v>0</v>
      </c>
      <c r="AF242" s="27">
        <v>0</v>
      </c>
      <c r="AG242" s="27">
        <v>0</v>
      </c>
      <c r="AH242" s="27">
        <v>0</v>
      </c>
      <c r="AI242" s="27">
        <v>0</v>
      </c>
      <c r="AJ242" s="27">
        <v>0</v>
      </c>
      <c r="AK242" s="27">
        <v>0</v>
      </c>
      <c r="AL242" s="27">
        <v>0</v>
      </c>
      <c r="AM242" s="27">
        <v>0</v>
      </c>
      <c r="AN242" s="27">
        <v>0</v>
      </c>
      <c r="AO242" s="27">
        <v>0</v>
      </c>
      <c r="AP242" s="27">
        <v>0</v>
      </c>
      <c r="AQ242" s="27">
        <v>0</v>
      </c>
      <c r="AR242" s="27">
        <v>0</v>
      </c>
      <c r="AS242" s="27">
        <v>0</v>
      </c>
      <c r="AT242" s="27">
        <v>0</v>
      </c>
      <c r="AU242" s="27">
        <v>0</v>
      </c>
      <c r="AV242" s="27">
        <v>0</v>
      </c>
      <c r="AW242" s="27">
        <v>0</v>
      </c>
      <c r="AX242" s="27">
        <v>0</v>
      </c>
      <c r="AZ242" s="27">
        <v>1</v>
      </c>
      <c r="BA242" s="27">
        <v>0</v>
      </c>
      <c r="BB242" s="27">
        <v>69.37</v>
      </c>
      <c r="BC242" s="27" t="s">
        <v>732</v>
      </c>
      <c r="BD242" s="27" t="s">
        <v>356</v>
      </c>
      <c r="BE242" s="27" t="s">
        <v>423</v>
      </c>
      <c r="BF242" s="27" t="s">
        <v>77</v>
      </c>
      <c r="BG242" s="27">
        <v>162</v>
      </c>
      <c r="BH242" s="27">
        <v>60</v>
      </c>
      <c r="BI242" s="27">
        <v>0.7297</v>
      </c>
      <c r="BJ242" s="27">
        <v>0</v>
      </c>
      <c r="BK242" s="27">
        <v>3</v>
      </c>
      <c r="BL242" s="27">
        <v>99.2</v>
      </c>
    </row>
    <row r="243" customHeight="1" spans="1:64">
      <c r="A243" s="27" t="s">
        <v>922</v>
      </c>
      <c r="B243" s="27" t="s">
        <v>923</v>
      </c>
      <c r="C243" s="27" t="s">
        <v>924</v>
      </c>
      <c r="E243" s="27" t="s">
        <v>925</v>
      </c>
      <c r="F243" s="27" t="s">
        <v>82</v>
      </c>
      <c r="G243" s="27" t="s">
        <v>117</v>
      </c>
      <c r="H243" s="27" t="s">
        <v>84</v>
      </c>
      <c r="I243" s="27" t="s">
        <v>85</v>
      </c>
      <c r="J243" s="27">
        <v>5</v>
      </c>
      <c r="K243" s="27">
        <v>53.47</v>
      </c>
      <c r="M243" s="27">
        <v>0</v>
      </c>
      <c r="N243" s="27">
        <v>0</v>
      </c>
      <c r="O243" s="27">
        <v>0</v>
      </c>
      <c r="P243" s="27" t="s">
        <v>86</v>
      </c>
      <c r="Q243" s="27">
        <v>3.99765</v>
      </c>
      <c r="S243" s="27">
        <v>39</v>
      </c>
      <c r="T243" s="27">
        <v>10</v>
      </c>
      <c r="U243" s="27">
        <v>0.7959</v>
      </c>
      <c r="V243" s="27" t="s">
        <v>72</v>
      </c>
      <c r="W243" s="27">
        <v>2085.33</v>
      </c>
      <c r="X243" s="27">
        <v>3.688879</v>
      </c>
      <c r="Y243" s="27">
        <v>7.643162</v>
      </c>
      <c r="Z243" s="27">
        <v>3.1623</v>
      </c>
      <c r="AA243" s="27" t="s">
        <v>125</v>
      </c>
      <c r="AB243" s="27">
        <v>0</v>
      </c>
      <c r="AC243" s="27">
        <v>0</v>
      </c>
      <c r="AD243" s="27">
        <v>0</v>
      </c>
      <c r="AE243" s="27">
        <v>0</v>
      </c>
      <c r="AF243" s="27">
        <v>1</v>
      </c>
      <c r="AG243" s="27">
        <v>0</v>
      </c>
      <c r="AH243" s="27">
        <v>0</v>
      </c>
      <c r="AI243" s="27">
        <v>0</v>
      </c>
      <c r="AJ243" s="27">
        <v>0</v>
      </c>
      <c r="AK243" s="27">
        <v>0</v>
      </c>
      <c r="AL243" s="27">
        <v>0</v>
      </c>
      <c r="AM243" s="27">
        <v>0</v>
      </c>
      <c r="AN243" s="27">
        <v>0</v>
      </c>
      <c r="AO243" s="27">
        <v>0</v>
      </c>
      <c r="AP243" s="27">
        <v>0</v>
      </c>
      <c r="AQ243" s="27">
        <v>0</v>
      </c>
      <c r="AR243" s="27">
        <v>0</v>
      </c>
      <c r="AS243" s="27">
        <v>1</v>
      </c>
      <c r="AT243" s="27">
        <v>0</v>
      </c>
      <c r="AU243" s="27">
        <v>0</v>
      </c>
      <c r="AV243" s="27">
        <v>0</v>
      </c>
      <c r="AW243" s="27">
        <v>1</v>
      </c>
      <c r="AX243" s="27">
        <v>0</v>
      </c>
      <c r="AZ243" s="27">
        <v>2</v>
      </c>
      <c r="BA243" s="27">
        <v>0</v>
      </c>
      <c r="BB243" s="27">
        <v>46.06</v>
      </c>
      <c r="BC243" s="27" t="s">
        <v>926</v>
      </c>
      <c r="BD243" s="27" t="s">
        <v>180</v>
      </c>
      <c r="BE243" s="27" t="s">
        <v>128</v>
      </c>
      <c r="BF243" s="27" t="s">
        <v>77</v>
      </c>
      <c r="BG243" s="27">
        <v>1</v>
      </c>
      <c r="BH243" s="27">
        <v>14</v>
      </c>
      <c r="BI243" s="27">
        <v>0.0667</v>
      </c>
      <c r="BJ243" s="27">
        <v>1</v>
      </c>
      <c r="BK243" s="27">
        <v>192</v>
      </c>
      <c r="BL243" s="27">
        <v>47.4</v>
      </c>
    </row>
    <row r="244" customHeight="1" spans="1:64">
      <c r="A244" s="27" t="s">
        <v>927</v>
      </c>
      <c r="B244" s="27" t="s">
        <v>928</v>
      </c>
      <c r="C244" s="27" t="s">
        <v>929</v>
      </c>
      <c r="E244" s="27" t="s">
        <v>240</v>
      </c>
      <c r="F244" s="27" t="s">
        <v>240</v>
      </c>
      <c r="G244" s="27" t="s">
        <v>83</v>
      </c>
      <c r="H244" s="27" t="s">
        <v>84</v>
      </c>
      <c r="I244" s="27" t="s">
        <v>153</v>
      </c>
      <c r="J244" s="27">
        <v>2</v>
      </c>
      <c r="K244" s="27">
        <v>109.97</v>
      </c>
      <c r="M244" s="27">
        <v>0</v>
      </c>
      <c r="N244" s="27">
        <v>0</v>
      </c>
      <c r="O244" s="27">
        <v>0</v>
      </c>
      <c r="P244" s="27" t="s">
        <v>95</v>
      </c>
      <c r="Q244" s="27">
        <v>4.70926</v>
      </c>
      <c r="R244" s="27">
        <v>27.49</v>
      </c>
      <c r="V244" s="27" t="s">
        <v>231</v>
      </c>
      <c r="W244" s="27">
        <v>0</v>
      </c>
      <c r="X244" s="27">
        <v>0</v>
      </c>
      <c r="Y244" s="27">
        <v>0</v>
      </c>
      <c r="Z244" s="27">
        <v>0</v>
      </c>
      <c r="AA244" s="27" t="s">
        <v>483</v>
      </c>
      <c r="AB244" s="27">
        <v>0</v>
      </c>
      <c r="AC244" s="27">
        <v>0</v>
      </c>
      <c r="AD244" s="27">
        <v>0</v>
      </c>
      <c r="AE244" s="27">
        <v>0</v>
      </c>
      <c r="AF244" s="27">
        <v>0</v>
      </c>
      <c r="AG244" s="27">
        <v>0</v>
      </c>
      <c r="AH244" s="27">
        <v>0</v>
      </c>
      <c r="AI244" s="27">
        <v>0</v>
      </c>
      <c r="AJ244" s="27">
        <v>0</v>
      </c>
      <c r="AK244" s="27">
        <v>0</v>
      </c>
      <c r="AL244" s="27">
        <v>0</v>
      </c>
      <c r="AM244" s="27">
        <v>0</v>
      </c>
      <c r="AN244" s="27">
        <v>0</v>
      </c>
      <c r="AO244" s="27">
        <v>0</v>
      </c>
      <c r="AP244" s="27">
        <v>0</v>
      </c>
      <c r="AQ244" s="27">
        <v>1</v>
      </c>
      <c r="AR244" s="27">
        <v>0</v>
      </c>
      <c r="AS244" s="27">
        <v>0</v>
      </c>
      <c r="AT244" s="27">
        <v>0</v>
      </c>
      <c r="AU244" s="27">
        <v>0</v>
      </c>
      <c r="AV244" s="27">
        <v>1</v>
      </c>
      <c r="AW244" s="27">
        <v>1</v>
      </c>
      <c r="AX244" s="27">
        <v>0</v>
      </c>
      <c r="AY244" s="27">
        <v>4</v>
      </c>
      <c r="AZ244" s="27">
        <v>1</v>
      </c>
      <c r="BA244" s="27">
        <v>1</v>
      </c>
      <c r="BB244" s="27">
        <v>29.1</v>
      </c>
      <c r="BC244" s="27" t="s">
        <v>930</v>
      </c>
      <c r="BD244" s="27" t="s">
        <v>931</v>
      </c>
      <c r="BE244" s="27" t="s">
        <v>363</v>
      </c>
      <c r="BF244" s="27" t="s">
        <v>77</v>
      </c>
      <c r="BG244" s="27">
        <v>168</v>
      </c>
      <c r="BH244" s="27">
        <v>11</v>
      </c>
      <c r="BI244" s="27">
        <v>0.9385</v>
      </c>
      <c r="BJ244" s="27">
        <v>0</v>
      </c>
      <c r="BK244" s="27">
        <v>11</v>
      </c>
      <c r="BL244" s="27">
        <v>97</v>
      </c>
    </row>
    <row r="245" customHeight="1" spans="1:64">
      <c r="A245" s="27" t="s">
        <v>932</v>
      </c>
      <c r="B245" s="27" t="s">
        <v>245</v>
      </c>
      <c r="C245" s="27" t="s">
        <v>933</v>
      </c>
      <c r="E245" s="27" t="s">
        <v>250</v>
      </c>
      <c r="F245" s="27" t="s">
        <v>82</v>
      </c>
      <c r="G245" s="27" t="s">
        <v>83</v>
      </c>
      <c r="H245" s="27" t="s">
        <v>84</v>
      </c>
      <c r="I245" s="27" t="s">
        <v>85</v>
      </c>
      <c r="J245" s="27">
        <v>5</v>
      </c>
      <c r="K245" s="27">
        <v>16.79</v>
      </c>
      <c r="M245" s="27">
        <v>0</v>
      </c>
      <c r="N245" s="27">
        <v>0</v>
      </c>
      <c r="O245" s="27">
        <v>0</v>
      </c>
      <c r="P245" s="27" t="s">
        <v>133</v>
      </c>
      <c r="Q245" s="27">
        <v>2.878637</v>
      </c>
      <c r="S245" s="27">
        <v>4350</v>
      </c>
      <c r="T245" s="27">
        <v>10</v>
      </c>
      <c r="U245" s="27">
        <v>0.9977</v>
      </c>
      <c r="V245" s="27" t="s">
        <v>109</v>
      </c>
      <c r="W245" s="27">
        <v>73036.5</v>
      </c>
      <c r="X245" s="27">
        <v>8.378161</v>
      </c>
      <c r="Y245" s="27">
        <v>11.198728</v>
      </c>
      <c r="Z245" s="27">
        <v>3.1623</v>
      </c>
      <c r="AA245" s="27" t="s">
        <v>139</v>
      </c>
      <c r="AB245" s="27">
        <v>1</v>
      </c>
      <c r="AC245" s="27">
        <v>0</v>
      </c>
      <c r="AD245" s="27">
        <v>0</v>
      </c>
      <c r="AE245" s="27">
        <v>0</v>
      </c>
      <c r="AF245" s="27">
        <v>0</v>
      </c>
      <c r="AG245" s="27">
        <v>0</v>
      </c>
      <c r="AH245" s="27">
        <v>0</v>
      </c>
      <c r="AI245" s="27">
        <v>0</v>
      </c>
      <c r="AJ245" s="27">
        <v>0</v>
      </c>
      <c r="AK245" s="27">
        <v>0</v>
      </c>
      <c r="AL245" s="27">
        <v>0</v>
      </c>
      <c r="AM245" s="27">
        <v>0</v>
      </c>
      <c r="AN245" s="27">
        <v>0</v>
      </c>
      <c r="AO245" s="27">
        <v>0</v>
      </c>
      <c r="AP245" s="27">
        <v>0</v>
      </c>
      <c r="AQ245" s="27">
        <v>0</v>
      </c>
      <c r="AR245" s="27">
        <v>0</v>
      </c>
      <c r="AS245" s="27">
        <v>0</v>
      </c>
      <c r="AT245" s="27">
        <v>1</v>
      </c>
      <c r="AU245" s="27">
        <v>0</v>
      </c>
      <c r="AV245" s="27">
        <v>0</v>
      </c>
      <c r="AW245" s="27">
        <v>0</v>
      </c>
      <c r="AX245" s="27">
        <v>0</v>
      </c>
      <c r="AZ245" s="27">
        <v>1</v>
      </c>
      <c r="BA245" s="27">
        <v>1</v>
      </c>
      <c r="BB245" s="27">
        <v>69.1</v>
      </c>
      <c r="BC245" s="27" t="s">
        <v>732</v>
      </c>
      <c r="BD245" s="27" t="s">
        <v>175</v>
      </c>
      <c r="BE245" s="27" t="s">
        <v>91</v>
      </c>
      <c r="BF245" s="27" t="s">
        <v>77</v>
      </c>
      <c r="BG245" s="27">
        <v>162</v>
      </c>
      <c r="BH245" s="27">
        <v>60</v>
      </c>
      <c r="BI245" s="27">
        <v>0.7297</v>
      </c>
      <c r="BJ245" s="27">
        <v>0</v>
      </c>
      <c r="BK245" s="27">
        <v>10</v>
      </c>
      <c r="BL245" s="27">
        <v>97.3</v>
      </c>
    </row>
    <row r="246" customHeight="1" spans="1:64">
      <c r="A246" s="27" t="s">
        <v>934</v>
      </c>
      <c r="B246" s="27" t="s">
        <v>104</v>
      </c>
      <c r="C246" s="27" t="s">
        <v>935</v>
      </c>
      <c r="D246" s="27">
        <v>194644037260</v>
      </c>
      <c r="E246" s="27" t="s">
        <v>209</v>
      </c>
      <c r="F246" s="27" t="s">
        <v>68</v>
      </c>
      <c r="G246" s="27" t="s">
        <v>106</v>
      </c>
      <c r="H246" s="27" t="s">
        <v>107</v>
      </c>
      <c r="I246" s="27" t="s">
        <v>108</v>
      </c>
      <c r="J246" s="27">
        <v>3</v>
      </c>
      <c r="K246" s="27">
        <v>419.99</v>
      </c>
      <c r="L246" s="27">
        <v>859.99</v>
      </c>
      <c r="M246" s="27">
        <v>51.16</v>
      </c>
      <c r="N246" s="27">
        <v>440</v>
      </c>
      <c r="O246" s="27">
        <v>1</v>
      </c>
      <c r="P246" s="27" t="s">
        <v>71</v>
      </c>
      <c r="Q246" s="27">
        <v>6.042609</v>
      </c>
      <c r="S246" s="27">
        <v>726</v>
      </c>
      <c r="T246" s="27">
        <v>89</v>
      </c>
      <c r="U246" s="27">
        <v>0.8908</v>
      </c>
      <c r="V246" s="27" t="s">
        <v>154</v>
      </c>
      <c r="W246" s="27">
        <v>304912.74</v>
      </c>
      <c r="X246" s="27">
        <v>6.588926</v>
      </c>
      <c r="Y246" s="27">
        <v>12.627784</v>
      </c>
      <c r="Z246" s="27">
        <v>9.434</v>
      </c>
      <c r="AA246" s="27" t="s">
        <v>73</v>
      </c>
      <c r="AB246" s="27">
        <v>0</v>
      </c>
      <c r="AC246" s="27">
        <v>0</v>
      </c>
      <c r="AD246" s="27">
        <v>0</v>
      </c>
      <c r="AE246" s="27">
        <v>1</v>
      </c>
      <c r="AF246" s="27">
        <v>0</v>
      </c>
      <c r="AG246" s="27">
        <v>0</v>
      </c>
      <c r="AH246" s="27">
        <v>1</v>
      </c>
      <c r="AI246" s="27">
        <v>0</v>
      </c>
      <c r="AJ246" s="27">
        <v>0</v>
      </c>
      <c r="AK246" s="27">
        <v>0</v>
      </c>
      <c r="AL246" s="27">
        <v>0</v>
      </c>
      <c r="AM246" s="27">
        <v>0</v>
      </c>
      <c r="AN246" s="27">
        <v>0</v>
      </c>
      <c r="AO246" s="27">
        <v>0</v>
      </c>
      <c r="AP246" s="27">
        <v>0</v>
      </c>
      <c r="AQ246" s="27">
        <v>0</v>
      </c>
      <c r="AR246" s="27">
        <v>0</v>
      </c>
      <c r="AS246" s="27">
        <v>0</v>
      </c>
      <c r="AT246" s="27">
        <v>0</v>
      </c>
      <c r="AU246" s="27">
        <v>0</v>
      </c>
      <c r="AV246" s="27">
        <v>0</v>
      </c>
      <c r="AW246" s="27">
        <v>1</v>
      </c>
      <c r="AX246" s="27">
        <v>1</v>
      </c>
      <c r="AZ246" s="27">
        <v>1</v>
      </c>
      <c r="BA246" s="27">
        <v>2</v>
      </c>
      <c r="BB246" s="27">
        <v>80.83</v>
      </c>
      <c r="BC246" s="27" t="s">
        <v>111</v>
      </c>
      <c r="BD246" s="27" t="s">
        <v>112</v>
      </c>
      <c r="BE246" s="27" t="s">
        <v>113</v>
      </c>
      <c r="BF246" s="27" t="s">
        <v>77</v>
      </c>
      <c r="BG246" s="27">
        <v>162</v>
      </c>
      <c r="BH246" s="27">
        <v>23</v>
      </c>
      <c r="BI246" s="27">
        <v>0.8757</v>
      </c>
      <c r="BJ246" s="27">
        <v>0</v>
      </c>
      <c r="BK246" s="27">
        <v>2</v>
      </c>
      <c r="BL246" s="27">
        <v>99.5</v>
      </c>
    </row>
    <row r="247" customHeight="1" spans="1:64">
      <c r="A247" s="27" t="s">
        <v>936</v>
      </c>
      <c r="B247" s="27" t="s">
        <v>93</v>
      </c>
      <c r="E247" s="27" t="s">
        <v>132</v>
      </c>
      <c r="F247" s="27" t="s">
        <v>132</v>
      </c>
      <c r="G247" s="27" t="s">
        <v>93</v>
      </c>
      <c r="H247" s="27" t="s">
        <v>69</v>
      </c>
      <c r="I247" s="27" t="s">
        <v>85</v>
      </c>
      <c r="J247" s="27">
        <v>5</v>
      </c>
      <c r="K247" s="27">
        <v>27.99</v>
      </c>
      <c r="M247" s="27">
        <v>0</v>
      </c>
      <c r="N247" s="27">
        <v>0</v>
      </c>
      <c r="O247" s="27">
        <v>0</v>
      </c>
      <c r="P247" s="27" t="s">
        <v>86</v>
      </c>
      <c r="Q247" s="27">
        <v>3.366951</v>
      </c>
      <c r="S247" s="27">
        <v>12</v>
      </c>
      <c r="T247" s="27">
        <v>10</v>
      </c>
      <c r="U247" s="27">
        <v>0.5455</v>
      </c>
      <c r="V247" s="27" t="s">
        <v>72</v>
      </c>
      <c r="W247" s="27">
        <v>335.88</v>
      </c>
      <c r="X247" s="27">
        <v>2.564949</v>
      </c>
      <c r="Y247" s="27">
        <v>5.819727</v>
      </c>
      <c r="Z247" s="27">
        <v>3.1623</v>
      </c>
      <c r="AA247" s="27" t="s">
        <v>125</v>
      </c>
      <c r="AB247" s="27">
        <v>0</v>
      </c>
      <c r="AC247" s="27">
        <v>0</v>
      </c>
      <c r="AD247" s="27">
        <v>0</v>
      </c>
      <c r="AE247" s="27">
        <v>0</v>
      </c>
      <c r="AF247" s="27">
        <v>0</v>
      </c>
      <c r="AG247" s="27">
        <v>0</v>
      </c>
      <c r="AH247" s="27">
        <v>0</v>
      </c>
      <c r="AI247" s="27">
        <v>0</v>
      </c>
      <c r="AJ247" s="27">
        <v>0</v>
      </c>
      <c r="AK247" s="27">
        <v>0</v>
      </c>
      <c r="AL247" s="27">
        <v>0</v>
      </c>
      <c r="AM247" s="27">
        <v>0</v>
      </c>
      <c r="AN247" s="27">
        <v>0</v>
      </c>
      <c r="AO247" s="27">
        <v>0</v>
      </c>
      <c r="AP247" s="27">
        <v>0</v>
      </c>
      <c r="AQ247" s="27">
        <v>1</v>
      </c>
      <c r="AR247" s="27">
        <v>0</v>
      </c>
      <c r="AS247" s="27">
        <v>0</v>
      </c>
      <c r="AT247" s="27">
        <v>0</v>
      </c>
      <c r="AU247" s="27">
        <v>0</v>
      </c>
      <c r="AV247" s="27">
        <v>0</v>
      </c>
      <c r="AW247" s="27">
        <v>0</v>
      </c>
      <c r="AX247" s="27">
        <v>0</v>
      </c>
      <c r="AZ247" s="27">
        <v>1</v>
      </c>
      <c r="BA247" s="27">
        <v>1</v>
      </c>
      <c r="BB247" s="27">
        <v>51.58</v>
      </c>
      <c r="BC247" s="27" t="s">
        <v>96</v>
      </c>
      <c r="BD247" s="27" t="s">
        <v>97</v>
      </c>
      <c r="BE247" s="27" t="s">
        <v>98</v>
      </c>
      <c r="BF247" s="27" t="s">
        <v>77</v>
      </c>
      <c r="BG247" s="27">
        <v>1</v>
      </c>
      <c r="BH247" s="27">
        <v>28</v>
      </c>
      <c r="BI247" s="27">
        <v>0.0345</v>
      </c>
      <c r="BJ247" s="27">
        <v>1</v>
      </c>
      <c r="BK247" s="27">
        <v>3</v>
      </c>
      <c r="BL247" s="27">
        <v>99.2</v>
      </c>
    </row>
    <row r="248" customHeight="1" spans="1:64">
      <c r="A248" s="27" t="s">
        <v>937</v>
      </c>
      <c r="B248" s="27" t="s">
        <v>938</v>
      </c>
      <c r="E248" s="27" t="s">
        <v>554</v>
      </c>
      <c r="F248" s="27" t="s">
        <v>240</v>
      </c>
      <c r="G248" s="27" t="s">
        <v>83</v>
      </c>
      <c r="H248" s="27" t="s">
        <v>84</v>
      </c>
      <c r="I248" s="27" t="s">
        <v>153</v>
      </c>
      <c r="J248" s="27">
        <v>2</v>
      </c>
      <c r="K248" s="27">
        <v>300</v>
      </c>
      <c r="M248" s="27">
        <v>0</v>
      </c>
      <c r="N248" s="27">
        <v>0</v>
      </c>
      <c r="O248" s="27">
        <v>0</v>
      </c>
      <c r="P248" s="27" t="s">
        <v>71</v>
      </c>
      <c r="Q248" s="27">
        <v>5.70711</v>
      </c>
      <c r="V248" s="27" t="s">
        <v>231</v>
      </c>
      <c r="W248" s="27">
        <v>0</v>
      </c>
      <c r="X248" s="27">
        <v>0</v>
      </c>
      <c r="Y248" s="27">
        <v>0</v>
      </c>
      <c r="Z248" s="27">
        <v>0</v>
      </c>
      <c r="AA248" s="27" t="s">
        <v>125</v>
      </c>
      <c r="AB248" s="27">
        <v>0</v>
      </c>
      <c r="AC248" s="27">
        <v>0</v>
      </c>
      <c r="AD248" s="27">
        <v>0</v>
      </c>
      <c r="AE248" s="27">
        <v>0</v>
      </c>
      <c r="AF248" s="27">
        <v>0</v>
      </c>
      <c r="AG248" s="27">
        <v>1</v>
      </c>
      <c r="AH248" s="27">
        <v>0</v>
      </c>
      <c r="AI248" s="27">
        <v>0</v>
      </c>
      <c r="AJ248" s="27">
        <v>0</v>
      </c>
      <c r="AK248" s="27">
        <v>0</v>
      </c>
      <c r="AL248" s="27">
        <v>0</v>
      </c>
      <c r="AM248" s="27">
        <v>0</v>
      </c>
      <c r="AN248" s="27">
        <v>0</v>
      </c>
      <c r="AO248" s="27">
        <v>0</v>
      </c>
      <c r="AP248" s="27">
        <v>0</v>
      </c>
      <c r="AQ248" s="27">
        <v>1</v>
      </c>
      <c r="AR248" s="27">
        <v>0</v>
      </c>
      <c r="AS248" s="27">
        <v>0</v>
      </c>
      <c r="AT248" s="27">
        <v>0</v>
      </c>
      <c r="AU248" s="27">
        <v>0</v>
      </c>
      <c r="AV248" s="27">
        <v>1</v>
      </c>
      <c r="AW248" s="27">
        <v>0</v>
      </c>
      <c r="AX248" s="27">
        <v>0</v>
      </c>
      <c r="AZ248" s="27">
        <v>1</v>
      </c>
      <c r="BA248" s="27">
        <v>1</v>
      </c>
      <c r="BB248" s="27">
        <v>0</v>
      </c>
      <c r="BC248" s="27" t="s">
        <v>939</v>
      </c>
      <c r="BD248" s="27" t="s">
        <v>940</v>
      </c>
      <c r="BE248" s="27" t="s">
        <v>941</v>
      </c>
      <c r="BF248" s="27" t="s">
        <v>77</v>
      </c>
      <c r="BG248" s="27">
        <v>168</v>
      </c>
      <c r="BH248" s="27">
        <v>11</v>
      </c>
      <c r="BI248" s="27">
        <v>0.9385</v>
      </c>
      <c r="BJ248" s="27">
        <v>0</v>
      </c>
    </row>
    <row r="249" customHeight="1" spans="1:64">
      <c r="A249" s="27" t="s">
        <v>942</v>
      </c>
      <c r="B249" s="27" t="s">
        <v>93</v>
      </c>
      <c r="D249" s="27">
        <v>725423889475</v>
      </c>
      <c r="E249" s="27" t="s">
        <v>209</v>
      </c>
      <c r="F249" s="27" t="s">
        <v>160</v>
      </c>
      <c r="G249" s="27" t="s">
        <v>93</v>
      </c>
      <c r="H249" s="27" t="s">
        <v>69</v>
      </c>
      <c r="I249" s="27" t="s">
        <v>85</v>
      </c>
      <c r="J249" s="27">
        <v>5</v>
      </c>
      <c r="K249" s="27">
        <v>439.99</v>
      </c>
      <c r="M249" s="27">
        <v>0</v>
      </c>
      <c r="N249" s="27">
        <v>0</v>
      </c>
      <c r="O249" s="27">
        <v>0</v>
      </c>
      <c r="P249" s="27" t="s">
        <v>71</v>
      </c>
      <c r="Q249" s="27">
        <v>6.089022</v>
      </c>
      <c r="R249" s="27">
        <v>55</v>
      </c>
      <c r="S249" s="27">
        <v>13</v>
      </c>
      <c r="T249" s="27">
        <v>30</v>
      </c>
      <c r="U249" s="27">
        <v>0.3023</v>
      </c>
      <c r="V249" s="27" t="s">
        <v>72</v>
      </c>
      <c r="W249" s="27">
        <v>5719.87</v>
      </c>
      <c r="X249" s="27">
        <v>2.639057</v>
      </c>
      <c r="Y249" s="27">
        <v>8.651876</v>
      </c>
      <c r="Z249" s="27">
        <v>5.4772</v>
      </c>
      <c r="AA249" s="27" t="s">
        <v>313</v>
      </c>
      <c r="AB249" s="27">
        <v>0</v>
      </c>
      <c r="AC249" s="27">
        <v>0</v>
      </c>
      <c r="AD249" s="27">
        <v>0</v>
      </c>
      <c r="AE249" s="27">
        <v>0</v>
      </c>
      <c r="AF249" s="27">
        <v>0</v>
      </c>
      <c r="AG249" s="27">
        <v>1</v>
      </c>
      <c r="AH249" s="27">
        <v>0</v>
      </c>
      <c r="AI249" s="27">
        <v>1</v>
      </c>
      <c r="AJ249" s="27">
        <v>0</v>
      </c>
      <c r="AK249" s="27">
        <v>0</v>
      </c>
      <c r="AL249" s="27">
        <v>0</v>
      </c>
      <c r="AM249" s="27">
        <v>0</v>
      </c>
      <c r="AN249" s="27">
        <v>0</v>
      </c>
      <c r="AO249" s="27">
        <v>0</v>
      </c>
      <c r="AP249" s="27">
        <v>0</v>
      </c>
      <c r="AQ249" s="27">
        <v>1</v>
      </c>
      <c r="AR249" s="27">
        <v>0</v>
      </c>
      <c r="AS249" s="27">
        <v>0</v>
      </c>
      <c r="AT249" s="27">
        <v>0</v>
      </c>
      <c r="AU249" s="27">
        <v>0</v>
      </c>
      <c r="AV249" s="27">
        <v>1</v>
      </c>
      <c r="AW249" s="27">
        <v>1</v>
      </c>
      <c r="AX249" s="27">
        <v>0</v>
      </c>
      <c r="AY249" s="27">
        <v>8</v>
      </c>
      <c r="AZ249" s="27">
        <v>1</v>
      </c>
      <c r="BA249" s="27">
        <v>1</v>
      </c>
      <c r="BB249" s="27">
        <v>41.94</v>
      </c>
      <c r="BC249" s="27" t="s">
        <v>96</v>
      </c>
      <c r="BD249" s="27" t="s">
        <v>97</v>
      </c>
      <c r="BE249" s="27" t="s">
        <v>98</v>
      </c>
      <c r="BF249" s="27" t="s">
        <v>77</v>
      </c>
      <c r="BG249" s="27">
        <v>1</v>
      </c>
      <c r="BH249" s="27">
        <v>28</v>
      </c>
      <c r="BI249" s="27">
        <v>0.0345</v>
      </c>
      <c r="BJ249" s="27">
        <v>1</v>
      </c>
      <c r="BK249" s="27">
        <v>2</v>
      </c>
      <c r="BL249" s="27">
        <v>99.5</v>
      </c>
    </row>
    <row r="250" customHeight="1" spans="1:64">
      <c r="A250" s="27" t="s">
        <v>943</v>
      </c>
      <c r="B250" s="27" t="s">
        <v>115</v>
      </c>
      <c r="E250" s="27" t="s">
        <v>670</v>
      </c>
      <c r="F250" s="27" t="s">
        <v>82</v>
      </c>
      <c r="G250" s="27" t="s">
        <v>117</v>
      </c>
      <c r="H250" s="27" t="s">
        <v>107</v>
      </c>
      <c r="I250" s="27" t="s">
        <v>85</v>
      </c>
      <c r="J250" s="27">
        <v>5</v>
      </c>
      <c r="K250" s="27">
        <v>7.95</v>
      </c>
      <c r="M250" s="27">
        <v>0</v>
      </c>
      <c r="N250" s="27">
        <v>0</v>
      </c>
      <c r="O250" s="27">
        <v>0</v>
      </c>
      <c r="P250" s="27" t="s">
        <v>133</v>
      </c>
      <c r="Q250" s="27">
        <v>2.191654</v>
      </c>
      <c r="S250" s="27">
        <v>367</v>
      </c>
      <c r="T250" s="27">
        <v>10</v>
      </c>
      <c r="U250" s="27">
        <v>0.9735</v>
      </c>
      <c r="V250" s="27" t="s">
        <v>154</v>
      </c>
      <c r="W250" s="27">
        <v>2917.65</v>
      </c>
      <c r="X250" s="27">
        <v>5.908083</v>
      </c>
      <c r="Y250" s="27">
        <v>7.978876</v>
      </c>
      <c r="Z250" s="27">
        <v>3.1623</v>
      </c>
      <c r="AA250" s="27" t="s">
        <v>125</v>
      </c>
      <c r="AB250" s="27">
        <v>0</v>
      </c>
      <c r="AC250" s="27">
        <v>0</v>
      </c>
      <c r="AD250" s="27">
        <v>0</v>
      </c>
      <c r="AE250" s="27">
        <v>0</v>
      </c>
      <c r="AF250" s="27">
        <v>0</v>
      </c>
      <c r="AG250" s="27">
        <v>0</v>
      </c>
      <c r="AH250" s="27">
        <v>0</v>
      </c>
      <c r="AI250" s="27">
        <v>0</v>
      </c>
      <c r="AJ250" s="27">
        <v>0</v>
      </c>
      <c r="AK250" s="27">
        <v>0</v>
      </c>
      <c r="AL250" s="27">
        <v>0</v>
      </c>
      <c r="AM250" s="27">
        <v>0</v>
      </c>
      <c r="AN250" s="27">
        <v>0</v>
      </c>
      <c r="AO250" s="27">
        <v>0</v>
      </c>
      <c r="AP250" s="27">
        <v>0</v>
      </c>
      <c r="AQ250" s="27">
        <v>0</v>
      </c>
      <c r="AR250" s="27">
        <v>0</v>
      </c>
      <c r="AS250" s="27">
        <v>0</v>
      </c>
      <c r="AT250" s="27">
        <v>0</v>
      </c>
      <c r="AU250" s="27">
        <v>0</v>
      </c>
      <c r="AV250" s="27">
        <v>0</v>
      </c>
      <c r="AW250" s="27">
        <v>1</v>
      </c>
      <c r="AX250" s="27">
        <v>0</v>
      </c>
      <c r="AZ250" s="27">
        <v>1</v>
      </c>
      <c r="BA250" s="27">
        <v>0</v>
      </c>
      <c r="BB250" s="27">
        <v>68.46</v>
      </c>
      <c r="BC250" s="27" t="s">
        <v>671</v>
      </c>
      <c r="BD250" s="27" t="s">
        <v>672</v>
      </c>
      <c r="BE250" s="27" t="s">
        <v>673</v>
      </c>
      <c r="BF250" s="27" t="s">
        <v>77</v>
      </c>
      <c r="BG250" s="27">
        <v>168</v>
      </c>
      <c r="BH250" s="27">
        <v>11</v>
      </c>
      <c r="BI250" s="27">
        <v>0.9385</v>
      </c>
      <c r="BJ250" s="27">
        <v>0</v>
      </c>
      <c r="BK250" s="27">
        <v>6</v>
      </c>
      <c r="BL250" s="27">
        <v>98.4</v>
      </c>
    </row>
    <row r="251" customHeight="1" spans="1:64">
      <c r="A251" s="27" t="s">
        <v>944</v>
      </c>
      <c r="B251" s="27" t="s">
        <v>104</v>
      </c>
      <c r="C251" s="27" t="s">
        <v>945</v>
      </c>
      <c r="D251" s="27">
        <v>194644305604</v>
      </c>
      <c r="E251" s="27" t="s">
        <v>209</v>
      </c>
      <c r="F251" s="27" t="s">
        <v>160</v>
      </c>
      <c r="G251" s="27" t="s">
        <v>106</v>
      </c>
      <c r="H251" s="27" t="s">
        <v>107</v>
      </c>
      <c r="I251" s="27" t="s">
        <v>108</v>
      </c>
      <c r="J251" s="27">
        <v>3</v>
      </c>
      <c r="K251" s="27">
        <v>1019.99</v>
      </c>
      <c r="L251" s="27">
        <v>1499.99</v>
      </c>
      <c r="M251" s="27">
        <v>32</v>
      </c>
      <c r="N251" s="27">
        <v>480</v>
      </c>
      <c r="O251" s="27">
        <v>1</v>
      </c>
      <c r="P251" s="27" t="s">
        <v>147</v>
      </c>
      <c r="Q251" s="27">
        <v>6.928528</v>
      </c>
      <c r="R251" s="27">
        <v>127.5</v>
      </c>
      <c r="S251" s="27">
        <v>32</v>
      </c>
      <c r="T251" s="27">
        <v>137</v>
      </c>
      <c r="U251" s="27">
        <v>0.1893</v>
      </c>
      <c r="V251" s="27" t="s">
        <v>72</v>
      </c>
      <c r="W251" s="27">
        <v>32639.68</v>
      </c>
      <c r="X251" s="27">
        <v>3.496508</v>
      </c>
      <c r="Y251" s="27">
        <v>10.393315</v>
      </c>
      <c r="Z251" s="27">
        <v>11.7047</v>
      </c>
      <c r="AA251" s="27" t="s">
        <v>125</v>
      </c>
      <c r="AB251" s="27">
        <v>0</v>
      </c>
      <c r="AC251" s="27">
        <v>0</v>
      </c>
      <c r="AD251" s="27">
        <v>0</v>
      </c>
      <c r="AE251" s="27">
        <v>0</v>
      </c>
      <c r="AF251" s="27">
        <v>0</v>
      </c>
      <c r="AG251" s="27">
        <v>1</v>
      </c>
      <c r="AH251" s="27">
        <v>0</v>
      </c>
      <c r="AI251" s="27">
        <v>1</v>
      </c>
      <c r="AJ251" s="27">
        <v>0</v>
      </c>
      <c r="AK251" s="27">
        <v>1</v>
      </c>
      <c r="AL251" s="27">
        <v>0</v>
      </c>
      <c r="AM251" s="27">
        <v>0</v>
      </c>
      <c r="AN251" s="27">
        <v>0</v>
      </c>
      <c r="AO251" s="27">
        <v>0</v>
      </c>
      <c r="AP251" s="27">
        <v>0</v>
      </c>
      <c r="AQ251" s="27">
        <v>1</v>
      </c>
      <c r="AR251" s="27">
        <v>0</v>
      </c>
      <c r="AS251" s="27">
        <v>0</v>
      </c>
      <c r="AT251" s="27">
        <v>0</v>
      </c>
      <c r="AU251" s="27">
        <v>0</v>
      </c>
      <c r="AV251" s="27">
        <v>1</v>
      </c>
      <c r="AW251" s="27">
        <v>1</v>
      </c>
      <c r="AX251" s="27">
        <v>1</v>
      </c>
      <c r="AY251" s="27">
        <v>8</v>
      </c>
      <c r="AZ251" s="27">
        <v>1</v>
      </c>
      <c r="BA251" s="27">
        <v>2</v>
      </c>
      <c r="BB251" s="27">
        <v>47.02</v>
      </c>
      <c r="BC251" s="27" t="s">
        <v>111</v>
      </c>
      <c r="BD251" s="27" t="s">
        <v>112</v>
      </c>
      <c r="BE251" s="27" t="s">
        <v>128</v>
      </c>
      <c r="BF251" s="27" t="s">
        <v>77</v>
      </c>
      <c r="BG251" s="27">
        <v>38</v>
      </c>
      <c r="BH251" s="27">
        <v>36</v>
      </c>
      <c r="BI251" s="27">
        <v>0.5135</v>
      </c>
      <c r="BJ251" s="27">
        <v>0</v>
      </c>
      <c r="BK251" s="27">
        <v>2</v>
      </c>
      <c r="BL251" s="27">
        <v>99.5</v>
      </c>
    </row>
    <row r="252" customHeight="1" spans="1:64">
      <c r="A252" s="27" t="s">
        <v>946</v>
      </c>
      <c r="B252" s="27" t="s">
        <v>344</v>
      </c>
      <c r="E252" s="27" t="s">
        <v>81</v>
      </c>
      <c r="F252" s="27" t="s">
        <v>82</v>
      </c>
      <c r="G252" s="27" t="s">
        <v>346</v>
      </c>
      <c r="H252" s="27" t="s">
        <v>107</v>
      </c>
      <c r="I252" s="27" t="s">
        <v>85</v>
      </c>
      <c r="J252" s="27">
        <v>5</v>
      </c>
      <c r="K252" s="27">
        <v>189.99</v>
      </c>
      <c r="M252" s="27">
        <v>0</v>
      </c>
      <c r="N252" s="27">
        <v>0</v>
      </c>
      <c r="O252" s="27">
        <v>0</v>
      </c>
      <c r="P252" s="27" t="s">
        <v>95</v>
      </c>
      <c r="Q252" s="27">
        <v>5.252221</v>
      </c>
      <c r="S252" s="27">
        <v>19</v>
      </c>
      <c r="T252" s="27">
        <v>10</v>
      </c>
      <c r="U252" s="27">
        <v>0.6552</v>
      </c>
      <c r="V252" s="27" t="s">
        <v>72</v>
      </c>
      <c r="W252" s="27">
        <v>3609.81</v>
      </c>
      <c r="X252" s="27">
        <v>2.995732</v>
      </c>
      <c r="Y252" s="27">
        <v>8.191687</v>
      </c>
      <c r="Z252" s="27">
        <v>3.1623</v>
      </c>
      <c r="AA252" s="27" t="s">
        <v>187</v>
      </c>
      <c r="AB252" s="27">
        <v>0</v>
      </c>
      <c r="AC252" s="27">
        <v>0</v>
      </c>
      <c r="AD252" s="27">
        <v>0</v>
      </c>
      <c r="AE252" s="27">
        <v>0</v>
      </c>
      <c r="AF252" s="27">
        <v>0</v>
      </c>
      <c r="AG252" s="27">
        <v>0</v>
      </c>
      <c r="AH252" s="27">
        <v>1</v>
      </c>
      <c r="AI252" s="27">
        <v>0</v>
      </c>
      <c r="AJ252" s="27">
        <v>0</v>
      </c>
      <c r="AK252" s="27">
        <v>0</v>
      </c>
      <c r="AL252" s="27">
        <v>0</v>
      </c>
      <c r="AM252" s="27">
        <v>0</v>
      </c>
      <c r="AN252" s="27">
        <v>0</v>
      </c>
      <c r="AO252" s="27">
        <v>0</v>
      </c>
      <c r="AP252" s="27">
        <v>0</v>
      </c>
      <c r="AQ252" s="27">
        <v>0</v>
      </c>
      <c r="AR252" s="27">
        <v>0</v>
      </c>
      <c r="AS252" s="27">
        <v>0</v>
      </c>
      <c r="AT252" s="27">
        <v>1</v>
      </c>
      <c r="AU252" s="27">
        <v>0</v>
      </c>
      <c r="AV252" s="27">
        <v>0</v>
      </c>
      <c r="AW252" s="27">
        <v>1</v>
      </c>
      <c r="AX252" s="27">
        <v>0</v>
      </c>
      <c r="AZ252" s="27">
        <v>1</v>
      </c>
      <c r="BA252" s="27">
        <v>1</v>
      </c>
      <c r="BB252" s="27">
        <v>55.64</v>
      </c>
      <c r="BC252" s="27" t="s">
        <v>947</v>
      </c>
      <c r="BD252" s="27" t="s">
        <v>948</v>
      </c>
      <c r="BE252" s="27" t="s">
        <v>949</v>
      </c>
      <c r="BF252" s="27" t="s">
        <v>77</v>
      </c>
      <c r="BG252" s="27">
        <v>168</v>
      </c>
      <c r="BH252" s="27">
        <v>11</v>
      </c>
      <c r="BI252" s="27">
        <v>0.9385</v>
      </c>
      <c r="BJ252" s="27">
        <v>0</v>
      </c>
      <c r="BK252" s="27">
        <v>7</v>
      </c>
      <c r="BL252" s="27">
        <v>98.1</v>
      </c>
    </row>
    <row r="253" customHeight="1" spans="1:64">
      <c r="A253" s="27" t="s">
        <v>950</v>
      </c>
      <c r="B253" s="27" t="s">
        <v>104</v>
      </c>
      <c r="C253" s="27" t="s">
        <v>594</v>
      </c>
      <c r="D253" s="27">
        <v>194644246754</v>
      </c>
      <c r="E253" s="27" t="s">
        <v>81</v>
      </c>
      <c r="F253" s="27" t="s">
        <v>82</v>
      </c>
      <c r="G253" s="27" t="s">
        <v>106</v>
      </c>
      <c r="H253" s="27" t="s">
        <v>107</v>
      </c>
      <c r="I253" s="27" t="s">
        <v>85</v>
      </c>
      <c r="J253" s="27">
        <v>5</v>
      </c>
      <c r="K253" s="27">
        <v>899.99</v>
      </c>
      <c r="M253" s="27">
        <v>0</v>
      </c>
      <c r="N253" s="27">
        <v>0</v>
      </c>
      <c r="O253" s="27">
        <v>0</v>
      </c>
      <c r="P253" s="27" t="s">
        <v>147</v>
      </c>
      <c r="Q253" s="27">
        <v>6.803494</v>
      </c>
      <c r="S253" s="27">
        <v>24</v>
      </c>
      <c r="T253" s="27">
        <v>10</v>
      </c>
      <c r="U253" s="27">
        <v>0.7059</v>
      </c>
      <c r="V253" s="27" t="s">
        <v>72</v>
      </c>
      <c r="W253" s="27">
        <v>21599.76</v>
      </c>
      <c r="X253" s="27">
        <v>3.218876</v>
      </c>
      <c r="Y253" s="27">
        <v>9.980484</v>
      </c>
      <c r="Z253" s="27">
        <v>3.1623</v>
      </c>
      <c r="AA253" s="27" t="s">
        <v>125</v>
      </c>
      <c r="AB253" s="27">
        <v>0</v>
      </c>
      <c r="AC253" s="27">
        <v>0</v>
      </c>
      <c r="AD253" s="27">
        <v>0</v>
      </c>
      <c r="AE253" s="27">
        <v>1</v>
      </c>
      <c r="AF253" s="27">
        <v>0</v>
      </c>
      <c r="AG253" s="27">
        <v>0</v>
      </c>
      <c r="AH253" s="27">
        <v>1</v>
      </c>
      <c r="AI253" s="27">
        <v>0</v>
      </c>
      <c r="AJ253" s="27">
        <v>0</v>
      </c>
      <c r="AK253" s="27">
        <v>1</v>
      </c>
      <c r="AL253" s="27">
        <v>0</v>
      </c>
      <c r="AM253" s="27">
        <v>0</v>
      </c>
      <c r="AN253" s="27">
        <v>0</v>
      </c>
      <c r="AO253" s="27">
        <v>0</v>
      </c>
      <c r="AP253" s="27">
        <v>0</v>
      </c>
      <c r="AQ253" s="27">
        <v>0</v>
      </c>
      <c r="AR253" s="27">
        <v>0</v>
      </c>
      <c r="AS253" s="27">
        <v>0</v>
      </c>
      <c r="AT253" s="27">
        <v>1</v>
      </c>
      <c r="AU253" s="27">
        <v>0</v>
      </c>
      <c r="AV253" s="27">
        <v>0</v>
      </c>
      <c r="AW253" s="27">
        <v>1</v>
      </c>
      <c r="AX253" s="27">
        <v>0</v>
      </c>
      <c r="AZ253" s="27">
        <v>1</v>
      </c>
      <c r="BA253" s="27">
        <v>3</v>
      </c>
      <c r="BB253" s="27">
        <v>55.78</v>
      </c>
      <c r="BC253" s="27" t="s">
        <v>161</v>
      </c>
      <c r="BD253" s="27" t="s">
        <v>112</v>
      </c>
      <c r="BE253" s="27" t="s">
        <v>113</v>
      </c>
      <c r="BF253" s="27" t="s">
        <v>77</v>
      </c>
      <c r="BG253" s="27">
        <v>161</v>
      </c>
      <c r="BH253" s="27">
        <v>20</v>
      </c>
      <c r="BI253" s="27">
        <v>0.8895</v>
      </c>
      <c r="BJ253" s="27">
        <v>0</v>
      </c>
      <c r="BK253" s="27">
        <v>30</v>
      </c>
      <c r="BL253" s="27">
        <v>91.8</v>
      </c>
    </row>
    <row r="254" customHeight="1" spans="1:64">
      <c r="A254" s="27" t="s">
        <v>951</v>
      </c>
      <c r="B254" s="27" t="s">
        <v>125</v>
      </c>
      <c r="E254" s="27" t="s">
        <v>122</v>
      </c>
      <c r="F254" s="27" t="s">
        <v>82</v>
      </c>
      <c r="G254" s="27" t="s">
        <v>117</v>
      </c>
      <c r="H254" s="27" t="s">
        <v>138</v>
      </c>
      <c r="I254" s="27" t="s">
        <v>85</v>
      </c>
      <c r="J254" s="27">
        <v>5</v>
      </c>
      <c r="K254" s="27">
        <v>27.99</v>
      </c>
      <c r="M254" s="27">
        <v>0</v>
      </c>
      <c r="N254" s="27">
        <v>0</v>
      </c>
      <c r="O254" s="27">
        <v>0</v>
      </c>
      <c r="P254" s="27" t="s">
        <v>86</v>
      </c>
      <c r="Q254" s="27">
        <v>3.366951</v>
      </c>
      <c r="S254" s="27">
        <v>289</v>
      </c>
      <c r="T254" s="27">
        <v>10</v>
      </c>
      <c r="U254" s="27">
        <v>0.9666</v>
      </c>
      <c r="V254" s="27" t="s">
        <v>154</v>
      </c>
      <c r="W254" s="27">
        <v>8089.11</v>
      </c>
      <c r="X254" s="27">
        <v>5.669881</v>
      </c>
      <c r="Y254" s="27">
        <v>8.998398</v>
      </c>
      <c r="Z254" s="27">
        <v>3.1623</v>
      </c>
      <c r="AA254" s="27" t="s">
        <v>125</v>
      </c>
      <c r="AB254" s="27">
        <v>0</v>
      </c>
      <c r="AC254" s="27">
        <v>0</v>
      </c>
      <c r="AD254" s="27">
        <v>0</v>
      </c>
      <c r="AE254" s="27">
        <v>0</v>
      </c>
      <c r="AF254" s="27">
        <v>1</v>
      </c>
      <c r="AG254" s="27">
        <v>0</v>
      </c>
      <c r="AH254" s="27">
        <v>0</v>
      </c>
      <c r="AI254" s="27">
        <v>0</v>
      </c>
      <c r="AJ254" s="27">
        <v>0</v>
      </c>
      <c r="AK254" s="27">
        <v>0</v>
      </c>
      <c r="AL254" s="27">
        <v>0</v>
      </c>
      <c r="AM254" s="27">
        <v>0</v>
      </c>
      <c r="AN254" s="27">
        <v>0</v>
      </c>
      <c r="AO254" s="27">
        <v>0</v>
      </c>
      <c r="AP254" s="27">
        <v>1</v>
      </c>
      <c r="AQ254" s="27">
        <v>0</v>
      </c>
      <c r="AR254" s="27">
        <v>0</v>
      </c>
      <c r="AS254" s="27">
        <v>1</v>
      </c>
      <c r="AT254" s="27">
        <v>0</v>
      </c>
      <c r="AU254" s="27">
        <v>0</v>
      </c>
      <c r="AV254" s="27">
        <v>0</v>
      </c>
      <c r="AW254" s="27">
        <v>0</v>
      </c>
      <c r="AX254" s="27">
        <v>0</v>
      </c>
      <c r="AZ254" s="27">
        <v>1</v>
      </c>
      <c r="BA254" s="27">
        <v>0</v>
      </c>
      <c r="BB254" s="27">
        <v>62.57</v>
      </c>
      <c r="BC254" s="27" t="s">
        <v>952</v>
      </c>
      <c r="BG254" s="27">
        <v>0</v>
      </c>
      <c r="BH254" s="27">
        <v>0</v>
      </c>
      <c r="BJ254" s="27">
        <v>0</v>
      </c>
      <c r="BK254" s="27">
        <v>74</v>
      </c>
      <c r="BL254" s="27">
        <v>79.7</v>
      </c>
    </row>
    <row r="255" customHeight="1" spans="1:64">
      <c r="A255" s="27" t="s">
        <v>953</v>
      </c>
      <c r="B255" s="27" t="s">
        <v>954</v>
      </c>
      <c r="E255" s="27" t="s">
        <v>955</v>
      </c>
      <c r="F255" s="27" t="s">
        <v>956</v>
      </c>
      <c r="G255" s="27" t="s">
        <v>83</v>
      </c>
      <c r="H255" s="27" t="s">
        <v>84</v>
      </c>
      <c r="I255" s="27" t="s">
        <v>153</v>
      </c>
      <c r="J255" s="27">
        <v>2</v>
      </c>
      <c r="K255" s="27">
        <v>40</v>
      </c>
      <c r="M255" s="27">
        <v>0</v>
      </c>
      <c r="N255" s="27">
        <v>0</v>
      </c>
      <c r="O255" s="27">
        <v>0</v>
      </c>
      <c r="P255" s="27" t="s">
        <v>86</v>
      </c>
      <c r="Q255" s="27">
        <v>3.713572</v>
      </c>
      <c r="V255" s="27" t="s">
        <v>231</v>
      </c>
      <c r="W255" s="27">
        <v>0</v>
      </c>
      <c r="X255" s="27">
        <v>0</v>
      </c>
      <c r="Y255" s="27">
        <v>0</v>
      </c>
      <c r="Z255" s="27">
        <v>0</v>
      </c>
      <c r="AA255" s="27" t="s">
        <v>125</v>
      </c>
      <c r="AB255" s="27">
        <v>0</v>
      </c>
      <c r="AC255" s="27">
        <v>0</v>
      </c>
      <c r="AD255" s="27">
        <v>0</v>
      </c>
      <c r="AE255" s="27">
        <v>0</v>
      </c>
      <c r="AF255" s="27">
        <v>0</v>
      </c>
      <c r="AG255" s="27">
        <v>0</v>
      </c>
      <c r="AH255" s="27">
        <v>0</v>
      </c>
      <c r="AI255" s="27">
        <v>0</v>
      </c>
      <c r="AJ255" s="27">
        <v>0</v>
      </c>
      <c r="AK255" s="27">
        <v>0</v>
      </c>
      <c r="AL255" s="27">
        <v>0</v>
      </c>
      <c r="AM255" s="27">
        <v>0</v>
      </c>
      <c r="AN255" s="27">
        <v>0</v>
      </c>
      <c r="AO255" s="27">
        <v>0</v>
      </c>
      <c r="AP255" s="27">
        <v>0</v>
      </c>
      <c r="AQ255" s="27">
        <v>0</v>
      </c>
      <c r="AR255" s="27">
        <v>0</v>
      </c>
      <c r="AS255" s="27">
        <v>0</v>
      </c>
      <c r="AT255" s="27">
        <v>0</v>
      </c>
      <c r="AU255" s="27">
        <v>0</v>
      </c>
      <c r="AV255" s="27">
        <v>0</v>
      </c>
      <c r="AW255" s="27">
        <v>0</v>
      </c>
      <c r="AX255" s="27">
        <v>0</v>
      </c>
      <c r="AZ255" s="27">
        <v>1</v>
      </c>
      <c r="BA255" s="27">
        <v>0</v>
      </c>
      <c r="BB255" s="27">
        <v>0</v>
      </c>
      <c r="BC255" s="27" t="s">
        <v>957</v>
      </c>
      <c r="BD255" s="27" t="s">
        <v>958</v>
      </c>
      <c r="BE255" s="27" t="s">
        <v>665</v>
      </c>
      <c r="BF255" s="27" t="s">
        <v>77</v>
      </c>
      <c r="BG255" s="27">
        <v>168</v>
      </c>
      <c r="BH255" s="27">
        <v>11</v>
      </c>
      <c r="BI255" s="27">
        <v>0.9385</v>
      </c>
      <c r="BJ255" s="27">
        <v>0</v>
      </c>
    </row>
    <row r="256" customHeight="1" spans="1:64">
      <c r="A256" s="27" t="s">
        <v>959</v>
      </c>
      <c r="B256" s="27" t="s">
        <v>104</v>
      </c>
      <c r="C256" s="27" t="s">
        <v>960</v>
      </c>
      <c r="D256" s="27">
        <v>194644245672</v>
      </c>
      <c r="E256" s="27" t="s">
        <v>81</v>
      </c>
      <c r="F256" s="27" t="s">
        <v>82</v>
      </c>
      <c r="G256" s="27" t="s">
        <v>106</v>
      </c>
      <c r="H256" s="27" t="s">
        <v>107</v>
      </c>
      <c r="I256" s="27" t="s">
        <v>85</v>
      </c>
      <c r="J256" s="27">
        <v>5</v>
      </c>
      <c r="K256" s="27">
        <v>199.96</v>
      </c>
      <c r="L256" s="27">
        <v>349.99</v>
      </c>
      <c r="M256" s="27">
        <v>42.87</v>
      </c>
      <c r="N256" s="27">
        <v>150.03</v>
      </c>
      <c r="O256" s="27">
        <v>1</v>
      </c>
      <c r="P256" s="27" t="s">
        <v>95</v>
      </c>
      <c r="Q256" s="27">
        <v>5.303106</v>
      </c>
      <c r="S256" s="27">
        <v>18</v>
      </c>
      <c r="T256" s="27">
        <v>10</v>
      </c>
      <c r="U256" s="27">
        <v>0.6429</v>
      </c>
      <c r="V256" s="27" t="s">
        <v>72</v>
      </c>
      <c r="W256" s="27">
        <v>3599.28</v>
      </c>
      <c r="X256" s="27">
        <v>2.944439</v>
      </c>
      <c r="Y256" s="27">
        <v>8.188767</v>
      </c>
      <c r="Z256" s="27">
        <v>3.1623</v>
      </c>
      <c r="AA256" s="27" t="s">
        <v>125</v>
      </c>
      <c r="AB256" s="27">
        <v>0</v>
      </c>
      <c r="AC256" s="27">
        <v>0</v>
      </c>
      <c r="AD256" s="27">
        <v>0</v>
      </c>
      <c r="AE256" s="27">
        <v>0</v>
      </c>
      <c r="AF256" s="27">
        <v>0</v>
      </c>
      <c r="AG256" s="27">
        <v>0</v>
      </c>
      <c r="AH256" s="27">
        <v>1</v>
      </c>
      <c r="AI256" s="27">
        <v>0</v>
      </c>
      <c r="AJ256" s="27">
        <v>0</v>
      </c>
      <c r="AK256" s="27">
        <v>0</v>
      </c>
      <c r="AL256" s="27">
        <v>0</v>
      </c>
      <c r="AM256" s="27">
        <v>0</v>
      </c>
      <c r="AN256" s="27">
        <v>0</v>
      </c>
      <c r="AO256" s="27">
        <v>0</v>
      </c>
      <c r="AP256" s="27">
        <v>0</v>
      </c>
      <c r="AQ256" s="27">
        <v>0</v>
      </c>
      <c r="AR256" s="27">
        <v>0</v>
      </c>
      <c r="AS256" s="27">
        <v>0</v>
      </c>
      <c r="AT256" s="27">
        <v>1</v>
      </c>
      <c r="AU256" s="27">
        <v>1</v>
      </c>
      <c r="AV256" s="27">
        <v>0</v>
      </c>
      <c r="AW256" s="27">
        <v>1</v>
      </c>
      <c r="AX256" s="27">
        <v>0</v>
      </c>
      <c r="AZ256" s="27">
        <v>1</v>
      </c>
      <c r="BA256" s="27">
        <v>1</v>
      </c>
      <c r="BB256" s="27">
        <v>68.16</v>
      </c>
      <c r="BC256" s="27" t="s">
        <v>161</v>
      </c>
      <c r="BD256" s="27" t="s">
        <v>112</v>
      </c>
      <c r="BE256" s="27" t="s">
        <v>113</v>
      </c>
      <c r="BF256" s="27" t="s">
        <v>77</v>
      </c>
      <c r="BG256" s="27">
        <v>143</v>
      </c>
      <c r="BH256" s="27">
        <v>44</v>
      </c>
      <c r="BI256" s="27">
        <v>0.7647</v>
      </c>
      <c r="BJ256" s="27">
        <v>0</v>
      </c>
      <c r="BK256" s="27">
        <v>5</v>
      </c>
      <c r="BL256" s="27">
        <v>98.6</v>
      </c>
    </row>
    <row r="257" customHeight="1" spans="1:64">
      <c r="A257" s="27" t="s">
        <v>961</v>
      </c>
      <c r="B257" s="27" t="s">
        <v>962</v>
      </c>
      <c r="E257" s="27" t="s">
        <v>559</v>
      </c>
      <c r="F257" s="27" t="s">
        <v>240</v>
      </c>
      <c r="G257" s="27" t="s">
        <v>83</v>
      </c>
      <c r="H257" s="27" t="s">
        <v>84</v>
      </c>
      <c r="I257" s="27" t="s">
        <v>153</v>
      </c>
      <c r="J257" s="27">
        <v>2</v>
      </c>
      <c r="K257" s="27">
        <v>69</v>
      </c>
      <c r="M257" s="27">
        <v>0</v>
      </c>
      <c r="N257" s="27">
        <v>0</v>
      </c>
      <c r="O257" s="27">
        <v>0</v>
      </c>
      <c r="P257" s="27" t="s">
        <v>86</v>
      </c>
      <c r="Q257" s="27">
        <v>4.248495</v>
      </c>
      <c r="R257" s="27">
        <v>17.25</v>
      </c>
      <c r="V257" s="27" t="s">
        <v>231</v>
      </c>
      <c r="W257" s="27">
        <v>0</v>
      </c>
      <c r="X257" s="27">
        <v>0</v>
      </c>
      <c r="Y257" s="27">
        <v>0</v>
      </c>
      <c r="Z257" s="27">
        <v>0</v>
      </c>
      <c r="AA257" s="27" t="s">
        <v>125</v>
      </c>
      <c r="AB257" s="27">
        <v>0</v>
      </c>
      <c r="AC257" s="27">
        <v>0</v>
      </c>
      <c r="AD257" s="27">
        <v>0</v>
      </c>
      <c r="AE257" s="27">
        <v>0</v>
      </c>
      <c r="AF257" s="27">
        <v>0</v>
      </c>
      <c r="AG257" s="27">
        <v>0</v>
      </c>
      <c r="AH257" s="27">
        <v>0</v>
      </c>
      <c r="AI257" s="27">
        <v>0</v>
      </c>
      <c r="AJ257" s="27">
        <v>0</v>
      </c>
      <c r="AK257" s="27">
        <v>0</v>
      </c>
      <c r="AL257" s="27">
        <v>0</v>
      </c>
      <c r="AM257" s="27">
        <v>0</v>
      </c>
      <c r="AN257" s="27">
        <v>0</v>
      </c>
      <c r="AO257" s="27">
        <v>0</v>
      </c>
      <c r="AP257" s="27">
        <v>0</v>
      </c>
      <c r="AQ257" s="27">
        <v>1</v>
      </c>
      <c r="AR257" s="27">
        <v>0</v>
      </c>
      <c r="AS257" s="27">
        <v>0</v>
      </c>
      <c r="AT257" s="27">
        <v>0</v>
      </c>
      <c r="AU257" s="27">
        <v>0</v>
      </c>
      <c r="AV257" s="27">
        <v>1</v>
      </c>
      <c r="AW257" s="27">
        <v>1</v>
      </c>
      <c r="AX257" s="27">
        <v>0</v>
      </c>
      <c r="AY257" s="27">
        <v>4</v>
      </c>
      <c r="AZ257" s="27">
        <v>1</v>
      </c>
      <c r="BA257" s="27">
        <v>1</v>
      </c>
      <c r="BB257" s="27">
        <v>0</v>
      </c>
      <c r="BC257" s="27" t="s">
        <v>963</v>
      </c>
      <c r="BD257" s="27" t="s">
        <v>97</v>
      </c>
      <c r="BE257" s="27" t="s">
        <v>98</v>
      </c>
      <c r="BF257" s="27" t="s">
        <v>77</v>
      </c>
      <c r="BG257" s="27">
        <v>1</v>
      </c>
      <c r="BH257" s="27">
        <v>28</v>
      </c>
      <c r="BI257" s="27">
        <v>0.0345</v>
      </c>
      <c r="BJ257" s="27">
        <v>1</v>
      </c>
      <c r="BK257" s="27">
        <v>562</v>
      </c>
      <c r="BL257" s="27">
        <v>0</v>
      </c>
    </row>
    <row r="258" customHeight="1" spans="1:64">
      <c r="A258" s="27" t="s">
        <v>964</v>
      </c>
      <c r="B258" s="27" t="s">
        <v>144</v>
      </c>
      <c r="E258" s="27" t="s">
        <v>434</v>
      </c>
      <c r="F258" s="27" t="s">
        <v>240</v>
      </c>
      <c r="G258" s="27" t="s">
        <v>83</v>
      </c>
      <c r="H258" s="27" t="s">
        <v>84</v>
      </c>
      <c r="I258" s="27" t="s">
        <v>85</v>
      </c>
      <c r="J258" s="27">
        <v>5</v>
      </c>
      <c r="K258" s="27">
        <v>129</v>
      </c>
      <c r="M258" s="27">
        <v>0</v>
      </c>
      <c r="N258" s="27">
        <v>0</v>
      </c>
      <c r="O258" s="27">
        <v>0</v>
      </c>
      <c r="P258" s="27" t="s">
        <v>95</v>
      </c>
      <c r="Q258" s="27">
        <v>4.867534</v>
      </c>
      <c r="S258" s="27">
        <v>2</v>
      </c>
      <c r="T258" s="27">
        <v>10</v>
      </c>
      <c r="U258" s="27">
        <v>0.1667</v>
      </c>
      <c r="V258" s="27" t="s">
        <v>87</v>
      </c>
      <c r="W258" s="27">
        <v>258</v>
      </c>
      <c r="X258" s="27">
        <v>1.098612</v>
      </c>
      <c r="Y258" s="27">
        <v>5.556828</v>
      </c>
      <c r="Z258" s="27">
        <v>3.1623</v>
      </c>
      <c r="AA258" s="27" t="s">
        <v>125</v>
      </c>
      <c r="AB258" s="27">
        <v>0</v>
      </c>
      <c r="AC258" s="27">
        <v>0</v>
      </c>
      <c r="AD258" s="27">
        <v>0</v>
      </c>
      <c r="AE258" s="27">
        <v>0</v>
      </c>
      <c r="AF258" s="27">
        <v>0</v>
      </c>
      <c r="AG258" s="27">
        <v>0</v>
      </c>
      <c r="AH258" s="27">
        <v>0</v>
      </c>
      <c r="AI258" s="27">
        <v>0</v>
      </c>
      <c r="AJ258" s="27">
        <v>0</v>
      </c>
      <c r="AK258" s="27">
        <v>0</v>
      </c>
      <c r="AL258" s="27">
        <v>0</v>
      </c>
      <c r="AM258" s="27">
        <v>0</v>
      </c>
      <c r="AN258" s="27">
        <v>0</v>
      </c>
      <c r="AO258" s="27">
        <v>0</v>
      </c>
      <c r="AP258" s="27">
        <v>0</v>
      </c>
      <c r="AQ258" s="27">
        <v>0</v>
      </c>
      <c r="AR258" s="27">
        <v>0</v>
      </c>
      <c r="AS258" s="27">
        <v>0</v>
      </c>
      <c r="AT258" s="27">
        <v>0</v>
      </c>
      <c r="AU258" s="27">
        <v>0</v>
      </c>
      <c r="AV258" s="27">
        <v>0</v>
      </c>
      <c r="AW258" s="27">
        <v>0</v>
      </c>
      <c r="AX258" s="27">
        <v>0</v>
      </c>
      <c r="AZ258" s="27">
        <v>1</v>
      </c>
      <c r="BA258" s="27">
        <v>0</v>
      </c>
      <c r="BB258" s="27">
        <v>18.58</v>
      </c>
      <c r="BC258" s="27" t="s">
        <v>965</v>
      </c>
      <c r="BG258" s="27">
        <v>0</v>
      </c>
      <c r="BH258" s="27">
        <v>0</v>
      </c>
      <c r="BJ258" s="27">
        <v>0</v>
      </c>
      <c r="BK258" s="27">
        <v>220</v>
      </c>
      <c r="BL258" s="27">
        <v>39.7</v>
      </c>
    </row>
    <row r="259" customHeight="1" spans="1:64">
      <c r="A259" s="27" t="s">
        <v>966</v>
      </c>
      <c r="B259" s="27" t="s">
        <v>967</v>
      </c>
      <c r="D259" s="27">
        <v>744390953460</v>
      </c>
      <c r="E259" s="27" t="s">
        <v>968</v>
      </c>
      <c r="F259" s="27" t="s">
        <v>82</v>
      </c>
      <c r="G259" s="27" t="s">
        <v>83</v>
      </c>
      <c r="H259" s="27" t="s">
        <v>84</v>
      </c>
      <c r="I259" s="27" t="s">
        <v>85</v>
      </c>
      <c r="J259" s="27">
        <v>5</v>
      </c>
      <c r="K259" s="27">
        <v>19</v>
      </c>
      <c r="M259" s="27">
        <v>0</v>
      </c>
      <c r="N259" s="27">
        <v>0</v>
      </c>
      <c r="O259" s="27">
        <v>0</v>
      </c>
      <c r="P259" s="27" t="s">
        <v>133</v>
      </c>
      <c r="Q259" s="27">
        <v>2.995732</v>
      </c>
      <c r="S259" s="27">
        <v>31</v>
      </c>
      <c r="T259" s="27">
        <v>10</v>
      </c>
      <c r="U259" s="27">
        <v>0.7561</v>
      </c>
      <c r="V259" s="27" t="s">
        <v>72</v>
      </c>
      <c r="W259" s="27">
        <v>589</v>
      </c>
      <c r="X259" s="27">
        <v>3.465736</v>
      </c>
      <c r="Y259" s="27">
        <v>6.380123</v>
      </c>
      <c r="Z259" s="27">
        <v>3.1623</v>
      </c>
      <c r="AA259" s="27" t="s">
        <v>139</v>
      </c>
      <c r="AB259" s="27">
        <v>1</v>
      </c>
      <c r="AC259" s="27">
        <v>0</v>
      </c>
      <c r="AD259" s="27">
        <v>0</v>
      </c>
      <c r="AE259" s="27">
        <v>0</v>
      </c>
      <c r="AF259" s="27">
        <v>0</v>
      </c>
      <c r="AG259" s="27">
        <v>0</v>
      </c>
      <c r="AH259" s="27">
        <v>1</v>
      </c>
      <c r="AI259" s="27">
        <v>0</v>
      </c>
      <c r="AJ259" s="27">
        <v>0</v>
      </c>
      <c r="AK259" s="27">
        <v>1</v>
      </c>
      <c r="AL259" s="27">
        <v>0</v>
      </c>
      <c r="AM259" s="27">
        <v>0</v>
      </c>
      <c r="AN259" s="27">
        <v>0</v>
      </c>
      <c r="AO259" s="27">
        <v>0</v>
      </c>
      <c r="AP259" s="27">
        <v>0</v>
      </c>
      <c r="AQ259" s="27">
        <v>0</v>
      </c>
      <c r="AR259" s="27">
        <v>1</v>
      </c>
      <c r="AS259" s="27">
        <v>0</v>
      </c>
      <c r="AT259" s="27">
        <v>0</v>
      </c>
      <c r="AU259" s="27">
        <v>1</v>
      </c>
      <c r="AV259" s="27">
        <v>0</v>
      </c>
      <c r="AW259" s="27">
        <v>0</v>
      </c>
      <c r="AX259" s="27">
        <v>0</v>
      </c>
      <c r="AZ259" s="27">
        <v>1</v>
      </c>
      <c r="BA259" s="27">
        <v>4</v>
      </c>
      <c r="BB259" s="27">
        <v>60.09</v>
      </c>
      <c r="BC259" s="27" t="s">
        <v>969</v>
      </c>
      <c r="BD259" s="27" t="s">
        <v>970</v>
      </c>
      <c r="BE259" s="27" t="s">
        <v>77</v>
      </c>
      <c r="BF259" s="27" t="s">
        <v>77</v>
      </c>
      <c r="BG259" s="27">
        <v>162</v>
      </c>
      <c r="BH259" s="27">
        <v>20</v>
      </c>
      <c r="BI259" s="27">
        <v>0.8901</v>
      </c>
      <c r="BJ259" s="27">
        <v>0</v>
      </c>
      <c r="BK259" s="27">
        <v>2</v>
      </c>
      <c r="BL259" s="27">
        <v>99.5</v>
      </c>
    </row>
    <row r="260" customHeight="1" spans="1:64">
      <c r="A260" s="27" t="s">
        <v>971</v>
      </c>
      <c r="B260" s="27" t="s">
        <v>335</v>
      </c>
      <c r="C260" s="27" t="s">
        <v>972</v>
      </c>
      <c r="E260" s="27" t="s">
        <v>449</v>
      </c>
      <c r="F260" s="27" t="s">
        <v>82</v>
      </c>
      <c r="G260" s="27" t="s">
        <v>83</v>
      </c>
      <c r="H260" s="27" t="s">
        <v>84</v>
      </c>
      <c r="I260" s="27" t="s">
        <v>85</v>
      </c>
      <c r="J260" s="27">
        <v>5</v>
      </c>
      <c r="K260" s="27">
        <v>156.59</v>
      </c>
      <c r="L260" s="27">
        <v>179.99</v>
      </c>
      <c r="M260" s="27">
        <v>13</v>
      </c>
      <c r="N260" s="27">
        <v>23.4</v>
      </c>
      <c r="O260" s="27">
        <v>1</v>
      </c>
      <c r="P260" s="27" t="s">
        <v>95</v>
      </c>
      <c r="Q260" s="27">
        <v>5.059997</v>
      </c>
      <c r="S260" s="27">
        <v>4</v>
      </c>
      <c r="T260" s="27">
        <v>10</v>
      </c>
      <c r="U260" s="27">
        <v>0.2857</v>
      </c>
      <c r="V260" s="27" t="s">
        <v>87</v>
      </c>
      <c r="W260" s="27">
        <v>626.36</v>
      </c>
      <c r="X260" s="27">
        <v>1.609438</v>
      </c>
      <c r="Y260" s="27">
        <v>6.441521</v>
      </c>
      <c r="Z260" s="27">
        <v>3.1623</v>
      </c>
      <c r="AA260" s="27" t="s">
        <v>291</v>
      </c>
      <c r="AB260" s="27">
        <v>1</v>
      </c>
      <c r="AC260" s="27">
        <v>0</v>
      </c>
      <c r="AD260" s="27">
        <v>0</v>
      </c>
      <c r="AE260" s="27">
        <v>0</v>
      </c>
      <c r="AF260" s="27">
        <v>0</v>
      </c>
      <c r="AG260" s="27">
        <v>1</v>
      </c>
      <c r="AH260" s="27">
        <v>0</v>
      </c>
      <c r="AI260" s="27">
        <v>1</v>
      </c>
      <c r="AJ260" s="27">
        <v>0</v>
      </c>
      <c r="AK260" s="27">
        <v>1</v>
      </c>
      <c r="AL260" s="27">
        <v>0</v>
      </c>
      <c r="AM260" s="27">
        <v>0</v>
      </c>
      <c r="AN260" s="27">
        <v>0</v>
      </c>
      <c r="AO260" s="27">
        <v>0</v>
      </c>
      <c r="AP260" s="27">
        <v>0</v>
      </c>
      <c r="AQ260" s="27">
        <v>0</v>
      </c>
      <c r="AR260" s="27">
        <v>0</v>
      </c>
      <c r="AS260" s="27">
        <v>0</v>
      </c>
      <c r="AT260" s="27">
        <v>1</v>
      </c>
      <c r="AU260" s="27">
        <v>0</v>
      </c>
      <c r="AV260" s="27">
        <v>0</v>
      </c>
      <c r="AW260" s="27">
        <v>0</v>
      </c>
      <c r="AX260" s="27">
        <v>0</v>
      </c>
      <c r="AZ260" s="27">
        <v>1</v>
      </c>
      <c r="BA260" s="27">
        <v>2</v>
      </c>
      <c r="BB260" s="27">
        <v>43.77</v>
      </c>
      <c r="BC260" s="27" t="s">
        <v>336</v>
      </c>
      <c r="BD260" s="27" t="s">
        <v>337</v>
      </c>
      <c r="BE260" s="27" t="s">
        <v>76</v>
      </c>
      <c r="BF260" s="27" t="s">
        <v>77</v>
      </c>
      <c r="BG260" s="27">
        <v>168</v>
      </c>
      <c r="BH260" s="27">
        <v>53</v>
      </c>
      <c r="BI260" s="27">
        <v>0.7602</v>
      </c>
      <c r="BJ260" s="27">
        <v>0</v>
      </c>
      <c r="BK260" s="27">
        <v>19</v>
      </c>
      <c r="BL260" s="27">
        <v>94.8</v>
      </c>
    </row>
    <row r="261" customHeight="1" spans="1:64">
      <c r="A261" s="27" t="s">
        <v>973</v>
      </c>
      <c r="B261" s="27" t="s">
        <v>115</v>
      </c>
      <c r="E261" s="27" t="s">
        <v>163</v>
      </c>
      <c r="F261" s="27" t="s">
        <v>82</v>
      </c>
      <c r="G261" s="27" t="s">
        <v>117</v>
      </c>
      <c r="H261" s="27" t="s">
        <v>107</v>
      </c>
      <c r="I261" s="27" t="s">
        <v>85</v>
      </c>
      <c r="J261" s="27">
        <v>5</v>
      </c>
      <c r="K261" s="27">
        <v>9.99</v>
      </c>
      <c r="M261" s="27">
        <v>0</v>
      </c>
      <c r="N261" s="27">
        <v>0</v>
      </c>
      <c r="O261" s="27">
        <v>0</v>
      </c>
      <c r="P261" s="27" t="s">
        <v>133</v>
      </c>
      <c r="Q261" s="27">
        <v>2.396986</v>
      </c>
      <c r="S261" s="27">
        <v>41</v>
      </c>
      <c r="T261" s="27">
        <v>4</v>
      </c>
      <c r="U261" s="27">
        <v>0.9111</v>
      </c>
      <c r="V261" s="27" t="s">
        <v>72</v>
      </c>
      <c r="W261" s="27">
        <v>409.59</v>
      </c>
      <c r="X261" s="27">
        <v>3.73767</v>
      </c>
      <c r="Y261" s="27">
        <v>6.017595</v>
      </c>
      <c r="Z261" s="27">
        <v>2</v>
      </c>
      <c r="AA261" s="27" t="s">
        <v>125</v>
      </c>
      <c r="AB261" s="27">
        <v>0</v>
      </c>
      <c r="AC261" s="27">
        <v>0</v>
      </c>
      <c r="AD261" s="27">
        <v>0</v>
      </c>
      <c r="AE261" s="27">
        <v>0</v>
      </c>
      <c r="AF261" s="27">
        <v>1</v>
      </c>
      <c r="AG261" s="27">
        <v>0</v>
      </c>
      <c r="AH261" s="27">
        <v>0</v>
      </c>
      <c r="AI261" s="27">
        <v>0</v>
      </c>
      <c r="AJ261" s="27">
        <v>0</v>
      </c>
      <c r="AK261" s="27">
        <v>0</v>
      </c>
      <c r="AL261" s="27">
        <v>0</v>
      </c>
      <c r="AM261" s="27">
        <v>0</v>
      </c>
      <c r="AN261" s="27">
        <v>0</v>
      </c>
      <c r="AO261" s="27">
        <v>0</v>
      </c>
      <c r="AP261" s="27">
        <v>1</v>
      </c>
      <c r="AQ261" s="27">
        <v>0</v>
      </c>
      <c r="AR261" s="27">
        <v>0</v>
      </c>
      <c r="AS261" s="27">
        <v>0</v>
      </c>
      <c r="AT261" s="27">
        <v>0</v>
      </c>
      <c r="AU261" s="27">
        <v>0</v>
      </c>
      <c r="AV261" s="27">
        <v>0</v>
      </c>
      <c r="AW261" s="27">
        <v>1</v>
      </c>
      <c r="AX261" s="27">
        <v>0</v>
      </c>
      <c r="AZ261" s="27">
        <v>1</v>
      </c>
      <c r="BA261" s="27">
        <v>0</v>
      </c>
      <c r="BB261" s="27">
        <v>66.11</v>
      </c>
      <c r="BC261" s="27" t="s">
        <v>974</v>
      </c>
      <c r="BD261" s="27" t="s">
        <v>975</v>
      </c>
      <c r="BE261" s="27" t="s">
        <v>128</v>
      </c>
      <c r="BF261" s="27" t="s">
        <v>77</v>
      </c>
      <c r="BG261" s="27">
        <v>1</v>
      </c>
      <c r="BH261" s="27">
        <v>11</v>
      </c>
      <c r="BI261" s="27">
        <v>0.0833</v>
      </c>
      <c r="BJ261" s="27">
        <v>1</v>
      </c>
      <c r="BK261" s="27">
        <v>4</v>
      </c>
      <c r="BL261" s="27">
        <v>98.9</v>
      </c>
    </row>
    <row r="262" customHeight="1" spans="1:64">
      <c r="A262" s="27" t="s">
        <v>976</v>
      </c>
      <c r="B262" s="27" t="s">
        <v>125</v>
      </c>
      <c r="E262" s="27" t="s">
        <v>81</v>
      </c>
      <c r="F262" s="27" t="s">
        <v>82</v>
      </c>
      <c r="G262" s="27" t="s">
        <v>83</v>
      </c>
      <c r="H262" s="27" t="s">
        <v>138</v>
      </c>
      <c r="I262" s="27" t="s">
        <v>85</v>
      </c>
      <c r="J262" s="27">
        <v>5</v>
      </c>
      <c r="K262" s="27">
        <v>8.99</v>
      </c>
      <c r="M262" s="27">
        <v>0</v>
      </c>
      <c r="N262" s="27">
        <v>0</v>
      </c>
      <c r="O262" s="27">
        <v>0</v>
      </c>
      <c r="P262" s="27" t="s">
        <v>133</v>
      </c>
      <c r="Q262" s="27">
        <v>2.301585</v>
      </c>
      <c r="S262" s="27">
        <v>66</v>
      </c>
      <c r="T262" s="27">
        <v>10</v>
      </c>
      <c r="U262" s="27">
        <v>0.8684</v>
      </c>
      <c r="V262" s="27" t="s">
        <v>72</v>
      </c>
      <c r="W262" s="27">
        <v>593.34</v>
      </c>
      <c r="X262" s="27">
        <v>4.204693</v>
      </c>
      <c r="Y262" s="27">
        <v>6.387452</v>
      </c>
      <c r="Z262" s="27">
        <v>3.1623</v>
      </c>
      <c r="AA262" s="27" t="s">
        <v>187</v>
      </c>
      <c r="AB262" s="27">
        <v>0</v>
      </c>
      <c r="AC262" s="27">
        <v>0</v>
      </c>
      <c r="AD262" s="27">
        <v>0</v>
      </c>
      <c r="AE262" s="27">
        <v>0</v>
      </c>
      <c r="AF262" s="27">
        <v>0</v>
      </c>
      <c r="AG262" s="27">
        <v>0</v>
      </c>
      <c r="AH262" s="27">
        <v>1</v>
      </c>
      <c r="AI262" s="27">
        <v>0</v>
      </c>
      <c r="AJ262" s="27">
        <v>1</v>
      </c>
      <c r="AK262" s="27">
        <v>0</v>
      </c>
      <c r="AL262" s="27">
        <v>0</v>
      </c>
      <c r="AM262" s="27">
        <v>0</v>
      </c>
      <c r="AN262" s="27">
        <v>0</v>
      </c>
      <c r="AO262" s="27">
        <v>0</v>
      </c>
      <c r="AP262" s="27">
        <v>0</v>
      </c>
      <c r="AQ262" s="27">
        <v>0</v>
      </c>
      <c r="AR262" s="27">
        <v>0</v>
      </c>
      <c r="AS262" s="27">
        <v>0</v>
      </c>
      <c r="AT262" s="27">
        <v>0</v>
      </c>
      <c r="AU262" s="27">
        <v>0</v>
      </c>
      <c r="AV262" s="27">
        <v>0</v>
      </c>
      <c r="AW262" s="27">
        <v>0</v>
      </c>
      <c r="AX262" s="27">
        <v>0</v>
      </c>
      <c r="AZ262" s="27">
        <v>1</v>
      </c>
      <c r="BA262" s="27">
        <v>1</v>
      </c>
      <c r="BB262" s="27">
        <v>60.87</v>
      </c>
      <c r="BC262" s="27" t="s">
        <v>977</v>
      </c>
      <c r="BD262" s="27" t="s">
        <v>793</v>
      </c>
      <c r="BE262" s="27" t="s">
        <v>128</v>
      </c>
      <c r="BF262" s="27" t="s">
        <v>77</v>
      </c>
      <c r="BG262" s="27">
        <v>1</v>
      </c>
      <c r="BH262" s="27">
        <v>47</v>
      </c>
      <c r="BI262" s="27">
        <v>0.0208</v>
      </c>
      <c r="BJ262" s="27">
        <v>1</v>
      </c>
      <c r="BK262" s="27">
        <v>47</v>
      </c>
      <c r="BL262" s="27">
        <v>87.1</v>
      </c>
    </row>
    <row r="263" customHeight="1" spans="1:64">
      <c r="A263" s="27" t="s">
        <v>978</v>
      </c>
      <c r="B263" s="27" t="s">
        <v>125</v>
      </c>
      <c r="E263" s="27" t="s">
        <v>163</v>
      </c>
      <c r="F263" s="27" t="s">
        <v>240</v>
      </c>
      <c r="G263" s="27" t="s">
        <v>83</v>
      </c>
      <c r="H263" s="27" t="s">
        <v>138</v>
      </c>
      <c r="I263" s="27" t="s">
        <v>85</v>
      </c>
      <c r="J263" s="27">
        <v>5</v>
      </c>
      <c r="K263" s="27">
        <v>45.59</v>
      </c>
      <c r="M263" s="27">
        <v>0</v>
      </c>
      <c r="N263" s="27">
        <v>0</v>
      </c>
      <c r="O263" s="27">
        <v>0</v>
      </c>
      <c r="P263" s="27" t="s">
        <v>86</v>
      </c>
      <c r="Q263" s="27">
        <v>3.841386</v>
      </c>
      <c r="S263" s="27">
        <v>19</v>
      </c>
      <c r="T263" s="27">
        <v>10</v>
      </c>
      <c r="U263" s="27">
        <v>0.6552</v>
      </c>
      <c r="V263" s="27" t="s">
        <v>72</v>
      </c>
      <c r="W263" s="27">
        <v>866.21</v>
      </c>
      <c r="X263" s="27">
        <v>2.995732</v>
      </c>
      <c r="Y263" s="27">
        <v>6.765281</v>
      </c>
      <c r="Z263" s="27">
        <v>3.1623</v>
      </c>
      <c r="AA263" s="27" t="s">
        <v>139</v>
      </c>
      <c r="AB263" s="27">
        <v>0</v>
      </c>
      <c r="AC263" s="27">
        <v>0</v>
      </c>
      <c r="AD263" s="27">
        <v>0</v>
      </c>
      <c r="AE263" s="27">
        <v>0</v>
      </c>
      <c r="AF263" s="27">
        <v>0</v>
      </c>
      <c r="AG263" s="27">
        <v>0</v>
      </c>
      <c r="AH263" s="27">
        <v>0</v>
      </c>
      <c r="AI263" s="27">
        <v>0</v>
      </c>
      <c r="AJ263" s="27">
        <v>0</v>
      </c>
      <c r="AK263" s="27">
        <v>0</v>
      </c>
      <c r="AL263" s="27">
        <v>0</v>
      </c>
      <c r="AM263" s="27">
        <v>0</v>
      </c>
      <c r="AN263" s="27">
        <v>0</v>
      </c>
      <c r="AO263" s="27">
        <v>0</v>
      </c>
      <c r="AP263" s="27">
        <v>0</v>
      </c>
      <c r="AQ263" s="27">
        <v>0</v>
      </c>
      <c r="AR263" s="27">
        <v>0</v>
      </c>
      <c r="AS263" s="27">
        <v>0</v>
      </c>
      <c r="AT263" s="27">
        <v>0</v>
      </c>
      <c r="AU263" s="27">
        <v>0</v>
      </c>
      <c r="AV263" s="27">
        <v>0</v>
      </c>
      <c r="AW263" s="27">
        <v>0</v>
      </c>
      <c r="AX263" s="27">
        <v>0</v>
      </c>
      <c r="AZ263" s="27">
        <v>1</v>
      </c>
      <c r="BA263" s="27">
        <v>0</v>
      </c>
      <c r="BB263" s="27">
        <v>56.06</v>
      </c>
      <c r="BC263" s="27" t="s">
        <v>979</v>
      </c>
      <c r="BD263" s="27" t="s">
        <v>180</v>
      </c>
      <c r="BE263" s="27" t="s">
        <v>113</v>
      </c>
      <c r="BF263" s="27" t="s">
        <v>77</v>
      </c>
      <c r="BG263" s="27">
        <v>163</v>
      </c>
      <c r="BH263" s="27">
        <v>59</v>
      </c>
      <c r="BI263" s="27">
        <v>0.7342</v>
      </c>
      <c r="BJ263" s="27">
        <v>0</v>
      </c>
      <c r="BK263" s="27">
        <v>2</v>
      </c>
      <c r="BL263" s="27">
        <v>99.5</v>
      </c>
    </row>
    <row r="264" customHeight="1" spans="1:64">
      <c r="A264" s="27" t="s">
        <v>980</v>
      </c>
      <c r="B264" s="27" t="s">
        <v>293</v>
      </c>
      <c r="E264" s="27" t="s">
        <v>294</v>
      </c>
      <c r="F264" s="27" t="s">
        <v>198</v>
      </c>
      <c r="G264" s="27" t="s">
        <v>83</v>
      </c>
      <c r="H264" s="27" t="s">
        <v>84</v>
      </c>
      <c r="I264" s="27" t="s">
        <v>85</v>
      </c>
      <c r="J264" s="27">
        <v>5</v>
      </c>
      <c r="K264" s="27">
        <v>25.99</v>
      </c>
      <c r="M264" s="27">
        <v>0</v>
      </c>
      <c r="N264" s="27">
        <v>0</v>
      </c>
      <c r="O264" s="27">
        <v>0</v>
      </c>
      <c r="P264" s="27" t="s">
        <v>86</v>
      </c>
      <c r="Q264" s="27">
        <v>3.295466</v>
      </c>
      <c r="S264" s="27">
        <v>361</v>
      </c>
      <c r="T264" s="27">
        <v>2</v>
      </c>
      <c r="U264" s="27">
        <v>0.9945</v>
      </c>
      <c r="V264" s="27" t="s">
        <v>154</v>
      </c>
      <c r="W264" s="27">
        <v>9382.39</v>
      </c>
      <c r="X264" s="27">
        <v>5.891644</v>
      </c>
      <c r="Y264" s="27">
        <v>9.146696</v>
      </c>
      <c r="Z264" s="27">
        <v>1.4142</v>
      </c>
      <c r="AA264" s="27" t="s">
        <v>125</v>
      </c>
      <c r="AB264" s="27">
        <v>0</v>
      </c>
      <c r="AC264" s="27">
        <v>0</v>
      </c>
      <c r="AD264" s="27">
        <v>0</v>
      </c>
      <c r="AE264" s="27">
        <v>0</v>
      </c>
      <c r="AF264" s="27">
        <v>0</v>
      </c>
      <c r="AG264" s="27">
        <v>0</v>
      </c>
      <c r="AH264" s="27">
        <v>1</v>
      </c>
      <c r="AI264" s="27">
        <v>0</v>
      </c>
      <c r="AJ264" s="27">
        <v>0</v>
      </c>
      <c r="AK264" s="27">
        <v>0</v>
      </c>
      <c r="AL264" s="27">
        <v>0</v>
      </c>
      <c r="AM264" s="27">
        <v>0</v>
      </c>
      <c r="AN264" s="27">
        <v>0</v>
      </c>
      <c r="AO264" s="27">
        <v>0</v>
      </c>
      <c r="AP264" s="27">
        <v>0</v>
      </c>
      <c r="AQ264" s="27">
        <v>0</v>
      </c>
      <c r="AR264" s="27">
        <v>0</v>
      </c>
      <c r="AS264" s="27">
        <v>0</v>
      </c>
      <c r="AT264" s="27">
        <v>1</v>
      </c>
      <c r="AU264" s="27">
        <v>0</v>
      </c>
      <c r="AV264" s="27">
        <v>0</v>
      </c>
      <c r="AW264" s="27">
        <v>0</v>
      </c>
      <c r="AX264" s="27">
        <v>0</v>
      </c>
      <c r="AZ264" s="27">
        <v>1</v>
      </c>
      <c r="BA264" s="27">
        <v>1</v>
      </c>
      <c r="BB264" s="27">
        <v>69.36</v>
      </c>
      <c r="BC264" s="27" t="s">
        <v>981</v>
      </c>
      <c r="BD264" s="27" t="s">
        <v>97</v>
      </c>
      <c r="BE264" s="27" t="s">
        <v>76</v>
      </c>
      <c r="BF264" s="27" t="s">
        <v>77</v>
      </c>
      <c r="BG264" s="27">
        <v>163</v>
      </c>
      <c r="BH264" s="27">
        <v>58</v>
      </c>
      <c r="BI264" s="27">
        <v>0.7376</v>
      </c>
      <c r="BJ264" s="27">
        <v>0</v>
      </c>
      <c r="BK264" s="27">
        <v>5</v>
      </c>
      <c r="BL264" s="27">
        <v>98.6</v>
      </c>
    </row>
    <row r="265" customHeight="1" spans="1:64">
      <c r="A265" s="27" t="s">
        <v>982</v>
      </c>
      <c r="B265" s="27" t="s">
        <v>125</v>
      </c>
      <c r="E265" s="27" t="s">
        <v>81</v>
      </c>
      <c r="F265" s="27" t="s">
        <v>82</v>
      </c>
      <c r="G265" s="27" t="s">
        <v>83</v>
      </c>
      <c r="H265" s="27" t="s">
        <v>138</v>
      </c>
      <c r="I265" s="27" t="s">
        <v>85</v>
      </c>
      <c r="J265" s="27">
        <v>5</v>
      </c>
      <c r="K265" s="27">
        <v>228.99</v>
      </c>
      <c r="M265" s="27">
        <v>0</v>
      </c>
      <c r="N265" s="27">
        <v>0</v>
      </c>
      <c r="O265" s="27">
        <v>0</v>
      </c>
      <c r="P265" s="27" t="s">
        <v>71</v>
      </c>
      <c r="Q265" s="27">
        <v>5.438036</v>
      </c>
      <c r="S265" s="27">
        <v>6</v>
      </c>
      <c r="T265" s="27">
        <v>10</v>
      </c>
      <c r="U265" s="27">
        <v>0.375</v>
      </c>
      <c r="V265" s="27" t="s">
        <v>87</v>
      </c>
      <c r="W265" s="27">
        <v>1373.94</v>
      </c>
      <c r="X265" s="27">
        <v>1.94591</v>
      </c>
      <c r="Y265" s="27">
        <v>7.226165</v>
      </c>
      <c r="Z265" s="27">
        <v>3.1623</v>
      </c>
      <c r="AA265" s="27" t="s">
        <v>125</v>
      </c>
      <c r="AB265" s="27">
        <v>0</v>
      </c>
      <c r="AC265" s="27">
        <v>0</v>
      </c>
      <c r="AD265" s="27">
        <v>0</v>
      </c>
      <c r="AE265" s="27">
        <v>1</v>
      </c>
      <c r="AF265" s="27">
        <v>0</v>
      </c>
      <c r="AG265" s="27">
        <v>0</v>
      </c>
      <c r="AH265" s="27">
        <v>0</v>
      </c>
      <c r="AI265" s="27">
        <v>0</v>
      </c>
      <c r="AJ265" s="27">
        <v>0</v>
      </c>
      <c r="AK265" s="27">
        <v>0</v>
      </c>
      <c r="AL265" s="27">
        <v>0</v>
      </c>
      <c r="AM265" s="27">
        <v>0</v>
      </c>
      <c r="AN265" s="27">
        <v>0</v>
      </c>
      <c r="AO265" s="27">
        <v>0</v>
      </c>
      <c r="AP265" s="27">
        <v>0</v>
      </c>
      <c r="AQ265" s="27">
        <v>0</v>
      </c>
      <c r="AR265" s="27">
        <v>0</v>
      </c>
      <c r="AS265" s="27">
        <v>0</v>
      </c>
      <c r="AT265" s="27">
        <v>1</v>
      </c>
      <c r="AU265" s="27">
        <v>0</v>
      </c>
      <c r="AV265" s="27">
        <v>0</v>
      </c>
      <c r="AW265" s="27">
        <v>0</v>
      </c>
      <c r="AX265" s="27">
        <v>0</v>
      </c>
      <c r="AZ265" s="27">
        <v>1</v>
      </c>
      <c r="BA265" s="27">
        <v>1</v>
      </c>
      <c r="BB265" s="27">
        <v>41.31</v>
      </c>
      <c r="BC265" s="27" t="s">
        <v>983</v>
      </c>
      <c r="BD265" s="27" t="s">
        <v>180</v>
      </c>
      <c r="BE265" s="27" t="s">
        <v>128</v>
      </c>
      <c r="BF265" s="27" t="s">
        <v>77</v>
      </c>
      <c r="BG265" s="27">
        <v>2</v>
      </c>
      <c r="BH265" s="27">
        <v>220</v>
      </c>
      <c r="BI265" s="27">
        <v>0.009</v>
      </c>
      <c r="BJ265" s="27">
        <v>0</v>
      </c>
      <c r="BK265" s="27">
        <v>45</v>
      </c>
      <c r="BL265" s="27">
        <v>87.7</v>
      </c>
    </row>
    <row r="266" customHeight="1" spans="1:64">
      <c r="A266" s="27" t="s">
        <v>984</v>
      </c>
      <c r="B266" s="27" t="s">
        <v>65</v>
      </c>
      <c r="E266" s="27" t="s">
        <v>81</v>
      </c>
      <c r="F266" s="27" t="s">
        <v>82</v>
      </c>
      <c r="G266" s="27" t="s">
        <v>65</v>
      </c>
      <c r="H266" s="27" t="s">
        <v>69</v>
      </c>
      <c r="I266" s="27" t="s">
        <v>153</v>
      </c>
      <c r="J266" s="27">
        <v>2</v>
      </c>
      <c r="K266" s="27">
        <v>149</v>
      </c>
      <c r="M266" s="27">
        <v>0</v>
      </c>
      <c r="N266" s="27">
        <v>0</v>
      </c>
      <c r="O266" s="27">
        <v>0</v>
      </c>
      <c r="P266" s="27" t="s">
        <v>95</v>
      </c>
      <c r="Q266" s="27">
        <v>5.010635</v>
      </c>
      <c r="S266" s="27">
        <v>4</v>
      </c>
      <c r="T266" s="27">
        <v>1</v>
      </c>
      <c r="U266" s="27">
        <v>0.8</v>
      </c>
      <c r="V266" s="27" t="s">
        <v>87</v>
      </c>
      <c r="W266" s="27">
        <v>596</v>
      </c>
      <c r="X266" s="27">
        <v>1.609438</v>
      </c>
      <c r="Y266" s="27">
        <v>6.391917</v>
      </c>
      <c r="Z266" s="27">
        <v>1</v>
      </c>
      <c r="AA266" s="27" t="s">
        <v>125</v>
      </c>
      <c r="AB266" s="27">
        <v>0</v>
      </c>
      <c r="AC266" s="27">
        <v>0</v>
      </c>
      <c r="AD266" s="27">
        <v>0</v>
      </c>
      <c r="AE266" s="27">
        <v>0</v>
      </c>
      <c r="AF266" s="27">
        <v>0</v>
      </c>
      <c r="AG266" s="27">
        <v>0</v>
      </c>
      <c r="AH266" s="27">
        <v>0</v>
      </c>
      <c r="AI266" s="27">
        <v>0</v>
      </c>
      <c r="AJ266" s="27">
        <v>0</v>
      </c>
      <c r="AK266" s="27">
        <v>0</v>
      </c>
      <c r="AL266" s="27">
        <v>0</v>
      </c>
      <c r="AM266" s="27">
        <v>0</v>
      </c>
      <c r="AN266" s="27">
        <v>0</v>
      </c>
      <c r="AO266" s="27">
        <v>0</v>
      </c>
      <c r="AP266" s="27">
        <v>0</v>
      </c>
      <c r="AQ266" s="27">
        <v>0</v>
      </c>
      <c r="AR266" s="27">
        <v>0</v>
      </c>
      <c r="AS266" s="27">
        <v>0</v>
      </c>
      <c r="AT266" s="27">
        <v>0</v>
      </c>
      <c r="AU266" s="27">
        <v>0</v>
      </c>
      <c r="AV266" s="27">
        <v>0</v>
      </c>
      <c r="AW266" s="27">
        <v>0</v>
      </c>
      <c r="AX266" s="27">
        <v>0</v>
      </c>
      <c r="AZ266" s="27">
        <v>1</v>
      </c>
      <c r="BA266" s="27">
        <v>0</v>
      </c>
      <c r="BB266" s="27">
        <v>59.69</v>
      </c>
      <c r="BC266" s="27" t="s">
        <v>985</v>
      </c>
      <c r="BD266" s="27" t="s">
        <v>986</v>
      </c>
      <c r="BE266" s="27" t="s">
        <v>987</v>
      </c>
      <c r="BF266" s="27" t="s">
        <v>77</v>
      </c>
      <c r="BG266" s="27">
        <v>161</v>
      </c>
      <c r="BH266" s="27">
        <v>19</v>
      </c>
      <c r="BI266" s="27">
        <v>0.8944</v>
      </c>
      <c r="BJ266" s="27">
        <v>0</v>
      </c>
      <c r="BK266" s="27">
        <v>28</v>
      </c>
      <c r="BL266" s="27">
        <v>92.3</v>
      </c>
    </row>
    <row r="267" customHeight="1" spans="1:64">
      <c r="A267" s="27" t="s">
        <v>988</v>
      </c>
      <c r="B267" s="27" t="s">
        <v>989</v>
      </c>
      <c r="C267" s="27" t="s">
        <v>990</v>
      </c>
      <c r="D267" s="27">
        <v>6935085302272</v>
      </c>
      <c r="E267" s="27" t="s">
        <v>449</v>
      </c>
      <c r="F267" s="27" t="s">
        <v>82</v>
      </c>
      <c r="G267" s="27" t="s">
        <v>83</v>
      </c>
      <c r="H267" s="27" t="s">
        <v>84</v>
      </c>
      <c r="I267" s="27" t="s">
        <v>85</v>
      </c>
      <c r="J267" s="27">
        <v>5</v>
      </c>
      <c r="K267" s="27">
        <v>52.49</v>
      </c>
      <c r="L267" s="27">
        <v>69.99</v>
      </c>
      <c r="M267" s="27">
        <v>25</v>
      </c>
      <c r="N267" s="27">
        <v>17.5</v>
      </c>
      <c r="O267" s="27">
        <v>1</v>
      </c>
      <c r="P267" s="27" t="s">
        <v>86</v>
      </c>
      <c r="Q267" s="27">
        <v>3.979495</v>
      </c>
      <c r="S267" s="27">
        <v>3</v>
      </c>
      <c r="T267" s="27">
        <v>10</v>
      </c>
      <c r="U267" s="27">
        <v>0.2308</v>
      </c>
      <c r="V267" s="27" t="s">
        <v>87</v>
      </c>
      <c r="W267" s="27">
        <v>157.47</v>
      </c>
      <c r="X267" s="27">
        <v>1.386294</v>
      </c>
      <c r="Y267" s="27">
        <v>5.065565</v>
      </c>
      <c r="Z267" s="27">
        <v>3.1623</v>
      </c>
      <c r="AA267" s="27" t="s">
        <v>73</v>
      </c>
      <c r="AB267" s="27">
        <v>0</v>
      </c>
      <c r="AC267" s="27">
        <v>0</v>
      </c>
      <c r="AD267" s="27">
        <v>0</v>
      </c>
      <c r="AE267" s="27">
        <v>0</v>
      </c>
      <c r="AF267" s="27">
        <v>0</v>
      </c>
      <c r="AG267" s="27">
        <v>0</v>
      </c>
      <c r="AH267" s="27">
        <v>0</v>
      </c>
      <c r="AI267" s="27">
        <v>0</v>
      </c>
      <c r="AJ267" s="27">
        <v>0</v>
      </c>
      <c r="AK267" s="27">
        <v>1</v>
      </c>
      <c r="AL267" s="27">
        <v>0</v>
      </c>
      <c r="AM267" s="27">
        <v>0</v>
      </c>
      <c r="AN267" s="27">
        <v>0</v>
      </c>
      <c r="AO267" s="27">
        <v>0</v>
      </c>
      <c r="AP267" s="27">
        <v>0</v>
      </c>
      <c r="AQ267" s="27">
        <v>0</v>
      </c>
      <c r="AR267" s="27">
        <v>0</v>
      </c>
      <c r="AS267" s="27">
        <v>0</v>
      </c>
      <c r="AT267" s="27">
        <v>0</v>
      </c>
      <c r="AU267" s="27">
        <v>1</v>
      </c>
      <c r="AV267" s="27">
        <v>0</v>
      </c>
      <c r="AW267" s="27">
        <v>0</v>
      </c>
      <c r="AX267" s="27">
        <v>0</v>
      </c>
      <c r="AZ267" s="27">
        <v>1</v>
      </c>
      <c r="BA267" s="27">
        <v>1</v>
      </c>
      <c r="BB267" s="27">
        <v>43.19</v>
      </c>
      <c r="BC267" s="27" t="s">
        <v>991</v>
      </c>
      <c r="BD267" s="27" t="s">
        <v>916</v>
      </c>
      <c r="BE267" s="27" t="s">
        <v>128</v>
      </c>
      <c r="BF267" s="27" t="s">
        <v>77</v>
      </c>
      <c r="BG267" s="27">
        <v>1</v>
      </c>
      <c r="BH267" s="27">
        <v>11</v>
      </c>
      <c r="BI267" s="27">
        <v>0.0833</v>
      </c>
      <c r="BJ267" s="27">
        <v>1</v>
      </c>
      <c r="BK267" s="27">
        <v>43</v>
      </c>
      <c r="BL267" s="27">
        <v>88.2</v>
      </c>
    </row>
    <row r="268" customHeight="1" spans="1:64">
      <c r="A268" s="27" t="s">
        <v>992</v>
      </c>
      <c r="B268" s="27" t="s">
        <v>370</v>
      </c>
      <c r="C268" s="27" t="s">
        <v>993</v>
      </c>
      <c r="D268" s="27" t="s">
        <v>994</v>
      </c>
      <c r="E268" s="27" t="s">
        <v>559</v>
      </c>
      <c r="F268" s="27" t="s">
        <v>240</v>
      </c>
      <c r="G268" s="27" t="s">
        <v>83</v>
      </c>
      <c r="H268" s="27" t="s">
        <v>84</v>
      </c>
      <c r="I268" s="27" t="s">
        <v>153</v>
      </c>
      <c r="J268" s="27">
        <v>2</v>
      </c>
      <c r="K268" s="27">
        <v>370</v>
      </c>
      <c r="L268" s="27">
        <v>500</v>
      </c>
      <c r="M268" s="27">
        <v>26</v>
      </c>
      <c r="N268" s="27">
        <v>130</v>
      </c>
      <c r="O268" s="27">
        <v>1</v>
      </c>
      <c r="P268" s="27" t="s">
        <v>71</v>
      </c>
      <c r="Q268" s="27">
        <v>5.916202</v>
      </c>
      <c r="V268" s="27" t="s">
        <v>231</v>
      </c>
      <c r="W268" s="27">
        <v>0</v>
      </c>
      <c r="X268" s="27">
        <v>0</v>
      </c>
      <c r="Y268" s="27">
        <v>0</v>
      </c>
      <c r="Z268" s="27">
        <v>0</v>
      </c>
      <c r="AA268" s="27" t="s">
        <v>125</v>
      </c>
      <c r="AB268" s="27">
        <v>0</v>
      </c>
      <c r="AC268" s="27">
        <v>0</v>
      </c>
      <c r="AD268" s="27">
        <v>0</v>
      </c>
      <c r="AE268" s="27">
        <v>0</v>
      </c>
      <c r="AF268" s="27">
        <v>0</v>
      </c>
      <c r="AG268" s="27">
        <v>0</v>
      </c>
      <c r="AH268" s="27">
        <v>0</v>
      </c>
      <c r="AI268" s="27">
        <v>0</v>
      </c>
      <c r="AJ268" s="27">
        <v>0</v>
      </c>
      <c r="AK268" s="27">
        <v>0</v>
      </c>
      <c r="AL268" s="27">
        <v>0</v>
      </c>
      <c r="AM268" s="27">
        <v>0</v>
      </c>
      <c r="AN268" s="27">
        <v>0</v>
      </c>
      <c r="AO268" s="27">
        <v>0</v>
      </c>
      <c r="AP268" s="27">
        <v>0</v>
      </c>
      <c r="AQ268" s="27">
        <v>1</v>
      </c>
      <c r="AR268" s="27">
        <v>0</v>
      </c>
      <c r="AS268" s="27">
        <v>0</v>
      </c>
      <c r="AT268" s="27">
        <v>0</v>
      </c>
      <c r="AU268" s="27">
        <v>0</v>
      </c>
      <c r="AV268" s="27">
        <v>1</v>
      </c>
      <c r="AW268" s="27">
        <v>0</v>
      </c>
      <c r="AX268" s="27">
        <v>0</v>
      </c>
      <c r="AZ268" s="27">
        <v>1</v>
      </c>
      <c r="BA268" s="27">
        <v>1</v>
      </c>
      <c r="BB268" s="27">
        <v>34.77</v>
      </c>
      <c r="BC268" s="27" t="s">
        <v>995</v>
      </c>
      <c r="BD268" s="27" t="s">
        <v>996</v>
      </c>
      <c r="BE268" s="27" t="s">
        <v>997</v>
      </c>
      <c r="BF268" s="27" t="s">
        <v>77</v>
      </c>
      <c r="BG268" s="27">
        <v>1</v>
      </c>
      <c r="BH268" s="27">
        <v>26</v>
      </c>
      <c r="BI268" s="27">
        <v>0.037</v>
      </c>
      <c r="BJ268" s="27">
        <v>1</v>
      </c>
      <c r="BK268" s="27">
        <v>37</v>
      </c>
      <c r="BL268" s="27">
        <v>89.9</v>
      </c>
    </row>
    <row r="269" customHeight="1" spans="1:64">
      <c r="A269" s="27" t="s">
        <v>998</v>
      </c>
      <c r="B269" s="27" t="s">
        <v>171</v>
      </c>
      <c r="C269" s="27" t="s">
        <v>999</v>
      </c>
      <c r="E269" s="27" t="s">
        <v>250</v>
      </c>
      <c r="F269" s="27" t="s">
        <v>160</v>
      </c>
      <c r="G269" s="27" t="s">
        <v>83</v>
      </c>
      <c r="H269" s="27" t="s">
        <v>84</v>
      </c>
      <c r="I269" s="27" t="s">
        <v>85</v>
      </c>
      <c r="J269" s="27">
        <v>5</v>
      </c>
      <c r="K269" s="27">
        <v>67.19</v>
      </c>
      <c r="L269" s="27">
        <v>79.99</v>
      </c>
      <c r="M269" s="27">
        <v>16</v>
      </c>
      <c r="N269" s="27">
        <v>12.8</v>
      </c>
      <c r="O269" s="27">
        <v>1</v>
      </c>
      <c r="P269" s="27" t="s">
        <v>86</v>
      </c>
      <c r="Q269" s="27">
        <v>4.222298</v>
      </c>
      <c r="R269" s="27">
        <v>8.4</v>
      </c>
      <c r="S269" s="27">
        <v>8</v>
      </c>
      <c r="T269" s="27">
        <v>10</v>
      </c>
      <c r="U269" s="27">
        <v>0.4444</v>
      </c>
      <c r="V269" s="27" t="s">
        <v>87</v>
      </c>
      <c r="W269" s="27">
        <v>537.52</v>
      </c>
      <c r="X269" s="27">
        <v>2.197225</v>
      </c>
      <c r="Y269" s="27">
        <v>6.288825</v>
      </c>
      <c r="Z269" s="27">
        <v>3.1623</v>
      </c>
      <c r="AA269" s="27" t="s">
        <v>313</v>
      </c>
      <c r="AB269" s="27">
        <v>1</v>
      </c>
      <c r="AC269" s="27">
        <v>1</v>
      </c>
      <c r="AD269" s="27">
        <v>0</v>
      </c>
      <c r="AE269" s="27">
        <v>0</v>
      </c>
      <c r="AF269" s="27">
        <v>0</v>
      </c>
      <c r="AG269" s="27">
        <v>0</v>
      </c>
      <c r="AH269" s="27">
        <v>0</v>
      </c>
      <c r="AI269" s="27">
        <v>0</v>
      </c>
      <c r="AJ269" s="27">
        <v>0</v>
      </c>
      <c r="AK269" s="27">
        <v>0</v>
      </c>
      <c r="AL269" s="27">
        <v>0</v>
      </c>
      <c r="AM269" s="27">
        <v>1</v>
      </c>
      <c r="AN269" s="27">
        <v>0</v>
      </c>
      <c r="AO269" s="27">
        <v>0</v>
      </c>
      <c r="AP269" s="27">
        <v>0</v>
      </c>
      <c r="AQ269" s="27">
        <v>1</v>
      </c>
      <c r="AR269" s="27">
        <v>0</v>
      </c>
      <c r="AS269" s="27">
        <v>0</v>
      </c>
      <c r="AT269" s="27">
        <v>0</v>
      </c>
      <c r="AU269" s="27">
        <v>0</v>
      </c>
      <c r="AV269" s="27">
        <v>1</v>
      </c>
      <c r="AW269" s="27">
        <v>1</v>
      </c>
      <c r="AX269" s="27">
        <v>0</v>
      </c>
      <c r="AY269" s="27">
        <v>8</v>
      </c>
      <c r="AZ269" s="27">
        <v>1</v>
      </c>
      <c r="BA269" s="27">
        <v>4</v>
      </c>
      <c r="BB269" s="27">
        <v>50.36</v>
      </c>
      <c r="BC269" s="27" t="s">
        <v>174</v>
      </c>
      <c r="BD269" s="27" t="s">
        <v>175</v>
      </c>
      <c r="BE269" s="27" t="s">
        <v>91</v>
      </c>
      <c r="BF269" s="27" t="s">
        <v>77</v>
      </c>
      <c r="BG269" s="27">
        <v>161</v>
      </c>
      <c r="BH269" s="27">
        <v>61</v>
      </c>
      <c r="BI269" s="27">
        <v>0.7252</v>
      </c>
      <c r="BJ269" s="27">
        <v>0</v>
      </c>
      <c r="BK269" s="27">
        <v>27</v>
      </c>
      <c r="BL269" s="27">
        <v>92.6</v>
      </c>
    </row>
    <row r="270" customHeight="1" spans="1:64">
      <c r="A270" s="27" t="s">
        <v>1000</v>
      </c>
      <c r="B270" s="27" t="s">
        <v>553</v>
      </c>
      <c r="C270" s="27" t="s">
        <v>1001</v>
      </c>
      <c r="D270" s="27">
        <v>850007530198</v>
      </c>
      <c r="E270" s="27" t="s">
        <v>250</v>
      </c>
      <c r="F270" s="27" t="s">
        <v>68</v>
      </c>
      <c r="G270" s="27" t="s">
        <v>553</v>
      </c>
      <c r="H270" s="27" t="s">
        <v>69</v>
      </c>
      <c r="I270" s="27" t="s">
        <v>153</v>
      </c>
      <c r="J270" s="27">
        <v>2</v>
      </c>
      <c r="K270" s="27">
        <v>96.99</v>
      </c>
      <c r="M270" s="27">
        <v>0</v>
      </c>
      <c r="N270" s="27">
        <v>0</v>
      </c>
      <c r="O270" s="27">
        <v>0</v>
      </c>
      <c r="P270" s="27" t="s">
        <v>95</v>
      </c>
      <c r="Q270" s="27">
        <v>4.584865</v>
      </c>
      <c r="S270" s="27">
        <v>1</v>
      </c>
      <c r="T270" s="27">
        <v>10</v>
      </c>
      <c r="U270" s="27">
        <v>0.0909</v>
      </c>
      <c r="V270" s="27" t="s">
        <v>87</v>
      </c>
      <c r="W270" s="27">
        <v>96.99</v>
      </c>
      <c r="X270" s="27">
        <v>0.693147</v>
      </c>
      <c r="Y270" s="27">
        <v>4.584865</v>
      </c>
      <c r="Z270" s="27">
        <v>3.1623</v>
      </c>
      <c r="AA270" s="27" t="s">
        <v>73</v>
      </c>
      <c r="AB270" s="27">
        <v>0</v>
      </c>
      <c r="AC270" s="27">
        <v>0</v>
      </c>
      <c r="AD270" s="27">
        <v>0</v>
      </c>
      <c r="AE270" s="27">
        <v>0</v>
      </c>
      <c r="AF270" s="27">
        <v>0</v>
      </c>
      <c r="AG270" s="27">
        <v>1</v>
      </c>
      <c r="AH270" s="27">
        <v>0</v>
      </c>
      <c r="AI270" s="27">
        <v>1</v>
      </c>
      <c r="AJ270" s="27">
        <v>0</v>
      </c>
      <c r="AK270" s="27">
        <v>0</v>
      </c>
      <c r="AL270" s="27">
        <v>0</v>
      </c>
      <c r="AM270" s="27">
        <v>0</v>
      </c>
      <c r="AN270" s="27">
        <v>0</v>
      </c>
      <c r="AO270" s="27">
        <v>0</v>
      </c>
      <c r="AP270" s="27">
        <v>0</v>
      </c>
      <c r="AQ270" s="27">
        <v>0</v>
      </c>
      <c r="AR270" s="27">
        <v>0</v>
      </c>
      <c r="AS270" s="27">
        <v>0</v>
      </c>
      <c r="AT270" s="27">
        <v>1</v>
      </c>
      <c r="AU270" s="27">
        <v>0</v>
      </c>
      <c r="AV270" s="27">
        <v>0</v>
      </c>
      <c r="AW270" s="27">
        <v>0</v>
      </c>
      <c r="AX270" s="27">
        <v>0</v>
      </c>
      <c r="AZ270" s="27">
        <v>1</v>
      </c>
      <c r="BA270" s="27">
        <v>0</v>
      </c>
      <c r="BB270" s="27">
        <v>32.98</v>
      </c>
      <c r="BC270" s="27" t="s">
        <v>1002</v>
      </c>
      <c r="BD270" s="27" t="s">
        <v>97</v>
      </c>
      <c r="BE270" s="27" t="s">
        <v>76</v>
      </c>
      <c r="BF270" s="27" t="s">
        <v>77</v>
      </c>
      <c r="BG270" s="27">
        <v>162</v>
      </c>
      <c r="BH270" s="27">
        <v>21</v>
      </c>
      <c r="BI270" s="27">
        <v>0.8852</v>
      </c>
      <c r="BJ270" s="27">
        <v>0</v>
      </c>
      <c r="BK270" s="27">
        <v>8</v>
      </c>
      <c r="BL270" s="27">
        <v>97.8</v>
      </c>
    </row>
    <row r="271" customHeight="1" spans="1:64">
      <c r="A271" s="27" t="s">
        <v>1003</v>
      </c>
      <c r="B271" s="27" t="s">
        <v>125</v>
      </c>
      <c r="E271" s="27" t="s">
        <v>275</v>
      </c>
      <c r="F271" s="27" t="s">
        <v>276</v>
      </c>
      <c r="G271" s="27" t="s">
        <v>83</v>
      </c>
      <c r="H271" s="27" t="s">
        <v>138</v>
      </c>
      <c r="I271" s="27" t="s">
        <v>85</v>
      </c>
      <c r="J271" s="27">
        <v>5</v>
      </c>
      <c r="K271" s="27">
        <v>13.99</v>
      </c>
      <c r="M271" s="27">
        <v>0</v>
      </c>
      <c r="N271" s="27">
        <v>0</v>
      </c>
      <c r="O271" s="27">
        <v>0</v>
      </c>
      <c r="P271" s="27" t="s">
        <v>133</v>
      </c>
      <c r="Q271" s="27">
        <v>2.707383</v>
      </c>
      <c r="S271" s="27">
        <v>415</v>
      </c>
      <c r="T271" s="27">
        <v>10</v>
      </c>
      <c r="U271" s="27">
        <v>0.9765</v>
      </c>
      <c r="V271" s="27" t="s">
        <v>154</v>
      </c>
      <c r="W271" s="27">
        <v>5805.85</v>
      </c>
      <c r="X271" s="27">
        <v>6.030685</v>
      </c>
      <c r="Y271" s="27">
        <v>8.666794</v>
      </c>
      <c r="Z271" s="27">
        <v>3.1623</v>
      </c>
      <c r="AA271" s="27" t="s">
        <v>125</v>
      </c>
      <c r="AB271" s="27">
        <v>0</v>
      </c>
      <c r="AC271" s="27">
        <v>0</v>
      </c>
      <c r="AD271" s="27">
        <v>0</v>
      </c>
      <c r="AE271" s="27">
        <v>0</v>
      </c>
      <c r="AF271" s="27">
        <v>0</v>
      </c>
      <c r="AG271" s="27">
        <v>0</v>
      </c>
      <c r="AH271" s="27">
        <v>0</v>
      </c>
      <c r="AI271" s="27">
        <v>0</v>
      </c>
      <c r="AJ271" s="27">
        <v>0</v>
      </c>
      <c r="AK271" s="27">
        <v>0</v>
      </c>
      <c r="AL271" s="27">
        <v>0</v>
      </c>
      <c r="AM271" s="27">
        <v>0</v>
      </c>
      <c r="AN271" s="27">
        <v>0</v>
      </c>
      <c r="AO271" s="27">
        <v>0</v>
      </c>
      <c r="AP271" s="27">
        <v>0</v>
      </c>
      <c r="AQ271" s="27">
        <v>0</v>
      </c>
      <c r="AR271" s="27">
        <v>0</v>
      </c>
      <c r="AS271" s="27">
        <v>0</v>
      </c>
      <c r="AT271" s="27">
        <v>1</v>
      </c>
      <c r="AU271" s="27">
        <v>0</v>
      </c>
      <c r="AV271" s="27">
        <v>0</v>
      </c>
      <c r="AW271" s="27">
        <v>0</v>
      </c>
      <c r="AX271" s="27">
        <v>0</v>
      </c>
      <c r="AZ271" s="27">
        <v>1</v>
      </c>
      <c r="BA271" s="27">
        <v>0</v>
      </c>
      <c r="BB271" s="27">
        <v>66.6</v>
      </c>
      <c r="BC271" s="27" t="s">
        <v>1004</v>
      </c>
      <c r="BD271" s="27" t="s">
        <v>1005</v>
      </c>
      <c r="BE271" s="27" t="s">
        <v>113</v>
      </c>
      <c r="BF271" s="27" t="s">
        <v>77</v>
      </c>
      <c r="BG271" s="27">
        <v>170</v>
      </c>
      <c r="BH271" s="27">
        <v>11</v>
      </c>
      <c r="BI271" s="27">
        <v>0.9392</v>
      </c>
      <c r="BJ271" s="27">
        <v>0</v>
      </c>
      <c r="BK271" s="27">
        <v>30</v>
      </c>
      <c r="BL271" s="27">
        <v>91.8</v>
      </c>
    </row>
    <row r="272" customHeight="1" spans="1:64">
      <c r="A272" s="27" t="s">
        <v>1006</v>
      </c>
      <c r="B272" s="27" t="s">
        <v>1007</v>
      </c>
      <c r="E272" s="27" t="s">
        <v>1008</v>
      </c>
      <c r="F272" s="27" t="s">
        <v>82</v>
      </c>
      <c r="G272" s="27" t="s">
        <v>83</v>
      </c>
      <c r="H272" s="27" t="s">
        <v>84</v>
      </c>
      <c r="I272" s="27" t="s">
        <v>85</v>
      </c>
      <c r="J272" s="27">
        <v>5</v>
      </c>
      <c r="K272" s="27">
        <v>8.99</v>
      </c>
      <c r="M272" s="27">
        <v>0</v>
      </c>
      <c r="N272" s="27">
        <v>0</v>
      </c>
      <c r="O272" s="27">
        <v>0</v>
      </c>
      <c r="P272" s="27" t="s">
        <v>133</v>
      </c>
      <c r="Q272" s="27">
        <v>2.301585</v>
      </c>
      <c r="S272" s="27">
        <v>76</v>
      </c>
      <c r="T272" s="27">
        <v>10</v>
      </c>
      <c r="U272" s="27">
        <v>0.8837</v>
      </c>
      <c r="V272" s="27" t="s">
        <v>72</v>
      </c>
      <c r="W272" s="27">
        <v>683.24</v>
      </c>
      <c r="X272" s="27">
        <v>4.343805</v>
      </c>
      <c r="Y272" s="27">
        <v>6.528309</v>
      </c>
      <c r="Z272" s="27">
        <v>3.1623</v>
      </c>
      <c r="AA272" s="27" t="s">
        <v>125</v>
      </c>
      <c r="AB272" s="27">
        <v>0</v>
      </c>
      <c r="AC272" s="27">
        <v>0</v>
      </c>
      <c r="AD272" s="27">
        <v>0</v>
      </c>
      <c r="AE272" s="27">
        <v>0</v>
      </c>
      <c r="AF272" s="27">
        <v>0</v>
      </c>
      <c r="AG272" s="27">
        <v>1</v>
      </c>
      <c r="AH272" s="27">
        <v>1</v>
      </c>
      <c r="AI272" s="27">
        <v>0</v>
      </c>
      <c r="AJ272" s="27">
        <v>0</v>
      </c>
      <c r="AK272" s="27">
        <v>0</v>
      </c>
      <c r="AL272" s="27">
        <v>0</v>
      </c>
      <c r="AM272" s="27">
        <v>0</v>
      </c>
      <c r="AN272" s="27">
        <v>0</v>
      </c>
      <c r="AO272" s="27">
        <v>0</v>
      </c>
      <c r="AP272" s="27">
        <v>0</v>
      </c>
      <c r="AQ272" s="27">
        <v>0</v>
      </c>
      <c r="AR272" s="27">
        <v>0</v>
      </c>
      <c r="AS272" s="27">
        <v>1</v>
      </c>
      <c r="AT272" s="27">
        <v>1</v>
      </c>
      <c r="AU272" s="27">
        <v>0</v>
      </c>
      <c r="AV272" s="27">
        <v>0</v>
      </c>
      <c r="AW272" s="27">
        <v>1</v>
      </c>
      <c r="AX272" s="27">
        <v>0</v>
      </c>
      <c r="AZ272" s="27">
        <v>1</v>
      </c>
      <c r="BA272" s="27">
        <v>1</v>
      </c>
      <c r="BB272" s="27">
        <v>64.6</v>
      </c>
      <c r="BC272" s="27" t="s">
        <v>1009</v>
      </c>
      <c r="BD272" s="27" t="s">
        <v>537</v>
      </c>
      <c r="BE272" s="27" t="s">
        <v>91</v>
      </c>
      <c r="BF272" s="27" t="s">
        <v>77</v>
      </c>
      <c r="BG272" s="27">
        <v>162</v>
      </c>
      <c r="BH272" s="27">
        <v>59</v>
      </c>
      <c r="BI272" s="27">
        <v>0.733</v>
      </c>
      <c r="BJ272" s="27">
        <v>0</v>
      </c>
      <c r="BK272" s="27">
        <v>9</v>
      </c>
      <c r="BL272" s="27">
        <v>97.5</v>
      </c>
    </row>
    <row r="273" customHeight="1" spans="1:64">
      <c r="A273" s="27" t="s">
        <v>1010</v>
      </c>
      <c r="B273" s="27" t="s">
        <v>1011</v>
      </c>
      <c r="E273" s="27" t="s">
        <v>275</v>
      </c>
      <c r="F273" s="27" t="s">
        <v>132</v>
      </c>
      <c r="G273" s="27" t="s">
        <v>427</v>
      </c>
      <c r="H273" s="27" t="s">
        <v>84</v>
      </c>
      <c r="I273" s="27" t="s">
        <v>85</v>
      </c>
      <c r="J273" s="27">
        <v>5</v>
      </c>
      <c r="K273" s="27">
        <v>10.95</v>
      </c>
      <c r="M273" s="27">
        <v>0</v>
      </c>
      <c r="N273" s="27">
        <v>0</v>
      </c>
      <c r="O273" s="27">
        <v>0</v>
      </c>
      <c r="P273" s="27" t="s">
        <v>133</v>
      </c>
      <c r="Q273" s="27">
        <v>2.480731</v>
      </c>
      <c r="S273" s="27">
        <v>119</v>
      </c>
      <c r="T273" s="27">
        <v>10</v>
      </c>
      <c r="U273" s="27">
        <v>0.9225</v>
      </c>
      <c r="V273" s="27" t="s">
        <v>72</v>
      </c>
      <c r="W273" s="27">
        <v>1303.05</v>
      </c>
      <c r="X273" s="27">
        <v>4.787492</v>
      </c>
      <c r="Y273" s="27">
        <v>7.17323</v>
      </c>
      <c r="Z273" s="27">
        <v>3.1623</v>
      </c>
      <c r="AA273" s="27" t="s">
        <v>125</v>
      </c>
      <c r="AB273" s="27">
        <v>0</v>
      </c>
      <c r="AC273" s="27">
        <v>0</v>
      </c>
      <c r="AD273" s="27">
        <v>0</v>
      </c>
      <c r="AE273" s="27">
        <v>0</v>
      </c>
      <c r="AF273" s="27">
        <v>0</v>
      </c>
      <c r="AG273" s="27">
        <v>0</v>
      </c>
      <c r="AH273" s="27">
        <v>0</v>
      </c>
      <c r="AI273" s="27">
        <v>0</v>
      </c>
      <c r="AJ273" s="27">
        <v>0</v>
      </c>
      <c r="AK273" s="27">
        <v>0</v>
      </c>
      <c r="AL273" s="27">
        <v>0</v>
      </c>
      <c r="AM273" s="27">
        <v>0</v>
      </c>
      <c r="AN273" s="27">
        <v>0</v>
      </c>
      <c r="AO273" s="27">
        <v>0</v>
      </c>
      <c r="AP273" s="27">
        <v>0</v>
      </c>
      <c r="AQ273" s="27">
        <v>0</v>
      </c>
      <c r="AR273" s="27">
        <v>0</v>
      </c>
      <c r="AS273" s="27">
        <v>0</v>
      </c>
      <c r="AT273" s="27">
        <v>1</v>
      </c>
      <c r="AU273" s="27">
        <v>1</v>
      </c>
      <c r="AV273" s="27">
        <v>0</v>
      </c>
      <c r="AW273" s="27">
        <v>1</v>
      </c>
      <c r="AX273" s="27">
        <v>0</v>
      </c>
      <c r="AZ273" s="27">
        <v>4</v>
      </c>
      <c r="BA273" s="27">
        <v>0</v>
      </c>
      <c r="BB273" s="27">
        <v>66.66</v>
      </c>
      <c r="BC273" s="27" t="s">
        <v>1012</v>
      </c>
      <c r="BD273" s="27" t="s">
        <v>1013</v>
      </c>
      <c r="BE273" s="27" t="s">
        <v>91</v>
      </c>
      <c r="BF273" s="27" t="s">
        <v>77</v>
      </c>
      <c r="BG273" s="27">
        <v>163</v>
      </c>
      <c r="BH273" s="27">
        <v>59</v>
      </c>
      <c r="BI273" s="27">
        <v>0.7342</v>
      </c>
      <c r="BJ273" s="27">
        <v>0</v>
      </c>
      <c r="BK273" s="27">
        <v>3</v>
      </c>
      <c r="BL273" s="27">
        <v>99.2</v>
      </c>
    </row>
    <row r="274" customHeight="1" spans="1:64">
      <c r="A274" s="27" t="s">
        <v>1014</v>
      </c>
      <c r="B274" s="27" t="s">
        <v>115</v>
      </c>
      <c r="C274" s="27" t="s">
        <v>1015</v>
      </c>
      <c r="D274" s="27">
        <v>840080598574</v>
      </c>
      <c r="E274" s="27" t="s">
        <v>81</v>
      </c>
      <c r="F274" s="27" t="s">
        <v>82</v>
      </c>
      <c r="G274" s="27" t="s">
        <v>117</v>
      </c>
      <c r="H274" s="27" t="s">
        <v>107</v>
      </c>
      <c r="I274" s="27" t="s">
        <v>85</v>
      </c>
      <c r="J274" s="27">
        <v>5</v>
      </c>
      <c r="K274" s="27">
        <v>105</v>
      </c>
      <c r="M274" s="27">
        <v>0</v>
      </c>
      <c r="N274" s="27">
        <v>0</v>
      </c>
      <c r="O274" s="27">
        <v>0</v>
      </c>
      <c r="P274" s="27" t="s">
        <v>95</v>
      </c>
      <c r="Q274" s="27">
        <v>4.663439</v>
      </c>
      <c r="S274" s="27">
        <v>1</v>
      </c>
      <c r="T274" s="27">
        <v>1</v>
      </c>
      <c r="U274" s="27">
        <v>0.5</v>
      </c>
      <c r="V274" s="27" t="s">
        <v>87</v>
      </c>
      <c r="W274" s="27">
        <v>105</v>
      </c>
      <c r="X274" s="27">
        <v>0.693147</v>
      </c>
      <c r="Y274" s="27">
        <v>4.663439</v>
      </c>
      <c r="Z274" s="27">
        <v>1</v>
      </c>
      <c r="AA274" s="27" t="s">
        <v>139</v>
      </c>
      <c r="AB274" s="27">
        <v>0</v>
      </c>
      <c r="AC274" s="27">
        <v>0</v>
      </c>
      <c r="AD274" s="27">
        <v>0</v>
      </c>
      <c r="AE274" s="27">
        <v>0</v>
      </c>
      <c r="AF274" s="27">
        <v>0</v>
      </c>
      <c r="AG274" s="27">
        <v>1</v>
      </c>
      <c r="AH274" s="27">
        <v>0</v>
      </c>
      <c r="AI274" s="27">
        <v>0</v>
      </c>
      <c r="AJ274" s="27">
        <v>0</v>
      </c>
      <c r="AK274" s="27">
        <v>0</v>
      </c>
      <c r="AL274" s="27">
        <v>0</v>
      </c>
      <c r="AM274" s="27">
        <v>0</v>
      </c>
      <c r="AN274" s="27">
        <v>0</v>
      </c>
      <c r="AO274" s="27">
        <v>0</v>
      </c>
      <c r="AP274" s="27">
        <v>1</v>
      </c>
      <c r="AQ274" s="27">
        <v>0</v>
      </c>
      <c r="AR274" s="27">
        <v>0</v>
      </c>
      <c r="AS274" s="27">
        <v>0</v>
      </c>
      <c r="AT274" s="27">
        <v>1</v>
      </c>
      <c r="AU274" s="27">
        <v>0</v>
      </c>
      <c r="AV274" s="27">
        <v>0</v>
      </c>
      <c r="AW274" s="27">
        <v>0</v>
      </c>
      <c r="AX274" s="27">
        <v>0</v>
      </c>
      <c r="AZ274" s="27">
        <v>1</v>
      </c>
      <c r="BA274" s="27">
        <v>0</v>
      </c>
      <c r="BB274" s="27">
        <v>20</v>
      </c>
      <c r="BC274" s="27" t="s">
        <v>1016</v>
      </c>
      <c r="BD274" s="27" t="s">
        <v>1017</v>
      </c>
      <c r="BE274" s="27" t="s">
        <v>220</v>
      </c>
      <c r="BF274" s="27" t="s">
        <v>77</v>
      </c>
      <c r="BG274" s="27">
        <v>2</v>
      </c>
      <c r="BH274" s="27">
        <v>219</v>
      </c>
      <c r="BI274" s="27">
        <v>0.009</v>
      </c>
      <c r="BJ274" s="27">
        <v>0</v>
      </c>
    </row>
    <row r="275" customHeight="1" spans="1:64">
      <c r="A275" s="27" t="s">
        <v>1018</v>
      </c>
      <c r="B275" s="27" t="s">
        <v>365</v>
      </c>
      <c r="C275" s="27" t="s">
        <v>1019</v>
      </c>
      <c r="D275" s="27">
        <v>810177163602</v>
      </c>
      <c r="E275" s="27" t="s">
        <v>559</v>
      </c>
      <c r="F275" s="27" t="s">
        <v>240</v>
      </c>
      <c r="G275" s="27" t="s">
        <v>83</v>
      </c>
      <c r="H275" s="27" t="s">
        <v>84</v>
      </c>
      <c r="I275" s="27" t="s">
        <v>85</v>
      </c>
      <c r="J275" s="27">
        <v>5</v>
      </c>
      <c r="K275" s="27">
        <v>249.99</v>
      </c>
      <c r="M275" s="27">
        <v>0</v>
      </c>
      <c r="N275" s="27">
        <v>0</v>
      </c>
      <c r="O275" s="27">
        <v>0</v>
      </c>
      <c r="P275" s="27" t="s">
        <v>71</v>
      </c>
      <c r="Q275" s="27">
        <v>5.525413</v>
      </c>
      <c r="S275" s="27">
        <v>4</v>
      </c>
      <c r="T275" s="27">
        <v>4</v>
      </c>
      <c r="U275" s="27">
        <v>0.5</v>
      </c>
      <c r="V275" s="27" t="s">
        <v>87</v>
      </c>
      <c r="W275" s="27">
        <v>999.96</v>
      </c>
      <c r="X275" s="27">
        <v>1.609438</v>
      </c>
      <c r="Y275" s="27">
        <v>6.908715</v>
      </c>
      <c r="Z275" s="27">
        <v>2</v>
      </c>
      <c r="AA275" s="27" t="s">
        <v>125</v>
      </c>
      <c r="AB275" s="27">
        <v>0</v>
      </c>
      <c r="AC275" s="27">
        <v>0</v>
      </c>
      <c r="AD275" s="27">
        <v>0</v>
      </c>
      <c r="AE275" s="27">
        <v>0</v>
      </c>
      <c r="AF275" s="27">
        <v>0</v>
      </c>
      <c r="AG275" s="27">
        <v>0</v>
      </c>
      <c r="AH275" s="27">
        <v>0</v>
      </c>
      <c r="AI275" s="27">
        <v>0</v>
      </c>
      <c r="AJ275" s="27">
        <v>0</v>
      </c>
      <c r="AK275" s="27">
        <v>0</v>
      </c>
      <c r="AL275" s="27">
        <v>0</v>
      </c>
      <c r="AM275" s="27">
        <v>0</v>
      </c>
      <c r="AN275" s="27">
        <v>0</v>
      </c>
      <c r="AO275" s="27">
        <v>0</v>
      </c>
      <c r="AP275" s="27">
        <v>0</v>
      </c>
      <c r="AQ275" s="27">
        <v>0</v>
      </c>
      <c r="AR275" s="27">
        <v>0</v>
      </c>
      <c r="AS275" s="27">
        <v>0</v>
      </c>
      <c r="AT275" s="27">
        <v>0</v>
      </c>
      <c r="AU275" s="27">
        <v>0</v>
      </c>
      <c r="AV275" s="27">
        <v>1</v>
      </c>
      <c r="AW275" s="27">
        <v>1</v>
      </c>
      <c r="AX275" s="27">
        <v>0</v>
      </c>
      <c r="AZ275" s="27">
        <v>1</v>
      </c>
      <c r="BA275" s="27">
        <v>0</v>
      </c>
      <c r="BB275" s="27">
        <v>43.25</v>
      </c>
      <c r="BC275" s="27" t="s">
        <v>367</v>
      </c>
      <c r="BD275" s="27" t="s">
        <v>368</v>
      </c>
      <c r="BE275" s="27" t="s">
        <v>98</v>
      </c>
      <c r="BF275" s="27" t="s">
        <v>77</v>
      </c>
      <c r="BG275" s="27">
        <v>1</v>
      </c>
      <c r="BH275" s="27">
        <v>27</v>
      </c>
      <c r="BI275" s="27">
        <v>0.0357</v>
      </c>
      <c r="BJ275" s="27">
        <v>1</v>
      </c>
      <c r="BK275" s="27">
        <v>82</v>
      </c>
      <c r="BL275" s="27">
        <v>77.5</v>
      </c>
    </row>
    <row r="276" customHeight="1" spans="1:64">
      <c r="A276" s="27" t="s">
        <v>1020</v>
      </c>
      <c r="B276" s="27" t="s">
        <v>104</v>
      </c>
      <c r="C276" s="27" t="s">
        <v>1021</v>
      </c>
      <c r="D276" s="27">
        <v>649661207733</v>
      </c>
      <c r="E276" s="27" t="s">
        <v>235</v>
      </c>
      <c r="F276" s="27" t="s">
        <v>198</v>
      </c>
      <c r="G276" s="27" t="s">
        <v>106</v>
      </c>
      <c r="H276" s="27" t="s">
        <v>107</v>
      </c>
      <c r="I276" s="27" t="s">
        <v>108</v>
      </c>
      <c r="J276" s="27">
        <v>3</v>
      </c>
      <c r="K276" s="27">
        <v>19.99</v>
      </c>
      <c r="M276" s="27">
        <v>0</v>
      </c>
      <c r="N276" s="27">
        <v>0</v>
      </c>
      <c r="O276" s="27">
        <v>0</v>
      </c>
      <c r="P276" s="27" t="s">
        <v>133</v>
      </c>
      <c r="Q276" s="27">
        <v>3.044046</v>
      </c>
      <c r="S276" s="27">
        <v>37</v>
      </c>
      <c r="T276" s="27">
        <v>52</v>
      </c>
      <c r="U276" s="27">
        <v>0.4157</v>
      </c>
      <c r="V276" s="27" t="s">
        <v>72</v>
      </c>
      <c r="W276" s="27">
        <v>739.63</v>
      </c>
      <c r="X276" s="27">
        <v>3.637586</v>
      </c>
      <c r="Y276" s="27">
        <v>6.607501</v>
      </c>
      <c r="Z276" s="27">
        <v>7.2111</v>
      </c>
      <c r="AA276" s="27" t="s">
        <v>125</v>
      </c>
      <c r="AB276" s="27">
        <v>0</v>
      </c>
      <c r="AC276" s="27">
        <v>0</v>
      </c>
      <c r="AD276" s="27">
        <v>0</v>
      </c>
      <c r="AE276" s="27">
        <v>0</v>
      </c>
      <c r="AF276" s="27">
        <v>0</v>
      </c>
      <c r="AG276" s="27">
        <v>0</v>
      </c>
      <c r="AH276" s="27">
        <v>0</v>
      </c>
      <c r="AI276" s="27">
        <v>0</v>
      </c>
      <c r="AJ276" s="27">
        <v>0</v>
      </c>
      <c r="AK276" s="27">
        <v>0</v>
      </c>
      <c r="AL276" s="27">
        <v>0</v>
      </c>
      <c r="AM276" s="27">
        <v>0</v>
      </c>
      <c r="AN276" s="27">
        <v>0</v>
      </c>
      <c r="AO276" s="27">
        <v>0</v>
      </c>
      <c r="AP276" s="27">
        <v>0</v>
      </c>
      <c r="AQ276" s="27">
        <v>0</v>
      </c>
      <c r="AR276" s="27">
        <v>0</v>
      </c>
      <c r="AS276" s="27">
        <v>0</v>
      </c>
      <c r="AT276" s="27">
        <v>0</v>
      </c>
      <c r="AU276" s="27">
        <v>0</v>
      </c>
      <c r="AV276" s="27">
        <v>0</v>
      </c>
      <c r="AW276" s="27">
        <v>1</v>
      </c>
      <c r="AX276" s="27">
        <v>1</v>
      </c>
      <c r="AZ276" s="27">
        <v>1</v>
      </c>
      <c r="BA276" s="27">
        <v>0</v>
      </c>
      <c r="BB276" s="27">
        <v>46.48</v>
      </c>
      <c r="BC276" s="27" t="s">
        <v>111</v>
      </c>
      <c r="BD276" s="27" t="s">
        <v>112</v>
      </c>
      <c r="BE276" s="27" t="s">
        <v>113</v>
      </c>
      <c r="BF276" s="27" t="s">
        <v>77</v>
      </c>
      <c r="BG276" s="27">
        <v>162</v>
      </c>
      <c r="BH276" s="27">
        <v>24</v>
      </c>
      <c r="BI276" s="27">
        <v>0.871</v>
      </c>
      <c r="BJ276" s="27">
        <v>0</v>
      </c>
      <c r="BK276" s="27">
        <v>2</v>
      </c>
      <c r="BL276" s="27">
        <v>99.5</v>
      </c>
    </row>
    <row r="277" customHeight="1" spans="1:64">
      <c r="A277" s="27" t="s">
        <v>1022</v>
      </c>
      <c r="B277" s="27" t="s">
        <v>282</v>
      </c>
      <c r="E277" s="27" t="s">
        <v>250</v>
      </c>
      <c r="F277" s="27" t="s">
        <v>82</v>
      </c>
      <c r="G277" s="27" t="s">
        <v>83</v>
      </c>
      <c r="H277" s="27" t="s">
        <v>84</v>
      </c>
      <c r="I277" s="27" t="s">
        <v>85</v>
      </c>
      <c r="J277" s="27">
        <v>5</v>
      </c>
      <c r="K277" s="27">
        <v>151.99</v>
      </c>
      <c r="L277" s="27">
        <v>189.99</v>
      </c>
      <c r="M277" s="27">
        <v>20</v>
      </c>
      <c r="N277" s="27">
        <v>38</v>
      </c>
      <c r="O277" s="27">
        <v>1</v>
      </c>
      <c r="P277" s="27" t="s">
        <v>95</v>
      </c>
      <c r="Q277" s="27">
        <v>5.030373</v>
      </c>
      <c r="S277" s="27">
        <v>37</v>
      </c>
      <c r="T277" s="27">
        <v>10</v>
      </c>
      <c r="U277" s="27">
        <v>0.7872</v>
      </c>
      <c r="V277" s="27" t="s">
        <v>72</v>
      </c>
      <c r="W277" s="27">
        <v>5623.63</v>
      </c>
      <c r="X277" s="27">
        <v>3.637586</v>
      </c>
      <c r="Y277" s="27">
        <v>8.63491</v>
      </c>
      <c r="Z277" s="27">
        <v>3.1623</v>
      </c>
      <c r="AA277" s="27" t="s">
        <v>313</v>
      </c>
      <c r="AB277" s="27">
        <v>1</v>
      </c>
      <c r="AC277" s="27">
        <v>0</v>
      </c>
      <c r="AD277" s="27">
        <v>0</v>
      </c>
      <c r="AE277" s="27">
        <v>0</v>
      </c>
      <c r="AF277" s="27">
        <v>0</v>
      </c>
      <c r="AG277" s="27">
        <v>1</v>
      </c>
      <c r="AH277" s="27">
        <v>0</v>
      </c>
      <c r="AI277" s="27">
        <v>1</v>
      </c>
      <c r="AJ277" s="27">
        <v>0</v>
      </c>
      <c r="AK277" s="27">
        <v>0</v>
      </c>
      <c r="AL277" s="27">
        <v>0</v>
      </c>
      <c r="AM277" s="27">
        <v>0</v>
      </c>
      <c r="AN277" s="27">
        <v>0</v>
      </c>
      <c r="AO277" s="27">
        <v>0</v>
      </c>
      <c r="AP277" s="27">
        <v>0</v>
      </c>
      <c r="AQ277" s="27">
        <v>0</v>
      </c>
      <c r="AR277" s="27">
        <v>0</v>
      </c>
      <c r="AS277" s="27">
        <v>0</v>
      </c>
      <c r="AT277" s="27">
        <v>1</v>
      </c>
      <c r="AU277" s="27">
        <v>0</v>
      </c>
      <c r="AV277" s="27">
        <v>0</v>
      </c>
      <c r="AW277" s="27">
        <v>0</v>
      </c>
      <c r="AX277" s="27">
        <v>0</v>
      </c>
      <c r="AZ277" s="27">
        <v>1</v>
      </c>
      <c r="BA277" s="27">
        <v>1</v>
      </c>
      <c r="BB277" s="27">
        <v>65.75</v>
      </c>
      <c r="BC277" s="27" t="s">
        <v>285</v>
      </c>
      <c r="BD277" s="27" t="s">
        <v>1023</v>
      </c>
      <c r="BE277" s="27" t="s">
        <v>113</v>
      </c>
      <c r="BF277" s="27" t="s">
        <v>77</v>
      </c>
      <c r="BG277" s="27">
        <v>1</v>
      </c>
      <c r="BH277" s="27">
        <v>20</v>
      </c>
      <c r="BI277" s="27">
        <v>0.0476</v>
      </c>
      <c r="BJ277" s="27">
        <v>1</v>
      </c>
      <c r="BK277" s="27">
        <v>21</v>
      </c>
      <c r="BL277" s="27">
        <v>94.2</v>
      </c>
    </row>
    <row r="278" customHeight="1" spans="1:64">
      <c r="A278" s="27" t="s">
        <v>1024</v>
      </c>
      <c r="B278" s="27" t="s">
        <v>1025</v>
      </c>
      <c r="E278" s="27" t="s">
        <v>239</v>
      </c>
      <c r="F278" s="27" t="s">
        <v>240</v>
      </c>
      <c r="G278" s="27" t="s">
        <v>83</v>
      </c>
      <c r="H278" s="27" t="s">
        <v>84</v>
      </c>
      <c r="I278" s="27" t="s">
        <v>203</v>
      </c>
      <c r="J278" s="27">
        <v>4</v>
      </c>
      <c r="K278" s="27">
        <v>123.5</v>
      </c>
      <c r="M278" s="27">
        <v>0</v>
      </c>
      <c r="N278" s="27">
        <v>0</v>
      </c>
      <c r="O278" s="27">
        <v>0</v>
      </c>
      <c r="P278" s="27" t="s">
        <v>95</v>
      </c>
      <c r="Q278" s="27">
        <v>4.824306</v>
      </c>
      <c r="R278" s="27">
        <v>3.86</v>
      </c>
      <c r="V278" s="27" t="s">
        <v>231</v>
      </c>
      <c r="W278" s="27">
        <v>0</v>
      </c>
      <c r="X278" s="27">
        <v>0</v>
      </c>
      <c r="Y278" s="27">
        <v>0</v>
      </c>
      <c r="Z278" s="27">
        <v>0</v>
      </c>
      <c r="AA278" s="27" t="s">
        <v>125</v>
      </c>
      <c r="AB278" s="27">
        <v>0</v>
      </c>
      <c r="AC278" s="27">
        <v>0</v>
      </c>
      <c r="AD278" s="27">
        <v>0</v>
      </c>
      <c r="AE278" s="27">
        <v>0</v>
      </c>
      <c r="AF278" s="27">
        <v>0</v>
      </c>
      <c r="AG278" s="27">
        <v>0</v>
      </c>
      <c r="AH278" s="27">
        <v>0</v>
      </c>
      <c r="AI278" s="27">
        <v>0</v>
      </c>
      <c r="AJ278" s="27">
        <v>0</v>
      </c>
      <c r="AK278" s="27">
        <v>0</v>
      </c>
      <c r="AL278" s="27">
        <v>0</v>
      </c>
      <c r="AM278" s="27">
        <v>0</v>
      </c>
      <c r="AN278" s="27">
        <v>0</v>
      </c>
      <c r="AO278" s="27">
        <v>0</v>
      </c>
      <c r="AP278" s="27">
        <v>0</v>
      </c>
      <c r="AQ278" s="27">
        <v>1</v>
      </c>
      <c r="AR278" s="27">
        <v>0</v>
      </c>
      <c r="AS278" s="27">
        <v>0</v>
      </c>
      <c r="AT278" s="27">
        <v>0</v>
      </c>
      <c r="AU278" s="27">
        <v>0</v>
      </c>
      <c r="AV278" s="27">
        <v>1</v>
      </c>
      <c r="AW278" s="27">
        <v>1</v>
      </c>
      <c r="AX278" s="27">
        <v>0</v>
      </c>
      <c r="AY278" s="27">
        <v>32</v>
      </c>
      <c r="AZ278" s="27">
        <v>1</v>
      </c>
      <c r="BA278" s="27">
        <v>1</v>
      </c>
      <c r="BB278" s="27">
        <v>0</v>
      </c>
      <c r="BC278" s="27" t="s">
        <v>1026</v>
      </c>
      <c r="BD278" s="27" t="s">
        <v>1027</v>
      </c>
      <c r="BE278" s="27" t="s">
        <v>226</v>
      </c>
      <c r="BF278" s="27" t="s">
        <v>77</v>
      </c>
      <c r="BG278" s="27">
        <v>1</v>
      </c>
      <c r="BH278" s="27">
        <v>11</v>
      </c>
      <c r="BI278" s="27">
        <v>0.0833</v>
      </c>
      <c r="BJ278" s="27">
        <v>1</v>
      </c>
    </row>
    <row r="279" customHeight="1" spans="1:64">
      <c r="A279" s="27" t="s">
        <v>1028</v>
      </c>
      <c r="B279" s="27" t="s">
        <v>1029</v>
      </c>
      <c r="C279" s="27" t="s">
        <v>1030</v>
      </c>
      <c r="D279" s="27">
        <v>800549669511</v>
      </c>
      <c r="E279" s="27" t="s">
        <v>1031</v>
      </c>
      <c r="F279" s="27" t="s">
        <v>68</v>
      </c>
      <c r="G279" s="27" t="s">
        <v>83</v>
      </c>
      <c r="H279" s="27" t="s">
        <v>450</v>
      </c>
      <c r="I279" s="27" t="s">
        <v>85</v>
      </c>
      <c r="J279" s="27">
        <v>5</v>
      </c>
      <c r="K279" s="27">
        <v>60</v>
      </c>
      <c r="M279" s="27">
        <v>0</v>
      </c>
      <c r="N279" s="27">
        <v>0</v>
      </c>
      <c r="O279" s="27">
        <v>0</v>
      </c>
      <c r="P279" s="27" t="s">
        <v>86</v>
      </c>
      <c r="Q279" s="27">
        <v>4.110874</v>
      </c>
      <c r="S279" s="27">
        <v>2</v>
      </c>
      <c r="T279" s="27">
        <v>8</v>
      </c>
      <c r="U279" s="27">
        <v>0.2</v>
      </c>
      <c r="V279" s="27" t="s">
        <v>87</v>
      </c>
      <c r="W279" s="27">
        <v>120</v>
      </c>
      <c r="X279" s="27">
        <v>1.098612</v>
      </c>
      <c r="Y279" s="27">
        <v>4.795791</v>
      </c>
      <c r="Z279" s="27">
        <v>2.8284</v>
      </c>
      <c r="AA279" s="27" t="s">
        <v>125</v>
      </c>
      <c r="AB279" s="27">
        <v>0</v>
      </c>
      <c r="AC279" s="27">
        <v>0</v>
      </c>
      <c r="AD279" s="27">
        <v>0</v>
      </c>
      <c r="AE279" s="27">
        <v>0</v>
      </c>
      <c r="AF279" s="27">
        <v>0</v>
      </c>
      <c r="AG279" s="27">
        <v>0</v>
      </c>
      <c r="AH279" s="27">
        <v>0</v>
      </c>
      <c r="AI279" s="27">
        <v>0</v>
      </c>
      <c r="AJ279" s="27">
        <v>0</v>
      </c>
      <c r="AK279" s="27">
        <v>0</v>
      </c>
      <c r="AL279" s="27">
        <v>0</v>
      </c>
      <c r="AM279" s="27">
        <v>0</v>
      </c>
      <c r="AN279" s="27">
        <v>0</v>
      </c>
      <c r="AO279" s="27">
        <v>0</v>
      </c>
      <c r="AP279" s="27">
        <v>0</v>
      </c>
      <c r="AQ279" s="27">
        <v>0</v>
      </c>
      <c r="AR279" s="27">
        <v>0</v>
      </c>
      <c r="AS279" s="27">
        <v>0</v>
      </c>
      <c r="AT279" s="27">
        <v>0</v>
      </c>
      <c r="AU279" s="27">
        <v>0</v>
      </c>
      <c r="AV279" s="27">
        <v>0</v>
      </c>
      <c r="AW279" s="27">
        <v>0</v>
      </c>
      <c r="AX279" s="27">
        <v>0</v>
      </c>
      <c r="AZ279" s="27">
        <v>1</v>
      </c>
      <c r="BA279" s="27">
        <v>0</v>
      </c>
      <c r="BB279" s="27">
        <v>34.79</v>
      </c>
      <c r="BC279" s="27" t="s">
        <v>1032</v>
      </c>
      <c r="BD279" s="27" t="s">
        <v>97</v>
      </c>
      <c r="BE279" s="27" t="s">
        <v>76</v>
      </c>
      <c r="BF279" s="27" t="s">
        <v>77</v>
      </c>
      <c r="BG279" s="27">
        <v>167</v>
      </c>
      <c r="BH279" s="27">
        <v>11</v>
      </c>
      <c r="BI279" s="27">
        <v>0.9382</v>
      </c>
      <c r="BJ279" s="27">
        <v>0</v>
      </c>
      <c r="BK279" s="27">
        <v>39</v>
      </c>
      <c r="BL279" s="27">
        <v>89.3</v>
      </c>
    </row>
    <row r="280" customHeight="1" spans="1:64">
      <c r="A280" s="27" t="s">
        <v>1033</v>
      </c>
      <c r="B280" s="27" t="s">
        <v>115</v>
      </c>
      <c r="C280" s="27" t="s">
        <v>121</v>
      </c>
      <c r="D280" s="27">
        <v>840414665354</v>
      </c>
      <c r="E280" s="27" t="s">
        <v>122</v>
      </c>
      <c r="F280" s="27" t="s">
        <v>82</v>
      </c>
      <c r="G280" s="27" t="s">
        <v>117</v>
      </c>
      <c r="H280" s="27" t="s">
        <v>107</v>
      </c>
      <c r="I280" s="27" t="s">
        <v>85</v>
      </c>
      <c r="J280" s="27">
        <v>5</v>
      </c>
      <c r="K280" s="27">
        <v>148</v>
      </c>
      <c r="M280" s="27">
        <v>0</v>
      </c>
      <c r="N280" s="27">
        <v>0</v>
      </c>
      <c r="O280" s="27">
        <v>0</v>
      </c>
      <c r="P280" s="27" t="s">
        <v>95</v>
      </c>
      <c r="Q280" s="27">
        <v>5.003946</v>
      </c>
      <c r="S280" s="27">
        <v>4</v>
      </c>
      <c r="T280" s="27">
        <v>10</v>
      </c>
      <c r="U280" s="27">
        <v>0.2857</v>
      </c>
      <c r="V280" s="27" t="s">
        <v>87</v>
      </c>
      <c r="W280" s="27">
        <v>592</v>
      </c>
      <c r="X280" s="27">
        <v>1.609438</v>
      </c>
      <c r="Y280" s="27">
        <v>6.385194</v>
      </c>
      <c r="Z280" s="27">
        <v>3.1623</v>
      </c>
      <c r="AA280" s="27" t="s">
        <v>73</v>
      </c>
      <c r="AB280" s="27">
        <v>0</v>
      </c>
      <c r="AC280" s="27">
        <v>0</v>
      </c>
      <c r="AD280" s="27">
        <v>0</v>
      </c>
      <c r="AE280" s="27">
        <v>0</v>
      </c>
      <c r="AF280" s="27">
        <v>0</v>
      </c>
      <c r="AG280" s="27">
        <v>1</v>
      </c>
      <c r="AH280" s="27">
        <v>0</v>
      </c>
      <c r="AI280" s="27">
        <v>0</v>
      </c>
      <c r="AJ280" s="27">
        <v>0</v>
      </c>
      <c r="AK280" s="27">
        <v>0</v>
      </c>
      <c r="AL280" s="27">
        <v>0</v>
      </c>
      <c r="AM280" s="27">
        <v>0</v>
      </c>
      <c r="AN280" s="27">
        <v>0</v>
      </c>
      <c r="AO280" s="27">
        <v>0</v>
      </c>
      <c r="AP280" s="27">
        <v>0</v>
      </c>
      <c r="AQ280" s="27">
        <v>0</v>
      </c>
      <c r="AR280" s="27">
        <v>0</v>
      </c>
      <c r="AS280" s="27">
        <v>1</v>
      </c>
      <c r="AT280" s="27">
        <v>0</v>
      </c>
      <c r="AU280" s="27">
        <v>0</v>
      </c>
      <c r="AV280" s="27">
        <v>0</v>
      </c>
      <c r="AW280" s="27">
        <v>0</v>
      </c>
      <c r="AX280" s="27">
        <v>0</v>
      </c>
      <c r="AZ280" s="27">
        <v>1</v>
      </c>
      <c r="BA280" s="27">
        <v>0</v>
      </c>
      <c r="BB280" s="27">
        <v>40.86</v>
      </c>
      <c r="BC280" s="27" t="s">
        <v>211</v>
      </c>
      <c r="BD280" s="27" t="s">
        <v>212</v>
      </c>
      <c r="BE280" s="27" t="s">
        <v>1034</v>
      </c>
      <c r="BF280" s="27" t="s">
        <v>77</v>
      </c>
      <c r="BG280" s="27">
        <v>162</v>
      </c>
      <c r="BH280" s="27">
        <v>20</v>
      </c>
      <c r="BI280" s="27">
        <v>0.8901</v>
      </c>
      <c r="BJ280" s="27">
        <v>0</v>
      </c>
      <c r="BK280" s="27">
        <v>7</v>
      </c>
      <c r="BL280" s="27">
        <v>98.1</v>
      </c>
    </row>
    <row r="281" customHeight="1" spans="1:64">
      <c r="A281" s="27" t="s">
        <v>1035</v>
      </c>
      <c r="B281" s="27" t="s">
        <v>739</v>
      </c>
      <c r="C281" s="27" t="s">
        <v>1036</v>
      </c>
      <c r="E281" s="27" t="s">
        <v>81</v>
      </c>
      <c r="F281" s="27" t="s">
        <v>82</v>
      </c>
      <c r="G281" s="27" t="s">
        <v>83</v>
      </c>
      <c r="H281" s="27" t="s">
        <v>84</v>
      </c>
      <c r="I281" s="27" t="s">
        <v>203</v>
      </c>
      <c r="J281" s="27">
        <v>4</v>
      </c>
      <c r="K281" s="27">
        <v>29.9</v>
      </c>
      <c r="M281" s="27">
        <v>0</v>
      </c>
      <c r="N281" s="27">
        <v>0</v>
      </c>
      <c r="O281" s="27">
        <v>0</v>
      </c>
      <c r="P281" s="27" t="s">
        <v>86</v>
      </c>
      <c r="Q281" s="27">
        <v>3.430756</v>
      </c>
      <c r="S281" s="27">
        <v>11</v>
      </c>
      <c r="T281" s="27">
        <v>10</v>
      </c>
      <c r="U281" s="27">
        <v>0.5238</v>
      </c>
      <c r="V281" s="27" t="s">
        <v>72</v>
      </c>
      <c r="W281" s="27">
        <v>328.9</v>
      </c>
      <c r="X281" s="27">
        <v>2.484907</v>
      </c>
      <c r="Y281" s="27">
        <v>5.79879</v>
      </c>
      <c r="Z281" s="27">
        <v>3.1623</v>
      </c>
      <c r="AA281" s="27" t="s">
        <v>187</v>
      </c>
      <c r="AB281" s="27">
        <v>0</v>
      </c>
      <c r="AC281" s="27">
        <v>0</v>
      </c>
      <c r="AD281" s="27">
        <v>0</v>
      </c>
      <c r="AE281" s="27">
        <v>0</v>
      </c>
      <c r="AF281" s="27">
        <v>0</v>
      </c>
      <c r="AG281" s="27">
        <v>0</v>
      </c>
      <c r="AH281" s="27">
        <v>1</v>
      </c>
      <c r="AI281" s="27">
        <v>0</v>
      </c>
      <c r="AJ281" s="27">
        <v>0</v>
      </c>
      <c r="AK281" s="27">
        <v>0</v>
      </c>
      <c r="AL281" s="27">
        <v>0</v>
      </c>
      <c r="AM281" s="27">
        <v>0</v>
      </c>
      <c r="AN281" s="27">
        <v>0</v>
      </c>
      <c r="AO281" s="27">
        <v>0</v>
      </c>
      <c r="AP281" s="27">
        <v>0</v>
      </c>
      <c r="AQ281" s="27">
        <v>0</v>
      </c>
      <c r="AR281" s="27">
        <v>0</v>
      </c>
      <c r="AS281" s="27">
        <v>0</v>
      </c>
      <c r="AT281" s="27">
        <v>0</v>
      </c>
      <c r="AU281" s="27">
        <v>0</v>
      </c>
      <c r="AV281" s="27">
        <v>0</v>
      </c>
      <c r="AW281" s="27">
        <v>0</v>
      </c>
      <c r="AX281" s="27">
        <v>1</v>
      </c>
      <c r="AZ281" s="27">
        <v>1</v>
      </c>
      <c r="BA281" s="27">
        <v>1</v>
      </c>
      <c r="BB281" s="27">
        <v>49.54</v>
      </c>
      <c r="BC281" s="27" t="s">
        <v>1037</v>
      </c>
      <c r="BD281" s="27" t="s">
        <v>1038</v>
      </c>
      <c r="BE281" s="27" t="s">
        <v>1039</v>
      </c>
      <c r="BF281" s="27" t="s">
        <v>77</v>
      </c>
      <c r="BG281" s="27">
        <v>168</v>
      </c>
      <c r="BH281" s="27">
        <v>11</v>
      </c>
      <c r="BI281" s="27">
        <v>0.9385</v>
      </c>
      <c r="BJ281" s="27">
        <v>0</v>
      </c>
      <c r="BK281" s="27">
        <v>17</v>
      </c>
      <c r="BL281" s="27">
        <v>95.3</v>
      </c>
    </row>
    <row r="282" customHeight="1" spans="1:64">
      <c r="A282" s="27" t="s">
        <v>1040</v>
      </c>
      <c r="B282" s="27" t="s">
        <v>125</v>
      </c>
      <c r="E282" s="27" t="s">
        <v>1041</v>
      </c>
      <c r="F282" s="27" t="s">
        <v>198</v>
      </c>
      <c r="G282" s="27" t="s">
        <v>83</v>
      </c>
      <c r="H282" s="27" t="s">
        <v>138</v>
      </c>
      <c r="I282" s="27" t="s">
        <v>85</v>
      </c>
      <c r="J282" s="27">
        <v>5</v>
      </c>
      <c r="K282" s="27">
        <v>21.99</v>
      </c>
      <c r="M282" s="27">
        <v>0</v>
      </c>
      <c r="N282" s="27">
        <v>0</v>
      </c>
      <c r="O282" s="27">
        <v>0</v>
      </c>
      <c r="P282" s="27" t="s">
        <v>133</v>
      </c>
      <c r="Q282" s="27">
        <v>3.135059</v>
      </c>
      <c r="S282" s="27">
        <v>117</v>
      </c>
      <c r="T282" s="27">
        <v>10</v>
      </c>
      <c r="U282" s="27">
        <v>0.9213</v>
      </c>
      <c r="V282" s="27" t="s">
        <v>72</v>
      </c>
      <c r="W282" s="27">
        <v>2572.83</v>
      </c>
      <c r="X282" s="27">
        <v>4.770685</v>
      </c>
      <c r="Y282" s="27">
        <v>7.85315</v>
      </c>
      <c r="Z282" s="27">
        <v>3.1623</v>
      </c>
      <c r="AA282" s="27" t="s">
        <v>125</v>
      </c>
      <c r="AB282" s="27">
        <v>0</v>
      </c>
      <c r="AC282" s="27">
        <v>0</v>
      </c>
      <c r="AD282" s="27">
        <v>0</v>
      </c>
      <c r="AE282" s="27">
        <v>1</v>
      </c>
      <c r="AF282" s="27">
        <v>0</v>
      </c>
      <c r="AG282" s="27">
        <v>0</v>
      </c>
      <c r="AH282" s="27">
        <v>1</v>
      </c>
      <c r="AI282" s="27">
        <v>0</v>
      </c>
      <c r="AJ282" s="27">
        <v>0</v>
      </c>
      <c r="AK282" s="27">
        <v>0</v>
      </c>
      <c r="AL282" s="27">
        <v>0</v>
      </c>
      <c r="AM282" s="27">
        <v>0</v>
      </c>
      <c r="AN282" s="27">
        <v>0</v>
      </c>
      <c r="AO282" s="27">
        <v>0</v>
      </c>
      <c r="AP282" s="27">
        <v>0</v>
      </c>
      <c r="AQ282" s="27">
        <v>0</v>
      </c>
      <c r="AR282" s="27">
        <v>0</v>
      </c>
      <c r="AS282" s="27">
        <v>0</v>
      </c>
      <c r="AT282" s="27">
        <v>1</v>
      </c>
      <c r="AU282" s="27">
        <v>0</v>
      </c>
      <c r="AV282" s="27">
        <v>0</v>
      </c>
      <c r="AW282" s="27">
        <v>0</v>
      </c>
      <c r="AX282" s="27">
        <v>0</v>
      </c>
      <c r="AZ282" s="27">
        <v>1</v>
      </c>
      <c r="BA282" s="27">
        <v>2</v>
      </c>
      <c r="BB282" s="27">
        <v>66.61</v>
      </c>
      <c r="BC282" s="27" t="s">
        <v>1042</v>
      </c>
      <c r="BD282" s="27" t="s">
        <v>1043</v>
      </c>
      <c r="BE282" s="27" t="s">
        <v>113</v>
      </c>
      <c r="BF282" s="27" t="s">
        <v>77</v>
      </c>
      <c r="BG282" s="27">
        <v>168</v>
      </c>
      <c r="BH282" s="27">
        <v>12</v>
      </c>
      <c r="BI282" s="27">
        <v>0.9333</v>
      </c>
      <c r="BJ282" s="27">
        <v>0</v>
      </c>
      <c r="BK282" s="27">
        <v>3</v>
      </c>
      <c r="BL282" s="27">
        <v>99.2</v>
      </c>
    </row>
    <row r="283" customHeight="1" spans="1:64">
      <c r="A283" s="27" t="s">
        <v>1044</v>
      </c>
      <c r="B283" s="27" t="s">
        <v>171</v>
      </c>
      <c r="C283" s="27" t="s">
        <v>1045</v>
      </c>
      <c r="E283" s="27" t="s">
        <v>312</v>
      </c>
      <c r="F283" s="27" t="s">
        <v>160</v>
      </c>
      <c r="G283" s="27" t="s">
        <v>83</v>
      </c>
      <c r="H283" s="27" t="s">
        <v>84</v>
      </c>
      <c r="I283" s="27" t="s">
        <v>85</v>
      </c>
      <c r="J283" s="27">
        <v>5</v>
      </c>
      <c r="K283" s="27">
        <v>49.49</v>
      </c>
      <c r="L283" s="27">
        <v>65.99</v>
      </c>
      <c r="M283" s="27">
        <v>25</v>
      </c>
      <c r="N283" s="27">
        <v>16.5</v>
      </c>
      <c r="O283" s="27">
        <v>1</v>
      </c>
      <c r="P283" s="27" t="s">
        <v>86</v>
      </c>
      <c r="Q283" s="27">
        <v>3.921775</v>
      </c>
      <c r="R283" s="27">
        <v>6.19</v>
      </c>
      <c r="S283" s="27">
        <v>16</v>
      </c>
      <c r="T283" s="27">
        <v>10</v>
      </c>
      <c r="U283" s="27">
        <v>0.6154</v>
      </c>
      <c r="V283" s="27" t="s">
        <v>72</v>
      </c>
      <c r="W283" s="27">
        <v>791.84</v>
      </c>
      <c r="X283" s="27">
        <v>2.833213</v>
      </c>
      <c r="Y283" s="27">
        <v>6.675621</v>
      </c>
      <c r="Z283" s="27">
        <v>3.1623</v>
      </c>
      <c r="AA283" s="27" t="s">
        <v>110</v>
      </c>
      <c r="AB283" s="27">
        <v>0</v>
      </c>
      <c r="AC283" s="27">
        <v>0</v>
      </c>
      <c r="AD283" s="27">
        <v>0</v>
      </c>
      <c r="AE283" s="27">
        <v>0</v>
      </c>
      <c r="AF283" s="27">
        <v>0</v>
      </c>
      <c r="AG283" s="27">
        <v>0</v>
      </c>
      <c r="AH283" s="27">
        <v>0</v>
      </c>
      <c r="AI283" s="27">
        <v>0</v>
      </c>
      <c r="AJ283" s="27">
        <v>0</v>
      </c>
      <c r="AK283" s="27">
        <v>0</v>
      </c>
      <c r="AL283" s="27">
        <v>0</v>
      </c>
      <c r="AM283" s="27">
        <v>0</v>
      </c>
      <c r="AN283" s="27">
        <v>0</v>
      </c>
      <c r="AO283" s="27">
        <v>0</v>
      </c>
      <c r="AP283" s="27">
        <v>0</v>
      </c>
      <c r="AQ283" s="27">
        <v>1</v>
      </c>
      <c r="AR283" s="27">
        <v>0</v>
      </c>
      <c r="AS283" s="27">
        <v>0</v>
      </c>
      <c r="AT283" s="27">
        <v>0</v>
      </c>
      <c r="AU283" s="27">
        <v>0</v>
      </c>
      <c r="AV283" s="27">
        <v>1</v>
      </c>
      <c r="AW283" s="27">
        <v>1</v>
      </c>
      <c r="AX283" s="27">
        <v>0</v>
      </c>
      <c r="AY283" s="27">
        <v>8</v>
      </c>
      <c r="AZ283" s="27">
        <v>1</v>
      </c>
      <c r="BA283" s="27">
        <v>1</v>
      </c>
      <c r="BB283" s="27">
        <v>61.22</v>
      </c>
      <c r="BC283" s="27" t="s">
        <v>506</v>
      </c>
      <c r="BG283" s="27">
        <v>0</v>
      </c>
      <c r="BH283" s="27">
        <v>0</v>
      </c>
      <c r="BJ283" s="27">
        <v>0</v>
      </c>
      <c r="BK283" s="27">
        <v>11</v>
      </c>
      <c r="BL283" s="27">
        <v>97</v>
      </c>
    </row>
    <row r="284" customHeight="1" spans="1:64">
      <c r="A284" s="27" t="s">
        <v>1046</v>
      </c>
      <c r="B284" s="27" t="s">
        <v>370</v>
      </c>
      <c r="E284" s="27" t="s">
        <v>239</v>
      </c>
      <c r="F284" s="27" t="s">
        <v>240</v>
      </c>
      <c r="G284" s="27" t="s">
        <v>83</v>
      </c>
      <c r="H284" s="27" t="s">
        <v>84</v>
      </c>
      <c r="I284" s="27" t="s">
        <v>203</v>
      </c>
      <c r="J284" s="27">
        <v>4</v>
      </c>
      <c r="K284" s="27">
        <v>200</v>
      </c>
      <c r="M284" s="27">
        <v>0</v>
      </c>
      <c r="N284" s="27">
        <v>0</v>
      </c>
      <c r="O284" s="27">
        <v>0</v>
      </c>
      <c r="P284" s="27" t="s">
        <v>71</v>
      </c>
      <c r="Q284" s="27">
        <v>5.303305</v>
      </c>
      <c r="V284" s="27" t="s">
        <v>231</v>
      </c>
      <c r="W284" s="27">
        <v>0</v>
      </c>
      <c r="X284" s="27">
        <v>0</v>
      </c>
      <c r="Y284" s="27">
        <v>0</v>
      </c>
      <c r="Z284" s="27">
        <v>0</v>
      </c>
      <c r="AA284" s="27" t="s">
        <v>125</v>
      </c>
      <c r="AB284" s="27">
        <v>0</v>
      </c>
      <c r="AC284" s="27">
        <v>0</v>
      </c>
      <c r="AD284" s="27">
        <v>0</v>
      </c>
      <c r="AE284" s="27">
        <v>0</v>
      </c>
      <c r="AF284" s="27">
        <v>0</v>
      </c>
      <c r="AG284" s="27">
        <v>1</v>
      </c>
      <c r="AH284" s="27">
        <v>0</v>
      </c>
      <c r="AI284" s="27">
        <v>0</v>
      </c>
      <c r="AJ284" s="27">
        <v>0</v>
      </c>
      <c r="AK284" s="27">
        <v>0</v>
      </c>
      <c r="AL284" s="27">
        <v>0</v>
      </c>
      <c r="AM284" s="27">
        <v>0</v>
      </c>
      <c r="AN284" s="27">
        <v>0</v>
      </c>
      <c r="AO284" s="27">
        <v>0</v>
      </c>
      <c r="AP284" s="27">
        <v>0</v>
      </c>
      <c r="AQ284" s="27">
        <v>1</v>
      </c>
      <c r="AR284" s="27">
        <v>0</v>
      </c>
      <c r="AS284" s="27">
        <v>0</v>
      </c>
      <c r="AT284" s="27">
        <v>0</v>
      </c>
      <c r="AU284" s="27">
        <v>0</v>
      </c>
      <c r="AV284" s="27">
        <v>1</v>
      </c>
      <c r="AW284" s="27">
        <v>0</v>
      </c>
      <c r="AX284" s="27">
        <v>0</v>
      </c>
      <c r="AZ284" s="27">
        <v>1</v>
      </c>
      <c r="BA284" s="27">
        <v>1</v>
      </c>
      <c r="BB284" s="27">
        <v>28.59</v>
      </c>
      <c r="BC284" s="27" t="s">
        <v>663</v>
      </c>
      <c r="BG284" s="27">
        <v>0</v>
      </c>
      <c r="BH284" s="27">
        <v>0</v>
      </c>
      <c r="BJ284" s="27">
        <v>0</v>
      </c>
      <c r="BK284" s="27">
        <v>17</v>
      </c>
      <c r="BL284" s="27">
        <v>95.3</v>
      </c>
    </row>
    <row r="285" customHeight="1" spans="1:64">
      <c r="A285" s="27" t="s">
        <v>1047</v>
      </c>
      <c r="B285" s="27" t="s">
        <v>144</v>
      </c>
      <c r="C285" s="27">
        <v>503444</v>
      </c>
      <c r="D285" s="27">
        <v>636391130097</v>
      </c>
      <c r="E285" s="27" t="s">
        <v>1048</v>
      </c>
      <c r="F285" s="27" t="s">
        <v>132</v>
      </c>
      <c r="G285" s="27" t="s">
        <v>83</v>
      </c>
      <c r="H285" s="27" t="s">
        <v>84</v>
      </c>
      <c r="I285" s="27" t="s">
        <v>85</v>
      </c>
      <c r="J285" s="27">
        <v>5</v>
      </c>
      <c r="K285" s="27">
        <v>5.99</v>
      </c>
      <c r="M285" s="27">
        <v>0</v>
      </c>
      <c r="N285" s="27">
        <v>0</v>
      </c>
      <c r="O285" s="27">
        <v>0</v>
      </c>
      <c r="P285" s="27" t="s">
        <v>133</v>
      </c>
      <c r="Q285" s="27">
        <v>1.944481</v>
      </c>
      <c r="S285" s="27">
        <v>31</v>
      </c>
      <c r="T285" s="27">
        <v>10</v>
      </c>
      <c r="U285" s="27">
        <v>0.7561</v>
      </c>
      <c r="V285" s="27" t="s">
        <v>72</v>
      </c>
      <c r="W285" s="27">
        <v>185.69</v>
      </c>
      <c r="X285" s="27">
        <v>3.465736</v>
      </c>
      <c r="Y285" s="27">
        <v>5.229449</v>
      </c>
      <c r="Z285" s="27">
        <v>3.1623</v>
      </c>
      <c r="AA285" s="27" t="s">
        <v>125</v>
      </c>
      <c r="AB285" s="27">
        <v>0</v>
      </c>
      <c r="AC285" s="27">
        <v>0</v>
      </c>
      <c r="AD285" s="27">
        <v>0</v>
      </c>
      <c r="AE285" s="27">
        <v>0</v>
      </c>
      <c r="AF285" s="27">
        <v>0</v>
      </c>
      <c r="AG285" s="27">
        <v>0</v>
      </c>
      <c r="AH285" s="27">
        <v>0</v>
      </c>
      <c r="AI285" s="27">
        <v>0</v>
      </c>
      <c r="AJ285" s="27">
        <v>0</v>
      </c>
      <c r="AK285" s="27">
        <v>0</v>
      </c>
      <c r="AL285" s="27">
        <v>0</v>
      </c>
      <c r="AM285" s="27">
        <v>0</v>
      </c>
      <c r="AN285" s="27">
        <v>0</v>
      </c>
      <c r="AO285" s="27">
        <v>0</v>
      </c>
      <c r="AP285" s="27">
        <v>0</v>
      </c>
      <c r="AQ285" s="27">
        <v>0</v>
      </c>
      <c r="AR285" s="27">
        <v>0</v>
      </c>
      <c r="AS285" s="27">
        <v>0</v>
      </c>
      <c r="AT285" s="27">
        <v>0</v>
      </c>
      <c r="AU285" s="27">
        <v>0</v>
      </c>
      <c r="AV285" s="27">
        <v>0</v>
      </c>
      <c r="AW285" s="27">
        <v>1</v>
      </c>
      <c r="AX285" s="27">
        <v>0</v>
      </c>
      <c r="AZ285" s="27">
        <v>2</v>
      </c>
      <c r="BA285" s="27">
        <v>0</v>
      </c>
      <c r="BB285" s="27">
        <v>30.24</v>
      </c>
      <c r="BC285" s="27" t="s">
        <v>1049</v>
      </c>
      <c r="BD285" s="27" t="s">
        <v>1050</v>
      </c>
      <c r="BE285" s="27" t="s">
        <v>1051</v>
      </c>
      <c r="BF285" s="27" t="s">
        <v>77</v>
      </c>
      <c r="BG285" s="27">
        <v>163</v>
      </c>
      <c r="BH285" s="27">
        <v>45</v>
      </c>
      <c r="BI285" s="27">
        <v>0.7837</v>
      </c>
      <c r="BJ285" s="27">
        <v>0</v>
      </c>
      <c r="BK285" s="27">
        <v>810</v>
      </c>
      <c r="BL285" s="27">
        <v>0</v>
      </c>
    </row>
    <row r="286" customHeight="1" spans="1:64">
      <c r="A286" s="27" t="s">
        <v>1052</v>
      </c>
      <c r="B286" s="27" t="s">
        <v>125</v>
      </c>
      <c r="E286" s="27" t="s">
        <v>505</v>
      </c>
      <c r="F286" s="27" t="s">
        <v>160</v>
      </c>
      <c r="G286" s="27" t="s">
        <v>83</v>
      </c>
      <c r="H286" s="27" t="s">
        <v>138</v>
      </c>
      <c r="I286" s="27" t="s">
        <v>85</v>
      </c>
      <c r="J286" s="27">
        <v>5</v>
      </c>
      <c r="K286" s="27">
        <v>3.89</v>
      </c>
      <c r="L286" s="27">
        <v>4.86</v>
      </c>
      <c r="M286" s="27">
        <v>19.96</v>
      </c>
      <c r="N286" s="27">
        <v>0.97</v>
      </c>
      <c r="O286" s="27">
        <v>1</v>
      </c>
      <c r="P286" s="27" t="s">
        <v>133</v>
      </c>
      <c r="Q286" s="27">
        <v>1.587192</v>
      </c>
      <c r="S286" s="27">
        <v>113</v>
      </c>
      <c r="T286" s="27">
        <v>5</v>
      </c>
      <c r="U286" s="27">
        <v>0.9576</v>
      </c>
      <c r="V286" s="27" t="s">
        <v>72</v>
      </c>
      <c r="W286" s="27">
        <v>439.57</v>
      </c>
      <c r="X286" s="27">
        <v>4.736198</v>
      </c>
      <c r="Y286" s="27">
        <v>6.088069</v>
      </c>
      <c r="Z286" s="27">
        <v>2.2361</v>
      </c>
      <c r="AA286" s="27" t="s">
        <v>125</v>
      </c>
      <c r="AB286" s="27">
        <v>0</v>
      </c>
      <c r="AC286" s="27">
        <v>0</v>
      </c>
      <c r="AD286" s="27">
        <v>0</v>
      </c>
      <c r="AE286" s="27">
        <v>0</v>
      </c>
      <c r="AF286" s="27">
        <v>0</v>
      </c>
      <c r="AG286" s="27">
        <v>0</v>
      </c>
      <c r="AH286" s="27">
        <v>1</v>
      </c>
      <c r="AI286" s="27">
        <v>0</v>
      </c>
      <c r="AJ286" s="27">
        <v>0</v>
      </c>
      <c r="AK286" s="27">
        <v>0</v>
      </c>
      <c r="AL286" s="27">
        <v>0</v>
      </c>
      <c r="AM286" s="27">
        <v>0</v>
      </c>
      <c r="AN286" s="27">
        <v>0</v>
      </c>
      <c r="AO286" s="27">
        <v>0</v>
      </c>
      <c r="AP286" s="27">
        <v>0</v>
      </c>
      <c r="AQ286" s="27">
        <v>0</v>
      </c>
      <c r="AR286" s="27">
        <v>0</v>
      </c>
      <c r="AS286" s="27">
        <v>0</v>
      </c>
      <c r="AT286" s="27">
        <v>0</v>
      </c>
      <c r="AU286" s="27">
        <v>0</v>
      </c>
      <c r="AV286" s="27">
        <v>0</v>
      </c>
      <c r="AW286" s="27">
        <v>1</v>
      </c>
      <c r="AX286" s="27">
        <v>0</v>
      </c>
      <c r="AZ286" s="27">
        <v>1</v>
      </c>
      <c r="BA286" s="27">
        <v>1</v>
      </c>
      <c r="BB286" s="27">
        <v>74.14</v>
      </c>
      <c r="BC286" s="27" t="s">
        <v>1053</v>
      </c>
      <c r="BD286" s="27" t="s">
        <v>1054</v>
      </c>
      <c r="BE286" s="27" t="s">
        <v>673</v>
      </c>
      <c r="BF286" s="27" t="s">
        <v>77</v>
      </c>
      <c r="BG286" s="27">
        <v>168</v>
      </c>
      <c r="BH286" s="27">
        <v>11</v>
      </c>
      <c r="BI286" s="27">
        <v>0.9385</v>
      </c>
      <c r="BJ286" s="27">
        <v>0</v>
      </c>
      <c r="BK286" s="27">
        <v>2</v>
      </c>
      <c r="BL286" s="27">
        <v>99.5</v>
      </c>
    </row>
    <row r="287" customHeight="1" spans="1:64">
      <c r="A287" s="27" t="s">
        <v>1055</v>
      </c>
      <c r="B287" s="27" t="s">
        <v>427</v>
      </c>
      <c r="C287" s="27" t="s">
        <v>1056</v>
      </c>
      <c r="E287" s="27" t="s">
        <v>438</v>
      </c>
      <c r="F287" s="27" t="s">
        <v>82</v>
      </c>
      <c r="G287" s="27" t="s">
        <v>427</v>
      </c>
      <c r="H287" s="27" t="s">
        <v>107</v>
      </c>
      <c r="I287" s="27" t="s">
        <v>153</v>
      </c>
      <c r="J287" s="27">
        <v>2</v>
      </c>
      <c r="K287" s="27">
        <v>89.99</v>
      </c>
      <c r="M287" s="27">
        <v>0</v>
      </c>
      <c r="N287" s="27">
        <v>0</v>
      </c>
      <c r="O287" s="27">
        <v>0</v>
      </c>
      <c r="P287" s="27" t="s">
        <v>95</v>
      </c>
      <c r="Q287" s="27">
        <v>4.51075</v>
      </c>
      <c r="S287" s="27">
        <v>2</v>
      </c>
      <c r="T287" s="27">
        <v>2</v>
      </c>
      <c r="U287" s="27">
        <v>0.5</v>
      </c>
      <c r="V287" s="27" t="s">
        <v>87</v>
      </c>
      <c r="W287" s="27">
        <v>179.98</v>
      </c>
      <c r="X287" s="27">
        <v>1.098612</v>
      </c>
      <c r="Y287" s="27">
        <v>5.198387</v>
      </c>
      <c r="Z287" s="27">
        <v>1.4142</v>
      </c>
      <c r="AA287" s="27" t="s">
        <v>125</v>
      </c>
      <c r="AB287" s="27">
        <v>0</v>
      </c>
      <c r="AC287" s="27">
        <v>0</v>
      </c>
      <c r="AD287" s="27">
        <v>0</v>
      </c>
      <c r="AE287" s="27">
        <v>0</v>
      </c>
      <c r="AF287" s="27">
        <v>0</v>
      </c>
      <c r="AG287" s="27">
        <v>0</v>
      </c>
      <c r="AH287" s="27">
        <v>0</v>
      </c>
      <c r="AI287" s="27">
        <v>0</v>
      </c>
      <c r="AJ287" s="27">
        <v>0</v>
      </c>
      <c r="AK287" s="27">
        <v>0</v>
      </c>
      <c r="AL287" s="27">
        <v>0</v>
      </c>
      <c r="AM287" s="27">
        <v>0</v>
      </c>
      <c r="AN287" s="27">
        <v>0</v>
      </c>
      <c r="AO287" s="27">
        <v>0</v>
      </c>
      <c r="AP287" s="27">
        <v>1</v>
      </c>
      <c r="AQ287" s="27">
        <v>0</v>
      </c>
      <c r="AR287" s="27">
        <v>0</v>
      </c>
      <c r="AS287" s="27">
        <v>0</v>
      </c>
      <c r="AT287" s="27">
        <v>1</v>
      </c>
      <c r="AU287" s="27">
        <v>1</v>
      </c>
      <c r="AV287" s="27">
        <v>0</v>
      </c>
      <c r="AW287" s="27">
        <v>0</v>
      </c>
      <c r="AX287" s="27">
        <v>0</v>
      </c>
      <c r="AZ287" s="27">
        <v>1</v>
      </c>
      <c r="BA287" s="27">
        <v>0</v>
      </c>
      <c r="BB287" s="27">
        <v>49.85</v>
      </c>
      <c r="BC287" s="27" t="s">
        <v>597</v>
      </c>
      <c r="BD287" s="27" t="s">
        <v>598</v>
      </c>
      <c r="BE287" s="27" t="s">
        <v>113</v>
      </c>
      <c r="BF287" s="27" t="s">
        <v>77</v>
      </c>
      <c r="BG287" s="27">
        <v>162</v>
      </c>
      <c r="BH287" s="27">
        <v>19</v>
      </c>
      <c r="BI287" s="27">
        <v>0.895</v>
      </c>
      <c r="BJ287" s="27">
        <v>0</v>
      </c>
      <c r="BK287" s="27">
        <v>2</v>
      </c>
      <c r="BL287" s="27">
        <v>99.5</v>
      </c>
    </row>
    <row r="288" customHeight="1" spans="1:64">
      <c r="A288" s="27" t="s">
        <v>1057</v>
      </c>
      <c r="B288" s="27" t="s">
        <v>1058</v>
      </c>
      <c r="C288" s="27" t="s">
        <v>1059</v>
      </c>
      <c r="D288" s="27">
        <v>840030705861</v>
      </c>
      <c r="E288" s="27" t="s">
        <v>163</v>
      </c>
      <c r="F288" s="27" t="s">
        <v>82</v>
      </c>
      <c r="G288" s="27" t="s">
        <v>83</v>
      </c>
      <c r="H288" s="27" t="s">
        <v>84</v>
      </c>
      <c r="I288" s="27" t="s">
        <v>85</v>
      </c>
      <c r="J288" s="27">
        <v>5</v>
      </c>
      <c r="K288" s="27">
        <v>34.99</v>
      </c>
      <c r="M288" s="27">
        <v>0</v>
      </c>
      <c r="N288" s="27">
        <v>0</v>
      </c>
      <c r="O288" s="27">
        <v>0</v>
      </c>
      <c r="P288" s="27" t="s">
        <v>86</v>
      </c>
      <c r="Q288" s="27">
        <v>3.583241</v>
      </c>
      <c r="S288" s="27">
        <v>4</v>
      </c>
      <c r="T288" s="27">
        <v>2</v>
      </c>
      <c r="U288" s="27">
        <v>0.6667</v>
      </c>
      <c r="V288" s="27" t="s">
        <v>87</v>
      </c>
      <c r="W288" s="27">
        <v>139.96</v>
      </c>
      <c r="X288" s="27">
        <v>1.609438</v>
      </c>
      <c r="Y288" s="27">
        <v>4.948476</v>
      </c>
      <c r="Z288" s="27">
        <v>1.4142</v>
      </c>
      <c r="AA288" s="27" t="s">
        <v>139</v>
      </c>
      <c r="AB288" s="27">
        <v>0</v>
      </c>
      <c r="AC288" s="27">
        <v>0</v>
      </c>
      <c r="AD288" s="27">
        <v>0</v>
      </c>
      <c r="AE288" s="27">
        <v>0</v>
      </c>
      <c r="AF288" s="27">
        <v>0</v>
      </c>
      <c r="AG288" s="27">
        <v>1</v>
      </c>
      <c r="AH288" s="27">
        <v>1</v>
      </c>
      <c r="AI288" s="27">
        <v>0</v>
      </c>
      <c r="AJ288" s="27">
        <v>0</v>
      </c>
      <c r="AK288" s="27">
        <v>1</v>
      </c>
      <c r="AL288" s="27">
        <v>0</v>
      </c>
      <c r="AM288" s="27">
        <v>0</v>
      </c>
      <c r="AN288" s="27">
        <v>0</v>
      </c>
      <c r="AO288" s="27">
        <v>0</v>
      </c>
      <c r="AP288" s="27">
        <v>0</v>
      </c>
      <c r="AQ288" s="27">
        <v>0</v>
      </c>
      <c r="AR288" s="27">
        <v>0</v>
      </c>
      <c r="AS288" s="27">
        <v>0</v>
      </c>
      <c r="AT288" s="27">
        <v>1</v>
      </c>
      <c r="AU288" s="27">
        <v>0</v>
      </c>
      <c r="AV288" s="27">
        <v>0</v>
      </c>
      <c r="AW288" s="27">
        <v>0</v>
      </c>
      <c r="AX288" s="27">
        <v>0</v>
      </c>
      <c r="AZ288" s="27">
        <v>1</v>
      </c>
      <c r="BA288" s="27">
        <v>2</v>
      </c>
      <c r="BB288" s="27">
        <v>56.52</v>
      </c>
      <c r="BC288" s="27" t="s">
        <v>1060</v>
      </c>
      <c r="BD288" s="27" t="s">
        <v>1061</v>
      </c>
      <c r="BE288" s="27" t="s">
        <v>1062</v>
      </c>
      <c r="BF288" s="27" t="s">
        <v>77</v>
      </c>
      <c r="BG288" s="27">
        <v>168</v>
      </c>
      <c r="BH288" s="27">
        <v>11</v>
      </c>
      <c r="BI288" s="27">
        <v>0.9385</v>
      </c>
      <c r="BJ288" s="27">
        <v>0</v>
      </c>
      <c r="BK288" s="27">
        <v>2</v>
      </c>
      <c r="BL288" s="27">
        <v>99.5</v>
      </c>
    </row>
    <row r="289" customHeight="1" spans="1:64">
      <c r="A289" s="27" t="s">
        <v>1063</v>
      </c>
      <c r="B289" s="27" t="s">
        <v>171</v>
      </c>
      <c r="C289" s="27" t="s">
        <v>1064</v>
      </c>
      <c r="E289" s="27" t="s">
        <v>239</v>
      </c>
      <c r="F289" s="27" t="s">
        <v>160</v>
      </c>
      <c r="G289" s="27" t="s">
        <v>83</v>
      </c>
      <c r="H289" s="27" t="s">
        <v>84</v>
      </c>
      <c r="I289" s="27" t="s">
        <v>85</v>
      </c>
      <c r="J289" s="27">
        <v>5</v>
      </c>
      <c r="K289" s="27">
        <v>79.79</v>
      </c>
      <c r="L289" s="27">
        <v>132.99</v>
      </c>
      <c r="M289" s="27">
        <v>40</v>
      </c>
      <c r="N289" s="27">
        <v>53.2</v>
      </c>
      <c r="O289" s="27">
        <v>1</v>
      </c>
      <c r="P289" s="27" t="s">
        <v>95</v>
      </c>
      <c r="Q289" s="27">
        <v>4.391853</v>
      </c>
      <c r="R289" s="27">
        <v>4.99</v>
      </c>
      <c r="S289" s="27">
        <v>33</v>
      </c>
      <c r="T289" s="27">
        <v>10</v>
      </c>
      <c r="U289" s="27">
        <v>0.7674</v>
      </c>
      <c r="V289" s="27" t="s">
        <v>72</v>
      </c>
      <c r="W289" s="27">
        <v>2633.07</v>
      </c>
      <c r="X289" s="27">
        <v>3.526361</v>
      </c>
      <c r="Y289" s="27">
        <v>7.876285</v>
      </c>
      <c r="Z289" s="27">
        <v>3.1623</v>
      </c>
      <c r="AA289" s="27" t="s">
        <v>139</v>
      </c>
      <c r="AB289" s="27">
        <v>0</v>
      </c>
      <c r="AC289" s="27">
        <v>0</v>
      </c>
      <c r="AD289" s="27">
        <v>0</v>
      </c>
      <c r="AE289" s="27">
        <v>0</v>
      </c>
      <c r="AF289" s="27">
        <v>0</v>
      </c>
      <c r="AG289" s="27">
        <v>0</v>
      </c>
      <c r="AH289" s="27">
        <v>0</v>
      </c>
      <c r="AI289" s="27">
        <v>0</v>
      </c>
      <c r="AJ289" s="27">
        <v>0</v>
      </c>
      <c r="AK289" s="27">
        <v>0</v>
      </c>
      <c r="AL289" s="27">
        <v>0</v>
      </c>
      <c r="AM289" s="27">
        <v>0</v>
      </c>
      <c r="AN289" s="27">
        <v>0</v>
      </c>
      <c r="AO289" s="27">
        <v>0</v>
      </c>
      <c r="AP289" s="27">
        <v>0</v>
      </c>
      <c r="AQ289" s="27">
        <v>1</v>
      </c>
      <c r="AR289" s="27">
        <v>0</v>
      </c>
      <c r="AS289" s="27">
        <v>0</v>
      </c>
      <c r="AT289" s="27">
        <v>0</v>
      </c>
      <c r="AU289" s="27">
        <v>0</v>
      </c>
      <c r="AV289" s="27">
        <v>1</v>
      </c>
      <c r="AW289" s="27">
        <v>1</v>
      </c>
      <c r="AX289" s="27">
        <v>0</v>
      </c>
      <c r="AY289" s="27">
        <v>16</v>
      </c>
      <c r="AZ289" s="27">
        <v>1</v>
      </c>
      <c r="BA289" s="27">
        <v>1</v>
      </c>
      <c r="BB289" s="27">
        <v>72.28</v>
      </c>
      <c r="BC289" s="27" t="s">
        <v>174</v>
      </c>
      <c r="BD289" s="27" t="s">
        <v>175</v>
      </c>
      <c r="BE289" s="27" t="s">
        <v>91</v>
      </c>
      <c r="BF289" s="27" t="s">
        <v>77</v>
      </c>
      <c r="BG289" s="27">
        <v>162</v>
      </c>
      <c r="BH289" s="27">
        <v>60</v>
      </c>
      <c r="BI289" s="27">
        <v>0.7297</v>
      </c>
      <c r="BJ289" s="27">
        <v>0</v>
      </c>
      <c r="BK289" s="27">
        <v>5</v>
      </c>
      <c r="BL289" s="27">
        <v>98.6</v>
      </c>
    </row>
    <row r="290" customHeight="1" spans="1:64">
      <c r="A290" s="27" t="s">
        <v>1065</v>
      </c>
      <c r="B290" s="27" t="s">
        <v>238</v>
      </c>
      <c r="C290" s="27" t="s">
        <v>1066</v>
      </c>
      <c r="D290" s="27">
        <v>885170361201</v>
      </c>
      <c r="E290" s="27" t="s">
        <v>81</v>
      </c>
      <c r="F290" s="27" t="s">
        <v>82</v>
      </c>
      <c r="G290" s="27" t="s">
        <v>83</v>
      </c>
      <c r="H290" s="27" t="s">
        <v>84</v>
      </c>
      <c r="I290" s="27" t="s">
        <v>85</v>
      </c>
      <c r="J290" s="27">
        <v>5</v>
      </c>
      <c r="K290" s="27">
        <v>149.95</v>
      </c>
      <c r="M290" s="27">
        <v>0</v>
      </c>
      <c r="N290" s="27">
        <v>0</v>
      </c>
      <c r="O290" s="27">
        <v>0</v>
      </c>
      <c r="P290" s="27" t="s">
        <v>95</v>
      </c>
      <c r="Q290" s="27">
        <v>5.016949</v>
      </c>
      <c r="S290" s="27">
        <v>2</v>
      </c>
      <c r="T290" s="27">
        <v>1</v>
      </c>
      <c r="U290" s="27">
        <v>0.6667</v>
      </c>
      <c r="V290" s="27" t="s">
        <v>87</v>
      </c>
      <c r="W290" s="27">
        <v>299.9</v>
      </c>
      <c r="X290" s="27">
        <v>1.098612</v>
      </c>
      <c r="Y290" s="27">
        <v>5.706778</v>
      </c>
      <c r="Z290" s="27">
        <v>1</v>
      </c>
      <c r="AA290" s="27" t="s">
        <v>139</v>
      </c>
      <c r="AB290" s="27">
        <v>1</v>
      </c>
      <c r="AC290" s="27">
        <v>1</v>
      </c>
      <c r="AD290" s="27">
        <v>0</v>
      </c>
      <c r="AE290" s="27">
        <v>0</v>
      </c>
      <c r="AF290" s="27">
        <v>0</v>
      </c>
      <c r="AG290" s="27">
        <v>0</v>
      </c>
      <c r="AH290" s="27">
        <v>0</v>
      </c>
      <c r="AI290" s="27">
        <v>0</v>
      </c>
      <c r="AJ290" s="27">
        <v>0</v>
      </c>
      <c r="AK290" s="27">
        <v>0</v>
      </c>
      <c r="AL290" s="27">
        <v>0</v>
      </c>
      <c r="AM290" s="27">
        <v>0</v>
      </c>
      <c r="AN290" s="27">
        <v>0</v>
      </c>
      <c r="AO290" s="27">
        <v>0</v>
      </c>
      <c r="AP290" s="27">
        <v>0</v>
      </c>
      <c r="AQ290" s="27">
        <v>0</v>
      </c>
      <c r="AR290" s="27">
        <v>0</v>
      </c>
      <c r="AS290" s="27">
        <v>0</v>
      </c>
      <c r="AT290" s="27">
        <v>0</v>
      </c>
      <c r="AU290" s="27">
        <v>0</v>
      </c>
      <c r="AV290" s="27">
        <v>0</v>
      </c>
      <c r="AW290" s="27">
        <v>0</v>
      </c>
      <c r="AX290" s="27">
        <v>0</v>
      </c>
      <c r="AZ290" s="27">
        <v>1</v>
      </c>
      <c r="BA290" s="27">
        <v>2</v>
      </c>
      <c r="BB290" s="27">
        <v>50.82</v>
      </c>
      <c r="BC290" s="27" t="s">
        <v>1067</v>
      </c>
      <c r="BD290" s="27" t="s">
        <v>1068</v>
      </c>
      <c r="BE290" s="27" t="s">
        <v>1069</v>
      </c>
      <c r="BF290" s="27" t="s">
        <v>77</v>
      </c>
      <c r="BG290" s="27">
        <v>202</v>
      </c>
      <c r="BH290" s="27">
        <v>11</v>
      </c>
      <c r="BI290" s="27">
        <v>0.9484</v>
      </c>
      <c r="BJ290" s="27">
        <v>0</v>
      </c>
      <c r="BK290" s="27">
        <v>71</v>
      </c>
      <c r="BL290" s="27">
        <v>80.5</v>
      </c>
    </row>
    <row r="291" customHeight="1" spans="1:64">
      <c r="A291" s="27" t="s">
        <v>1070</v>
      </c>
      <c r="B291" s="27" t="s">
        <v>384</v>
      </c>
      <c r="C291" s="27" t="s">
        <v>1071</v>
      </c>
      <c r="E291" s="27" t="s">
        <v>209</v>
      </c>
      <c r="F291" s="27" t="s">
        <v>160</v>
      </c>
      <c r="G291" s="27" t="s">
        <v>83</v>
      </c>
      <c r="H291" s="27" t="s">
        <v>84</v>
      </c>
      <c r="I291" s="27" t="s">
        <v>85</v>
      </c>
      <c r="J291" s="27">
        <v>5</v>
      </c>
      <c r="K291" s="27">
        <v>65.99</v>
      </c>
      <c r="L291" s="27">
        <v>82.49</v>
      </c>
      <c r="M291" s="27">
        <v>20</v>
      </c>
      <c r="N291" s="27">
        <v>16.5</v>
      </c>
      <c r="O291" s="27">
        <v>1</v>
      </c>
      <c r="P291" s="27" t="s">
        <v>86</v>
      </c>
      <c r="Q291" s="27">
        <v>4.204543</v>
      </c>
      <c r="R291" s="27">
        <v>4.12</v>
      </c>
      <c r="S291" s="27">
        <v>16</v>
      </c>
      <c r="T291" s="27">
        <v>10</v>
      </c>
      <c r="U291" s="27">
        <v>0.6154</v>
      </c>
      <c r="V291" s="27" t="s">
        <v>72</v>
      </c>
      <c r="W291" s="27">
        <v>1055.84</v>
      </c>
      <c r="X291" s="27">
        <v>2.833213</v>
      </c>
      <c r="Y291" s="27">
        <v>6.963039</v>
      </c>
      <c r="Z291" s="27">
        <v>3.1623</v>
      </c>
      <c r="AA291" s="27" t="s">
        <v>110</v>
      </c>
      <c r="AB291" s="27">
        <v>0</v>
      </c>
      <c r="AC291" s="27">
        <v>0</v>
      </c>
      <c r="AD291" s="27">
        <v>0</v>
      </c>
      <c r="AE291" s="27">
        <v>0</v>
      </c>
      <c r="AF291" s="27">
        <v>0</v>
      </c>
      <c r="AG291" s="27">
        <v>0</v>
      </c>
      <c r="AH291" s="27">
        <v>1</v>
      </c>
      <c r="AI291" s="27">
        <v>0</v>
      </c>
      <c r="AJ291" s="27">
        <v>0</v>
      </c>
      <c r="AK291" s="27">
        <v>1</v>
      </c>
      <c r="AL291" s="27">
        <v>0</v>
      </c>
      <c r="AM291" s="27">
        <v>0</v>
      </c>
      <c r="AN291" s="27">
        <v>0</v>
      </c>
      <c r="AO291" s="27">
        <v>0</v>
      </c>
      <c r="AP291" s="27">
        <v>0</v>
      </c>
      <c r="AQ291" s="27">
        <v>1</v>
      </c>
      <c r="AR291" s="27">
        <v>0</v>
      </c>
      <c r="AS291" s="27">
        <v>0</v>
      </c>
      <c r="AT291" s="27">
        <v>1</v>
      </c>
      <c r="AU291" s="27">
        <v>0</v>
      </c>
      <c r="AV291" s="27">
        <v>1</v>
      </c>
      <c r="AW291" s="27">
        <v>1</v>
      </c>
      <c r="AX291" s="27">
        <v>0</v>
      </c>
      <c r="AY291" s="27">
        <v>16</v>
      </c>
      <c r="AZ291" s="27">
        <v>1</v>
      </c>
      <c r="BA291" s="27">
        <v>3</v>
      </c>
      <c r="BB291" s="27">
        <v>60.38</v>
      </c>
      <c r="BC291" s="27" t="s">
        <v>309</v>
      </c>
      <c r="BD291" s="27" t="s">
        <v>773</v>
      </c>
      <c r="BE291" s="27" t="s">
        <v>774</v>
      </c>
      <c r="BF291" s="27" t="s">
        <v>77</v>
      </c>
      <c r="BG291" s="27">
        <v>1</v>
      </c>
      <c r="BH291" s="27">
        <v>43</v>
      </c>
      <c r="BI291" s="27">
        <v>0.0227</v>
      </c>
      <c r="BJ291" s="27">
        <v>1</v>
      </c>
      <c r="BK291" s="27">
        <v>3</v>
      </c>
      <c r="BL291" s="27">
        <v>99.2</v>
      </c>
    </row>
    <row r="292" customHeight="1" spans="1:64">
      <c r="A292" s="27" t="s">
        <v>1072</v>
      </c>
      <c r="B292" s="27" t="s">
        <v>1073</v>
      </c>
      <c r="E292" s="27" t="s">
        <v>239</v>
      </c>
      <c r="F292" s="27" t="s">
        <v>240</v>
      </c>
      <c r="G292" s="27" t="s">
        <v>83</v>
      </c>
      <c r="H292" s="27" t="s">
        <v>84</v>
      </c>
      <c r="I292" s="27" t="s">
        <v>85</v>
      </c>
      <c r="J292" s="27">
        <v>5</v>
      </c>
      <c r="K292" s="27">
        <v>63.99</v>
      </c>
      <c r="M292" s="27">
        <v>0</v>
      </c>
      <c r="N292" s="27">
        <v>0</v>
      </c>
      <c r="O292" s="27">
        <v>0</v>
      </c>
      <c r="P292" s="27" t="s">
        <v>86</v>
      </c>
      <c r="Q292" s="27">
        <v>4.174233</v>
      </c>
      <c r="R292" s="27">
        <v>8</v>
      </c>
      <c r="S292" s="27">
        <v>19</v>
      </c>
      <c r="T292" s="27">
        <v>10</v>
      </c>
      <c r="U292" s="27">
        <v>0.6552</v>
      </c>
      <c r="V292" s="27" t="s">
        <v>72</v>
      </c>
      <c r="W292" s="27">
        <v>1215.81</v>
      </c>
      <c r="X292" s="27">
        <v>2.995732</v>
      </c>
      <c r="Y292" s="27">
        <v>7.103988</v>
      </c>
      <c r="Z292" s="27">
        <v>3.1623</v>
      </c>
      <c r="AA292" s="27" t="s">
        <v>139</v>
      </c>
      <c r="AB292" s="27">
        <v>0</v>
      </c>
      <c r="AC292" s="27">
        <v>0</v>
      </c>
      <c r="AD292" s="27">
        <v>0</v>
      </c>
      <c r="AE292" s="27">
        <v>0</v>
      </c>
      <c r="AF292" s="27">
        <v>0</v>
      </c>
      <c r="AG292" s="27">
        <v>0</v>
      </c>
      <c r="AH292" s="27">
        <v>0</v>
      </c>
      <c r="AI292" s="27">
        <v>0</v>
      </c>
      <c r="AJ292" s="27">
        <v>0</v>
      </c>
      <c r="AK292" s="27">
        <v>0</v>
      </c>
      <c r="AL292" s="27">
        <v>0</v>
      </c>
      <c r="AM292" s="27">
        <v>0</v>
      </c>
      <c r="AN292" s="27">
        <v>0</v>
      </c>
      <c r="AO292" s="27">
        <v>0</v>
      </c>
      <c r="AP292" s="27">
        <v>0</v>
      </c>
      <c r="AQ292" s="27">
        <v>1</v>
      </c>
      <c r="AR292" s="27">
        <v>0</v>
      </c>
      <c r="AS292" s="27">
        <v>0</v>
      </c>
      <c r="AT292" s="27">
        <v>0</v>
      </c>
      <c r="AU292" s="27">
        <v>0</v>
      </c>
      <c r="AV292" s="27">
        <v>1</v>
      </c>
      <c r="AW292" s="27">
        <v>1</v>
      </c>
      <c r="AX292" s="27">
        <v>0</v>
      </c>
      <c r="AY292" s="27">
        <v>8</v>
      </c>
      <c r="AZ292" s="27">
        <v>1</v>
      </c>
      <c r="BA292" s="27">
        <v>1</v>
      </c>
      <c r="BB292" s="27">
        <v>55.97</v>
      </c>
      <c r="BC292" s="27" t="s">
        <v>1074</v>
      </c>
      <c r="BD292" s="27" t="s">
        <v>180</v>
      </c>
      <c r="BE292" s="27" t="s">
        <v>128</v>
      </c>
      <c r="BF292" s="27" t="s">
        <v>77</v>
      </c>
      <c r="BG292" s="27">
        <v>1</v>
      </c>
      <c r="BH292" s="27">
        <v>15</v>
      </c>
      <c r="BI292" s="27">
        <v>0.0625</v>
      </c>
      <c r="BJ292" s="27">
        <v>1</v>
      </c>
      <c r="BK292" s="27">
        <v>3</v>
      </c>
      <c r="BL292" s="27">
        <v>99.2</v>
      </c>
    </row>
    <row r="293" customHeight="1" spans="1:64">
      <c r="A293" s="27" t="s">
        <v>1075</v>
      </c>
      <c r="B293" s="27" t="s">
        <v>1076</v>
      </c>
      <c r="C293" s="27" t="s">
        <v>1077</v>
      </c>
      <c r="E293" s="27" t="s">
        <v>163</v>
      </c>
      <c r="F293" s="27" t="s">
        <v>82</v>
      </c>
      <c r="G293" s="27" t="s">
        <v>83</v>
      </c>
      <c r="H293" s="27" t="s">
        <v>84</v>
      </c>
      <c r="I293" s="27" t="s">
        <v>85</v>
      </c>
      <c r="J293" s="27">
        <v>5</v>
      </c>
      <c r="K293" s="27">
        <v>8.76</v>
      </c>
      <c r="M293" s="27">
        <v>0</v>
      </c>
      <c r="N293" s="27">
        <v>0</v>
      </c>
      <c r="O293" s="27">
        <v>0</v>
      </c>
      <c r="P293" s="27" t="s">
        <v>133</v>
      </c>
      <c r="Q293" s="27">
        <v>2.278292</v>
      </c>
      <c r="S293" s="27">
        <v>3</v>
      </c>
      <c r="T293" s="27">
        <v>1</v>
      </c>
      <c r="U293" s="27">
        <v>0.75</v>
      </c>
      <c r="V293" s="27" t="s">
        <v>87</v>
      </c>
      <c r="W293" s="27">
        <v>26.28</v>
      </c>
      <c r="X293" s="27">
        <v>1.386294</v>
      </c>
      <c r="Y293" s="27">
        <v>3.306154</v>
      </c>
      <c r="Z293" s="27">
        <v>1</v>
      </c>
      <c r="AA293" s="27" t="s">
        <v>125</v>
      </c>
      <c r="AB293" s="27">
        <v>0</v>
      </c>
      <c r="AC293" s="27">
        <v>0</v>
      </c>
      <c r="AD293" s="27">
        <v>0</v>
      </c>
      <c r="AE293" s="27">
        <v>0</v>
      </c>
      <c r="AF293" s="27">
        <v>0</v>
      </c>
      <c r="AG293" s="27">
        <v>0</v>
      </c>
      <c r="AH293" s="27">
        <v>0</v>
      </c>
      <c r="AI293" s="27">
        <v>0</v>
      </c>
      <c r="AJ293" s="27">
        <v>0</v>
      </c>
      <c r="AK293" s="27">
        <v>0</v>
      </c>
      <c r="AL293" s="27">
        <v>0</v>
      </c>
      <c r="AM293" s="27">
        <v>0</v>
      </c>
      <c r="AN293" s="27">
        <v>0</v>
      </c>
      <c r="AO293" s="27">
        <v>0</v>
      </c>
      <c r="AP293" s="27">
        <v>0</v>
      </c>
      <c r="AQ293" s="27">
        <v>0</v>
      </c>
      <c r="AR293" s="27">
        <v>0</v>
      </c>
      <c r="AS293" s="27">
        <v>0</v>
      </c>
      <c r="AT293" s="27">
        <v>0</v>
      </c>
      <c r="AU293" s="27">
        <v>0</v>
      </c>
      <c r="AV293" s="27">
        <v>0</v>
      </c>
      <c r="AW293" s="27">
        <v>1</v>
      </c>
      <c r="AX293" s="27">
        <v>0</v>
      </c>
      <c r="AZ293" s="27">
        <v>1</v>
      </c>
      <c r="BA293" s="27">
        <v>0</v>
      </c>
      <c r="BB293" s="27">
        <v>59.76</v>
      </c>
      <c r="BC293" s="27" t="s">
        <v>1078</v>
      </c>
      <c r="BD293" s="27" t="s">
        <v>97</v>
      </c>
      <c r="BE293" s="27" t="s">
        <v>98</v>
      </c>
      <c r="BF293" s="27" t="s">
        <v>77</v>
      </c>
      <c r="BG293" s="27">
        <v>1</v>
      </c>
      <c r="BH293" s="27">
        <v>17</v>
      </c>
      <c r="BI293" s="27">
        <v>0.0556</v>
      </c>
      <c r="BJ293" s="27">
        <v>1</v>
      </c>
      <c r="BK293" s="27">
        <v>3</v>
      </c>
      <c r="BL293" s="27">
        <v>99.2</v>
      </c>
    </row>
    <row r="294" customHeight="1" spans="1:64">
      <c r="A294" s="27" t="s">
        <v>1079</v>
      </c>
      <c r="B294" s="27" t="s">
        <v>282</v>
      </c>
      <c r="E294" s="27" t="s">
        <v>1080</v>
      </c>
      <c r="F294" s="27" t="s">
        <v>160</v>
      </c>
      <c r="G294" s="27" t="s">
        <v>83</v>
      </c>
      <c r="H294" s="27" t="s">
        <v>84</v>
      </c>
      <c r="I294" s="27" t="s">
        <v>85</v>
      </c>
      <c r="J294" s="27">
        <v>5</v>
      </c>
      <c r="K294" s="27">
        <v>215.19</v>
      </c>
      <c r="M294" s="27">
        <v>0</v>
      </c>
      <c r="N294" s="27">
        <v>0</v>
      </c>
      <c r="O294" s="27">
        <v>0</v>
      </c>
      <c r="P294" s="27" t="s">
        <v>71</v>
      </c>
      <c r="Q294" s="27">
        <v>5.376158</v>
      </c>
      <c r="R294" s="27">
        <v>26.9</v>
      </c>
      <c r="S294" s="27">
        <v>202</v>
      </c>
      <c r="T294" s="27">
        <v>6</v>
      </c>
      <c r="U294" s="27">
        <v>0.9712</v>
      </c>
      <c r="V294" s="27" t="s">
        <v>154</v>
      </c>
      <c r="W294" s="27">
        <v>43468.38</v>
      </c>
      <c r="X294" s="27">
        <v>5.313206</v>
      </c>
      <c r="Y294" s="27">
        <v>10.679812</v>
      </c>
      <c r="Z294" s="27">
        <v>2.4495</v>
      </c>
      <c r="AA294" s="27" t="s">
        <v>313</v>
      </c>
      <c r="AB294" s="27">
        <v>1</v>
      </c>
      <c r="AC294" s="27">
        <v>0</v>
      </c>
      <c r="AD294" s="27">
        <v>0</v>
      </c>
      <c r="AE294" s="27">
        <v>0</v>
      </c>
      <c r="AF294" s="27">
        <v>0</v>
      </c>
      <c r="AG294" s="27">
        <v>0</v>
      </c>
      <c r="AH294" s="27">
        <v>0</v>
      </c>
      <c r="AI294" s="27">
        <v>0</v>
      </c>
      <c r="AJ294" s="27">
        <v>0</v>
      </c>
      <c r="AK294" s="27">
        <v>0</v>
      </c>
      <c r="AL294" s="27">
        <v>0</v>
      </c>
      <c r="AM294" s="27">
        <v>0</v>
      </c>
      <c r="AN294" s="27">
        <v>0</v>
      </c>
      <c r="AO294" s="27">
        <v>0</v>
      </c>
      <c r="AP294" s="27">
        <v>0</v>
      </c>
      <c r="AQ294" s="27">
        <v>1</v>
      </c>
      <c r="AR294" s="27">
        <v>0</v>
      </c>
      <c r="AS294" s="27">
        <v>0</v>
      </c>
      <c r="AT294" s="27">
        <v>1</v>
      </c>
      <c r="AU294" s="27">
        <v>0</v>
      </c>
      <c r="AV294" s="27">
        <v>1</v>
      </c>
      <c r="AW294" s="27">
        <v>1</v>
      </c>
      <c r="AX294" s="27">
        <v>0</v>
      </c>
      <c r="AY294" s="27">
        <v>8</v>
      </c>
      <c r="AZ294" s="27">
        <v>1</v>
      </c>
      <c r="BA294" s="27">
        <v>2</v>
      </c>
      <c r="BB294" s="27">
        <v>68.7</v>
      </c>
      <c r="BC294" s="27" t="s">
        <v>285</v>
      </c>
      <c r="BD294" s="27" t="s">
        <v>286</v>
      </c>
      <c r="BE294" s="27" t="s">
        <v>287</v>
      </c>
      <c r="BF294" s="27" t="s">
        <v>77</v>
      </c>
      <c r="BG294" s="27">
        <v>1</v>
      </c>
      <c r="BH294" s="27">
        <v>20</v>
      </c>
      <c r="BI294" s="27">
        <v>0.0476</v>
      </c>
      <c r="BJ294" s="27">
        <v>1</v>
      </c>
      <c r="BK294" s="27">
        <v>2</v>
      </c>
      <c r="BL294" s="27">
        <v>99.5</v>
      </c>
    </row>
    <row r="295" customHeight="1" spans="1:64">
      <c r="A295" s="27" t="s">
        <v>1081</v>
      </c>
      <c r="B295" s="27" t="s">
        <v>1082</v>
      </c>
      <c r="E295" s="27" t="s">
        <v>1083</v>
      </c>
      <c r="F295" s="27" t="s">
        <v>240</v>
      </c>
      <c r="G295" s="27" t="s">
        <v>83</v>
      </c>
      <c r="H295" s="27" t="s">
        <v>84</v>
      </c>
      <c r="I295" s="27" t="s">
        <v>85</v>
      </c>
      <c r="J295" s="27">
        <v>5</v>
      </c>
      <c r="K295" s="27">
        <v>23.37</v>
      </c>
      <c r="L295" s="27">
        <v>28.85</v>
      </c>
      <c r="M295" s="27">
        <v>18.99</v>
      </c>
      <c r="N295" s="27">
        <v>5.48</v>
      </c>
      <c r="O295" s="27">
        <v>1</v>
      </c>
      <c r="P295" s="27" t="s">
        <v>133</v>
      </c>
      <c r="Q295" s="27">
        <v>3.193353</v>
      </c>
      <c r="S295" s="27">
        <v>1521</v>
      </c>
      <c r="T295" s="27">
        <v>10</v>
      </c>
      <c r="U295" s="27">
        <v>0.9935</v>
      </c>
      <c r="V295" s="27" t="s">
        <v>109</v>
      </c>
      <c r="W295" s="27">
        <v>35545.77</v>
      </c>
      <c r="X295" s="27">
        <v>7.327781</v>
      </c>
      <c r="Y295" s="27">
        <v>10.478605</v>
      </c>
      <c r="Z295" s="27">
        <v>3.1623</v>
      </c>
      <c r="AA295" s="27" t="s">
        <v>139</v>
      </c>
      <c r="AB295" s="27">
        <v>0</v>
      </c>
      <c r="AC295" s="27">
        <v>0</v>
      </c>
      <c r="AD295" s="27">
        <v>0</v>
      </c>
      <c r="AE295" s="27">
        <v>0</v>
      </c>
      <c r="AF295" s="27">
        <v>0</v>
      </c>
      <c r="AG295" s="27">
        <v>0</v>
      </c>
      <c r="AH295" s="27">
        <v>0</v>
      </c>
      <c r="AI295" s="27">
        <v>0</v>
      </c>
      <c r="AJ295" s="27">
        <v>0</v>
      </c>
      <c r="AK295" s="27">
        <v>0</v>
      </c>
      <c r="AL295" s="27">
        <v>0</v>
      </c>
      <c r="AM295" s="27">
        <v>0</v>
      </c>
      <c r="AN295" s="27">
        <v>0</v>
      </c>
      <c r="AO295" s="27">
        <v>0</v>
      </c>
      <c r="AP295" s="27">
        <v>0</v>
      </c>
      <c r="AQ295" s="27">
        <v>1</v>
      </c>
      <c r="AR295" s="27">
        <v>0</v>
      </c>
      <c r="AS295" s="27">
        <v>0</v>
      </c>
      <c r="AT295" s="27">
        <v>0</v>
      </c>
      <c r="AU295" s="27">
        <v>0</v>
      </c>
      <c r="AV295" s="27">
        <v>1</v>
      </c>
      <c r="AW295" s="27">
        <v>0</v>
      </c>
      <c r="AX295" s="27">
        <v>0</v>
      </c>
      <c r="AZ295" s="27">
        <v>1</v>
      </c>
      <c r="BA295" s="27">
        <v>1</v>
      </c>
      <c r="BB295" s="27">
        <v>74.69</v>
      </c>
      <c r="BC295" s="27" t="s">
        <v>1084</v>
      </c>
      <c r="BD295" s="27" t="s">
        <v>1085</v>
      </c>
      <c r="BE295" s="27" t="s">
        <v>128</v>
      </c>
      <c r="BF295" s="27" t="s">
        <v>77</v>
      </c>
      <c r="BG295" s="27">
        <v>1</v>
      </c>
      <c r="BH295" s="27">
        <v>44</v>
      </c>
      <c r="BI295" s="27">
        <v>0.0222</v>
      </c>
      <c r="BJ295" s="27">
        <v>1</v>
      </c>
      <c r="BK295" s="27">
        <v>9</v>
      </c>
      <c r="BL295" s="27">
        <v>97.5</v>
      </c>
    </row>
    <row r="296" customHeight="1" spans="1:64">
      <c r="A296" s="27" t="s">
        <v>1086</v>
      </c>
      <c r="B296" s="27" t="s">
        <v>171</v>
      </c>
      <c r="C296" s="27" t="s">
        <v>1087</v>
      </c>
      <c r="E296" s="27" t="s">
        <v>805</v>
      </c>
      <c r="F296" s="27" t="s">
        <v>160</v>
      </c>
      <c r="G296" s="27" t="s">
        <v>83</v>
      </c>
      <c r="H296" s="27" t="s">
        <v>84</v>
      </c>
      <c r="I296" s="27" t="s">
        <v>85</v>
      </c>
      <c r="J296" s="27">
        <v>5</v>
      </c>
      <c r="K296" s="27">
        <v>125.79</v>
      </c>
      <c r="M296" s="27">
        <v>0</v>
      </c>
      <c r="N296" s="27">
        <v>0</v>
      </c>
      <c r="O296" s="27">
        <v>0</v>
      </c>
      <c r="P296" s="27" t="s">
        <v>95</v>
      </c>
      <c r="Q296" s="27">
        <v>4.842532</v>
      </c>
      <c r="S296" s="27">
        <v>153</v>
      </c>
      <c r="T296" s="27">
        <v>10</v>
      </c>
      <c r="U296" s="27">
        <v>0.9387</v>
      </c>
      <c r="V296" s="27" t="s">
        <v>72</v>
      </c>
      <c r="W296" s="27">
        <v>19245.87</v>
      </c>
      <c r="X296" s="27">
        <v>5.036953</v>
      </c>
      <c r="Y296" s="27">
        <v>9.865104</v>
      </c>
      <c r="Z296" s="27">
        <v>3.1623</v>
      </c>
      <c r="AA296" s="27" t="s">
        <v>73</v>
      </c>
      <c r="AB296" s="27">
        <v>1</v>
      </c>
      <c r="AC296" s="27">
        <v>1</v>
      </c>
      <c r="AD296" s="27">
        <v>0</v>
      </c>
      <c r="AE296" s="27">
        <v>0</v>
      </c>
      <c r="AF296" s="27">
        <v>0</v>
      </c>
      <c r="AG296" s="27">
        <v>0</v>
      </c>
      <c r="AH296" s="27">
        <v>0</v>
      </c>
      <c r="AI296" s="27">
        <v>0</v>
      </c>
      <c r="AJ296" s="27">
        <v>0</v>
      </c>
      <c r="AK296" s="27">
        <v>0</v>
      </c>
      <c r="AL296" s="27">
        <v>0</v>
      </c>
      <c r="AM296" s="27">
        <v>0</v>
      </c>
      <c r="AN296" s="27">
        <v>0</v>
      </c>
      <c r="AO296" s="27">
        <v>0</v>
      </c>
      <c r="AP296" s="27">
        <v>0</v>
      </c>
      <c r="AQ296" s="27">
        <v>1</v>
      </c>
      <c r="AR296" s="27">
        <v>0</v>
      </c>
      <c r="AS296" s="27">
        <v>0</v>
      </c>
      <c r="AT296" s="27">
        <v>1</v>
      </c>
      <c r="AU296" s="27">
        <v>0</v>
      </c>
      <c r="AV296" s="27">
        <v>1</v>
      </c>
      <c r="AW296" s="27">
        <v>1</v>
      </c>
      <c r="AX296" s="27">
        <v>0</v>
      </c>
      <c r="AZ296" s="27">
        <v>4</v>
      </c>
      <c r="BA296" s="27">
        <v>3</v>
      </c>
      <c r="BB296" s="27">
        <v>66.65</v>
      </c>
      <c r="BC296" s="27" t="s">
        <v>251</v>
      </c>
      <c r="BD296" s="27" t="s">
        <v>175</v>
      </c>
      <c r="BE296" s="27" t="s">
        <v>91</v>
      </c>
      <c r="BF296" s="27" t="s">
        <v>77</v>
      </c>
      <c r="BG296" s="27">
        <v>161</v>
      </c>
      <c r="BH296" s="27">
        <v>61</v>
      </c>
      <c r="BI296" s="27">
        <v>0.7252</v>
      </c>
      <c r="BJ296" s="27">
        <v>0</v>
      </c>
      <c r="BK296" s="27">
        <v>11</v>
      </c>
      <c r="BL296" s="27">
        <v>97</v>
      </c>
    </row>
    <row r="297" customHeight="1" spans="1:64">
      <c r="A297" s="27" t="s">
        <v>1088</v>
      </c>
      <c r="B297" s="27" t="s">
        <v>171</v>
      </c>
      <c r="C297" s="27" t="s">
        <v>1089</v>
      </c>
      <c r="E297" s="27" t="s">
        <v>173</v>
      </c>
      <c r="F297" s="27" t="s">
        <v>82</v>
      </c>
      <c r="G297" s="27" t="s">
        <v>83</v>
      </c>
      <c r="H297" s="27" t="s">
        <v>84</v>
      </c>
      <c r="I297" s="27" t="s">
        <v>85</v>
      </c>
      <c r="J297" s="27">
        <v>5</v>
      </c>
      <c r="K297" s="27">
        <v>98.51</v>
      </c>
      <c r="L297" s="27">
        <v>115.89</v>
      </c>
      <c r="M297" s="27">
        <v>15</v>
      </c>
      <c r="N297" s="27">
        <v>17.38</v>
      </c>
      <c r="O297" s="27">
        <v>1</v>
      </c>
      <c r="P297" s="27" t="s">
        <v>95</v>
      </c>
      <c r="Q297" s="27">
        <v>4.600258</v>
      </c>
      <c r="S297" s="27">
        <v>207</v>
      </c>
      <c r="T297" s="27">
        <v>10</v>
      </c>
      <c r="U297" s="27">
        <v>0.9539</v>
      </c>
      <c r="V297" s="27" t="s">
        <v>154</v>
      </c>
      <c r="W297" s="27">
        <v>20391.57</v>
      </c>
      <c r="X297" s="27">
        <v>5.337538</v>
      </c>
      <c r="Y297" s="27">
        <v>9.922926</v>
      </c>
      <c r="Z297" s="27">
        <v>3.1623</v>
      </c>
      <c r="AA297" s="27" t="s">
        <v>313</v>
      </c>
      <c r="AB297" s="27">
        <v>1</v>
      </c>
      <c r="AC297" s="27">
        <v>1</v>
      </c>
      <c r="AD297" s="27">
        <v>0</v>
      </c>
      <c r="AE297" s="27">
        <v>0</v>
      </c>
      <c r="AF297" s="27">
        <v>0</v>
      </c>
      <c r="AG297" s="27">
        <v>0</v>
      </c>
      <c r="AH297" s="27">
        <v>0</v>
      </c>
      <c r="AI297" s="27">
        <v>0</v>
      </c>
      <c r="AJ297" s="27">
        <v>0</v>
      </c>
      <c r="AK297" s="27">
        <v>0</v>
      </c>
      <c r="AL297" s="27">
        <v>0</v>
      </c>
      <c r="AM297" s="27">
        <v>0</v>
      </c>
      <c r="AN297" s="27">
        <v>0</v>
      </c>
      <c r="AO297" s="27">
        <v>0</v>
      </c>
      <c r="AP297" s="27">
        <v>0</v>
      </c>
      <c r="AQ297" s="27">
        <v>0</v>
      </c>
      <c r="AR297" s="27">
        <v>0</v>
      </c>
      <c r="AS297" s="27">
        <v>0</v>
      </c>
      <c r="AT297" s="27">
        <v>1</v>
      </c>
      <c r="AU297" s="27">
        <v>0</v>
      </c>
      <c r="AV297" s="27">
        <v>0</v>
      </c>
      <c r="AW297" s="27">
        <v>0</v>
      </c>
      <c r="AX297" s="27">
        <v>0</v>
      </c>
      <c r="AZ297" s="27">
        <v>1</v>
      </c>
      <c r="BA297" s="27">
        <v>2</v>
      </c>
      <c r="BB297" s="27">
        <v>71.85</v>
      </c>
      <c r="BC297" s="27" t="s">
        <v>326</v>
      </c>
      <c r="BD297" s="27" t="s">
        <v>175</v>
      </c>
      <c r="BE297" s="27" t="s">
        <v>91</v>
      </c>
      <c r="BF297" s="27" t="s">
        <v>77</v>
      </c>
      <c r="BG297" s="27">
        <v>162</v>
      </c>
      <c r="BH297" s="27">
        <v>60</v>
      </c>
      <c r="BI297" s="27">
        <v>0.7297</v>
      </c>
      <c r="BJ297" s="27">
        <v>0</v>
      </c>
      <c r="BK297" s="27">
        <v>10</v>
      </c>
      <c r="BL297" s="27">
        <v>97.3</v>
      </c>
    </row>
    <row r="298" customHeight="1" spans="1:64">
      <c r="A298" s="27" t="s">
        <v>1090</v>
      </c>
      <c r="B298" s="27" t="s">
        <v>1091</v>
      </c>
      <c r="E298" s="27" t="s">
        <v>1092</v>
      </c>
      <c r="F298" s="27" t="s">
        <v>240</v>
      </c>
      <c r="G298" s="27" t="s">
        <v>83</v>
      </c>
      <c r="H298" s="27" t="s">
        <v>84</v>
      </c>
      <c r="I298" s="27" t="s">
        <v>85</v>
      </c>
      <c r="J298" s="27">
        <v>5</v>
      </c>
      <c r="K298" s="27">
        <v>250</v>
      </c>
      <c r="M298" s="27">
        <v>0</v>
      </c>
      <c r="N298" s="27">
        <v>0</v>
      </c>
      <c r="O298" s="27">
        <v>0</v>
      </c>
      <c r="P298" s="27" t="s">
        <v>71</v>
      </c>
      <c r="Q298" s="27">
        <v>5.525453</v>
      </c>
      <c r="R298" s="27">
        <v>15.62</v>
      </c>
      <c r="S298" s="27">
        <v>42</v>
      </c>
      <c r="T298" s="27">
        <v>41</v>
      </c>
      <c r="U298" s="27">
        <v>0.506</v>
      </c>
      <c r="V298" s="27" t="s">
        <v>72</v>
      </c>
      <c r="W298" s="27">
        <v>10500</v>
      </c>
      <c r="X298" s="27">
        <v>3.7612</v>
      </c>
      <c r="Y298" s="27">
        <v>9.259226</v>
      </c>
      <c r="Z298" s="27">
        <v>6.4031</v>
      </c>
      <c r="AA298" s="27" t="s">
        <v>125</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v>0</v>
      </c>
      <c r="AS298" s="27">
        <v>0</v>
      </c>
      <c r="AT298" s="27">
        <v>0</v>
      </c>
      <c r="AU298" s="27">
        <v>0</v>
      </c>
      <c r="AV298" s="27">
        <v>0</v>
      </c>
      <c r="AW298" s="27">
        <v>1</v>
      </c>
      <c r="AX298" s="27">
        <v>0</v>
      </c>
      <c r="AY298" s="27">
        <v>16</v>
      </c>
      <c r="AZ298" s="27">
        <v>1</v>
      </c>
      <c r="BA298" s="27">
        <v>0</v>
      </c>
      <c r="BB298" s="27">
        <v>48.77</v>
      </c>
      <c r="BC298" s="27" t="s">
        <v>1093</v>
      </c>
      <c r="BD298" s="27" t="s">
        <v>1094</v>
      </c>
      <c r="BE298" s="27" t="s">
        <v>1095</v>
      </c>
      <c r="BF298" s="27" t="s">
        <v>77</v>
      </c>
      <c r="BG298" s="27">
        <v>208</v>
      </c>
      <c r="BH298" s="27">
        <v>11</v>
      </c>
      <c r="BI298" s="27">
        <v>0.9498</v>
      </c>
      <c r="BJ298" s="27">
        <v>0</v>
      </c>
      <c r="BK298" s="27">
        <v>18</v>
      </c>
      <c r="BL298" s="27">
        <v>95.1</v>
      </c>
    </row>
    <row r="299" customHeight="1" spans="1:64">
      <c r="A299" s="27" t="s">
        <v>1096</v>
      </c>
      <c r="B299" s="27" t="s">
        <v>1097</v>
      </c>
      <c r="E299" s="27" t="s">
        <v>1098</v>
      </c>
      <c r="F299" s="27" t="s">
        <v>198</v>
      </c>
      <c r="G299" s="27" t="s">
        <v>83</v>
      </c>
      <c r="H299" s="27" t="s">
        <v>84</v>
      </c>
      <c r="I299" s="27" t="s">
        <v>85</v>
      </c>
      <c r="J299" s="27">
        <v>5</v>
      </c>
      <c r="K299" s="27">
        <v>26.64</v>
      </c>
      <c r="M299" s="27">
        <v>0</v>
      </c>
      <c r="N299" s="27">
        <v>0</v>
      </c>
      <c r="O299" s="27">
        <v>0</v>
      </c>
      <c r="P299" s="27" t="s">
        <v>86</v>
      </c>
      <c r="Q299" s="27">
        <v>3.319264</v>
      </c>
      <c r="S299" s="27">
        <v>26</v>
      </c>
      <c r="T299" s="27">
        <v>3</v>
      </c>
      <c r="U299" s="27">
        <v>0.8966</v>
      </c>
      <c r="V299" s="27" t="s">
        <v>72</v>
      </c>
      <c r="W299" s="27">
        <v>692.64</v>
      </c>
      <c r="X299" s="27">
        <v>3.295837</v>
      </c>
      <c r="Y299" s="27">
        <v>6.541953</v>
      </c>
      <c r="Z299" s="27">
        <v>1.7321</v>
      </c>
      <c r="AA299" s="27" t="s">
        <v>125</v>
      </c>
      <c r="AB299" s="27">
        <v>0</v>
      </c>
      <c r="AC299" s="27">
        <v>0</v>
      </c>
      <c r="AD299" s="27">
        <v>0</v>
      </c>
      <c r="AE299" s="27">
        <v>0</v>
      </c>
      <c r="AF299" s="27">
        <v>0</v>
      </c>
      <c r="AG299" s="27">
        <v>0</v>
      </c>
      <c r="AH299" s="27">
        <v>1</v>
      </c>
      <c r="AI299" s="27">
        <v>0</v>
      </c>
      <c r="AJ299" s="27">
        <v>0</v>
      </c>
      <c r="AK299" s="27">
        <v>0</v>
      </c>
      <c r="AL299" s="27">
        <v>0</v>
      </c>
      <c r="AM299" s="27">
        <v>0</v>
      </c>
      <c r="AN299" s="27">
        <v>0</v>
      </c>
      <c r="AO299" s="27">
        <v>0</v>
      </c>
      <c r="AP299" s="27">
        <v>0</v>
      </c>
      <c r="AQ299" s="27">
        <v>0</v>
      </c>
      <c r="AR299" s="27">
        <v>0</v>
      </c>
      <c r="AS299" s="27">
        <v>0</v>
      </c>
      <c r="AT299" s="27">
        <v>0</v>
      </c>
      <c r="AU299" s="27">
        <v>0</v>
      </c>
      <c r="AV299" s="27">
        <v>0</v>
      </c>
      <c r="AW299" s="27">
        <v>1</v>
      </c>
      <c r="AX299" s="27">
        <v>0</v>
      </c>
      <c r="AZ299" s="27">
        <v>1</v>
      </c>
      <c r="BA299" s="27">
        <v>1</v>
      </c>
      <c r="BB299" s="27">
        <v>64.45</v>
      </c>
      <c r="BC299" s="27" t="s">
        <v>1099</v>
      </c>
      <c r="BD299" s="27" t="s">
        <v>1100</v>
      </c>
      <c r="BE299" s="27" t="s">
        <v>76</v>
      </c>
      <c r="BF299" s="27" t="s">
        <v>77</v>
      </c>
      <c r="BG299" s="27">
        <v>162</v>
      </c>
      <c r="BH299" s="27">
        <v>18</v>
      </c>
      <c r="BI299" s="27">
        <v>0.9</v>
      </c>
      <c r="BJ299" s="27">
        <v>0</v>
      </c>
      <c r="BK299" s="27">
        <v>17</v>
      </c>
      <c r="BL299" s="27">
        <v>95.3</v>
      </c>
    </row>
    <row r="300" customHeight="1" spans="1:64">
      <c r="A300" s="27" t="s">
        <v>1101</v>
      </c>
      <c r="B300" s="27" t="s">
        <v>93</v>
      </c>
      <c r="E300" s="27" t="s">
        <v>250</v>
      </c>
      <c r="F300" s="27" t="s">
        <v>160</v>
      </c>
      <c r="G300" s="27" t="s">
        <v>93</v>
      </c>
      <c r="H300" s="27" t="s">
        <v>69</v>
      </c>
      <c r="I300" s="27" t="s">
        <v>108</v>
      </c>
      <c r="J300" s="27">
        <v>3</v>
      </c>
      <c r="K300" s="27">
        <v>669.99</v>
      </c>
      <c r="M300" s="27">
        <v>0</v>
      </c>
      <c r="N300" s="27">
        <v>0</v>
      </c>
      <c r="O300" s="27">
        <v>0</v>
      </c>
      <c r="P300" s="27" t="s">
        <v>147</v>
      </c>
      <c r="Q300" s="27">
        <v>6.508754</v>
      </c>
      <c r="R300" s="27">
        <v>83.75</v>
      </c>
      <c r="S300" s="27">
        <v>20</v>
      </c>
      <c r="T300" s="27">
        <v>10</v>
      </c>
      <c r="U300" s="27">
        <v>0.6667</v>
      </c>
      <c r="V300" s="27" t="s">
        <v>72</v>
      </c>
      <c r="W300" s="27">
        <v>13399.8</v>
      </c>
      <c r="X300" s="27">
        <v>3.044522</v>
      </c>
      <c r="Y300" s="27">
        <v>9.50307</v>
      </c>
      <c r="Z300" s="27">
        <v>3.1623</v>
      </c>
      <c r="AA300" s="27" t="s">
        <v>313</v>
      </c>
      <c r="AB300" s="27">
        <v>0</v>
      </c>
      <c r="AC300" s="27">
        <v>0</v>
      </c>
      <c r="AD300" s="27">
        <v>0</v>
      </c>
      <c r="AE300" s="27">
        <v>0</v>
      </c>
      <c r="AF300" s="27">
        <v>0</v>
      </c>
      <c r="AG300" s="27">
        <v>1</v>
      </c>
      <c r="AH300" s="27">
        <v>0</v>
      </c>
      <c r="AI300" s="27">
        <v>1</v>
      </c>
      <c r="AJ300" s="27">
        <v>0</v>
      </c>
      <c r="AK300" s="27">
        <v>0</v>
      </c>
      <c r="AL300" s="27">
        <v>0</v>
      </c>
      <c r="AM300" s="27">
        <v>1</v>
      </c>
      <c r="AN300" s="27">
        <v>0</v>
      </c>
      <c r="AO300" s="27">
        <v>0</v>
      </c>
      <c r="AP300" s="27">
        <v>0</v>
      </c>
      <c r="AQ300" s="27">
        <v>1</v>
      </c>
      <c r="AR300" s="27">
        <v>0</v>
      </c>
      <c r="AS300" s="27">
        <v>0</v>
      </c>
      <c r="AT300" s="27">
        <v>0</v>
      </c>
      <c r="AU300" s="27">
        <v>0</v>
      </c>
      <c r="AV300" s="27">
        <v>1</v>
      </c>
      <c r="AW300" s="27">
        <v>1</v>
      </c>
      <c r="AX300" s="27">
        <v>0</v>
      </c>
      <c r="AY300" s="27">
        <v>8</v>
      </c>
      <c r="AZ300" s="27">
        <v>1</v>
      </c>
      <c r="BA300" s="27">
        <v>2</v>
      </c>
      <c r="BB300" s="27">
        <v>56.25</v>
      </c>
      <c r="BC300" s="27" t="s">
        <v>96</v>
      </c>
      <c r="BD300" s="27" t="s">
        <v>97</v>
      </c>
      <c r="BE300" s="27" t="s">
        <v>98</v>
      </c>
      <c r="BF300" s="27" t="s">
        <v>77</v>
      </c>
      <c r="BG300" s="27">
        <v>1</v>
      </c>
      <c r="BH300" s="27">
        <v>28</v>
      </c>
      <c r="BI300" s="27">
        <v>0.0345</v>
      </c>
      <c r="BJ300" s="27">
        <v>1</v>
      </c>
      <c r="BK300" s="27">
        <v>5</v>
      </c>
      <c r="BL300" s="27">
        <v>98.6</v>
      </c>
    </row>
    <row r="301" customHeight="1" spans="1:64">
      <c r="A301" s="27" t="s">
        <v>1102</v>
      </c>
      <c r="B301" s="27" t="s">
        <v>1103</v>
      </c>
      <c r="E301" s="27" t="s">
        <v>559</v>
      </c>
      <c r="F301" s="27" t="s">
        <v>240</v>
      </c>
      <c r="G301" s="27" t="s">
        <v>83</v>
      </c>
      <c r="H301" s="27" t="s">
        <v>84</v>
      </c>
      <c r="I301" s="27" t="s">
        <v>508</v>
      </c>
      <c r="J301" s="27">
        <v>1</v>
      </c>
      <c r="K301" s="27">
        <v>29</v>
      </c>
      <c r="M301" s="27">
        <v>0</v>
      </c>
      <c r="N301" s="27">
        <v>0</v>
      </c>
      <c r="O301" s="27">
        <v>0</v>
      </c>
      <c r="P301" s="27" t="s">
        <v>86</v>
      </c>
      <c r="Q301" s="27">
        <v>3.401197</v>
      </c>
      <c r="V301" s="27" t="s">
        <v>231</v>
      </c>
      <c r="W301" s="27">
        <v>0</v>
      </c>
      <c r="X301" s="27">
        <v>0</v>
      </c>
      <c r="Y301" s="27">
        <v>0</v>
      </c>
      <c r="Z301" s="27">
        <v>0</v>
      </c>
      <c r="AA301" s="27" t="s">
        <v>125</v>
      </c>
      <c r="AB301" s="27">
        <v>0</v>
      </c>
      <c r="AC301" s="27">
        <v>0</v>
      </c>
      <c r="AD301" s="27">
        <v>0</v>
      </c>
      <c r="AE301" s="27">
        <v>0</v>
      </c>
      <c r="AF301" s="27">
        <v>0</v>
      </c>
      <c r="AG301" s="27">
        <v>1</v>
      </c>
      <c r="AH301" s="27">
        <v>0</v>
      </c>
      <c r="AI301" s="27">
        <v>0</v>
      </c>
      <c r="AJ301" s="27">
        <v>0</v>
      </c>
      <c r="AK301" s="27">
        <v>0</v>
      </c>
      <c r="AL301" s="27">
        <v>0</v>
      </c>
      <c r="AM301" s="27">
        <v>0</v>
      </c>
      <c r="AN301" s="27">
        <v>0</v>
      </c>
      <c r="AO301" s="27">
        <v>0</v>
      </c>
      <c r="AP301" s="27">
        <v>0</v>
      </c>
      <c r="AQ301" s="27">
        <v>1</v>
      </c>
      <c r="AR301" s="27">
        <v>0</v>
      </c>
      <c r="AS301" s="27">
        <v>0</v>
      </c>
      <c r="AT301" s="27">
        <v>0</v>
      </c>
      <c r="AU301" s="27">
        <v>0</v>
      </c>
      <c r="AV301" s="27">
        <v>1</v>
      </c>
      <c r="AW301" s="27">
        <v>0</v>
      </c>
      <c r="AX301" s="27">
        <v>0</v>
      </c>
      <c r="AZ301" s="27">
        <v>1</v>
      </c>
      <c r="BA301" s="27">
        <v>1</v>
      </c>
      <c r="BB301" s="27">
        <v>26.37</v>
      </c>
      <c r="BC301" s="27" t="s">
        <v>1104</v>
      </c>
      <c r="BD301" s="27" t="s">
        <v>1105</v>
      </c>
      <c r="BE301" s="27" t="s">
        <v>673</v>
      </c>
      <c r="BF301" s="27" t="s">
        <v>77</v>
      </c>
      <c r="BG301" s="27">
        <v>168</v>
      </c>
      <c r="BH301" s="27">
        <v>11</v>
      </c>
      <c r="BI301" s="27">
        <v>0.9385</v>
      </c>
      <c r="BJ301" s="27">
        <v>0</v>
      </c>
      <c r="BK301" s="27">
        <v>44</v>
      </c>
      <c r="BL301" s="27">
        <v>87.9</v>
      </c>
    </row>
    <row r="302" customHeight="1" spans="1:64">
      <c r="A302" s="27" t="s">
        <v>1106</v>
      </c>
      <c r="B302" s="27" t="s">
        <v>1107</v>
      </c>
      <c r="E302" s="27" t="s">
        <v>81</v>
      </c>
      <c r="F302" s="27" t="s">
        <v>82</v>
      </c>
      <c r="G302" s="27" t="s">
        <v>83</v>
      </c>
      <c r="H302" s="27" t="s">
        <v>84</v>
      </c>
      <c r="I302" s="27" t="s">
        <v>85</v>
      </c>
      <c r="J302" s="27">
        <v>5</v>
      </c>
      <c r="K302" s="27">
        <v>29.99</v>
      </c>
      <c r="M302" s="27">
        <v>0</v>
      </c>
      <c r="N302" s="27">
        <v>0</v>
      </c>
      <c r="O302" s="27">
        <v>0</v>
      </c>
      <c r="P302" s="27" t="s">
        <v>86</v>
      </c>
      <c r="Q302" s="27">
        <v>3.433665</v>
      </c>
      <c r="S302" s="27">
        <v>4</v>
      </c>
      <c r="T302" s="27">
        <v>10</v>
      </c>
      <c r="U302" s="27">
        <v>0.2857</v>
      </c>
      <c r="V302" s="27" t="s">
        <v>87</v>
      </c>
      <c r="W302" s="27">
        <v>119.96</v>
      </c>
      <c r="X302" s="27">
        <v>1.609438</v>
      </c>
      <c r="Y302" s="27">
        <v>4.79546</v>
      </c>
      <c r="Z302" s="27">
        <v>3.1623</v>
      </c>
      <c r="AA302" s="27" t="s">
        <v>187</v>
      </c>
      <c r="AB302" s="27">
        <v>0</v>
      </c>
      <c r="AC302" s="27">
        <v>0</v>
      </c>
      <c r="AD302" s="27">
        <v>0</v>
      </c>
      <c r="AE302" s="27">
        <v>0</v>
      </c>
      <c r="AF302" s="27">
        <v>1</v>
      </c>
      <c r="AG302" s="27">
        <v>0</v>
      </c>
      <c r="AH302" s="27">
        <v>1</v>
      </c>
      <c r="AI302" s="27">
        <v>0</v>
      </c>
      <c r="AJ302" s="27">
        <v>0</v>
      </c>
      <c r="AK302" s="27">
        <v>0</v>
      </c>
      <c r="AL302" s="27">
        <v>0</v>
      </c>
      <c r="AM302" s="27">
        <v>0</v>
      </c>
      <c r="AN302" s="27">
        <v>0</v>
      </c>
      <c r="AO302" s="27">
        <v>0</v>
      </c>
      <c r="AP302" s="27">
        <v>0</v>
      </c>
      <c r="AQ302" s="27">
        <v>0</v>
      </c>
      <c r="AR302" s="27">
        <v>0</v>
      </c>
      <c r="AS302" s="27">
        <v>0</v>
      </c>
      <c r="AT302" s="27">
        <v>0</v>
      </c>
      <c r="AU302" s="27">
        <v>0</v>
      </c>
      <c r="AV302" s="27">
        <v>0</v>
      </c>
      <c r="AW302" s="27">
        <v>0</v>
      </c>
      <c r="AX302" s="27">
        <v>0</v>
      </c>
      <c r="AZ302" s="27">
        <v>1</v>
      </c>
      <c r="BA302" s="27">
        <v>1</v>
      </c>
      <c r="BB302" s="27">
        <v>30</v>
      </c>
      <c r="BC302" s="27" t="s">
        <v>1108</v>
      </c>
      <c r="BD302" s="27" t="s">
        <v>1109</v>
      </c>
      <c r="BE302" s="27" t="s">
        <v>1110</v>
      </c>
      <c r="BF302" s="27" t="s">
        <v>77</v>
      </c>
      <c r="BG302" s="27">
        <v>162</v>
      </c>
      <c r="BH302" s="27">
        <v>17</v>
      </c>
      <c r="BI302" s="27">
        <v>0.905</v>
      </c>
      <c r="BJ302" s="27">
        <v>0</v>
      </c>
      <c r="BK302" s="27">
        <v>139</v>
      </c>
      <c r="BL302" s="27">
        <v>61.9</v>
      </c>
    </row>
    <row r="303" customHeight="1" spans="1:64">
      <c r="A303" s="27" t="s">
        <v>1111</v>
      </c>
      <c r="B303" s="27" t="s">
        <v>65</v>
      </c>
      <c r="C303" s="27" t="s">
        <v>1112</v>
      </c>
      <c r="E303" s="27" t="s">
        <v>163</v>
      </c>
      <c r="F303" s="27" t="s">
        <v>82</v>
      </c>
      <c r="G303" s="27" t="s">
        <v>65</v>
      </c>
      <c r="H303" s="27" t="s">
        <v>69</v>
      </c>
      <c r="I303" s="27" t="s">
        <v>203</v>
      </c>
      <c r="J303" s="27">
        <v>4</v>
      </c>
      <c r="K303" s="27">
        <v>99.99</v>
      </c>
      <c r="M303" s="27">
        <v>0</v>
      </c>
      <c r="N303" s="27">
        <v>0</v>
      </c>
      <c r="O303" s="27">
        <v>0</v>
      </c>
      <c r="P303" s="27" t="s">
        <v>95</v>
      </c>
      <c r="Q303" s="27">
        <v>4.615022</v>
      </c>
      <c r="S303" s="27">
        <v>9</v>
      </c>
      <c r="T303" s="27">
        <v>10</v>
      </c>
      <c r="U303" s="27">
        <v>0.4737</v>
      </c>
      <c r="V303" s="27" t="s">
        <v>87</v>
      </c>
      <c r="W303" s="27">
        <v>899.91</v>
      </c>
      <c r="X303" s="27">
        <v>2.302585</v>
      </c>
      <c r="Y303" s="27">
        <v>6.803405</v>
      </c>
      <c r="Z303" s="27">
        <v>3.1623</v>
      </c>
      <c r="AA303" s="27" t="s">
        <v>187</v>
      </c>
      <c r="AB303" s="27">
        <v>0</v>
      </c>
      <c r="AC303" s="27">
        <v>0</v>
      </c>
      <c r="AD303" s="27">
        <v>0</v>
      </c>
      <c r="AE303" s="27">
        <v>0</v>
      </c>
      <c r="AF303" s="27">
        <v>1</v>
      </c>
      <c r="AG303" s="27">
        <v>0</v>
      </c>
      <c r="AH303" s="27">
        <v>1</v>
      </c>
      <c r="AI303" s="27">
        <v>0</v>
      </c>
      <c r="AJ303" s="27">
        <v>0</v>
      </c>
      <c r="AK303" s="27">
        <v>0</v>
      </c>
      <c r="AL303" s="27">
        <v>0</v>
      </c>
      <c r="AM303" s="27">
        <v>0</v>
      </c>
      <c r="AN303" s="27">
        <v>0</v>
      </c>
      <c r="AO303" s="27">
        <v>0</v>
      </c>
      <c r="AP303" s="27">
        <v>0</v>
      </c>
      <c r="AQ303" s="27">
        <v>0</v>
      </c>
      <c r="AR303" s="27">
        <v>0</v>
      </c>
      <c r="AS303" s="27">
        <v>1</v>
      </c>
      <c r="AT303" s="27">
        <v>0</v>
      </c>
      <c r="AU303" s="27">
        <v>0</v>
      </c>
      <c r="AV303" s="27">
        <v>0</v>
      </c>
      <c r="AW303" s="27">
        <v>0</v>
      </c>
      <c r="AX303" s="27">
        <v>1</v>
      </c>
      <c r="AZ303" s="27">
        <v>1</v>
      </c>
      <c r="BA303" s="27">
        <v>1</v>
      </c>
      <c r="BB303" s="27">
        <v>48.8</v>
      </c>
      <c r="BC303" s="27" t="s">
        <v>784</v>
      </c>
      <c r="BD303" s="27" t="s">
        <v>785</v>
      </c>
      <c r="BE303" s="27" t="s">
        <v>774</v>
      </c>
      <c r="BF303" s="27" t="s">
        <v>77</v>
      </c>
      <c r="BG303" s="27">
        <v>1</v>
      </c>
      <c r="BH303" s="27">
        <v>27</v>
      </c>
      <c r="BI303" s="27">
        <v>0.0357</v>
      </c>
      <c r="BJ303" s="27">
        <v>1</v>
      </c>
      <c r="BK303" s="27">
        <v>2</v>
      </c>
      <c r="BL303" s="27">
        <v>99.5</v>
      </c>
    </row>
    <row r="304" customHeight="1" spans="1:64">
      <c r="A304" s="27" t="s">
        <v>1113</v>
      </c>
      <c r="B304" s="27" t="s">
        <v>1114</v>
      </c>
      <c r="C304" s="27" t="s">
        <v>1115</v>
      </c>
      <c r="E304" s="27" t="s">
        <v>81</v>
      </c>
      <c r="F304" s="27" t="s">
        <v>82</v>
      </c>
      <c r="G304" s="27" t="s">
        <v>83</v>
      </c>
      <c r="H304" s="27" t="s">
        <v>84</v>
      </c>
      <c r="I304" s="27" t="s">
        <v>85</v>
      </c>
      <c r="J304" s="27">
        <v>5</v>
      </c>
      <c r="K304" s="27">
        <v>49.95</v>
      </c>
      <c r="M304" s="27">
        <v>0</v>
      </c>
      <c r="N304" s="27">
        <v>0</v>
      </c>
      <c r="O304" s="27">
        <v>0</v>
      </c>
      <c r="P304" s="27" t="s">
        <v>86</v>
      </c>
      <c r="Q304" s="27">
        <v>3.930845</v>
      </c>
      <c r="S304" s="27">
        <v>35</v>
      </c>
      <c r="T304" s="27">
        <v>10</v>
      </c>
      <c r="U304" s="27">
        <v>0.7778</v>
      </c>
      <c r="V304" s="27" t="s">
        <v>72</v>
      </c>
      <c r="W304" s="27">
        <v>1748.25</v>
      </c>
      <c r="X304" s="27">
        <v>3.583519</v>
      </c>
      <c r="Y304" s="27">
        <v>7.466942</v>
      </c>
      <c r="Z304" s="27">
        <v>3.1623</v>
      </c>
      <c r="AA304" s="27" t="s">
        <v>187</v>
      </c>
      <c r="AB304" s="27">
        <v>0</v>
      </c>
      <c r="AC304" s="27">
        <v>0</v>
      </c>
      <c r="AD304" s="27">
        <v>0</v>
      </c>
      <c r="AE304" s="27">
        <v>1</v>
      </c>
      <c r="AF304" s="27">
        <v>1</v>
      </c>
      <c r="AG304" s="27">
        <v>0</v>
      </c>
      <c r="AH304" s="27">
        <v>1</v>
      </c>
      <c r="AI304" s="27">
        <v>0</v>
      </c>
      <c r="AJ304" s="27">
        <v>1</v>
      </c>
      <c r="AK304" s="27">
        <v>0</v>
      </c>
      <c r="AL304" s="27">
        <v>0</v>
      </c>
      <c r="AM304" s="27">
        <v>0</v>
      </c>
      <c r="AN304" s="27">
        <v>0</v>
      </c>
      <c r="AO304" s="27">
        <v>0</v>
      </c>
      <c r="AP304" s="27">
        <v>0</v>
      </c>
      <c r="AQ304" s="27">
        <v>0</v>
      </c>
      <c r="AR304" s="27">
        <v>0</v>
      </c>
      <c r="AS304" s="27">
        <v>0</v>
      </c>
      <c r="AT304" s="27">
        <v>1</v>
      </c>
      <c r="AU304" s="27">
        <v>0</v>
      </c>
      <c r="AV304" s="27">
        <v>0</v>
      </c>
      <c r="AW304" s="27">
        <v>1</v>
      </c>
      <c r="AX304" s="27">
        <v>0</v>
      </c>
      <c r="AZ304" s="27">
        <v>2</v>
      </c>
      <c r="BA304" s="27">
        <v>2</v>
      </c>
      <c r="BB304" s="27">
        <v>31.11</v>
      </c>
      <c r="BC304" s="27" t="s">
        <v>1116</v>
      </c>
      <c r="BD304" s="27" t="s">
        <v>1117</v>
      </c>
      <c r="BE304" s="27" t="s">
        <v>128</v>
      </c>
      <c r="BF304" s="27" t="s">
        <v>77</v>
      </c>
      <c r="BG304" s="27">
        <v>1</v>
      </c>
      <c r="BH304" s="27">
        <v>11</v>
      </c>
      <c r="BI304" s="27">
        <v>0.0833</v>
      </c>
      <c r="BJ304" s="27">
        <v>1</v>
      </c>
    </row>
    <row r="305" customHeight="1" spans="1:64">
      <c r="A305" s="27" t="s">
        <v>1118</v>
      </c>
      <c r="B305" s="27" t="s">
        <v>344</v>
      </c>
      <c r="E305" s="27" t="s">
        <v>81</v>
      </c>
      <c r="F305" s="27" t="s">
        <v>82</v>
      </c>
      <c r="G305" s="27" t="s">
        <v>346</v>
      </c>
      <c r="H305" s="27" t="s">
        <v>107</v>
      </c>
      <c r="I305" s="27" t="s">
        <v>203</v>
      </c>
      <c r="J305" s="27">
        <v>4</v>
      </c>
      <c r="K305" s="27">
        <v>31.99</v>
      </c>
      <c r="M305" s="27">
        <v>0</v>
      </c>
      <c r="N305" s="27">
        <v>0</v>
      </c>
      <c r="O305" s="27">
        <v>0</v>
      </c>
      <c r="P305" s="27" t="s">
        <v>86</v>
      </c>
      <c r="Q305" s="27">
        <v>3.496204</v>
      </c>
      <c r="S305" s="27">
        <v>237</v>
      </c>
      <c r="T305" s="27">
        <v>10</v>
      </c>
      <c r="U305" s="27">
        <v>0.9595</v>
      </c>
      <c r="V305" s="27" t="s">
        <v>154</v>
      </c>
      <c r="W305" s="27">
        <v>7581.63</v>
      </c>
      <c r="X305" s="27">
        <v>5.472271</v>
      </c>
      <c r="Y305" s="27">
        <v>8.933615</v>
      </c>
      <c r="Z305" s="27">
        <v>3.1623</v>
      </c>
      <c r="AA305" s="27" t="s">
        <v>483</v>
      </c>
      <c r="AB305" s="27">
        <v>0</v>
      </c>
      <c r="AC305" s="27">
        <v>0</v>
      </c>
      <c r="AD305" s="27">
        <v>0</v>
      </c>
      <c r="AE305" s="27">
        <v>0</v>
      </c>
      <c r="AF305" s="27">
        <v>1</v>
      </c>
      <c r="AG305" s="27">
        <v>0</v>
      </c>
      <c r="AH305" s="27">
        <v>0</v>
      </c>
      <c r="AI305" s="27">
        <v>0</v>
      </c>
      <c r="AJ305" s="27">
        <v>0</v>
      </c>
      <c r="AK305" s="27">
        <v>0</v>
      </c>
      <c r="AL305" s="27">
        <v>0</v>
      </c>
      <c r="AM305" s="27">
        <v>0</v>
      </c>
      <c r="AN305" s="27">
        <v>0</v>
      </c>
      <c r="AO305" s="27">
        <v>0</v>
      </c>
      <c r="AP305" s="27">
        <v>0</v>
      </c>
      <c r="AQ305" s="27">
        <v>0</v>
      </c>
      <c r="AR305" s="27">
        <v>0</v>
      </c>
      <c r="AS305" s="27">
        <v>0</v>
      </c>
      <c r="AT305" s="27">
        <v>1</v>
      </c>
      <c r="AU305" s="27">
        <v>0</v>
      </c>
      <c r="AV305" s="27">
        <v>0</v>
      </c>
      <c r="AW305" s="27">
        <v>0</v>
      </c>
      <c r="AX305" s="27">
        <v>0</v>
      </c>
      <c r="AZ305" s="27">
        <v>1</v>
      </c>
      <c r="BA305" s="27">
        <v>0</v>
      </c>
      <c r="BB305" s="27">
        <v>68.23</v>
      </c>
      <c r="BC305" s="27" t="s">
        <v>912</v>
      </c>
      <c r="BD305" s="27" t="s">
        <v>698</v>
      </c>
      <c r="BE305" s="27" t="s">
        <v>166</v>
      </c>
      <c r="BF305" s="27" t="s">
        <v>77</v>
      </c>
      <c r="BG305" s="27">
        <v>162</v>
      </c>
      <c r="BH305" s="27">
        <v>54</v>
      </c>
      <c r="BI305" s="27">
        <v>0.75</v>
      </c>
      <c r="BJ305" s="27">
        <v>0</v>
      </c>
      <c r="BK305" s="27">
        <v>2</v>
      </c>
      <c r="BL305" s="27">
        <v>99.5</v>
      </c>
    </row>
    <row r="306" customHeight="1" spans="1:64">
      <c r="A306" s="27" t="s">
        <v>1119</v>
      </c>
      <c r="B306" s="27" t="s">
        <v>125</v>
      </c>
      <c r="C306" s="27" t="s">
        <v>177</v>
      </c>
      <c r="E306" s="27" t="s">
        <v>122</v>
      </c>
      <c r="F306" s="27" t="s">
        <v>82</v>
      </c>
      <c r="G306" s="27" t="s">
        <v>117</v>
      </c>
      <c r="H306" s="27" t="s">
        <v>138</v>
      </c>
      <c r="I306" s="27" t="s">
        <v>85</v>
      </c>
      <c r="J306" s="27">
        <v>5</v>
      </c>
      <c r="K306" s="27">
        <v>17.99</v>
      </c>
      <c r="M306" s="27">
        <v>0</v>
      </c>
      <c r="N306" s="27">
        <v>0</v>
      </c>
      <c r="O306" s="27">
        <v>0</v>
      </c>
      <c r="P306" s="27" t="s">
        <v>133</v>
      </c>
      <c r="Q306" s="27">
        <v>2.943913</v>
      </c>
      <c r="S306" s="27">
        <v>352</v>
      </c>
      <c r="T306" s="27">
        <v>10</v>
      </c>
      <c r="U306" s="27">
        <v>0.9724</v>
      </c>
      <c r="V306" s="27" t="s">
        <v>154</v>
      </c>
      <c r="W306" s="27">
        <v>6332.48</v>
      </c>
      <c r="X306" s="27">
        <v>5.866468</v>
      </c>
      <c r="Y306" s="27">
        <v>8.753605</v>
      </c>
      <c r="Z306" s="27">
        <v>3.1623</v>
      </c>
      <c r="AA306" s="27" t="s">
        <v>125</v>
      </c>
      <c r="AB306" s="27">
        <v>0</v>
      </c>
      <c r="AC306" s="27">
        <v>0</v>
      </c>
      <c r="AD306" s="27">
        <v>0</v>
      </c>
      <c r="AE306" s="27">
        <v>0</v>
      </c>
      <c r="AF306" s="27">
        <v>1</v>
      </c>
      <c r="AG306" s="27">
        <v>0</v>
      </c>
      <c r="AH306" s="27">
        <v>0</v>
      </c>
      <c r="AI306" s="27">
        <v>0</v>
      </c>
      <c r="AJ306" s="27">
        <v>0</v>
      </c>
      <c r="AK306" s="27">
        <v>0</v>
      </c>
      <c r="AL306" s="27">
        <v>0</v>
      </c>
      <c r="AM306" s="27">
        <v>0</v>
      </c>
      <c r="AN306" s="27">
        <v>0</v>
      </c>
      <c r="AO306" s="27">
        <v>0</v>
      </c>
      <c r="AP306" s="27">
        <v>1</v>
      </c>
      <c r="AQ306" s="27">
        <v>0</v>
      </c>
      <c r="AR306" s="27">
        <v>0</v>
      </c>
      <c r="AS306" s="27">
        <v>1</v>
      </c>
      <c r="AT306" s="27">
        <v>0</v>
      </c>
      <c r="AU306" s="27">
        <v>0</v>
      </c>
      <c r="AV306" s="27">
        <v>0</v>
      </c>
      <c r="AW306" s="27">
        <v>0</v>
      </c>
      <c r="AX306" s="27">
        <v>0</v>
      </c>
      <c r="AZ306" s="27">
        <v>1</v>
      </c>
      <c r="BA306" s="27">
        <v>0</v>
      </c>
      <c r="BB306" s="27">
        <v>68.66</v>
      </c>
      <c r="BC306" s="27" t="s">
        <v>428</v>
      </c>
      <c r="BD306" s="27" t="s">
        <v>741</v>
      </c>
      <c r="BE306" s="27" t="s">
        <v>128</v>
      </c>
      <c r="BF306" s="27" t="s">
        <v>77</v>
      </c>
      <c r="BG306" s="27">
        <v>1</v>
      </c>
      <c r="BH306" s="27">
        <v>14</v>
      </c>
      <c r="BI306" s="27">
        <v>0.0667</v>
      </c>
      <c r="BJ306" s="27">
        <v>1</v>
      </c>
      <c r="BK306" s="27">
        <v>3</v>
      </c>
      <c r="BL306" s="27">
        <v>99.2</v>
      </c>
    </row>
    <row r="307" customHeight="1" spans="1:64">
      <c r="A307" s="27" t="s">
        <v>1120</v>
      </c>
      <c r="B307" s="27" t="s">
        <v>104</v>
      </c>
      <c r="C307" s="27" t="s">
        <v>208</v>
      </c>
      <c r="D307" s="27">
        <v>194644168278</v>
      </c>
      <c r="E307" s="27" t="s">
        <v>81</v>
      </c>
      <c r="F307" s="27" t="s">
        <v>82</v>
      </c>
      <c r="G307" s="27" t="s">
        <v>106</v>
      </c>
      <c r="H307" s="27" t="s">
        <v>107</v>
      </c>
      <c r="I307" s="27" t="s">
        <v>108</v>
      </c>
      <c r="J307" s="27">
        <v>3</v>
      </c>
      <c r="K307" s="27">
        <v>89.99</v>
      </c>
      <c r="L307" s="27">
        <v>229.99</v>
      </c>
      <c r="M307" s="27">
        <v>60.87</v>
      </c>
      <c r="N307" s="27">
        <v>140</v>
      </c>
      <c r="O307" s="27">
        <v>1</v>
      </c>
      <c r="P307" s="27" t="s">
        <v>95</v>
      </c>
      <c r="Q307" s="27">
        <v>4.51075</v>
      </c>
      <c r="S307" s="27">
        <v>300</v>
      </c>
      <c r="T307" s="27">
        <v>174</v>
      </c>
      <c r="U307" s="27">
        <v>0.6329</v>
      </c>
      <c r="V307" s="27" t="s">
        <v>154</v>
      </c>
      <c r="W307" s="27">
        <v>26997</v>
      </c>
      <c r="X307" s="27">
        <v>5.70711</v>
      </c>
      <c r="Y307" s="27">
        <v>10.203518</v>
      </c>
      <c r="Z307" s="27">
        <v>13.1909</v>
      </c>
      <c r="AA307" s="27" t="s">
        <v>187</v>
      </c>
      <c r="AB307" s="27">
        <v>0</v>
      </c>
      <c r="AC307" s="27">
        <v>0</v>
      </c>
      <c r="AD307" s="27">
        <v>0</v>
      </c>
      <c r="AE307" s="27">
        <v>1</v>
      </c>
      <c r="AF307" s="27">
        <v>0</v>
      </c>
      <c r="AG307" s="27">
        <v>0</v>
      </c>
      <c r="AH307" s="27">
        <v>1</v>
      </c>
      <c r="AI307" s="27">
        <v>0</v>
      </c>
      <c r="AJ307" s="27">
        <v>0</v>
      </c>
      <c r="AK307" s="27">
        <v>0</v>
      </c>
      <c r="AL307" s="27">
        <v>0</v>
      </c>
      <c r="AM307" s="27">
        <v>0</v>
      </c>
      <c r="AN307" s="27">
        <v>0</v>
      </c>
      <c r="AO307" s="27">
        <v>0</v>
      </c>
      <c r="AP307" s="27">
        <v>0</v>
      </c>
      <c r="AQ307" s="27">
        <v>0</v>
      </c>
      <c r="AR307" s="27">
        <v>0</v>
      </c>
      <c r="AS307" s="27">
        <v>0</v>
      </c>
      <c r="AT307" s="27">
        <v>1</v>
      </c>
      <c r="AU307" s="27">
        <v>0</v>
      </c>
      <c r="AV307" s="27">
        <v>0</v>
      </c>
      <c r="AW307" s="27">
        <v>0</v>
      </c>
      <c r="AX307" s="27">
        <v>1</v>
      </c>
      <c r="AZ307" s="27">
        <v>1</v>
      </c>
      <c r="BA307" s="27">
        <v>2</v>
      </c>
      <c r="BB307" s="27">
        <v>73.43</v>
      </c>
      <c r="BC307" s="27" t="s">
        <v>111</v>
      </c>
      <c r="BD307" s="27" t="s">
        <v>112</v>
      </c>
      <c r="BE307" s="27" t="s">
        <v>113</v>
      </c>
      <c r="BF307" s="27" t="s">
        <v>77</v>
      </c>
      <c r="BG307" s="27">
        <v>162</v>
      </c>
      <c r="BH307" s="27">
        <v>24</v>
      </c>
      <c r="BI307" s="27">
        <v>0.871</v>
      </c>
      <c r="BJ307" s="27">
        <v>0</v>
      </c>
      <c r="BK307" s="27">
        <v>2</v>
      </c>
      <c r="BL307" s="27">
        <v>99.5</v>
      </c>
    </row>
    <row r="308" customHeight="1" spans="1:64">
      <c r="A308" s="27" t="s">
        <v>1121</v>
      </c>
      <c r="B308" s="27" t="s">
        <v>125</v>
      </c>
      <c r="E308" s="27" t="s">
        <v>735</v>
      </c>
      <c r="F308" s="27" t="s">
        <v>352</v>
      </c>
      <c r="G308" s="27" t="s">
        <v>83</v>
      </c>
      <c r="H308" s="27" t="s">
        <v>138</v>
      </c>
      <c r="I308" s="27" t="s">
        <v>85</v>
      </c>
      <c r="J308" s="27">
        <v>5</v>
      </c>
      <c r="K308" s="27">
        <v>7.88</v>
      </c>
      <c r="M308" s="27">
        <v>0</v>
      </c>
      <c r="N308" s="27">
        <v>0</v>
      </c>
      <c r="O308" s="27">
        <v>0</v>
      </c>
      <c r="P308" s="27" t="s">
        <v>133</v>
      </c>
      <c r="Q308" s="27">
        <v>2.183802</v>
      </c>
      <c r="S308" s="27">
        <v>1970</v>
      </c>
      <c r="T308" s="27">
        <v>10</v>
      </c>
      <c r="U308" s="27">
        <v>0.9949</v>
      </c>
      <c r="V308" s="27" t="s">
        <v>109</v>
      </c>
      <c r="W308" s="27">
        <v>15523.6</v>
      </c>
      <c r="X308" s="27">
        <v>7.586296</v>
      </c>
      <c r="Y308" s="27">
        <v>9.650181</v>
      </c>
      <c r="Z308" s="27">
        <v>3.1623</v>
      </c>
      <c r="AA308" s="27" t="s">
        <v>125</v>
      </c>
      <c r="AB308" s="27">
        <v>0</v>
      </c>
      <c r="AC308" s="27">
        <v>0</v>
      </c>
      <c r="AD308" s="27">
        <v>0</v>
      </c>
      <c r="AE308" s="27">
        <v>0</v>
      </c>
      <c r="AF308" s="27">
        <v>0</v>
      </c>
      <c r="AG308" s="27">
        <v>0</v>
      </c>
      <c r="AH308" s="27">
        <v>0</v>
      </c>
      <c r="AI308" s="27">
        <v>0</v>
      </c>
      <c r="AJ308" s="27">
        <v>0</v>
      </c>
      <c r="AK308" s="27">
        <v>0</v>
      </c>
      <c r="AL308" s="27">
        <v>0</v>
      </c>
      <c r="AM308" s="27">
        <v>0</v>
      </c>
      <c r="AN308" s="27">
        <v>0</v>
      </c>
      <c r="AO308" s="27">
        <v>0</v>
      </c>
      <c r="AP308" s="27">
        <v>0</v>
      </c>
      <c r="AQ308" s="27">
        <v>0</v>
      </c>
      <c r="AR308" s="27">
        <v>0</v>
      </c>
      <c r="AS308" s="27">
        <v>0</v>
      </c>
      <c r="AT308" s="27">
        <v>0</v>
      </c>
      <c r="AU308" s="27">
        <v>0</v>
      </c>
      <c r="AV308" s="27">
        <v>0</v>
      </c>
      <c r="AW308" s="27">
        <v>1</v>
      </c>
      <c r="AX308" s="27">
        <v>0</v>
      </c>
      <c r="AZ308" s="27">
        <v>8</v>
      </c>
      <c r="BA308" s="27">
        <v>0</v>
      </c>
      <c r="BB308" s="27">
        <v>53.03</v>
      </c>
      <c r="BC308" s="27" t="s">
        <v>1122</v>
      </c>
      <c r="BD308" s="27" t="s">
        <v>1123</v>
      </c>
      <c r="BE308" s="27" t="s">
        <v>113</v>
      </c>
      <c r="BF308" s="27" t="s">
        <v>77</v>
      </c>
      <c r="BG308" s="27">
        <v>162</v>
      </c>
      <c r="BH308" s="27">
        <v>19</v>
      </c>
      <c r="BI308" s="27">
        <v>0.895</v>
      </c>
      <c r="BJ308" s="27">
        <v>0</v>
      </c>
      <c r="BK308" s="27">
        <v>204</v>
      </c>
      <c r="BL308" s="27">
        <v>44.1</v>
      </c>
    </row>
    <row r="309" customHeight="1" spans="1:64">
      <c r="A309" s="27" t="s">
        <v>1124</v>
      </c>
      <c r="B309" s="27" t="s">
        <v>195</v>
      </c>
      <c r="E309" s="27" t="s">
        <v>1125</v>
      </c>
      <c r="F309" s="27" t="s">
        <v>160</v>
      </c>
      <c r="G309" s="27" t="s">
        <v>83</v>
      </c>
      <c r="H309" s="27" t="s">
        <v>84</v>
      </c>
      <c r="I309" s="27" t="s">
        <v>85</v>
      </c>
      <c r="J309" s="27">
        <v>5</v>
      </c>
      <c r="K309" s="27">
        <v>74.99</v>
      </c>
      <c r="L309" s="27">
        <v>149.99</v>
      </c>
      <c r="M309" s="27">
        <v>50</v>
      </c>
      <c r="N309" s="27">
        <v>75</v>
      </c>
      <c r="O309" s="27">
        <v>1</v>
      </c>
      <c r="P309" s="27" t="s">
        <v>86</v>
      </c>
      <c r="Q309" s="27">
        <v>4.330602</v>
      </c>
      <c r="S309" s="27">
        <v>6</v>
      </c>
      <c r="T309" s="27">
        <v>4</v>
      </c>
      <c r="U309" s="27">
        <v>0.6</v>
      </c>
      <c r="V309" s="27" t="s">
        <v>87</v>
      </c>
      <c r="W309" s="27">
        <v>449.94</v>
      </c>
      <c r="X309" s="27">
        <v>1.94591</v>
      </c>
      <c r="Y309" s="27">
        <v>6.111334</v>
      </c>
      <c r="Z309" s="27">
        <v>2</v>
      </c>
      <c r="AA309" s="27" t="s">
        <v>125</v>
      </c>
      <c r="AB309" s="27">
        <v>0</v>
      </c>
      <c r="AC309" s="27">
        <v>0</v>
      </c>
      <c r="AD309" s="27">
        <v>0</v>
      </c>
      <c r="AE309" s="27">
        <v>0</v>
      </c>
      <c r="AF309" s="27">
        <v>0</v>
      </c>
      <c r="AG309" s="27">
        <v>0</v>
      </c>
      <c r="AH309" s="27">
        <v>0</v>
      </c>
      <c r="AI309" s="27">
        <v>0</v>
      </c>
      <c r="AJ309" s="27">
        <v>0</v>
      </c>
      <c r="AK309" s="27">
        <v>0</v>
      </c>
      <c r="AL309" s="27">
        <v>0</v>
      </c>
      <c r="AM309" s="27">
        <v>0</v>
      </c>
      <c r="AN309" s="27">
        <v>0</v>
      </c>
      <c r="AO309" s="27">
        <v>0</v>
      </c>
      <c r="AP309" s="27">
        <v>0</v>
      </c>
      <c r="AQ309" s="27">
        <v>0</v>
      </c>
      <c r="AR309" s="27">
        <v>0</v>
      </c>
      <c r="AS309" s="27">
        <v>0</v>
      </c>
      <c r="AT309" s="27">
        <v>0</v>
      </c>
      <c r="AU309" s="27">
        <v>0</v>
      </c>
      <c r="AV309" s="27">
        <v>0</v>
      </c>
      <c r="AW309" s="27">
        <v>1</v>
      </c>
      <c r="AX309" s="27">
        <v>0</v>
      </c>
      <c r="AZ309" s="27">
        <v>1</v>
      </c>
      <c r="BA309" s="27">
        <v>0</v>
      </c>
      <c r="BB309" s="27">
        <v>53.79</v>
      </c>
      <c r="BC309" s="27" t="s">
        <v>1126</v>
      </c>
      <c r="BD309" s="27" t="s">
        <v>75</v>
      </c>
      <c r="BE309" s="27" t="s">
        <v>76</v>
      </c>
      <c r="BF309" s="27" t="s">
        <v>77</v>
      </c>
      <c r="BG309" s="27">
        <v>168</v>
      </c>
      <c r="BH309" s="27">
        <v>11</v>
      </c>
      <c r="BI309" s="27">
        <v>0.9385</v>
      </c>
      <c r="BJ309" s="27">
        <v>0</v>
      </c>
      <c r="BK309" s="27">
        <v>185</v>
      </c>
      <c r="BL309" s="27">
        <v>49.3</v>
      </c>
    </row>
    <row r="310" customHeight="1" spans="1:64">
      <c r="A310" s="27" t="s">
        <v>623</v>
      </c>
      <c r="B310" s="27" t="s">
        <v>624</v>
      </c>
      <c r="D310" s="27">
        <v>698596310384</v>
      </c>
      <c r="E310" s="27" t="s">
        <v>505</v>
      </c>
      <c r="F310" s="27" t="s">
        <v>160</v>
      </c>
      <c r="G310" s="27" t="s">
        <v>83</v>
      </c>
      <c r="H310" s="27" t="s">
        <v>84</v>
      </c>
      <c r="I310" s="27" t="s">
        <v>85</v>
      </c>
      <c r="J310" s="27">
        <v>5</v>
      </c>
      <c r="K310" s="27">
        <v>9.98</v>
      </c>
      <c r="M310" s="27">
        <v>0</v>
      </c>
      <c r="N310" s="27">
        <v>0</v>
      </c>
      <c r="O310" s="27">
        <v>0</v>
      </c>
      <c r="P310" s="27" t="s">
        <v>133</v>
      </c>
      <c r="Q310" s="27">
        <v>2.396075</v>
      </c>
      <c r="S310" s="27">
        <v>1026</v>
      </c>
      <c r="T310" s="27">
        <v>10</v>
      </c>
      <c r="U310" s="27">
        <v>0.9903</v>
      </c>
      <c r="V310" s="27" t="s">
        <v>154</v>
      </c>
      <c r="W310" s="27">
        <v>10239.48</v>
      </c>
      <c r="X310" s="27">
        <v>6.934397</v>
      </c>
      <c r="Y310" s="27">
        <v>9.234104</v>
      </c>
      <c r="Z310" s="27">
        <v>3.1623</v>
      </c>
      <c r="AA310" s="27" t="s">
        <v>125</v>
      </c>
      <c r="AB310" s="27">
        <v>0</v>
      </c>
      <c r="AC310" s="27">
        <v>0</v>
      </c>
      <c r="AD310" s="27">
        <v>0</v>
      </c>
      <c r="AE310" s="27">
        <v>0</v>
      </c>
      <c r="AF310" s="27">
        <v>0</v>
      </c>
      <c r="AG310" s="27">
        <v>0</v>
      </c>
      <c r="AH310" s="27">
        <v>1</v>
      </c>
      <c r="AI310" s="27">
        <v>0</v>
      </c>
      <c r="AJ310" s="27">
        <v>0</v>
      </c>
      <c r="AK310" s="27">
        <v>0</v>
      </c>
      <c r="AL310" s="27">
        <v>0</v>
      </c>
      <c r="AM310" s="27">
        <v>0</v>
      </c>
      <c r="AN310" s="27">
        <v>0</v>
      </c>
      <c r="AO310" s="27">
        <v>0</v>
      </c>
      <c r="AP310" s="27">
        <v>0</v>
      </c>
      <c r="AQ310" s="27">
        <v>0</v>
      </c>
      <c r="AR310" s="27">
        <v>0</v>
      </c>
      <c r="AS310" s="27">
        <v>0</v>
      </c>
      <c r="AT310" s="27">
        <v>0</v>
      </c>
      <c r="AU310" s="27">
        <v>0</v>
      </c>
      <c r="AV310" s="27">
        <v>0</v>
      </c>
      <c r="AW310" s="27">
        <v>1</v>
      </c>
      <c r="AX310" s="27">
        <v>0</v>
      </c>
      <c r="AZ310" s="27">
        <v>6</v>
      </c>
      <c r="BA310" s="27">
        <v>1</v>
      </c>
      <c r="BB310" s="27">
        <v>69.46</v>
      </c>
      <c r="BC310" s="27" t="s">
        <v>1127</v>
      </c>
      <c r="BD310" s="27" t="s">
        <v>626</v>
      </c>
      <c r="BE310" s="27" t="s">
        <v>627</v>
      </c>
      <c r="BF310" s="27" t="s">
        <v>77</v>
      </c>
      <c r="BG310" s="27">
        <v>1</v>
      </c>
      <c r="BH310" s="27">
        <v>107</v>
      </c>
      <c r="BI310" s="27">
        <v>0.0093</v>
      </c>
      <c r="BJ310" s="27">
        <v>1</v>
      </c>
      <c r="BK310" s="27">
        <v>2</v>
      </c>
      <c r="BL310" s="27">
        <v>99.5</v>
      </c>
    </row>
    <row r="311" customHeight="1" spans="1:64">
      <c r="A311" s="27" t="s">
        <v>1128</v>
      </c>
      <c r="B311" s="27" t="s">
        <v>104</v>
      </c>
      <c r="C311" s="27" t="s">
        <v>499</v>
      </c>
      <c r="D311" s="27">
        <v>194644245757</v>
      </c>
      <c r="E311" s="27" t="s">
        <v>81</v>
      </c>
      <c r="F311" s="27" t="s">
        <v>82</v>
      </c>
      <c r="G311" s="27" t="s">
        <v>106</v>
      </c>
      <c r="H311" s="27" t="s">
        <v>107</v>
      </c>
      <c r="I311" s="27" t="s">
        <v>85</v>
      </c>
      <c r="J311" s="27">
        <v>5</v>
      </c>
      <c r="K311" s="27">
        <v>320</v>
      </c>
      <c r="M311" s="27">
        <v>0</v>
      </c>
      <c r="N311" s="27">
        <v>0</v>
      </c>
      <c r="O311" s="27">
        <v>0</v>
      </c>
      <c r="P311" s="27" t="s">
        <v>71</v>
      </c>
      <c r="Q311" s="27">
        <v>5.771441</v>
      </c>
      <c r="S311" s="27">
        <v>1</v>
      </c>
      <c r="T311" s="27">
        <v>2</v>
      </c>
      <c r="U311" s="27">
        <v>0.3333</v>
      </c>
      <c r="V311" s="27" t="s">
        <v>87</v>
      </c>
      <c r="W311" s="27">
        <v>320</v>
      </c>
      <c r="X311" s="27">
        <v>0.693147</v>
      </c>
      <c r="Y311" s="27">
        <v>5.771441</v>
      </c>
      <c r="Z311" s="27">
        <v>1.4142</v>
      </c>
      <c r="AA311" s="27" t="s">
        <v>73</v>
      </c>
      <c r="AB311" s="27">
        <v>0</v>
      </c>
      <c r="AC311" s="27">
        <v>0</v>
      </c>
      <c r="AD311" s="27">
        <v>0</v>
      </c>
      <c r="AE311" s="27">
        <v>1</v>
      </c>
      <c r="AF311" s="27">
        <v>0</v>
      </c>
      <c r="AG311" s="27">
        <v>0</v>
      </c>
      <c r="AH311" s="27">
        <v>1</v>
      </c>
      <c r="AI311" s="27">
        <v>0</v>
      </c>
      <c r="AJ311" s="27">
        <v>0</v>
      </c>
      <c r="AK311" s="27">
        <v>0</v>
      </c>
      <c r="AL311" s="27">
        <v>0</v>
      </c>
      <c r="AM311" s="27">
        <v>0</v>
      </c>
      <c r="AN311" s="27">
        <v>0</v>
      </c>
      <c r="AO311" s="27">
        <v>0</v>
      </c>
      <c r="AP311" s="27">
        <v>0</v>
      </c>
      <c r="AQ311" s="27">
        <v>0</v>
      </c>
      <c r="AR311" s="27">
        <v>0</v>
      </c>
      <c r="AS311" s="27">
        <v>0</v>
      </c>
      <c r="AT311" s="27">
        <v>1</v>
      </c>
      <c r="AU311" s="27">
        <v>0</v>
      </c>
      <c r="AV311" s="27">
        <v>0</v>
      </c>
      <c r="AW311" s="27">
        <v>0</v>
      </c>
      <c r="AX311" s="27">
        <v>0</v>
      </c>
      <c r="AZ311" s="27">
        <v>1</v>
      </c>
      <c r="BA311" s="27">
        <v>2</v>
      </c>
      <c r="BB311" s="27">
        <v>13.33</v>
      </c>
      <c r="BC311" s="27" t="s">
        <v>1129</v>
      </c>
      <c r="BD311" s="27" t="s">
        <v>856</v>
      </c>
      <c r="BE311" s="27" t="s">
        <v>423</v>
      </c>
      <c r="BF311" s="27" t="s">
        <v>77</v>
      </c>
      <c r="BG311" s="27">
        <v>162</v>
      </c>
      <c r="BH311" s="27">
        <v>17</v>
      </c>
      <c r="BI311" s="27">
        <v>0.905</v>
      </c>
      <c r="BJ311" s="27">
        <v>0</v>
      </c>
    </row>
    <row r="312" customHeight="1" spans="1:64">
      <c r="A312" s="27" t="s">
        <v>1130</v>
      </c>
      <c r="B312" s="27" t="s">
        <v>100</v>
      </c>
      <c r="C312" s="27" t="s">
        <v>1131</v>
      </c>
      <c r="D312" s="27">
        <v>768476589350</v>
      </c>
      <c r="E312" s="27" t="s">
        <v>81</v>
      </c>
      <c r="F312" s="27" t="s">
        <v>82</v>
      </c>
      <c r="G312" s="27" t="s">
        <v>83</v>
      </c>
      <c r="H312" s="27" t="s">
        <v>102</v>
      </c>
      <c r="I312" s="27" t="s">
        <v>85</v>
      </c>
      <c r="J312" s="27">
        <v>5</v>
      </c>
      <c r="K312" s="27">
        <v>69.99</v>
      </c>
      <c r="M312" s="27">
        <v>0</v>
      </c>
      <c r="N312" s="27">
        <v>0</v>
      </c>
      <c r="O312" s="27">
        <v>0</v>
      </c>
      <c r="P312" s="27" t="s">
        <v>86</v>
      </c>
      <c r="Q312" s="27">
        <v>4.262539</v>
      </c>
      <c r="S312" s="27">
        <v>87</v>
      </c>
      <c r="T312" s="27">
        <v>8</v>
      </c>
      <c r="U312" s="27">
        <v>0.9158</v>
      </c>
      <c r="V312" s="27" t="s">
        <v>72</v>
      </c>
      <c r="W312" s="27">
        <v>6089.13</v>
      </c>
      <c r="X312" s="27">
        <v>4.477337</v>
      </c>
      <c r="Y312" s="27">
        <v>8.714425</v>
      </c>
      <c r="Z312" s="27">
        <v>2.8284</v>
      </c>
      <c r="AA312" s="27" t="s">
        <v>88</v>
      </c>
      <c r="AB312" s="27">
        <v>0</v>
      </c>
      <c r="AC312" s="27">
        <v>0</v>
      </c>
      <c r="AD312" s="27">
        <v>0</v>
      </c>
      <c r="AE312" s="27">
        <v>1</v>
      </c>
      <c r="AF312" s="27">
        <v>1</v>
      </c>
      <c r="AG312" s="27">
        <v>0</v>
      </c>
      <c r="AH312" s="27">
        <v>1</v>
      </c>
      <c r="AI312" s="27">
        <v>0</v>
      </c>
      <c r="AJ312" s="27">
        <v>0</v>
      </c>
      <c r="AK312" s="27">
        <v>0</v>
      </c>
      <c r="AL312" s="27">
        <v>0</v>
      </c>
      <c r="AM312" s="27">
        <v>0</v>
      </c>
      <c r="AN312" s="27">
        <v>0</v>
      </c>
      <c r="AO312" s="27">
        <v>0</v>
      </c>
      <c r="AP312" s="27">
        <v>0</v>
      </c>
      <c r="AQ312" s="27">
        <v>0</v>
      </c>
      <c r="AR312" s="27">
        <v>0</v>
      </c>
      <c r="AS312" s="27">
        <v>0</v>
      </c>
      <c r="AT312" s="27">
        <v>1</v>
      </c>
      <c r="AU312" s="27">
        <v>0</v>
      </c>
      <c r="AV312" s="27">
        <v>0</v>
      </c>
      <c r="AW312" s="27">
        <v>0</v>
      </c>
      <c r="AX312" s="27">
        <v>0</v>
      </c>
      <c r="AZ312" s="27">
        <v>2</v>
      </c>
      <c r="BA312" s="27">
        <v>2</v>
      </c>
      <c r="BB312" s="27">
        <v>66.48</v>
      </c>
      <c r="BC312" s="27" t="s">
        <v>271</v>
      </c>
      <c r="BD312" s="27" t="s">
        <v>286</v>
      </c>
      <c r="BE312" s="27" t="s">
        <v>423</v>
      </c>
      <c r="BF312" s="27" t="s">
        <v>77</v>
      </c>
      <c r="BG312" s="27">
        <v>162</v>
      </c>
      <c r="BH312" s="27">
        <v>59</v>
      </c>
      <c r="BI312" s="27">
        <v>0.733</v>
      </c>
      <c r="BJ312" s="27">
        <v>0</v>
      </c>
      <c r="BK312" s="27">
        <v>2</v>
      </c>
      <c r="BL312" s="27">
        <v>99.5</v>
      </c>
    </row>
    <row r="313" customHeight="1" spans="1:64">
      <c r="A313" s="27" t="s">
        <v>1132</v>
      </c>
      <c r="B313" s="27" t="s">
        <v>104</v>
      </c>
      <c r="C313" s="27" t="s">
        <v>1133</v>
      </c>
      <c r="D313" s="27">
        <v>194644290191</v>
      </c>
      <c r="E313" s="27" t="s">
        <v>81</v>
      </c>
      <c r="F313" s="27" t="s">
        <v>82</v>
      </c>
      <c r="G313" s="27" t="s">
        <v>106</v>
      </c>
      <c r="H313" s="27" t="s">
        <v>107</v>
      </c>
      <c r="I313" s="27" t="s">
        <v>108</v>
      </c>
      <c r="J313" s="27">
        <v>3</v>
      </c>
      <c r="K313" s="27">
        <v>102.99</v>
      </c>
      <c r="L313" s="27">
        <v>149.99</v>
      </c>
      <c r="M313" s="27">
        <v>31.34</v>
      </c>
      <c r="N313" s="27">
        <v>47</v>
      </c>
      <c r="O313" s="27">
        <v>1</v>
      </c>
      <c r="P313" s="27" t="s">
        <v>95</v>
      </c>
      <c r="Q313" s="27">
        <v>4.644295</v>
      </c>
      <c r="S313" s="27">
        <v>328</v>
      </c>
      <c r="T313" s="27">
        <v>268</v>
      </c>
      <c r="U313" s="27">
        <v>0.5503</v>
      </c>
      <c r="V313" s="27" t="s">
        <v>154</v>
      </c>
      <c r="W313" s="27">
        <v>33780.72</v>
      </c>
      <c r="X313" s="27">
        <v>5.796058</v>
      </c>
      <c r="Y313" s="27">
        <v>10.427675</v>
      </c>
      <c r="Z313" s="27">
        <v>16.3707</v>
      </c>
      <c r="AA313" s="27" t="s">
        <v>187</v>
      </c>
      <c r="AB313" s="27">
        <v>0</v>
      </c>
      <c r="AC313" s="27">
        <v>0</v>
      </c>
      <c r="AD313" s="27">
        <v>0</v>
      </c>
      <c r="AE313" s="27">
        <v>0</v>
      </c>
      <c r="AF313" s="27">
        <v>0</v>
      </c>
      <c r="AG313" s="27">
        <v>0</v>
      </c>
      <c r="AH313" s="27">
        <v>0</v>
      </c>
      <c r="AI313" s="27">
        <v>0</v>
      </c>
      <c r="AJ313" s="27">
        <v>0</v>
      </c>
      <c r="AK313" s="27">
        <v>1</v>
      </c>
      <c r="AL313" s="27">
        <v>1</v>
      </c>
      <c r="AM313" s="27">
        <v>1</v>
      </c>
      <c r="AN313" s="27">
        <v>0</v>
      </c>
      <c r="AO313" s="27">
        <v>0</v>
      </c>
      <c r="AP313" s="27">
        <v>1</v>
      </c>
      <c r="AQ313" s="27">
        <v>0</v>
      </c>
      <c r="AR313" s="27">
        <v>0</v>
      </c>
      <c r="AS313" s="27">
        <v>0</v>
      </c>
      <c r="AT313" s="27">
        <v>1</v>
      </c>
      <c r="AU313" s="27">
        <v>0</v>
      </c>
      <c r="AV313" s="27">
        <v>0</v>
      </c>
      <c r="AW313" s="27">
        <v>0</v>
      </c>
      <c r="AX313" s="27">
        <v>1</v>
      </c>
      <c r="AZ313" s="27">
        <v>1</v>
      </c>
      <c r="BA313" s="27">
        <v>2</v>
      </c>
      <c r="BB313" s="27">
        <v>61.26</v>
      </c>
      <c r="BC313" s="27" t="s">
        <v>111</v>
      </c>
      <c r="BD313" s="27" t="s">
        <v>112</v>
      </c>
      <c r="BE313" s="27" t="s">
        <v>113</v>
      </c>
      <c r="BF313" s="27" t="s">
        <v>77</v>
      </c>
      <c r="BG313" s="27">
        <v>162</v>
      </c>
      <c r="BH313" s="27">
        <v>24</v>
      </c>
      <c r="BI313" s="27">
        <v>0.871</v>
      </c>
      <c r="BJ313" s="27">
        <v>0</v>
      </c>
      <c r="BK313" s="27">
        <v>2</v>
      </c>
      <c r="BL313" s="27">
        <v>99.5</v>
      </c>
    </row>
    <row r="314" customHeight="1" spans="1:64">
      <c r="A314" s="27" t="s">
        <v>1134</v>
      </c>
      <c r="B314" s="27" t="s">
        <v>1135</v>
      </c>
      <c r="C314" s="27" t="s">
        <v>1136</v>
      </c>
      <c r="E314" s="27" t="s">
        <v>209</v>
      </c>
      <c r="F314" s="27" t="s">
        <v>160</v>
      </c>
      <c r="G314" s="27" t="s">
        <v>83</v>
      </c>
      <c r="H314" s="27" t="s">
        <v>84</v>
      </c>
      <c r="I314" s="27" t="s">
        <v>85</v>
      </c>
      <c r="J314" s="27">
        <v>5</v>
      </c>
      <c r="K314" s="27">
        <v>47.99</v>
      </c>
      <c r="M314" s="27">
        <v>0</v>
      </c>
      <c r="N314" s="27">
        <v>0</v>
      </c>
      <c r="O314" s="27">
        <v>0</v>
      </c>
      <c r="P314" s="27" t="s">
        <v>86</v>
      </c>
      <c r="Q314" s="27">
        <v>3.891616</v>
      </c>
      <c r="S314" s="27">
        <v>1</v>
      </c>
      <c r="T314" s="27">
        <v>10</v>
      </c>
      <c r="U314" s="27">
        <v>0.0909</v>
      </c>
      <c r="V314" s="27" t="s">
        <v>87</v>
      </c>
      <c r="W314" s="27">
        <v>47.99</v>
      </c>
      <c r="X314" s="27">
        <v>0.693147</v>
      </c>
      <c r="Y314" s="27">
        <v>3.891616</v>
      </c>
      <c r="Z314" s="27">
        <v>3.1623</v>
      </c>
      <c r="AA314" s="27" t="s">
        <v>88</v>
      </c>
      <c r="AB314" s="27">
        <v>1</v>
      </c>
      <c r="AC314" s="27">
        <v>0</v>
      </c>
      <c r="AD314" s="27">
        <v>0</v>
      </c>
      <c r="AE314" s="27">
        <v>1</v>
      </c>
      <c r="AF314" s="27">
        <v>1</v>
      </c>
      <c r="AG314" s="27">
        <v>0</v>
      </c>
      <c r="AH314" s="27">
        <v>1</v>
      </c>
      <c r="AI314" s="27">
        <v>0</v>
      </c>
      <c r="AJ314" s="27">
        <v>0</v>
      </c>
      <c r="AK314" s="27">
        <v>0</v>
      </c>
      <c r="AL314" s="27">
        <v>0</v>
      </c>
      <c r="AM314" s="27">
        <v>0</v>
      </c>
      <c r="AN314" s="27">
        <v>0</v>
      </c>
      <c r="AO314" s="27">
        <v>0</v>
      </c>
      <c r="AP314" s="27">
        <v>0</v>
      </c>
      <c r="AQ314" s="27">
        <v>0</v>
      </c>
      <c r="AR314" s="27">
        <v>0</v>
      </c>
      <c r="AS314" s="27">
        <v>0</v>
      </c>
      <c r="AT314" s="27">
        <v>0</v>
      </c>
      <c r="AU314" s="27">
        <v>0</v>
      </c>
      <c r="AV314" s="27">
        <v>0</v>
      </c>
      <c r="AW314" s="27">
        <v>1</v>
      </c>
      <c r="AX314" s="27">
        <v>0</v>
      </c>
      <c r="AZ314" s="27">
        <v>1</v>
      </c>
      <c r="BA314" s="27">
        <v>3</v>
      </c>
      <c r="BB314" s="27">
        <v>26.23</v>
      </c>
      <c r="BC314" s="27" t="s">
        <v>1137</v>
      </c>
      <c r="BD314" s="27" t="s">
        <v>286</v>
      </c>
      <c r="BE314" s="27" t="s">
        <v>287</v>
      </c>
      <c r="BF314" s="27" t="s">
        <v>77</v>
      </c>
      <c r="BG314" s="27">
        <v>1</v>
      </c>
      <c r="BH314" s="27">
        <v>15</v>
      </c>
      <c r="BI314" s="27">
        <v>0.0625</v>
      </c>
      <c r="BJ314" s="27">
        <v>1</v>
      </c>
      <c r="BK314" s="27">
        <v>90</v>
      </c>
      <c r="BL314" s="27">
        <v>75.3</v>
      </c>
    </row>
    <row r="315" customHeight="1" spans="1:64">
      <c r="A315" s="27" t="s">
        <v>1138</v>
      </c>
      <c r="B315" s="27" t="s">
        <v>245</v>
      </c>
      <c r="C315" s="27" t="s">
        <v>1139</v>
      </c>
      <c r="E315" s="27" t="s">
        <v>250</v>
      </c>
      <c r="F315" s="27" t="s">
        <v>160</v>
      </c>
      <c r="G315" s="27" t="s">
        <v>83</v>
      </c>
      <c r="H315" s="27" t="s">
        <v>84</v>
      </c>
      <c r="I315" s="27" t="s">
        <v>85</v>
      </c>
      <c r="J315" s="27">
        <v>5</v>
      </c>
      <c r="K315" s="27">
        <v>58.49</v>
      </c>
      <c r="M315" s="27">
        <v>0</v>
      </c>
      <c r="N315" s="27">
        <v>0</v>
      </c>
      <c r="O315" s="27">
        <v>0</v>
      </c>
      <c r="P315" s="27" t="s">
        <v>86</v>
      </c>
      <c r="Q315" s="27">
        <v>4.085808</v>
      </c>
      <c r="R315" s="27">
        <v>7.31</v>
      </c>
      <c r="S315" s="27">
        <v>261</v>
      </c>
      <c r="T315" s="27">
        <v>100</v>
      </c>
      <c r="U315" s="27">
        <v>0.723</v>
      </c>
      <c r="V315" s="27" t="s">
        <v>154</v>
      </c>
      <c r="W315" s="27">
        <v>15265.89</v>
      </c>
      <c r="X315" s="27">
        <v>5.568345</v>
      </c>
      <c r="Y315" s="27">
        <v>9.633442</v>
      </c>
      <c r="Z315" s="27">
        <v>10</v>
      </c>
      <c r="AA315" s="27" t="s">
        <v>139</v>
      </c>
      <c r="AB315" s="27">
        <v>1</v>
      </c>
      <c r="AC315" s="27">
        <v>0</v>
      </c>
      <c r="AD315" s="27">
        <v>0</v>
      </c>
      <c r="AE315" s="27">
        <v>0</v>
      </c>
      <c r="AF315" s="27">
        <v>0</v>
      </c>
      <c r="AG315" s="27">
        <v>0</v>
      </c>
      <c r="AH315" s="27">
        <v>0</v>
      </c>
      <c r="AI315" s="27">
        <v>0</v>
      </c>
      <c r="AJ315" s="27">
        <v>0</v>
      </c>
      <c r="AK315" s="27">
        <v>0</v>
      </c>
      <c r="AL315" s="27">
        <v>0</v>
      </c>
      <c r="AM315" s="27">
        <v>0</v>
      </c>
      <c r="AN315" s="27">
        <v>0</v>
      </c>
      <c r="AO315" s="27">
        <v>0</v>
      </c>
      <c r="AP315" s="27">
        <v>0</v>
      </c>
      <c r="AQ315" s="27">
        <v>1</v>
      </c>
      <c r="AR315" s="27">
        <v>0</v>
      </c>
      <c r="AS315" s="27">
        <v>0</v>
      </c>
      <c r="AT315" s="27">
        <v>0</v>
      </c>
      <c r="AU315" s="27">
        <v>0</v>
      </c>
      <c r="AV315" s="27">
        <v>1</v>
      </c>
      <c r="AW315" s="27">
        <v>1</v>
      </c>
      <c r="AX315" s="27">
        <v>0</v>
      </c>
      <c r="AY315" s="27">
        <v>8</v>
      </c>
      <c r="AZ315" s="27">
        <v>1</v>
      </c>
      <c r="BA315" s="27">
        <v>2</v>
      </c>
      <c r="BB315" s="27">
        <v>58.77</v>
      </c>
      <c r="BC315" s="27" t="s">
        <v>251</v>
      </c>
      <c r="BD315" s="27" t="s">
        <v>175</v>
      </c>
      <c r="BE315" s="27" t="s">
        <v>91</v>
      </c>
      <c r="BF315" s="27" t="s">
        <v>77</v>
      </c>
      <c r="BG315" s="27">
        <v>161</v>
      </c>
      <c r="BH315" s="27">
        <v>61</v>
      </c>
      <c r="BI315" s="27">
        <v>0.7252</v>
      </c>
      <c r="BJ315" s="27">
        <v>0</v>
      </c>
      <c r="BK315" s="27">
        <v>2</v>
      </c>
      <c r="BL315" s="27">
        <v>99.5</v>
      </c>
    </row>
    <row r="316" customHeight="1" spans="1:64">
      <c r="A316" s="27" t="s">
        <v>1140</v>
      </c>
      <c r="B316" s="27" t="s">
        <v>171</v>
      </c>
      <c r="C316" s="27" t="s">
        <v>862</v>
      </c>
      <c r="E316" s="27" t="s">
        <v>173</v>
      </c>
      <c r="F316" s="27" t="s">
        <v>160</v>
      </c>
      <c r="G316" s="27" t="s">
        <v>83</v>
      </c>
      <c r="H316" s="27" t="s">
        <v>84</v>
      </c>
      <c r="I316" s="27" t="s">
        <v>85</v>
      </c>
      <c r="J316" s="27">
        <v>5</v>
      </c>
      <c r="K316" s="27">
        <v>136.49</v>
      </c>
      <c r="M316" s="27">
        <v>0</v>
      </c>
      <c r="N316" s="27">
        <v>0</v>
      </c>
      <c r="O316" s="27">
        <v>0</v>
      </c>
      <c r="P316" s="27" t="s">
        <v>95</v>
      </c>
      <c r="Q316" s="27">
        <v>4.923551</v>
      </c>
      <c r="R316" s="27">
        <v>17.06</v>
      </c>
      <c r="S316" s="27">
        <v>234</v>
      </c>
      <c r="T316" s="27">
        <v>100</v>
      </c>
      <c r="U316" s="27">
        <v>0.7006</v>
      </c>
      <c r="V316" s="27" t="s">
        <v>154</v>
      </c>
      <c r="W316" s="27">
        <v>31938.66</v>
      </c>
      <c r="X316" s="27">
        <v>5.459586</v>
      </c>
      <c r="Y316" s="27">
        <v>10.371604</v>
      </c>
      <c r="Z316" s="27">
        <v>10</v>
      </c>
      <c r="AA316" s="27" t="s">
        <v>291</v>
      </c>
      <c r="AB316" s="27">
        <v>0</v>
      </c>
      <c r="AC316" s="27">
        <v>0</v>
      </c>
      <c r="AD316" s="27">
        <v>0</v>
      </c>
      <c r="AE316" s="27">
        <v>0</v>
      </c>
      <c r="AF316" s="27">
        <v>0</v>
      </c>
      <c r="AG316" s="27">
        <v>1</v>
      </c>
      <c r="AH316" s="27">
        <v>0</v>
      </c>
      <c r="AI316" s="27">
        <v>1</v>
      </c>
      <c r="AJ316" s="27">
        <v>0</v>
      </c>
      <c r="AK316" s="27">
        <v>0</v>
      </c>
      <c r="AL316" s="27">
        <v>0</v>
      </c>
      <c r="AM316" s="27">
        <v>0</v>
      </c>
      <c r="AN316" s="27">
        <v>1</v>
      </c>
      <c r="AO316" s="27">
        <v>0</v>
      </c>
      <c r="AP316" s="27">
        <v>0</v>
      </c>
      <c r="AQ316" s="27">
        <v>1</v>
      </c>
      <c r="AR316" s="27">
        <v>0</v>
      </c>
      <c r="AS316" s="27">
        <v>0</v>
      </c>
      <c r="AT316" s="27">
        <v>1</v>
      </c>
      <c r="AU316" s="27">
        <v>0</v>
      </c>
      <c r="AV316" s="27">
        <v>1</v>
      </c>
      <c r="AW316" s="27">
        <v>1</v>
      </c>
      <c r="AX316" s="27">
        <v>0</v>
      </c>
      <c r="AY316" s="27">
        <v>8</v>
      </c>
      <c r="AZ316" s="27">
        <v>1</v>
      </c>
      <c r="BA316" s="27">
        <v>2</v>
      </c>
      <c r="BB316" s="27">
        <v>57.78</v>
      </c>
      <c r="BC316" s="27" t="s">
        <v>251</v>
      </c>
      <c r="BD316" s="27" t="s">
        <v>175</v>
      </c>
      <c r="BE316" s="27" t="s">
        <v>91</v>
      </c>
      <c r="BF316" s="27" t="s">
        <v>77</v>
      </c>
      <c r="BG316" s="27">
        <v>161</v>
      </c>
      <c r="BH316" s="27">
        <v>61</v>
      </c>
      <c r="BI316" s="27">
        <v>0.7252</v>
      </c>
      <c r="BJ316" s="27">
        <v>0</v>
      </c>
      <c r="BK316" s="27">
        <v>3</v>
      </c>
      <c r="BL316" s="27">
        <v>99.2</v>
      </c>
    </row>
    <row r="317" customHeight="1" spans="1:64">
      <c r="A317" s="27" t="s">
        <v>1141</v>
      </c>
      <c r="B317" s="27" t="s">
        <v>65</v>
      </c>
      <c r="C317" s="27" t="s">
        <v>1142</v>
      </c>
      <c r="D317" s="27">
        <v>695529053417</v>
      </c>
      <c r="E317" s="27" t="s">
        <v>81</v>
      </c>
      <c r="F317" s="27" t="s">
        <v>82</v>
      </c>
      <c r="G317" s="27" t="s">
        <v>65</v>
      </c>
      <c r="H317" s="27" t="s">
        <v>69</v>
      </c>
      <c r="I317" s="27" t="s">
        <v>203</v>
      </c>
      <c r="J317" s="27">
        <v>4</v>
      </c>
      <c r="K317" s="27">
        <v>99.99</v>
      </c>
      <c r="M317" s="27">
        <v>0</v>
      </c>
      <c r="N317" s="27">
        <v>0</v>
      </c>
      <c r="O317" s="27">
        <v>0</v>
      </c>
      <c r="P317" s="27" t="s">
        <v>95</v>
      </c>
      <c r="Q317" s="27">
        <v>4.615022</v>
      </c>
      <c r="S317" s="27">
        <v>38</v>
      </c>
      <c r="T317" s="27">
        <v>10</v>
      </c>
      <c r="U317" s="27">
        <v>0.7917</v>
      </c>
      <c r="V317" s="27" t="s">
        <v>72</v>
      </c>
      <c r="W317" s="27">
        <v>3799.62</v>
      </c>
      <c r="X317" s="27">
        <v>3.663562</v>
      </c>
      <c r="Y317" s="27">
        <v>8.242919</v>
      </c>
      <c r="Z317" s="27">
        <v>3.1623</v>
      </c>
      <c r="AA317" s="27" t="s">
        <v>73</v>
      </c>
      <c r="AB317" s="27">
        <v>0</v>
      </c>
      <c r="AC317" s="27">
        <v>0</v>
      </c>
      <c r="AD317" s="27">
        <v>0</v>
      </c>
      <c r="AE317" s="27">
        <v>0</v>
      </c>
      <c r="AF317" s="27">
        <v>0</v>
      </c>
      <c r="AG317" s="27">
        <v>0</v>
      </c>
      <c r="AH317" s="27">
        <v>1</v>
      </c>
      <c r="AI317" s="27">
        <v>0</v>
      </c>
      <c r="AJ317" s="27">
        <v>0</v>
      </c>
      <c r="AK317" s="27">
        <v>0</v>
      </c>
      <c r="AL317" s="27">
        <v>0</v>
      </c>
      <c r="AM317" s="27">
        <v>0</v>
      </c>
      <c r="AN317" s="27">
        <v>0</v>
      </c>
      <c r="AO317" s="27">
        <v>0</v>
      </c>
      <c r="AP317" s="27">
        <v>1</v>
      </c>
      <c r="AQ317" s="27">
        <v>0</v>
      </c>
      <c r="AR317" s="27">
        <v>0</v>
      </c>
      <c r="AS317" s="27">
        <v>0</v>
      </c>
      <c r="AT317" s="27">
        <v>0</v>
      </c>
      <c r="AU317" s="27">
        <v>0</v>
      </c>
      <c r="AV317" s="27">
        <v>0</v>
      </c>
      <c r="AW317" s="27">
        <v>0</v>
      </c>
      <c r="AX317" s="27">
        <v>1</v>
      </c>
      <c r="AZ317" s="27">
        <v>1</v>
      </c>
      <c r="BA317" s="27">
        <v>1</v>
      </c>
      <c r="BB317" s="27">
        <v>61.52</v>
      </c>
      <c r="BC317" s="27" t="s">
        <v>784</v>
      </c>
      <c r="BD317" s="27" t="s">
        <v>785</v>
      </c>
      <c r="BE317" s="27" t="s">
        <v>774</v>
      </c>
      <c r="BF317" s="27" t="s">
        <v>77</v>
      </c>
      <c r="BG317" s="27">
        <v>1</v>
      </c>
      <c r="BH317" s="27">
        <v>23</v>
      </c>
      <c r="BI317" s="27">
        <v>0.0417</v>
      </c>
      <c r="BJ317" s="27">
        <v>1</v>
      </c>
      <c r="BK317" s="27">
        <v>2</v>
      </c>
      <c r="BL317" s="27">
        <v>99.5</v>
      </c>
    </row>
    <row r="318" customHeight="1" spans="1:64">
      <c r="A318" s="27" t="s">
        <v>1143</v>
      </c>
      <c r="B318" s="27" t="s">
        <v>1144</v>
      </c>
      <c r="E318" s="27" t="s">
        <v>1145</v>
      </c>
      <c r="F318" s="27" t="s">
        <v>240</v>
      </c>
      <c r="G318" s="27" t="s">
        <v>83</v>
      </c>
      <c r="H318" s="27" t="s">
        <v>84</v>
      </c>
      <c r="I318" s="27" t="s">
        <v>153</v>
      </c>
      <c r="J318" s="27">
        <v>2</v>
      </c>
      <c r="K318" s="27">
        <v>159</v>
      </c>
      <c r="M318" s="27">
        <v>0</v>
      </c>
      <c r="N318" s="27">
        <v>0</v>
      </c>
      <c r="O318" s="27">
        <v>0</v>
      </c>
      <c r="P318" s="27" t="s">
        <v>95</v>
      </c>
      <c r="Q318" s="27">
        <v>5.075174</v>
      </c>
      <c r="R318" s="27">
        <v>9.94</v>
      </c>
      <c r="V318" s="27" t="s">
        <v>231</v>
      </c>
      <c r="W318" s="27">
        <v>0</v>
      </c>
      <c r="X318" s="27">
        <v>0</v>
      </c>
      <c r="Y318" s="27">
        <v>0</v>
      </c>
      <c r="Z318" s="27">
        <v>0</v>
      </c>
      <c r="AA318" s="27" t="s">
        <v>73</v>
      </c>
      <c r="AB318" s="27">
        <v>0</v>
      </c>
      <c r="AC318" s="27">
        <v>0</v>
      </c>
      <c r="AD318" s="27">
        <v>0</v>
      </c>
      <c r="AE318" s="27">
        <v>0</v>
      </c>
      <c r="AF318" s="27">
        <v>0</v>
      </c>
      <c r="AG318" s="27">
        <v>0</v>
      </c>
      <c r="AH318" s="27">
        <v>0</v>
      </c>
      <c r="AI318" s="27">
        <v>0</v>
      </c>
      <c r="AJ318" s="27">
        <v>0</v>
      </c>
      <c r="AK318" s="27">
        <v>0</v>
      </c>
      <c r="AL318" s="27">
        <v>0</v>
      </c>
      <c r="AM318" s="27">
        <v>0</v>
      </c>
      <c r="AN318" s="27">
        <v>0</v>
      </c>
      <c r="AO318" s="27">
        <v>0</v>
      </c>
      <c r="AP318" s="27">
        <v>0</v>
      </c>
      <c r="AQ318" s="27">
        <v>0</v>
      </c>
      <c r="AR318" s="27">
        <v>0</v>
      </c>
      <c r="AS318" s="27">
        <v>0</v>
      </c>
      <c r="AT318" s="27">
        <v>0</v>
      </c>
      <c r="AU318" s="27">
        <v>0</v>
      </c>
      <c r="AV318" s="27">
        <v>0</v>
      </c>
      <c r="AW318" s="27">
        <v>1</v>
      </c>
      <c r="AX318" s="27">
        <v>0</v>
      </c>
      <c r="AY318" s="27">
        <v>16</v>
      </c>
      <c r="AZ318" s="27">
        <v>1</v>
      </c>
      <c r="BA318" s="27">
        <v>0</v>
      </c>
      <c r="BB318" s="27">
        <v>0</v>
      </c>
      <c r="BC318" s="27" t="s">
        <v>1146</v>
      </c>
      <c r="BD318" s="27" t="s">
        <v>1147</v>
      </c>
      <c r="BE318" s="27" t="s">
        <v>1148</v>
      </c>
      <c r="BF318" s="27" t="s">
        <v>77</v>
      </c>
      <c r="BG318" s="27">
        <v>168</v>
      </c>
      <c r="BH318" s="27">
        <v>11</v>
      </c>
      <c r="BI318" s="27">
        <v>0.9385</v>
      </c>
      <c r="BJ318" s="27">
        <v>0</v>
      </c>
    </row>
    <row r="319" customHeight="1" spans="1:64">
      <c r="A319" s="27" t="s">
        <v>1149</v>
      </c>
      <c r="B319" s="27" t="s">
        <v>104</v>
      </c>
      <c r="C319" s="27" t="s">
        <v>1150</v>
      </c>
      <c r="D319" s="27">
        <v>194644169701</v>
      </c>
      <c r="E319" s="27" t="s">
        <v>81</v>
      </c>
      <c r="F319" s="27" t="s">
        <v>82</v>
      </c>
      <c r="G319" s="27" t="s">
        <v>106</v>
      </c>
      <c r="H319" s="27" t="s">
        <v>107</v>
      </c>
      <c r="I319" s="27" t="s">
        <v>108</v>
      </c>
      <c r="J319" s="27">
        <v>3</v>
      </c>
      <c r="K319" s="27">
        <v>139.99</v>
      </c>
      <c r="L319" s="27">
        <v>249.99</v>
      </c>
      <c r="M319" s="27">
        <v>44</v>
      </c>
      <c r="N319" s="27">
        <v>110</v>
      </c>
      <c r="O319" s="27">
        <v>1</v>
      </c>
      <c r="P319" s="27" t="s">
        <v>95</v>
      </c>
      <c r="Q319" s="27">
        <v>4.948689</v>
      </c>
      <c r="S319" s="27">
        <v>596</v>
      </c>
      <c r="T319" s="27">
        <v>150</v>
      </c>
      <c r="U319" s="27">
        <v>0.7989</v>
      </c>
      <c r="V319" s="27" t="s">
        <v>154</v>
      </c>
      <c r="W319" s="27">
        <v>83434.04</v>
      </c>
      <c r="X319" s="27">
        <v>6.391917</v>
      </c>
      <c r="Y319" s="27">
        <v>11.331824</v>
      </c>
      <c r="Z319" s="27">
        <v>12.2474</v>
      </c>
      <c r="AA319" s="27" t="s">
        <v>73</v>
      </c>
      <c r="AB319" s="27">
        <v>0</v>
      </c>
      <c r="AC319" s="27">
        <v>0</v>
      </c>
      <c r="AD319" s="27">
        <v>0</v>
      </c>
      <c r="AE319" s="27">
        <v>1</v>
      </c>
      <c r="AF319" s="27">
        <v>0</v>
      </c>
      <c r="AG319" s="27">
        <v>0</v>
      </c>
      <c r="AH319" s="27">
        <v>1</v>
      </c>
      <c r="AI319" s="27">
        <v>0</v>
      </c>
      <c r="AJ319" s="27">
        <v>1</v>
      </c>
      <c r="AK319" s="27">
        <v>0</v>
      </c>
      <c r="AL319" s="27">
        <v>0</v>
      </c>
      <c r="AM319" s="27">
        <v>0</v>
      </c>
      <c r="AN319" s="27">
        <v>0</v>
      </c>
      <c r="AO319" s="27">
        <v>0</v>
      </c>
      <c r="AP319" s="27">
        <v>0</v>
      </c>
      <c r="AQ319" s="27">
        <v>0</v>
      </c>
      <c r="AR319" s="27">
        <v>0</v>
      </c>
      <c r="AS319" s="27">
        <v>0</v>
      </c>
      <c r="AT319" s="27">
        <v>0</v>
      </c>
      <c r="AU319" s="27">
        <v>0</v>
      </c>
      <c r="AV319" s="27">
        <v>0</v>
      </c>
      <c r="AW319" s="27">
        <v>0</v>
      </c>
      <c r="AX319" s="27">
        <v>1</v>
      </c>
      <c r="AZ319" s="27">
        <v>1</v>
      </c>
      <c r="BA319" s="27">
        <v>2</v>
      </c>
      <c r="BB319" s="27">
        <v>74.74</v>
      </c>
      <c r="BC319" s="27" t="s">
        <v>111</v>
      </c>
      <c r="BD319" s="27" t="s">
        <v>112</v>
      </c>
      <c r="BE319" s="27" t="s">
        <v>113</v>
      </c>
      <c r="BF319" s="27" t="s">
        <v>77</v>
      </c>
      <c r="BG319" s="27">
        <v>162</v>
      </c>
      <c r="BH319" s="27">
        <v>24</v>
      </c>
      <c r="BI319" s="27">
        <v>0.871</v>
      </c>
      <c r="BJ319" s="27">
        <v>0</v>
      </c>
      <c r="BK319" s="27">
        <v>5</v>
      </c>
      <c r="BL319" s="27">
        <v>98.6</v>
      </c>
    </row>
    <row r="320" customHeight="1" spans="1:64">
      <c r="A320" s="27" t="s">
        <v>1151</v>
      </c>
      <c r="B320" s="27" t="s">
        <v>125</v>
      </c>
      <c r="E320" s="27" t="s">
        <v>1152</v>
      </c>
      <c r="F320" s="27" t="s">
        <v>276</v>
      </c>
      <c r="G320" s="27" t="s">
        <v>117</v>
      </c>
      <c r="H320" s="27" t="s">
        <v>138</v>
      </c>
      <c r="I320" s="27" t="s">
        <v>85</v>
      </c>
      <c r="J320" s="27">
        <v>5</v>
      </c>
      <c r="K320" s="27">
        <v>8.99</v>
      </c>
      <c r="M320" s="27">
        <v>0</v>
      </c>
      <c r="N320" s="27">
        <v>0</v>
      </c>
      <c r="O320" s="27">
        <v>0</v>
      </c>
      <c r="P320" s="27" t="s">
        <v>133</v>
      </c>
      <c r="Q320" s="27">
        <v>2.301585</v>
      </c>
      <c r="S320" s="27">
        <v>163</v>
      </c>
      <c r="T320" s="27">
        <v>10</v>
      </c>
      <c r="U320" s="27">
        <v>0.9422</v>
      </c>
      <c r="V320" s="27" t="s">
        <v>72</v>
      </c>
      <c r="W320" s="27">
        <v>1465.37</v>
      </c>
      <c r="X320" s="27">
        <v>5.099866</v>
      </c>
      <c r="Y320" s="27">
        <v>7.290545</v>
      </c>
      <c r="Z320" s="27">
        <v>3.1623</v>
      </c>
      <c r="AA320" s="27" t="s">
        <v>125</v>
      </c>
      <c r="AB320" s="27">
        <v>0</v>
      </c>
      <c r="AC320" s="27">
        <v>0</v>
      </c>
      <c r="AD320" s="27">
        <v>0</v>
      </c>
      <c r="AE320" s="27">
        <v>1</v>
      </c>
      <c r="AF320" s="27">
        <v>1</v>
      </c>
      <c r="AG320" s="27">
        <v>1</v>
      </c>
      <c r="AH320" s="27">
        <v>0</v>
      </c>
      <c r="AI320" s="27">
        <v>0</v>
      </c>
      <c r="AJ320" s="27">
        <v>0</v>
      </c>
      <c r="AK320" s="27">
        <v>0</v>
      </c>
      <c r="AL320" s="27">
        <v>0</v>
      </c>
      <c r="AM320" s="27">
        <v>0</v>
      </c>
      <c r="AN320" s="27">
        <v>0</v>
      </c>
      <c r="AO320" s="27">
        <v>0</v>
      </c>
      <c r="AP320" s="27">
        <v>0</v>
      </c>
      <c r="AQ320" s="27">
        <v>0</v>
      </c>
      <c r="AR320" s="27">
        <v>0</v>
      </c>
      <c r="AS320" s="27">
        <v>0</v>
      </c>
      <c r="AT320" s="27">
        <v>0</v>
      </c>
      <c r="AU320" s="27">
        <v>0</v>
      </c>
      <c r="AV320" s="27">
        <v>0</v>
      </c>
      <c r="AW320" s="27">
        <v>0</v>
      </c>
      <c r="AX320" s="27">
        <v>0</v>
      </c>
      <c r="AZ320" s="27">
        <v>1</v>
      </c>
      <c r="BA320" s="27">
        <v>1</v>
      </c>
      <c r="BB320" s="27">
        <v>65.47</v>
      </c>
      <c r="BC320" s="27" t="s">
        <v>1153</v>
      </c>
      <c r="BD320" s="27" t="s">
        <v>97</v>
      </c>
      <c r="BE320" s="27" t="s">
        <v>98</v>
      </c>
      <c r="BF320" s="27" t="s">
        <v>77</v>
      </c>
      <c r="BG320" s="27">
        <v>1</v>
      </c>
      <c r="BH320" s="27">
        <v>28</v>
      </c>
      <c r="BI320" s="27">
        <v>0.0345</v>
      </c>
      <c r="BJ320" s="27">
        <v>1</v>
      </c>
      <c r="BK320" s="27">
        <v>27</v>
      </c>
      <c r="BL320" s="27">
        <v>92.6</v>
      </c>
    </row>
    <row r="321" customHeight="1" spans="1:64">
      <c r="A321" s="27" t="s">
        <v>1154</v>
      </c>
      <c r="B321" s="27" t="s">
        <v>104</v>
      </c>
      <c r="C321" s="27" t="s">
        <v>208</v>
      </c>
      <c r="D321" s="27">
        <v>194644185497</v>
      </c>
      <c r="E321" s="27" t="s">
        <v>81</v>
      </c>
      <c r="F321" s="27" t="s">
        <v>82</v>
      </c>
      <c r="G321" s="27" t="s">
        <v>106</v>
      </c>
      <c r="H321" s="27" t="s">
        <v>107</v>
      </c>
      <c r="I321" s="27" t="s">
        <v>108</v>
      </c>
      <c r="J321" s="27">
        <v>3</v>
      </c>
      <c r="K321" s="27">
        <v>159.99</v>
      </c>
      <c r="L321" s="27">
        <v>399.99</v>
      </c>
      <c r="M321" s="27">
        <v>60</v>
      </c>
      <c r="N321" s="27">
        <v>240</v>
      </c>
      <c r="O321" s="27">
        <v>1</v>
      </c>
      <c r="P321" s="27" t="s">
        <v>95</v>
      </c>
      <c r="Q321" s="27">
        <v>5.081342</v>
      </c>
      <c r="S321" s="27">
        <v>68</v>
      </c>
      <c r="T321" s="27">
        <v>63</v>
      </c>
      <c r="U321" s="27">
        <v>0.5191</v>
      </c>
      <c r="V321" s="27" t="s">
        <v>72</v>
      </c>
      <c r="W321" s="27">
        <v>10879.32</v>
      </c>
      <c r="X321" s="27">
        <v>4.234107</v>
      </c>
      <c r="Y321" s="27">
        <v>9.294711</v>
      </c>
      <c r="Z321" s="27">
        <v>7.9373</v>
      </c>
      <c r="AA321" s="27" t="s">
        <v>187</v>
      </c>
      <c r="AB321" s="27">
        <v>0</v>
      </c>
      <c r="AC321" s="27">
        <v>0</v>
      </c>
      <c r="AD321" s="27">
        <v>0</v>
      </c>
      <c r="AE321" s="27">
        <v>1</v>
      </c>
      <c r="AF321" s="27">
        <v>0</v>
      </c>
      <c r="AG321" s="27">
        <v>0</v>
      </c>
      <c r="AH321" s="27">
        <v>1</v>
      </c>
      <c r="AI321" s="27">
        <v>0</v>
      </c>
      <c r="AJ321" s="27">
        <v>0</v>
      </c>
      <c r="AK321" s="27">
        <v>0</v>
      </c>
      <c r="AL321" s="27">
        <v>0</v>
      </c>
      <c r="AM321" s="27">
        <v>0</v>
      </c>
      <c r="AN321" s="27">
        <v>0</v>
      </c>
      <c r="AO321" s="27">
        <v>0</v>
      </c>
      <c r="AP321" s="27">
        <v>0</v>
      </c>
      <c r="AQ321" s="27">
        <v>0</v>
      </c>
      <c r="AR321" s="27">
        <v>0</v>
      </c>
      <c r="AS321" s="27">
        <v>0</v>
      </c>
      <c r="AT321" s="27">
        <v>1</v>
      </c>
      <c r="AU321" s="27">
        <v>0</v>
      </c>
      <c r="AV321" s="27">
        <v>0</v>
      </c>
      <c r="AW321" s="27">
        <v>0</v>
      </c>
      <c r="AX321" s="27">
        <v>0</v>
      </c>
      <c r="AZ321" s="27">
        <v>1</v>
      </c>
      <c r="BA321" s="27">
        <v>2</v>
      </c>
      <c r="BB321" s="27">
        <v>68.61</v>
      </c>
      <c r="BC321" s="27" t="s">
        <v>111</v>
      </c>
      <c r="BD321" s="27" t="s">
        <v>112</v>
      </c>
      <c r="BE321" s="27" t="s">
        <v>113</v>
      </c>
      <c r="BF321" s="27" t="s">
        <v>77</v>
      </c>
      <c r="BG321" s="27">
        <v>162</v>
      </c>
      <c r="BH321" s="27">
        <v>24</v>
      </c>
      <c r="BI321" s="27">
        <v>0.871</v>
      </c>
      <c r="BJ321" s="27">
        <v>0</v>
      </c>
      <c r="BK321" s="27">
        <v>2</v>
      </c>
      <c r="BL321" s="27">
        <v>99.5</v>
      </c>
    </row>
    <row r="322" customHeight="1" spans="1:64">
      <c r="A322" s="27" t="s">
        <v>1155</v>
      </c>
      <c r="B322" s="27" t="s">
        <v>901</v>
      </c>
      <c r="E322" s="27" t="s">
        <v>81</v>
      </c>
      <c r="F322" s="27" t="s">
        <v>82</v>
      </c>
      <c r="G322" s="27" t="s">
        <v>901</v>
      </c>
      <c r="H322" s="27" t="s">
        <v>107</v>
      </c>
      <c r="I322" s="27" t="s">
        <v>203</v>
      </c>
      <c r="J322" s="27">
        <v>4</v>
      </c>
      <c r="K322" s="27">
        <v>159.42</v>
      </c>
      <c r="L322" s="27">
        <v>370.85</v>
      </c>
      <c r="M322" s="27">
        <v>57.01</v>
      </c>
      <c r="N322" s="27">
        <v>211.43</v>
      </c>
      <c r="O322" s="27">
        <v>1</v>
      </c>
      <c r="P322" s="27" t="s">
        <v>95</v>
      </c>
      <c r="Q322" s="27">
        <v>5.077795</v>
      </c>
      <c r="S322" s="27">
        <v>136</v>
      </c>
      <c r="T322" s="27">
        <v>8</v>
      </c>
      <c r="U322" s="27">
        <v>0.9444</v>
      </c>
      <c r="V322" s="27" t="s">
        <v>72</v>
      </c>
      <c r="W322" s="27">
        <v>21681.12</v>
      </c>
      <c r="X322" s="27">
        <v>4.919981</v>
      </c>
      <c r="Y322" s="27">
        <v>9.984243</v>
      </c>
      <c r="Z322" s="27">
        <v>2.8284</v>
      </c>
      <c r="AA322" s="27" t="s">
        <v>139</v>
      </c>
      <c r="AB322" s="27">
        <v>0</v>
      </c>
      <c r="AC322" s="27">
        <v>0</v>
      </c>
      <c r="AD322" s="27">
        <v>0</v>
      </c>
      <c r="AE322" s="27">
        <v>0</v>
      </c>
      <c r="AF322" s="27">
        <v>0</v>
      </c>
      <c r="AG322" s="27">
        <v>1</v>
      </c>
      <c r="AH322" s="27">
        <v>1</v>
      </c>
      <c r="AI322" s="27">
        <v>0</v>
      </c>
      <c r="AJ322" s="27">
        <v>0</v>
      </c>
      <c r="AK322" s="27">
        <v>0</v>
      </c>
      <c r="AL322" s="27">
        <v>0</v>
      </c>
      <c r="AM322" s="27">
        <v>0</v>
      </c>
      <c r="AN322" s="27">
        <v>0</v>
      </c>
      <c r="AO322" s="27">
        <v>0</v>
      </c>
      <c r="AP322" s="27">
        <v>0</v>
      </c>
      <c r="AQ322" s="27">
        <v>0</v>
      </c>
      <c r="AR322" s="27">
        <v>0</v>
      </c>
      <c r="AS322" s="27">
        <v>0</v>
      </c>
      <c r="AT322" s="27">
        <v>1</v>
      </c>
      <c r="AU322" s="27">
        <v>0</v>
      </c>
      <c r="AV322" s="27">
        <v>0</v>
      </c>
      <c r="AW322" s="27">
        <v>0</v>
      </c>
      <c r="AX322" s="27">
        <v>0</v>
      </c>
      <c r="AZ322" s="27">
        <v>1</v>
      </c>
      <c r="BA322" s="27">
        <v>1</v>
      </c>
      <c r="BB322" s="27">
        <v>84.55</v>
      </c>
      <c r="BC322" s="27" t="s">
        <v>1156</v>
      </c>
      <c r="BD322" s="27" t="s">
        <v>169</v>
      </c>
      <c r="BE322" s="27" t="s">
        <v>113</v>
      </c>
      <c r="BF322" s="27" t="s">
        <v>77</v>
      </c>
      <c r="BG322" s="27">
        <v>168</v>
      </c>
      <c r="BH322" s="27">
        <v>13</v>
      </c>
      <c r="BI322" s="27">
        <v>0.9282</v>
      </c>
      <c r="BJ322" s="27">
        <v>0</v>
      </c>
      <c r="BK322" s="27">
        <v>4</v>
      </c>
      <c r="BL322" s="27">
        <v>98.9</v>
      </c>
    </row>
    <row r="323" customHeight="1" spans="1:64">
      <c r="A323" s="27" t="s">
        <v>1157</v>
      </c>
      <c r="B323" s="27" t="s">
        <v>704</v>
      </c>
      <c r="E323" s="27" t="s">
        <v>131</v>
      </c>
      <c r="F323" s="27" t="s">
        <v>132</v>
      </c>
      <c r="G323" s="27" t="s">
        <v>83</v>
      </c>
      <c r="H323" s="27" t="s">
        <v>84</v>
      </c>
      <c r="I323" s="27" t="s">
        <v>85</v>
      </c>
      <c r="J323" s="27">
        <v>5</v>
      </c>
      <c r="K323" s="27">
        <v>6.75</v>
      </c>
      <c r="M323" s="27">
        <v>0</v>
      </c>
      <c r="N323" s="27">
        <v>0</v>
      </c>
      <c r="O323" s="27">
        <v>0</v>
      </c>
      <c r="P323" s="27" t="s">
        <v>133</v>
      </c>
      <c r="Q323" s="27">
        <v>2.047693</v>
      </c>
      <c r="S323" s="27">
        <v>78</v>
      </c>
      <c r="T323" s="27">
        <v>10</v>
      </c>
      <c r="U323" s="27">
        <v>0.8864</v>
      </c>
      <c r="V323" s="27" t="s">
        <v>72</v>
      </c>
      <c r="W323" s="27">
        <v>526.5</v>
      </c>
      <c r="X323" s="27">
        <v>4.369448</v>
      </c>
      <c r="Y323" s="27">
        <v>6.268149</v>
      </c>
      <c r="Z323" s="27">
        <v>3.1623</v>
      </c>
      <c r="AA323" s="27" t="s">
        <v>125</v>
      </c>
      <c r="AB323" s="27">
        <v>0</v>
      </c>
      <c r="AC323" s="27">
        <v>0</v>
      </c>
      <c r="AD323" s="27">
        <v>0</v>
      </c>
      <c r="AE323" s="27">
        <v>0</v>
      </c>
      <c r="AF323" s="27">
        <v>0</v>
      </c>
      <c r="AG323" s="27">
        <v>0</v>
      </c>
      <c r="AH323" s="27">
        <v>0</v>
      </c>
      <c r="AI323" s="27">
        <v>0</v>
      </c>
      <c r="AJ323" s="27">
        <v>0</v>
      </c>
      <c r="AK323" s="27">
        <v>0</v>
      </c>
      <c r="AL323" s="27">
        <v>0</v>
      </c>
      <c r="AM323" s="27">
        <v>0</v>
      </c>
      <c r="AN323" s="27">
        <v>0</v>
      </c>
      <c r="AO323" s="27">
        <v>0</v>
      </c>
      <c r="AP323" s="27">
        <v>0</v>
      </c>
      <c r="AQ323" s="27">
        <v>0</v>
      </c>
      <c r="AR323" s="27">
        <v>0</v>
      </c>
      <c r="AS323" s="27">
        <v>0</v>
      </c>
      <c r="AT323" s="27">
        <v>0</v>
      </c>
      <c r="AU323" s="27">
        <v>0</v>
      </c>
      <c r="AV323" s="27">
        <v>0</v>
      </c>
      <c r="AW323" s="27">
        <v>0</v>
      </c>
      <c r="AX323" s="27">
        <v>0</v>
      </c>
      <c r="AZ323" s="27">
        <v>1</v>
      </c>
      <c r="BA323" s="27">
        <v>0</v>
      </c>
      <c r="BB323" s="27">
        <v>35.46</v>
      </c>
      <c r="BC323" s="27" t="s">
        <v>706</v>
      </c>
      <c r="BD323" s="27" t="s">
        <v>135</v>
      </c>
      <c r="BE323" s="27" t="s">
        <v>136</v>
      </c>
      <c r="BF323" s="27" t="s">
        <v>77</v>
      </c>
      <c r="BG323" s="27">
        <v>168</v>
      </c>
      <c r="BH323" s="27">
        <v>11</v>
      </c>
      <c r="BI323" s="27">
        <v>0.9385</v>
      </c>
      <c r="BJ323" s="27">
        <v>0</v>
      </c>
    </row>
    <row r="324" customHeight="1" spans="1:64">
      <c r="A324" s="27" t="s">
        <v>1158</v>
      </c>
      <c r="B324" s="27" t="s">
        <v>928</v>
      </c>
      <c r="E324" s="27" t="s">
        <v>1159</v>
      </c>
      <c r="F324" s="27" t="s">
        <v>240</v>
      </c>
      <c r="G324" s="27" t="s">
        <v>83</v>
      </c>
      <c r="H324" s="27" t="s">
        <v>84</v>
      </c>
      <c r="I324" s="27" t="s">
        <v>153</v>
      </c>
      <c r="J324" s="27">
        <v>2</v>
      </c>
      <c r="K324" s="27">
        <v>183.88</v>
      </c>
      <c r="L324" s="27">
        <v>208.95</v>
      </c>
      <c r="M324" s="27">
        <v>12</v>
      </c>
      <c r="N324" s="27">
        <v>25.07</v>
      </c>
      <c r="O324" s="27">
        <v>1</v>
      </c>
      <c r="P324" s="27" t="s">
        <v>95</v>
      </c>
      <c r="Q324" s="27">
        <v>5.219707</v>
      </c>
      <c r="R324" s="27">
        <v>15.32</v>
      </c>
      <c r="V324" s="27" t="s">
        <v>231</v>
      </c>
      <c r="W324" s="27">
        <v>0</v>
      </c>
      <c r="X324" s="27">
        <v>0</v>
      </c>
      <c r="Y324" s="27">
        <v>0</v>
      </c>
      <c r="Z324" s="27">
        <v>0</v>
      </c>
      <c r="AA324" s="27" t="s">
        <v>125</v>
      </c>
      <c r="AB324" s="27">
        <v>0</v>
      </c>
      <c r="AC324" s="27">
        <v>0</v>
      </c>
      <c r="AD324" s="27">
        <v>0</v>
      </c>
      <c r="AE324" s="27">
        <v>0</v>
      </c>
      <c r="AF324" s="27">
        <v>0</v>
      </c>
      <c r="AG324" s="27">
        <v>0</v>
      </c>
      <c r="AH324" s="27">
        <v>0</v>
      </c>
      <c r="AI324" s="27">
        <v>0</v>
      </c>
      <c r="AJ324" s="27">
        <v>0</v>
      </c>
      <c r="AK324" s="27">
        <v>0</v>
      </c>
      <c r="AL324" s="27">
        <v>0</v>
      </c>
      <c r="AM324" s="27">
        <v>0</v>
      </c>
      <c r="AN324" s="27">
        <v>0</v>
      </c>
      <c r="AO324" s="27">
        <v>0</v>
      </c>
      <c r="AP324" s="27">
        <v>0</v>
      </c>
      <c r="AQ324" s="27">
        <v>0</v>
      </c>
      <c r="AR324" s="27">
        <v>0</v>
      </c>
      <c r="AS324" s="27">
        <v>0</v>
      </c>
      <c r="AT324" s="27">
        <v>0</v>
      </c>
      <c r="AU324" s="27">
        <v>0</v>
      </c>
      <c r="AV324" s="27">
        <v>1</v>
      </c>
      <c r="AW324" s="27">
        <v>0</v>
      </c>
      <c r="AX324" s="27">
        <v>0</v>
      </c>
      <c r="AY324" s="27">
        <v>12</v>
      </c>
      <c r="AZ324" s="27">
        <v>1</v>
      </c>
      <c r="BA324" s="27">
        <v>0</v>
      </c>
      <c r="BB324" s="27">
        <v>32.04</v>
      </c>
      <c r="BC324" s="27" t="s">
        <v>1160</v>
      </c>
      <c r="BD324" s="27" t="s">
        <v>1161</v>
      </c>
      <c r="BE324" s="27" t="s">
        <v>665</v>
      </c>
      <c r="BF324" s="27" t="s">
        <v>77</v>
      </c>
      <c r="BG324" s="27">
        <v>162</v>
      </c>
      <c r="BH324" s="27">
        <v>19</v>
      </c>
      <c r="BI324" s="27">
        <v>0.895</v>
      </c>
      <c r="BJ324" s="27">
        <v>0</v>
      </c>
      <c r="BK324" s="27">
        <v>19</v>
      </c>
      <c r="BL324" s="27">
        <v>94.8</v>
      </c>
    </row>
    <row r="325" customHeight="1" spans="1:64">
      <c r="A325" s="27" t="s">
        <v>1162</v>
      </c>
      <c r="B325" s="27" t="s">
        <v>553</v>
      </c>
      <c r="C325" s="27" t="s">
        <v>1163</v>
      </c>
      <c r="E325" s="27" t="s">
        <v>1164</v>
      </c>
      <c r="F325" s="27" t="s">
        <v>68</v>
      </c>
      <c r="G325" s="27" t="s">
        <v>553</v>
      </c>
      <c r="H325" s="27" t="s">
        <v>69</v>
      </c>
      <c r="I325" s="27" t="s">
        <v>153</v>
      </c>
      <c r="J325" s="27">
        <v>2</v>
      </c>
      <c r="K325" s="27">
        <v>179.99</v>
      </c>
      <c r="M325" s="27">
        <v>0</v>
      </c>
      <c r="N325" s="27">
        <v>0</v>
      </c>
      <c r="O325" s="27">
        <v>0</v>
      </c>
      <c r="P325" s="27" t="s">
        <v>95</v>
      </c>
      <c r="Q325" s="27">
        <v>5.198442</v>
      </c>
      <c r="S325" s="27">
        <v>14</v>
      </c>
      <c r="T325" s="27">
        <v>10</v>
      </c>
      <c r="U325" s="27">
        <v>0.5833</v>
      </c>
      <c r="V325" s="27" t="s">
        <v>72</v>
      </c>
      <c r="W325" s="27">
        <v>2519.86</v>
      </c>
      <c r="X325" s="27">
        <v>2.70805</v>
      </c>
      <c r="Y325" s="27">
        <v>7.832355</v>
      </c>
      <c r="Z325" s="27">
        <v>3.1623</v>
      </c>
      <c r="AA325" s="27" t="s">
        <v>73</v>
      </c>
      <c r="AB325" s="27">
        <v>0</v>
      </c>
      <c r="AC325" s="27">
        <v>0</v>
      </c>
      <c r="AD325" s="27">
        <v>0</v>
      </c>
      <c r="AE325" s="27">
        <v>0</v>
      </c>
      <c r="AF325" s="27">
        <v>0</v>
      </c>
      <c r="AG325" s="27">
        <v>0</v>
      </c>
      <c r="AH325" s="27">
        <v>0</v>
      </c>
      <c r="AI325" s="27">
        <v>0</v>
      </c>
      <c r="AJ325" s="27">
        <v>0</v>
      </c>
      <c r="AK325" s="27">
        <v>0</v>
      </c>
      <c r="AL325" s="27">
        <v>0</v>
      </c>
      <c r="AM325" s="27">
        <v>0</v>
      </c>
      <c r="AN325" s="27">
        <v>0</v>
      </c>
      <c r="AO325" s="27">
        <v>0</v>
      </c>
      <c r="AP325" s="27">
        <v>0</v>
      </c>
      <c r="AQ325" s="27">
        <v>1</v>
      </c>
      <c r="AR325" s="27">
        <v>0</v>
      </c>
      <c r="AS325" s="27">
        <v>0</v>
      </c>
      <c r="AT325" s="27">
        <v>0</v>
      </c>
      <c r="AU325" s="27">
        <v>0</v>
      </c>
      <c r="AV325" s="27">
        <v>1</v>
      </c>
      <c r="AW325" s="27">
        <v>0</v>
      </c>
      <c r="AX325" s="27">
        <v>0</v>
      </c>
      <c r="AZ325" s="27">
        <v>1</v>
      </c>
      <c r="BA325" s="27">
        <v>1</v>
      </c>
      <c r="BB325" s="27">
        <v>44.96</v>
      </c>
      <c r="BC325" s="27" t="s">
        <v>1002</v>
      </c>
      <c r="BD325" s="27" t="s">
        <v>97</v>
      </c>
      <c r="BE325" s="27" t="s">
        <v>76</v>
      </c>
      <c r="BF325" s="27" t="s">
        <v>77</v>
      </c>
      <c r="BG325" s="27">
        <v>162</v>
      </c>
      <c r="BH325" s="27">
        <v>21</v>
      </c>
      <c r="BI325" s="27">
        <v>0.8852</v>
      </c>
      <c r="BJ325" s="27">
        <v>0</v>
      </c>
      <c r="BK325" s="27">
        <v>102</v>
      </c>
      <c r="BL325" s="27">
        <v>72.1</v>
      </c>
    </row>
    <row r="326" customHeight="1" spans="1:64">
      <c r="A326" s="27" t="s">
        <v>1165</v>
      </c>
      <c r="B326" s="27" t="s">
        <v>171</v>
      </c>
      <c r="C326" s="27" t="s">
        <v>1166</v>
      </c>
      <c r="E326" s="27" t="s">
        <v>255</v>
      </c>
      <c r="F326" s="27" t="s">
        <v>160</v>
      </c>
      <c r="G326" s="27" t="s">
        <v>83</v>
      </c>
      <c r="H326" s="27" t="s">
        <v>84</v>
      </c>
      <c r="I326" s="27" t="s">
        <v>85</v>
      </c>
      <c r="J326" s="27">
        <v>5</v>
      </c>
      <c r="K326" s="27">
        <v>26.38</v>
      </c>
      <c r="M326" s="27">
        <v>0</v>
      </c>
      <c r="N326" s="27">
        <v>0</v>
      </c>
      <c r="O326" s="27">
        <v>0</v>
      </c>
      <c r="P326" s="27" t="s">
        <v>86</v>
      </c>
      <c r="Q326" s="27">
        <v>3.309813</v>
      </c>
      <c r="S326" s="27">
        <v>65</v>
      </c>
      <c r="T326" s="27">
        <v>100</v>
      </c>
      <c r="U326" s="27">
        <v>0.3939</v>
      </c>
      <c r="V326" s="27" t="s">
        <v>72</v>
      </c>
      <c r="W326" s="27">
        <v>1714.7</v>
      </c>
      <c r="X326" s="27">
        <v>4.189655</v>
      </c>
      <c r="Y326" s="27">
        <v>7.447576</v>
      </c>
      <c r="Z326" s="27">
        <v>10</v>
      </c>
      <c r="AA326" s="27" t="s">
        <v>313</v>
      </c>
      <c r="AB326" s="27">
        <v>1</v>
      </c>
      <c r="AC326" s="27">
        <v>1</v>
      </c>
      <c r="AD326" s="27">
        <v>0</v>
      </c>
      <c r="AE326" s="27">
        <v>0</v>
      </c>
      <c r="AF326" s="27">
        <v>0</v>
      </c>
      <c r="AG326" s="27">
        <v>0</v>
      </c>
      <c r="AH326" s="27">
        <v>0</v>
      </c>
      <c r="AI326" s="27">
        <v>0</v>
      </c>
      <c r="AJ326" s="27">
        <v>0</v>
      </c>
      <c r="AK326" s="27">
        <v>0</v>
      </c>
      <c r="AL326" s="27">
        <v>0</v>
      </c>
      <c r="AM326" s="27">
        <v>0</v>
      </c>
      <c r="AN326" s="27">
        <v>0</v>
      </c>
      <c r="AO326" s="27">
        <v>0</v>
      </c>
      <c r="AP326" s="27">
        <v>0</v>
      </c>
      <c r="AQ326" s="27">
        <v>0</v>
      </c>
      <c r="AR326" s="27">
        <v>0</v>
      </c>
      <c r="AS326" s="27">
        <v>0</v>
      </c>
      <c r="AT326" s="27">
        <v>1</v>
      </c>
      <c r="AU326" s="27">
        <v>0</v>
      </c>
      <c r="AV326" s="27">
        <v>0</v>
      </c>
      <c r="AW326" s="27">
        <v>0</v>
      </c>
      <c r="AX326" s="27">
        <v>0</v>
      </c>
      <c r="AZ326" s="27">
        <v>1</v>
      </c>
      <c r="BA326" s="27">
        <v>2</v>
      </c>
      <c r="BB326" s="27">
        <v>45.61</v>
      </c>
      <c r="BC326" s="27" t="s">
        <v>251</v>
      </c>
      <c r="BD326" s="27" t="s">
        <v>175</v>
      </c>
      <c r="BE326" s="27" t="s">
        <v>91</v>
      </c>
      <c r="BF326" s="27" t="s">
        <v>77</v>
      </c>
      <c r="BG326" s="27">
        <v>162</v>
      </c>
      <c r="BH326" s="27">
        <v>60</v>
      </c>
      <c r="BI326" s="27">
        <v>0.7297</v>
      </c>
      <c r="BJ326" s="27">
        <v>0</v>
      </c>
      <c r="BK326" s="27">
        <v>2</v>
      </c>
      <c r="BL326" s="27">
        <v>99.5</v>
      </c>
    </row>
    <row r="327" customHeight="1" spans="1:64">
      <c r="A327" s="27" t="s">
        <v>1167</v>
      </c>
      <c r="B327" s="27" t="s">
        <v>1168</v>
      </c>
      <c r="C327" s="27" t="s">
        <v>1169</v>
      </c>
      <c r="D327" s="27">
        <v>612212082523</v>
      </c>
      <c r="E327" s="27" t="s">
        <v>1170</v>
      </c>
      <c r="F327" s="27" t="s">
        <v>82</v>
      </c>
      <c r="G327" s="27" t="s">
        <v>83</v>
      </c>
      <c r="H327" s="27" t="s">
        <v>84</v>
      </c>
      <c r="I327" s="27" t="s">
        <v>203</v>
      </c>
      <c r="J327" s="27">
        <v>4</v>
      </c>
      <c r="K327" s="27">
        <v>800</v>
      </c>
      <c r="M327" s="27">
        <v>0</v>
      </c>
      <c r="N327" s="27">
        <v>0</v>
      </c>
      <c r="O327" s="27">
        <v>0</v>
      </c>
      <c r="P327" s="27" t="s">
        <v>147</v>
      </c>
      <c r="Q327" s="27">
        <v>6.685861</v>
      </c>
      <c r="S327" s="27">
        <v>1</v>
      </c>
      <c r="T327" s="27">
        <v>2</v>
      </c>
      <c r="U327" s="27">
        <v>0.3333</v>
      </c>
      <c r="V327" s="27" t="s">
        <v>87</v>
      </c>
      <c r="W327" s="27">
        <v>800</v>
      </c>
      <c r="X327" s="27">
        <v>0.693147</v>
      </c>
      <c r="Y327" s="27">
        <v>6.685861</v>
      </c>
      <c r="Z327" s="27">
        <v>1.4142</v>
      </c>
      <c r="AA327" s="27" t="s">
        <v>125</v>
      </c>
      <c r="AB327" s="27">
        <v>0</v>
      </c>
      <c r="AC327" s="27">
        <v>0</v>
      </c>
      <c r="AD327" s="27">
        <v>0</v>
      </c>
      <c r="AE327" s="27">
        <v>0</v>
      </c>
      <c r="AF327" s="27">
        <v>0</v>
      </c>
      <c r="AG327" s="27">
        <v>0</v>
      </c>
      <c r="AH327" s="27">
        <v>0</v>
      </c>
      <c r="AI327" s="27">
        <v>0</v>
      </c>
      <c r="AJ327" s="27">
        <v>0</v>
      </c>
      <c r="AK327" s="27">
        <v>0</v>
      </c>
      <c r="AL327" s="27">
        <v>0</v>
      </c>
      <c r="AM327" s="27">
        <v>0</v>
      </c>
      <c r="AN327" s="27">
        <v>0</v>
      </c>
      <c r="AO327" s="27">
        <v>0</v>
      </c>
      <c r="AP327" s="27">
        <v>0</v>
      </c>
      <c r="AQ327" s="27">
        <v>0</v>
      </c>
      <c r="AR327" s="27">
        <v>0</v>
      </c>
      <c r="AS327" s="27">
        <v>0</v>
      </c>
      <c r="AT327" s="27">
        <v>1</v>
      </c>
      <c r="AU327" s="27">
        <v>0</v>
      </c>
      <c r="AV327" s="27">
        <v>0</v>
      </c>
      <c r="AW327" s="27">
        <v>0</v>
      </c>
      <c r="AX327" s="27">
        <v>0</v>
      </c>
      <c r="AZ327" s="27">
        <v>1</v>
      </c>
      <c r="BA327" s="27">
        <v>0</v>
      </c>
      <c r="BB327" s="27">
        <v>36.52</v>
      </c>
      <c r="BC327" s="27" t="s">
        <v>468</v>
      </c>
      <c r="BD327" s="27" t="s">
        <v>469</v>
      </c>
      <c r="BE327" s="27" t="s">
        <v>267</v>
      </c>
      <c r="BF327" s="27" t="s">
        <v>77</v>
      </c>
      <c r="BG327" s="27">
        <v>39</v>
      </c>
      <c r="BH327" s="27">
        <v>14</v>
      </c>
      <c r="BI327" s="27">
        <v>0.7358</v>
      </c>
      <c r="BJ327" s="27">
        <v>0</v>
      </c>
      <c r="BK327" s="27">
        <v>83</v>
      </c>
      <c r="BL327" s="27">
        <v>77.3</v>
      </c>
    </row>
    <row r="328" customHeight="1" spans="1:64">
      <c r="A328" s="27" t="s">
        <v>1171</v>
      </c>
      <c r="B328" s="27" t="s">
        <v>548</v>
      </c>
      <c r="E328" s="27" t="s">
        <v>81</v>
      </c>
      <c r="F328" s="27" t="s">
        <v>160</v>
      </c>
      <c r="G328" s="27" t="s">
        <v>83</v>
      </c>
      <c r="H328" s="27" t="s">
        <v>84</v>
      </c>
      <c r="I328" s="27" t="s">
        <v>85</v>
      </c>
      <c r="J328" s="27">
        <v>5</v>
      </c>
      <c r="K328" s="27">
        <v>26.59</v>
      </c>
      <c r="L328" s="27">
        <v>27.99</v>
      </c>
      <c r="M328" s="27">
        <v>5</v>
      </c>
      <c r="N328" s="27">
        <v>1.4</v>
      </c>
      <c r="O328" s="27">
        <v>1</v>
      </c>
      <c r="P328" s="27" t="s">
        <v>86</v>
      </c>
      <c r="Q328" s="27">
        <v>3.317453</v>
      </c>
      <c r="S328" s="27">
        <v>1</v>
      </c>
      <c r="T328" s="27">
        <v>10</v>
      </c>
      <c r="U328" s="27">
        <v>0.0909</v>
      </c>
      <c r="V328" s="27" t="s">
        <v>87</v>
      </c>
      <c r="W328" s="27">
        <v>26.59</v>
      </c>
      <c r="X328" s="27">
        <v>0.693147</v>
      </c>
      <c r="Y328" s="27">
        <v>3.317453</v>
      </c>
      <c r="Z328" s="27">
        <v>3.1623</v>
      </c>
      <c r="AA328" s="27" t="s">
        <v>187</v>
      </c>
      <c r="AB328" s="27">
        <v>0</v>
      </c>
      <c r="AC328" s="27">
        <v>0</v>
      </c>
      <c r="AD328" s="27">
        <v>0</v>
      </c>
      <c r="AE328" s="27">
        <v>1</v>
      </c>
      <c r="AF328" s="27">
        <v>0</v>
      </c>
      <c r="AG328" s="27">
        <v>0</v>
      </c>
      <c r="AH328" s="27">
        <v>1</v>
      </c>
      <c r="AI328" s="27">
        <v>0</v>
      </c>
      <c r="AJ328" s="27">
        <v>0</v>
      </c>
      <c r="AK328" s="27">
        <v>0</v>
      </c>
      <c r="AL328" s="27">
        <v>0</v>
      </c>
      <c r="AM328" s="27">
        <v>0</v>
      </c>
      <c r="AN328" s="27">
        <v>0</v>
      </c>
      <c r="AO328" s="27">
        <v>0</v>
      </c>
      <c r="AP328" s="27">
        <v>0</v>
      </c>
      <c r="AQ328" s="27">
        <v>0</v>
      </c>
      <c r="AR328" s="27">
        <v>0</v>
      </c>
      <c r="AS328" s="27">
        <v>0</v>
      </c>
      <c r="AT328" s="27">
        <v>1</v>
      </c>
      <c r="AU328" s="27">
        <v>0</v>
      </c>
      <c r="AV328" s="27">
        <v>0</v>
      </c>
      <c r="AW328" s="27">
        <v>1</v>
      </c>
      <c r="AX328" s="27">
        <v>0</v>
      </c>
      <c r="AZ328" s="27">
        <v>1</v>
      </c>
      <c r="BA328" s="27">
        <v>2</v>
      </c>
      <c r="BB328" s="27">
        <v>34.48</v>
      </c>
      <c r="BC328" s="27" t="s">
        <v>89</v>
      </c>
      <c r="BD328" s="27" t="s">
        <v>112</v>
      </c>
      <c r="BE328" s="27" t="s">
        <v>113</v>
      </c>
      <c r="BF328" s="27" t="s">
        <v>77</v>
      </c>
      <c r="BG328" s="27">
        <v>162</v>
      </c>
      <c r="BH328" s="27">
        <v>59</v>
      </c>
      <c r="BI328" s="27">
        <v>0.733</v>
      </c>
      <c r="BJ328" s="27">
        <v>0</v>
      </c>
      <c r="BK328" s="27">
        <v>8</v>
      </c>
      <c r="BL328" s="27">
        <v>97.8</v>
      </c>
    </row>
    <row r="329" customHeight="1" spans="1:64">
      <c r="A329" s="27" t="s">
        <v>1172</v>
      </c>
      <c r="B329" s="27" t="s">
        <v>65</v>
      </c>
      <c r="E329" s="27" t="s">
        <v>250</v>
      </c>
      <c r="F329" s="27" t="s">
        <v>82</v>
      </c>
      <c r="G329" s="27" t="s">
        <v>65</v>
      </c>
      <c r="H329" s="27" t="s">
        <v>69</v>
      </c>
      <c r="I329" s="27" t="s">
        <v>203</v>
      </c>
      <c r="J329" s="27">
        <v>4</v>
      </c>
      <c r="K329" s="27">
        <v>94.05</v>
      </c>
      <c r="M329" s="27">
        <v>0</v>
      </c>
      <c r="N329" s="27">
        <v>0</v>
      </c>
      <c r="O329" s="27">
        <v>0</v>
      </c>
      <c r="P329" s="27" t="s">
        <v>95</v>
      </c>
      <c r="Q329" s="27">
        <v>4.554403</v>
      </c>
      <c r="S329" s="27">
        <v>32</v>
      </c>
      <c r="T329" s="27">
        <v>10</v>
      </c>
      <c r="U329" s="27">
        <v>0.7619</v>
      </c>
      <c r="V329" s="27" t="s">
        <v>72</v>
      </c>
      <c r="W329" s="27">
        <v>3009.6</v>
      </c>
      <c r="X329" s="27">
        <v>3.496508</v>
      </c>
      <c r="Y329" s="27">
        <v>8.009895</v>
      </c>
      <c r="Z329" s="27">
        <v>3.1623</v>
      </c>
      <c r="AA329" s="27" t="s">
        <v>73</v>
      </c>
      <c r="AB329" s="27">
        <v>0</v>
      </c>
      <c r="AC329" s="27">
        <v>0</v>
      </c>
      <c r="AD329" s="27">
        <v>0</v>
      </c>
      <c r="AE329" s="27">
        <v>0</v>
      </c>
      <c r="AF329" s="27">
        <v>0</v>
      </c>
      <c r="AG329" s="27">
        <v>0</v>
      </c>
      <c r="AH329" s="27">
        <v>0</v>
      </c>
      <c r="AI329" s="27">
        <v>0</v>
      </c>
      <c r="AJ329" s="27">
        <v>0</v>
      </c>
      <c r="AK329" s="27">
        <v>0</v>
      </c>
      <c r="AL329" s="27">
        <v>0</v>
      </c>
      <c r="AM329" s="27">
        <v>0</v>
      </c>
      <c r="AN329" s="27">
        <v>0</v>
      </c>
      <c r="AO329" s="27">
        <v>0</v>
      </c>
      <c r="AP329" s="27">
        <v>0</v>
      </c>
      <c r="AQ329" s="27">
        <v>0</v>
      </c>
      <c r="AR329" s="27">
        <v>0</v>
      </c>
      <c r="AS329" s="27">
        <v>0</v>
      </c>
      <c r="AT329" s="27">
        <v>0</v>
      </c>
      <c r="AU329" s="27">
        <v>0</v>
      </c>
      <c r="AV329" s="27">
        <v>0</v>
      </c>
      <c r="AW329" s="27">
        <v>0</v>
      </c>
      <c r="AX329" s="27">
        <v>1</v>
      </c>
      <c r="AZ329" s="27">
        <v>1</v>
      </c>
      <c r="BA329" s="27">
        <v>0</v>
      </c>
      <c r="BB329" s="27">
        <v>58.59</v>
      </c>
      <c r="BC329" s="27" t="s">
        <v>795</v>
      </c>
      <c r="BD329" s="27" t="s">
        <v>796</v>
      </c>
      <c r="BE329" s="27" t="s">
        <v>407</v>
      </c>
      <c r="BF329" s="27" t="s">
        <v>77</v>
      </c>
      <c r="BG329" s="27">
        <v>168</v>
      </c>
      <c r="BH329" s="27">
        <v>11</v>
      </c>
      <c r="BI329" s="27">
        <v>0.9385</v>
      </c>
      <c r="BJ329" s="27">
        <v>0</v>
      </c>
      <c r="BK329" s="27">
        <v>23</v>
      </c>
      <c r="BL329" s="27">
        <v>93.7</v>
      </c>
    </row>
    <row r="330" customHeight="1" spans="1:64">
      <c r="A330" s="27" t="s">
        <v>1173</v>
      </c>
      <c r="B330" s="27" t="s">
        <v>1174</v>
      </c>
      <c r="C330" s="27" t="s">
        <v>1175</v>
      </c>
      <c r="E330" s="27" t="s">
        <v>390</v>
      </c>
      <c r="F330" s="27" t="s">
        <v>68</v>
      </c>
      <c r="G330" s="27" t="s">
        <v>83</v>
      </c>
      <c r="H330" s="27" t="s">
        <v>84</v>
      </c>
      <c r="I330" s="27" t="s">
        <v>153</v>
      </c>
      <c r="J330" s="27">
        <v>2</v>
      </c>
      <c r="K330" s="27">
        <v>225</v>
      </c>
      <c r="M330" s="27">
        <v>0</v>
      </c>
      <c r="N330" s="27">
        <v>0</v>
      </c>
      <c r="O330" s="27">
        <v>0</v>
      </c>
      <c r="P330" s="27" t="s">
        <v>71</v>
      </c>
      <c r="Q330" s="27">
        <v>5.420535</v>
      </c>
      <c r="R330" s="27">
        <v>28.12</v>
      </c>
      <c r="V330" s="27" t="s">
        <v>231</v>
      </c>
      <c r="W330" s="27">
        <v>0</v>
      </c>
      <c r="X330" s="27">
        <v>0</v>
      </c>
      <c r="Y330" s="27">
        <v>0</v>
      </c>
      <c r="Z330" s="27">
        <v>0</v>
      </c>
      <c r="AA330" s="27" t="s">
        <v>125</v>
      </c>
      <c r="AB330" s="27">
        <v>0</v>
      </c>
      <c r="AC330" s="27">
        <v>0</v>
      </c>
      <c r="AD330" s="27">
        <v>0</v>
      </c>
      <c r="AE330" s="27">
        <v>0</v>
      </c>
      <c r="AF330" s="27">
        <v>0</v>
      </c>
      <c r="AG330" s="27">
        <v>1</v>
      </c>
      <c r="AH330" s="27">
        <v>0</v>
      </c>
      <c r="AI330" s="27">
        <v>1</v>
      </c>
      <c r="AJ330" s="27">
        <v>0</v>
      </c>
      <c r="AK330" s="27">
        <v>0</v>
      </c>
      <c r="AL330" s="27">
        <v>0</v>
      </c>
      <c r="AM330" s="27">
        <v>0</v>
      </c>
      <c r="AN330" s="27">
        <v>0</v>
      </c>
      <c r="AO330" s="27">
        <v>0</v>
      </c>
      <c r="AP330" s="27">
        <v>0</v>
      </c>
      <c r="AQ330" s="27">
        <v>1</v>
      </c>
      <c r="AR330" s="27">
        <v>0</v>
      </c>
      <c r="AS330" s="27">
        <v>0</v>
      </c>
      <c r="AT330" s="27">
        <v>0</v>
      </c>
      <c r="AU330" s="27">
        <v>0</v>
      </c>
      <c r="AV330" s="27">
        <v>1</v>
      </c>
      <c r="AW330" s="27">
        <v>1</v>
      </c>
      <c r="AX330" s="27">
        <v>0</v>
      </c>
      <c r="AY330" s="27">
        <v>8</v>
      </c>
      <c r="AZ330" s="27">
        <v>1</v>
      </c>
      <c r="BA330" s="27">
        <v>1</v>
      </c>
      <c r="BB330" s="27">
        <v>22.92</v>
      </c>
      <c r="BC330" s="27" t="s">
        <v>1176</v>
      </c>
      <c r="BD330" s="27" t="s">
        <v>1177</v>
      </c>
      <c r="BE330" s="27" t="s">
        <v>166</v>
      </c>
      <c r="BF330" s="27" t="s">
        <v>77</v>
      </c>
      <c r="BG330" s="27">
        <v>168</v>
      </c>
      <c r="BH330" s="27">
        <v>11</v>
      </c>
      <c r="BI330" s="27">
        <v>0.9385</v>
      </c>
      <c r="BJ330" s="27">
        <v>0</v>
      </c>
      <c r="BK330" s="27">
        <v>86</v>
      </c>
      <c r="BL330" s="27">
        <v>76.4</v>
      </c>
    </row>
    <row r="331" customHeight="1" spans="1:64">
      <c r="A331" s="27" t="s">
        <v>682</v>
      </c>
      <c r="B331" s="27" t="s">
        <v>125</v>
      </c>
      <c r="E331" s="27" t="s">
        <v>81</v>
      </c>
      <c r="F331" s="27" t="s">
        <v>82</v>
      </c>
      <c r="G331" s="27" t="s">
        <v>83</v>
      </c>
      <c r="H331" s="27" t="s">
        <v>138</v>
      </c>
      <c r="I331" s="27" t="s">
        <v>85</v>
      </c>
      <c r="J331" s="27">
        <v>5</v>
      </c>
      <c r="K331" s="27">
        <v>57.68</v>
      </c>
      <c r="M331" s="27">
        <v>0</v>
      </c>
      <c r="N331" s="27">
        <v>0</v>
      </c>
      <c r="O331" s="27">
        <v>0</v>
      </c>
      <c r="P331" s="27" t="s">
        <v>86</v>
      </c>
      <c r="Q331" s="27">
        <v>4.072099</v>
      </c>
      <c r="S331" s="27">
        <v>16</v>
      </c>
      <c r="T331" s="27">
        <v>10</v>
      </c>
      <c r="U331" s="27">
        <v>0.6154</v>
      </c>
      <c r="V331" s="27" t="s">
        <v>72</v>
      </c>
      <c r="W331" s="27">
        <v>922.88</v>
      </c>
      <c r="X331" s="27">
        <v>2.833213</v>
      </c>
      <c r="Y331" s="27">
        <v>6.828582</v>
      </c>
      <c r="Z331" s="27">
        <v>3.1623</v>
      </c>
      <c r="AA331" s="27" t="s">
        <v>125</v>
      </c>
      <c r="AB331" s="27">
        <v>0</v>
      </c>
      <c r="AC331" s="27">
        <v>0</v>
      </c>
      <c r="AD331" s="27">
        <v>0</v>
      </c>
      <c r="AE331" s="27">
        <v>1</v>
      </c>
      <c r="AF331" s="27">
        <v>1</v>
      </c>
      <c r="AG331" s="27">
        <v>0</v>
      </c>
      <c r="AH331" s="27">
        <v>1</v>
      </c>
      <c r="AI331" s="27">
        <v>0</v>
      </c>
      <c r="AJ331" s="27">
        <v>0</v>
      </c>
      <c r="AK331" s="27">
        <v>1</v>
      </c>
      <c r="AL331" s="27">
        <v>0</v>
      </c>
      <c r="AM331" s="27">
        <v>0</v>
      </c>
      <c r="AN331" s="27">
        <v>0</v>
      </c>
      <c r="AO331" s="27">
        <v>0</v>
      </c>
      <c r="AP331" s="27">
        <v>0</v>
      </c>
      <c r="AQ331" s="27">
        <v>0</v>
      </c>
      <c r="AR331" s="27">
        <v>0</v>
      </c>
      <c r="AS331" s="27">
        <v>0</v>
      </c>
      <c r="AT331" s="27">
        <v>1</v>
      </c>
      <c r="AU331" s="27">
        <v>0</v>
      </c>
      <c r="AV331" s="27">
        <v>0</v>
      </c>
      <c r="AW331" s="27">
        <v>1</v>
      </c>
      <c r="AX331" s="27">
        <v>0</v>
      </c>
      <c r="AZ331" s="27">
        <v>1</v>
      </c>
      <c r="BA331" s="27">
        <v>3</v>
      </c>
      <c r="BB331" s="27">
        <v>53.21</v>
      </c>
      <c r="BC331" s="27" t="s">
        <v>1178</v>
      </c>
      <c r="BD331" s="27" t="s">
        <v>741</v>
      </c>
      <c r="BE331" s="27" t="s">
        <v>128</v>
      </c>
      <c r="BF331" s="27" t="s">
        <v>77</v>
      </c>
      <c r="BG331" s="27">
        <v>1</v>
      </c>
      <c r="BH331" s="27">
        <v>28</v>
      </c>
      <c r="BI331" s="27">
        <v>0.0345</v>
      </c>
      <c r="BJ331" s="27">
        <v>1</v>
      </c>
      <c r="BK331" s="27">
        <v>17</v>
      </c>
      <c r="BL331" s="27">
        <v>95.3</v>
      </c>
    </row>
    <row r="332" customHeight="1" spans="1:64">
      <c r="A332" s="27" t="s">
        <v>1179</v>
      </c>
      <c r="B332" s="27" t="s">
        <v>125</v>
      </c>
      <c r="E332" s="27" t="s">
        <v>131</v>
      </c>
      <c r="F332" s="27" t="s">
        <v>132</v>
      </c>
      <c r="G332" s="27" t="s">
        <v>83</v>
      </c>
      <c r="H332" s="27" t="s">
        <v>138</v>
      </c>
      <c r="I332" s="27" t="s">
        <v>85</v>
      </c>
      <c r="J332" s="27">
        <v>5</v>
      </c>
      <c r="K332" s="27">
        <v>6.36</v>
      </c>
      <c r="M332" s="27">
        <v>0</v>
      </c>
      <c r="N332" s="27">
        <v>0</v>
      </c>
      <c r="O332" s="27">
        <v>0</v>
      </c>
      <c r="P332" s="27" t="s">
        <v>133</v>
      </c>
      <c r="Q332" s="27">
        <v>1.99606</v>
      </c>
      <c r="S332" s="27">
        <v>41</v>
      </c>
      <c r="T332" s="27">
        <v>10</v>
      </c>
      <c r="U332" s="27">
        <v>0.8039</v>
      </c>
      <c r="V332" s="27" t="s">
        <v>72</v>
      </c>
      <c r="W332" s="27">
        <v>260.76</v>
      </c>
      <c r="X332" s="27">
        <v>3.73767</v>
      </c>
      <c r="Y332" s="27">
        <v>5.567428</v>
      </c>
      <c r="Z332" s="27">
        <v>3.1623</v>
      </c>
      <c r="AA332" s="27" t="s">
        <v>125</v>
      </c>
      <c r="AB332" s="27">
        <v>0</v>
      </c>
      <c r="AC332" s="27">
        <v>0</v>
      </c>
      <c r="AD332" s="27">
        <v>0</v>
      </c>
      <c r="AE332" s="27">
        <v>0</v>
      </c>
      <c r="AF332" s="27">
        <v>0</v>
      </c>
      <c r="AG332" s="27">
        <v>0</v>
      </c>
      <c r="AH332" s="27">
        <v>0</v>
      </c>
      <c r="AI332" s="27">
        <v>0</v>
      </c>
      <c r="AJ332" s="27">
        <v>0</v>
      </c>
      <c r="AK332" s="27">
        <v>0</v>
      </c>
      <c r="AL332" s="27">
        <v>0</v>
      </c>
      <c r="AM332" s="27">
        <v>0</v>
      </c>
      <c r="AN332" s="27">
        <v>0</v>
      </c>
      <c r="AO332" s="27">
        <v>0</v>
      </c>
      <c r="AP332" s="27">
        <v>0</v>
      </c>
      <c r="AQ332" s="27">
        <v>0</v>
      </c>
      <c r="AR332" s="27">
        <v>0</v>
      </c>
      <c r="AS332" s="27">
        <v>0</v>
      </c>
      <c r="AT332" s="27">
        <v>0</v>
      </c>
      <c r="AU332" s="27">
        <v>0</v>
      </c>
      <c r="AV332" s="27">
        <v>0</v>
      </c>
      <c r="AW332" s="27">
        <v>0</v>
      </c>
      <c r="AX332" s="27">
        <v>0</v>
      </c>
      <c r="AZ332" s="27">
        <v>1</v>
      </c>
      <c r="BA332" s="27">
        <v>0</v>
      </c>
      <c r="BB332" s="27">
        <v>61.83</v>
      </c>
      <c r="BC332" s="27" t="s">
        <v>1180</v>
      </c>
      <c r="BD332" s="27" t="s">
        <v>135</v>
      </c>
      <c r="BE332" s="27" t="s">
        <v>136</v>
      </c>
      <c r="BF332" s="27" t="s">
        <v>77</v>
      </c>
      <c r="BG332" s="27">
        <v>168</v>
      </c>
      <c r="BH332" s="27">
        <v>18</v>
      </c>
      <c r="BI332" s="27">
        <v>0.9032</v>
      </c>
      <c r="BJ332" s="27">
        <v>0</v>
      </c>
      <c r="BK332" s="27">
        <v>4</v>
      </c>
      <c r="BL332" s="27">
        <v>98.9</v>
      </c>
    </row>
    <row r="333" customHeight="1" spans="1:64">
      <c r="A333" s="27" t="s">
        <v>1181</v>
      </c>
      <c r="B333" s="27" t="s">
        <v>125</v>
      </c>
      <c r="E333" s="27" t="s">
        <v>81</v>
      </c>
      <c r="F333" s="27" t="s">
        <v>82</v>
      </c>
      <c r="G333" s="27" t="s">
        <v>83</v>
      </c>
      <c r="H333" s="27" t="s">
        <v>138</v>
      </c>
      <c r="I333" s="27" t="s">
        <v>85</v>
      </c>
      <c r="J333" s="27">
        <v>5</v>
      </c>
      <c r="K333" s="27">
        <v>25</v>
      </c>
      <c r="M333" s="27">
        <v>0</v>
      </c>
      <c r="N333" s="27">
        <v>0</v>
      </c>
      <c r="O333" s="27">
        <v>0</v>
      </c>
      <c r="P333" s="27" t="s">
        <v>86</v>
      </c>
      <c r="Q333" s="27">
        <v>3.258097</v>
      </c>
      <c r="S333" s="27">
        <v>1</v>
      </c>
      <c r="T333" s="27">
        <v>104</v>
      </c>
      <c r="U333" s="27">
        <v>0.0095</v>
      </c>
      <c r="V333" s="27" t="s">
        <v>87</v>
      </c>
      <c r="W333" s="27">
        <v>25</v>
      </c>
      <c r="X333" s="27">
        <v>0.693147</v>
      </c>
      <c r="Y333" s="27">
        <v>3.258097</v>
      </c>
      <c r="Z333" s="27">
        <v>10.198</v>
      </c>
      <c r="AA333" s="27" t="s">
        <v>291</v>
      </c>
      <c r="AB333" s="27">
        <v>0</v>
      </c>
      <c r="AC333" s="27">
        <v>0</v>
      </c>
      <c r="AD333" s="27">
        <v>0</v>
      </c>
      <c r="AE333" s="27">
        <v>0</v>
      </c>
      <c r="AF333" s="27">
        <v>0</v>
      </c>
      <c r="AG333" s="27">
        <v>0</v>
      </c>
      <c r="AH333" s="27">
        <v>0</v>
      </c>
      <c r="AI333" s="27">
        <v>0</v>
      </c>
      <c r="AJ333" s="27">
        <v>0</v>
      </c>
      <c r="AK333" s="27">
        <v>0</v>
      </c>
      <c r="AL333" s="27">
        <v>0</v>
      </c>
      <c r="AM333" s="27">
        <v>0</v>
      </c>
      <c r="AN333" s="27">
        <v>0</v>
      </c>
      <c r="AO333" s="27">
        <v>0</v>
      </c>
      <c r="AP333" s="27">
        <v>0</v>
      </c>
      <c r="AQ333" s="27">
        <v>0</v>
      </c>
      <c r="AR333" s="27">
        <v>0</v>
      </c>
      <c r="AS333" s="27">
        <v>0</v>
      </c>
      <c r="AT333" s="27">
        <v>0</v>
      </c>
      <c r="AU333" s="27">
        <v>0</v>
      </c>
      <c r="AV333" s="27">
        <v>0</v>
      </c>
      <c r="AW333" s="27">
        <v>0</v>
      </c>
      <c r="AX333" s="27">
        <v>0</v>
      </c>
      <c r="AZ333" s="27">
        <v>1</v>
      </c>
      <c r="BA333" s="27">
        <v>0</v>
      </c>
      <c r="BB333" s="27">
        <v>28.58</v>
      </c>
      <c r="BC333" s="27" t="s">
        <v>1182</v>
      </c>
      <c r="BD333" s="27" t="s">
        <v>1183</v>
      </c>
      <c r="BE333" s="27" t="s">
        <v>673</v>
      </c>
      <c r="BF333" s="27" t="s">
        <v>77</v>
      </c>
      <c r="BG333" s="27">
        <v>208</v>
      </c>
      <c r="BH333" s="27">
        <v>11</v>
      </c>
      <c r="BI333" s="27">
        <v>0.9498</v>
      </c>
      <c r="BJ333" s="27">
        <v>0</v>
      </c>
      <c r="BK333" s="27">
        <v>22</v>
      </c>
      <c r="BL333" s="27">
        <v>94</v>
      </c>
    </row>
    <row r="334" customHeight="1" spans="1:64">
      <c r="A334" s="27" t="s">
        <v>1184</v>
      </c>
      <c r="B334" s="27" t="s">
        <v>245</v>
      </c>
      <c r="C334" s="27" t="s">
        <v>1185</v>
      </c>
      <c r="E334" s="27" t="s">
        <v>250</v>
      </c>
      <c r="F334" s="27" t="s">
        <v>160</v>
      </c>
      <c r="G334" s="27" t="s">
        <v>83</v>
      </c>
      <c r="H334" s="27" t="s">
        <v>84</v>
      </c>
      <c r="I334" s="27" t="s">
        <v>85</v>
      </c>
      <c r="J334" s="27">
        <v>5</v>
      </c>
      <c r="K334" s="27">
        <v>98.99</v>
      </c>
      <c r="L334" s="27">
        <v>164.99</v>
      </c>
      <c r="M334" s="27">
        <v>40</v>
      </c>
      <c r="N334" s="27">
        <v>66</v>
      </c>
      <c r="O334" s="27">
        <v>1</v>
      </c>
      <c r="P334" s="27" t="s">
        <v>95</v>
      </c>
      <c r="Q334" s="27">
        <v>4.60507</v>
      </c>
      <c r="R334" s="27">
        <v>12.37</v>
      </c>
      <c r="S334" s="27">
        <v>149</v>
      </c>
      <c r="T334" s="27">
        <v>10</v>
      </c>
      <c r="U334" s="27">
        <v>0.9371</v>
      </c>
      <c r="V334" s="27" t="s">
        <v>72</v>
      </c>
      <c r="W334" s="27">
        <v>14749.51</v>
      </c>
      <c r="X334" s="27">
        <v>5.010635</v>
      </c>
      <c r="Y334" s="27">
        <v>9.599033</v>
      </c>
      <c r="Z334" s="27">
        <v>3.1623</v>
      </c>
      <c r="AA334" s="27" t="s">
        <v>313</v>
      </c>
      <c r="AB334" s="27">
        <v>0</v>
      </c>
      <c r="AC334" s="27">
        <v>0</v>
      </c>
      <c r="AD334" s="27">
        <v>0</v>
      </c>
      <c r="AE334" s="27">
        <v>0</v>
      </c>
      <c r="AF334" s="27">
        <v>0</v>
      </c>
      <c r="AG334" s="27">
        <v>0</v>
      </c>
      <c r="AH334" s="27">
        <v>1</v>
      </c>
      <c r="AI334" s="27">
        <v>0</v>
      </c>
      <c r="AJ334" s="27">
        <v>0</v>
      </c>
      <c r="AK334" s="27">
        <v>0</v>
      </c>
      <c r="AL334" s="27">
        <v>0</v>
      </c>
      <c r="AM334" s="27">
        <v>0</v>
      </c>
      <c r="AN334" s="27">
        <v>1</v>
      </c>
      <c r="AO334" s="27">
        <v>0</v>
      </c>
      <c r="AP334" s="27">
        <v>0</v>
      </c>
      <c r="AQ334" s="27">
        <v>1</v>
      </c>
      <c r="AR334" s="27">
        <v>0</v>
      </c>
      <c r="AS334" s="27">
        <v>0</v>
      </c>
      <c r="AT334" s="27">
        <v>0</v>
      </c>
      <c r="AU334" s="27">
        <v>0</v>
      </c>
      <c r="AV334" s="27">
        <v>1</v>
      </c>
      <c r="AW334" s="27">
        <v>1</v>
      </c>
      <c r="AX334" s="27">
        <v>0</v>
      </c>
      <c r="AY334" s="27">
        <v>8</v>
      </c>
      <c r="AZ334" s="27">
        <v>1</v>
      </c>
      <c r="BA334" s="27">
        <v>3</v>
      </c>
      <c r="BB334" s="27">
        <v>78.34</v>
      </c>
      <c r="BC334" s="27" t="s">
        <v>1186</v>
      </c>
      <c r="BG334" s="27">
        <v>0</v>
      </c>
      <c r="BH334" s="27">
        <v>0</v>
      </c>
      <c r="BJ334" s="27">
        <v>0</v>
      </c>
      <c r="BK334" s="27">
        <v>14</v>
      </c>
      <c r="BL334" s="27">
        <v>96.2</v>
      </c>
    </row>
    <row r="335" customHeight="1" spans="1:64">
      <c r="A335" s="27" t="s">
        <v>1187</v>
      </c>
      <c r="B335" s="27" t="s">
        <v>1188</v>
      </c>
      <c r="C335" s="27" t="s">
        <v>1189</v>
      </c>
      <c r="E335" s="27" t="s">
        <v>81</v>
      </c>
      <c r="F335" s="27" t="s">
        <v>82</v>
      </c>
      <c r="G335" s="27" t="s">
        <v>83</v>
      </c>
      <c r="H335" s="27" t="s">
        <v>84</v>
      </c>
      <c r="I335" s="27" t="s">
        <v>85</v>
      </c>
      <c r="J335" s="27">
        <v>5</v>
      </c>
      <c r="K335" s="27">
        <v>144.99</v>
      </c>
      <c r="M335" s="27">
        <v>0</v>
      </c>
      <c r="N335" s="27">
        <v>0</v>
      </c>
      <c r="O335" s="27">
        <v>0</v>
      </c>
      <c r="P335" s="27" t="s">
        <v>95</v>
      </c>
      <c r="Q335" s="27">
        <v>4.983538</v>
      </c>
      <c r="S335" s="27">
        <v>358</v>
      </c>
      <c r="T335" s="27">
        <v>5</v>
      </c>
      <c r="U335" s="27">
        <v>0.9862</v>
      </c>
      <c r="V335" s="27" t="s">
        <v>154</v>
      </c>
      <c r="W335" s="27">
        <v>51906.42</v>
      </c>
      <c r="X335" s="27">
        <v>5.883322</v>
      </c>
      <c r="Y335" s="27">
        <v>10.857217</v>
      </c>
      <c r="Z335" s="27">
        <v>2.2361</v>
      </c>
      <c r="AA335" s="27" t="s">
        <v>88</v>
      </c>
      <c r="AB335" s="27">
        <v>0</v>
      </c>
      <c r="AC335" s="27">
        <v>0</v>
      </c>
      <c r="AD335" s="27">
        <v>0</v>
      </c>
      <c r="AE335" s="27">
        <v>0</v>
      </c>
      <c r="AF335" s="27">
        <v>0</v>
      </c>
      <c r="AG335" s="27">
        <v>1</v>
      </c>
      <c r="AH335" s="27">
        <v>0</v>
      </c>
      <c r="AI335" s="27">
        <v>1</v>
      </c>
      <c r="AJ335" s="27">
        <v>0</v>
      </c>
      <c r="AK335" s="27">
        <v>0</v>
      </c>
      <c r="AL335" s="27">
        <v>0</v>
      </c>
      <c r="AM335" s="27">
        <v>0</v>
      </c>
      <c r="AN335" s="27">
        <v>0</v>
      </c>
      <c r="AO335" s="27">
        <v>0</v>
      </c>
      <c r="AP335" s="27">
        <v>0</v>
      </c>
      <c r="AQ335" s="27">
        <v>0</v>
      </c>
      <c r="AR335" s="27">
        <v>0</v>
      </c>
      <c r="AS335" s="27">
        <v>0</v>
      </c>
      <c r="AT335" s="27">
        <v>1</v>
      </c>
      <c r="AU335" s="27">
        <v>0</v>
      </c>
      <c r="AV335" s="27">
        <v>0</v>
      </c>
      <c r="AW335" s="27">
        <v>0</v>
      </c>
      <c r="AX335" s="27">
        <v>0</v>
      </c>
      <c r="AZ335" s="27">
        <v>1</v>
      </c>
      <c r="BA335" s="27">
        <v>0</v>
      </c>
      <c r="BB335" s="27">
        <v>68.31</v>
      </c>
      <c r="BC335" s="27" t="s">
        <v>602</v>
      </c>
      <c r="BD335" s="27" t="s">
        <v>169</v>
      </c>
      <c r="BE335" s="27" t="s">
        <v>113</v>
      </c>
      <c r="BF335" s="27" t="s">
        <v>77</v>
      </c>
      <c r="BG335" s="27">
        <v>162</v>
      </c>
      <c r="BH335" s="27">
        <v>18</v>
      </c>
      <c r="BI335" s="27">
        <v>0.9</v>
      </c>
      <c r="BJ335" s="27">
        <v>0</v>
      </c>
      <c r="BK335" s="27">
        <v>14</v>
      </c>
      <c r="BL335" s="27">
        <v>96.2</v>
      </c>
    </row>
    <row r="336" customHeight="1" spans="1:64">
      <c r="A336" s="27" t="s">
        <v>1190</v>
      </c>
      <c r="B336" s="27" t="s">
        <v>1191</v>
      </c>
      <c r="E336" s="27" t="s">
        <v>81</v>
      </c>
      <c r="F336" s="27" t="s">
        <v>82</v>
      </c>
      <c r="G336" s="27" t="s">
        <v>83</v>
      </c>
      <c r="H336" s="27" t="s">
        <v>84</v>
      </c>
      <c r="I336" s="27" t="s">
        <v>85</v>
      </c>
      <c r="J336" s="27">
        <v>5</v>
      </c>
      <c r="K336" s="27">
        <v>39.99</v>
      </c>
      <c r="M336" s="27">
        <v>0</v>
      </c>
      <c r="N336" s="27">
        <v>0</v>
      </c>
      <c r="O336" s="27">
        <v>0</v>
      </c>
      <c r="P336" s="27" t="s">
        <v>86</v>
      </c>
      <c r="Q336" s="27">
        <v>3.713328</v>
      </c>
      <c r="S336" s="27">
        <v>2</v>
      </c>
      <c r="T336" s="27">
        <v>8</v>
      </c>
      <c r="U336" s="27">
        <v>0.2</v>
      </c>
      <c r="V336" s="27" t="s">
        <v>87</v>
      </c>
      <c r="W336" s="27">
        <v>79.98</v>
      </c>
      <c r="X336" s="27">
        <v>1.098612</v>
      </c>
      <c r="Y336" s="27">
        <v>4.394202</v>
      </c>
      <c r="Z336" s="27">
        <v>2.8284</v>
      </c>
      <c r="AA336" s="27" t="s">
        <v>187</v>
      </c>
      <c r="AB336" s="27">
        <v>0</v>
      </c>
      <c r="AC336" s="27">
        <v>0</v>
      </c>
      <c r="AD336" s="27">
        <v>0</v>
      </c>
      <c r="AE336" s="27">
        <v>1</v>
      </c>
      <c r="AF336" s="27">
        <v>0</v>
      </c>
      <c r="AG336" s="27">
        <v>0</v>
      </c>
      <c r="AH336" s="27">
        <v>1</v>
      </c>
      <c r="AI336" s="27">
        <v>0</v>
      </c>
      <c r="AJ336" s="27">
        <v>0</v>
      </c>
      <c r="AK336" s="27">
        <v>0</v>
      </c>
      <c r="AL336" s="27">
        <v>0</v>
      </c>
      <c r="AM336" s="27">
        <v>0</v>
      </c>
      <c r="AN336" s="27">
        <v>0</v>
      </c>
      <c r="AO336" s="27">
        <v>0</v>
      </c>
      <c r="AP336" s="27">
        <v>0</v>
      </c>
      <c r="AQ336" s="27">
        <v>0</v>
      </c>
      <c r="AR336" s="27">
        <v>0</v>
      </c>
      <c r="AS336" s="27">
        <v>0</v>
      </c>
      <c r="AT336" s="27">
        <v>1</v>
      </c>
      <c r="AU336" s="27">
        <v>0</v>
      </c>
      <c r="AV336" s="27">
        <v>0</v>
      </c>
      <c r="AW336" s="27">
        <v>1</v>
      </c>
      <c r="AX336" s="27">
        <v>0</v>
      </c>
      <c r="AZ336" s="27">
        <v>1</v>
      </c>
      <c r="BA336" s="27">
        <v>2</v>
      </c>
      <c r="BB336" s="27">
        <v>31.91</v>
      </c>
      <c r="BC336" s="27" t="s">
        <v>1192</v>
      </c>
      <c r="BD336" s="27" t="s">
        <v>257</v>
      </c>
      <c r="BE336" s="27" t="s">
        <v>113</v>
      </c>
      <c r="BF336" s="27" t="s">
        <v>77</v>
      </c>
      <c r="BG336" s="27">
        <v>168</v>
      </c>
      <c r="BH336" s="27">
        <v>11</v>
      </c>
      <c r="BI336" s="27">
        <v>0.9385</v>
      </c>
      <c r="BJ336" s="27">
        <v>0</v>
      </c>
      <c r="BK336" s="27">
        <v>74</v>
      </c>
      <c r="BL336" s="27">
        <v>79.7</v>
      </c>
    </row>
    <row r="337" customHeight="1" spans="1:64">
      <c r="A337" s="27" t="s">
        <v>1193</v>
      </c>
      <c r="B337" s="27" t="s">
        <v>125</v>
      </c>
      <c r="E337" s="27" t="s">
        <v>1194</v>
      </c>
      <c r="F337" s="27" t="s">
        <v>82</v>
      </c>
      <c r="G337" s="27" t="s">
        <v>83</v>
      </c>
      <c r="H337" s="27" t="s">
        <v>138</v>
      </c>
      <c r="I337" s="27" t="s">
        <v>85</v>
      </c>
      <c r="J337" s="27">
        <v>5</v>
      </c>
      <c r="K337" s="27">
        <v>14.9</v>
      </c>
      <c r="M337" s="27">
        <v>0</v>
      </c>
      <c r="N337" s="27">
        <v>0</v>
      </c>
      <c r="O337" s="27">
        <v>0</v>
      </c>
      <c r="P337" s="27" t="s">
        <v>133</v>
      </c>
      <c r="Q337" s="27">
        <v>2.766319</v>
      </c>
      <c r="S337" s="27">
        <v>63</v>
      </c>
      <c r="T337" s="27">
        <v>10</v>
      </c>
      <c r="U337" s="27">
        <v>0.863</v>
      </c>
      <c r="V337" s="27" t="s">
        <v>72</v>
      </c>
      <c r="W337" s="27">
        <v>938.7</v>
      </c>
      <c r="X337" s="27">
        <v>4.158883</v>
      </c>
      <c r="Y337" s="27">
        <v>6.845561</v>
      </c>
      <c r="Z337" s="27">
        <v>3.1623</v>
      </c>
      <c r="AA337" s="27" t="s">
        <v>139</v>
      </c>
      <c r="AB337" s="27">
        <v>0</v>
      </c>
      <c r="AC337" s="27">
        <v>0</v>
      </c>
      <c r="AD337" s="27">
        <v>0</v>
      </c>
      <c r="AE337" s="27">
        <v>0</v>
      </c>
      <c r="AF337" s="27">
        <v>1</v>
      </c>
      <c r="AG337" s="27">
        <v>0</v>
      </c>
      <c r="AH337" s="27">
        <v>1</v>
      </c>
      <c r="AI337" s="27">
        <v>0</v>
      </c>
      <c r="AJ337" s="27">
        <v>0</v>
      </c>
      <c r="AK337" s="27">
        <v>0</v>
      </c>
      <c r="AL337" s="27">
        <v>0</v>
      </c>
      <c r="AM337" s="27">
        <v>0</v>
      </c>
      <c r="AN337" s="27">
        <v>0</v>
      </c>
      <c r="AO337" s="27">
        <v>0</v>
      </c>
      <c r="AP337" s="27">
        <v>0</v>
      </c>
      <c r="AQ337" s="27">
        <v>0</v>
      </c>
      <c r="AR337" s="27">
        <v>0</v>
      </c>
      <c r="AS337" s="27">
        <v>0</v>
      </c>
      <c r="AT337" s="27">
        <v>0</v>
      </c>
      <c r="AU337" s="27">
        <v>0</v>
      </c>
      <c r="AV337" s="27">
        <v>0</v>
      </c>
      <c r="AW337" s="27">
        <v>0</v>
      </c>
      <c r="AX337" s="27">
        <v>0</v>
      </c>
      <c r="AZ337" s="27">
        <v>1</v>
      </c>
      <c r="BA337" s="27">
        <v>1</v>
      </c>
      <c r="BB337" s="27">
        <v>64.37</v>
      </c>
      <c r="BC337" s="27" t="s">
        <v>1195</v>
      </c>
      <c r="BD337" s="27" t="s">
        <v>684</v>
      </c>
      <c r="BE337" s="27" t="s">
        <v>128</v>
      </c>
      <c r="BF337" s="27" t="s">
        <v>77</v>
      </c>
      <c r="BG337" s="27">
        <v>1</v>
      </c>
      <c r="BH337" s="27">
        <v>53</v>
      </c>
      <c r="BI337" s="27">
        <v>0.0185</v>
      </c>
      <c r="BJ337" s="27">
        <v>1</v>
      </c>
      <c r="BK337" s="27">
        <v>2</v>
      </c>
      <c r="BL337" s="27">
        <v>99.5</v>
      </c>
    </row>
    <row r="338" customHeight="1" spans="1:64">
      <c r="A338" s="27" t="s">
        <v>1196</v>
      </c>
      <c r="B338" s="27" t="s">
        <v>1197</v>
      </c>
      <c r="C338" s="27" t="s">
        <v>1198</v>
      </c>
      <c r="D338" s="27">
        <v>840236142859</v>
      </c>
      <c r="E338" s="27" t="s">
        <v>209</v>
      </c>
      <c r="F338" s="27" t="s">
        <v>160</v>
      </c>
      <c r="G338" s="27" t="s">
        <v>1197</v>
      </c>
      <c r="H338" s="27" t="s">
        <v>69</v>
      </c>
      <c r="I338" s="27" t="s">
        <v>85</v>
      </c>
      <c r="J338" s="27">
        <v>5</v>
      </c>
      <c r="K338" s="27">
        <v>195</v>
      </c>
      <c r="M338" s="27">
        <v>0</v>
      </c>
      <c r="N338" s="27">
        <v>0</v>
      </c>
      <c r="O338" s="27">
        <v>0</v>
      </c>
      <c r="P338" s="27" t="s">
        <v>95</v>
      </c>
      <c r="Q338" s="27">
        <v>5.278115</v>
      </c>
      <c r="S338" s="27">
        <v>3</v>
      </c>
      <c r="T338" s="27">
        <v>3</v>
      </c>
      <c r="U338" s="27">
        <v>0.5</v>
      </c>
      <c r="V338" s="27" t="s">
        <v>87</v>
      </c>
      <c r="W338" s="27">
        <v>585</v>
      </c>
      <c r="X338" s="27">
        <v>1.386294</v>
      </c>
      <c r="Y338" s="27">
        <v>6.37332</v>
      </c>
      <c r="Z338" s="27">
        <v>1.7321</v>
      </c>
      <c r="AA338" s="27" t="s">
        <v>73</v>
      </c>
      <c r="AB338" s="27">
        <v>0</v>
      </c>
      <c r="AC338" s="27">
        <v>0</v>
      </c>
      <c r="AD338" s="27">
        <v>0</v>
      </c>
      <c r="AE338" s="27">
        <v>0</v>
      </c>
      <c r="AF338" s="27">
        <v>0</v>
      </c>
      <c r="AG338" s="27">
        <v>0</v>
      </c>
      <c r="AH338" s="27">
        <v>1</v>
      </c>
      <c r="AI338" s="27">
        <v>0</v>
      </c>
      <c r="AJ338" s="27">
        <v>0</v>
      </c>
      <c r="AK338" s="27">
        <v>0</v>
      </c>
      <c r="AL338" s="27">
        <v>0</v>
      </c>
      <c r="AM338" s="27">
        <v>0</v>
      </c>
      <c r="AN338" s="27">
        <v>0</v>
      </c>
      <c r="AO338" s="27">
        <v>0</v>
      </c>
      <c r="AP338" s="27">
        <v>0</v>
      </c>
      <c r="AQ338" s="27">
        <v>0</v>
      </c>
      <c r="AR338" s="27">
        <v>0</v>
      </c>
      <c r="AS338" s="27">
        <v>0</v>
      </c>
      <c r="AT338" s="27">
        <v>0</v>
      </c>
      <c r="AU338" s="27">
        <v>0</v>
      </c>
      <c r="AV338" s="27">
        <v>0</v>
      </c>
      <c r="AW338" s="27">
        <v>1</v>
      </c>
      <c r="AX338" s="27">
        <v>0</v>
      </c>
      <c r="AZ338" s="27">
        <v>1</v>
      </c>
      <c r="BA338" s="27">
        <v>1</v>
      </c>
      <c r="BB338" s="27">
        <v>20</v>
      </c>
      <c r="BC338" s="27" t="s">
        <v>1199</v>
      </c>
      <c r="BD338" s="27" t="s">
        <v>1200</v>
      </c>
      <c r="BE338" s="27" t="s">
        <v>1062</v>
      </c>
      <c r="BF338" s="27" t="s">
        <v>77</v>
      </c>
      <c r="BG338" s="27">
        <v>168</v>
      </c>
      <c r="BH338" s="27">
        <v>11</v>
      </c>
      <c r="BI338" s="27">
        <v>0.9385</v>
      </c>
      <c r="BJ338" s="27">
        <v>0</v>
      </c>
    </row>
    <row r="339" customHeight="1" spans="1:64">
      <c r="A339" s="27" t="s">
        <v>1201</v>
      </c>
      <c r="B339" s="27" t="s">
        <v>1202</v>
      </c>
      <c r="E339" s="27" t="s">
        <v>1203</v>
      </c>
      <c r="F339" s="27" t="s">
        <v>240</v>
      </c>
      <c r="G339" s="27" t="s">
        <v>83</v>
      </c>
      <c r="H339" s="27" t="s">
        <v>84</v>
      </c>
      <c r="I339" s="27" t="s">
        <v>153</v>
      </c>
      <c r="J339" s="27">
        <v>2</v>
      </c>
      <c r="K339" s="27">
        <v>75.99</v>
      </c>
      <c r="M339" s="27">
        <v>0</v>
      </c>
      <c r="N339" s="27">
        <v>0</v>
      </c>
      <c r="O339" s="27">
        <v>0</v>
      </c>
      <c r="P339" s="27" t="s">
        <v>95</v>
      </c>
      <c r="Q339" s="27">
        <v>4.343676</v>
      </c>
      <c r="R339" s="27">
        <v>4.75</v>
      </c>
      <c r="V339" s="27" t="s">
        <v>231</v>
      </c>
      <c r="W339" s="27">
        <v>0</v>
      </c>
      <c r="X339" s="27">
        <v>0</v>
      </c>
      <c r="Y339" s="27">
        <v>0</v>
      </c>
      <c r="Z339" s="27">
        <v>0</v>
      </c>
      <c r="AA339" s="27" t="s">
        <v>125</v>
      </c>
      <c r="AB339" s="27">
        <v>0</v>
      </c>
      <c r="AC339" s="27">
        <v>0</v>
      </c>
      <c r="AD339" s="27">
        <v>0</v>
      </c>
      <c r="AE339" s="27">
        <v>0</v>
      </c>
      <c r="AF339" s="27">
        <v>0</v>
      </c>
      <c r="AG339" s="27">
        <v>0</v>
      </c>
      <c r="AH339" s="27">
        <v>0</v>
      </c>
      <c r="AI339" s="27">
        <v>0</v>
      </c>
      <c r="AJ339" s="27">
        <v>0</v>
      </c>
      <c r="AK339" s="27">
        <v>0</v>
      </c>
      <c r="AL339" s="27">
        <v>0</v>
      </c>
      <c r="AM339" s="27">
        <v>0</v>
      </c>
      <c r="AN339" s="27">
        <v>0</v>
      </c>
      <c r="AO339" s="27">
        <v>0</v>
      </c>
      <c r="AP339" s="27">
        <v>0</v>
      </c>
      <c r="AQ339" s="27">
        <v>1</v>
      </c>
      <c r="AR339" s="27">
        <v>0</v>
      </c>
      <c r="AS339" s="27">
        <v>0</v>
      </c>
      <c r="AT339" s="27">
        <v>0</v>
      </c>
      <c r="AU339" s="27">
        <v>0</v>
      </c>
      <c r="AV339" s="27">
        <v>1</v>
      </c>
      <c r="AW339" s="27">
        <v>1</v>
      </c>
      <c r="AX339" s="27">
        <v>0</v>
      </c>
      <c r="AY339" s="27">
        <v>16</v>
      </c>
      <c r="AZ339" s="27">
        <v>1</v>
      </c>
      <c r="BA339" s="27">
        <v>1</v>
      </c>
      <c r="BB339" s="27">
        <v>0</v>
      </c>
      <c r="BC339" s="27" t="s">
        <v>1204</v>
      </c>
      <c r="BD339" s="27" t="s">
        <v>1205</v>
      </c>
      <c r="BE339" s="27" t="s">
        <v>267</v>
      </c>
      <c r="BF339" s="27" t="s">
        <v>77</v>
      </c>
      <c r="BG339" s="27">
        <v>1</v>
      </c>
      <c r="BH339" s="27">
        <v>11</v>
      </c>
      <c r="BI339" s="27">
        <v>0.0833</v>
      </c>
      <c r="BJ339" s="27">
        <v>1</v>
      </c>
    </row>
    <row r="340" customHeight="1" spans="1:64">
      <c r="A340" s="27" t="s">
        <v>1206</v>
      </c>
      <c r="B340" s="27" t="s">
        <v>1207</v>
      </c>
      <c r="E340" s="27" t="s">
        <v>1208</v>
      </c>
      <c r="F340" s="27" t="s">
        <v>160</v>
      </c>
      <c r="G340" s="27" t="s">
        <v>83</v>
      </c>
      <c r="H340" s="27" t="s">
        <v>84</v>
      </c>
      <c r="I340" s="27" t="s">
        <v>85</v>
      </c>
      <c r="J340" s="27">
        <v>5</v>
      </c>
      <c r="K340" s="27">
        <v>40</v>
      </c>
      <c r="M340" s="27">
        <v>0</v>
      </c>
      <c r="N340" s="27">
        <v>0</v>
      </c>
      <c r="O340" s="27">
        <v>0</v>
      </c>
      <c r="P340" s="27" t="s">
        <v>86</v>
      </c>
      <c r="Q340" s="27">
        <v>3.713572</v>
      </c>
      <c r="V340" s="27" t="s">
        <v>231</v>
      </c>
      <c r="W340" s="27">
        <v>0</v>
      </c>
      <c r="X340" s="27">
        <v>0</v>
      </c>
      <c r="Y340" s="27">
        <v>0</v>
      </c>
      <c r="Z340" s="27">
        <v>0</v>
      </c>
      <c r="AA340" s="27" t="s">
        <v>125</v>
      </c>
      <c r="AB340" s="27">
        <v>0</v>
      </c>
      <c r="AC340" s="27">
        <v>0</v>
      </c>
      <c r="AD340" s="27">
        <v>0</v>
      </c>
      <c r="AE340" s="27">
        <v>0</v>
      </c>
      <c r="AF340" s="27">
        <v>0</v>
      </c>
      <c r="AG340" s="27">
        <v>0</v>
      </c>
      <c r="AH340" s="27">
        <v>0</v>
      </c>
      <c r="AI340" s="27">
        <v>0</v>
      </c>
      <c r="AJ340" s="27">
        <v>0</v>
      </c>
      <c r="AK340" s="27">
        <v>0</v>
      </c>
      <c r="AL340" s="27">
        <v>0</v>
      </c>
      <c r="AM340" s="27">
        <v>0</v>
      </c>
      <c r="AN340" s="27">
        <v>0</v>
      </c>
      <c r="AO340" s="27">
        <v>0</v>
      </c>
      <c r="AP340" s="27">
        <v>0</v>
      </c>
      <c r="AQ340" s="27">
        <v>0</v>
      </c>
      <c r="AR340" s="27">
        <v>0</v>
      </c>
      <c r="AS340" s="27">
        <v>0</v>
      </c>
      <c r="AT340" s="27">
        <v>0</v>
      </c>
      <c r="AU340" s="27">
        <v>0</v>
      </c>
      <c r="AV340" s="27">
        <v>0</v>
      </c>
      <c r="AW340" s="27">
        <v>0</v>
      </c>
      <c r="AX340" s="27">
        <v>0</v>
      </c>
      <c r="AZ340" s="27">
        <v>1</v>
      </c>
      <c r="BA340" s="27">
        <v>0</v>
      </c>
      <c r="BB340" s="27">
        <v>0</v>
      </c>
      <c r="BC340" s="27" t="s">
        <v>1209</v>
      </c>
      <c r="BD340" s="27" t="s">
        <v>1210</v>
      </c>
      <c r="BE340" s="27" t="s">
        <v>166</v>
      </c>
      <c r="BF340" s="27" t="s">
        <v>77</v>
      </c>
      <c r="BG340" s="27">
        <v>170</v>
      </c>
      <c r="BH340" s="27">
        <v>11</v>
      </c>
      <c r="BI340" s="27">
        <v>0.9392</v>
      </c>
      <c r="BJ340" s="27">
        <v>0</v>
      </c>
    </row>
    <row r="341" customHeight="1" spans="1:64">
      <c r="A341" s="27" t="s">
        <v>1211</v>
      </c>
      <c r="B341" s="27" t="s">
        <v>125</v>
      </c>
      <c r="E341" s="27" t="s">
        <v>131</v>
      </c>
      <c r="F341" s="27" t="s">
        <v>240</v>
      </c>
      <c r="G341" s="27" t="s">
        <v>83</v>
      </c>
      <c r="H341" s="27" t="s">
        <v>138</v>
      </c>
      <c r="I341" s="27" t="s">
        <v>85</v>
      </c>
      <c r="J341" s="27">
        <v>5</v>
      </c>
      <c r="K341" s="27">
        <v>29.88</v>
      </c>
      <c r="M341" s="27">
        <v>0</v>
      </c>
      <c r="N341" s="27">
        <v>0</v>
      </c>
      <c r="O341" s="27">
        <v>0</v>
      </c>
      <c r="P341" s="27" t="s">
        <v>86</v>
      </c>
      <c r="Q341" s="27">
        <v>3.430109</v>
      </c>
      <c r="S341" s="27">
        <v>18</v>
      </c>
      <c r="T341" s="27">
        <v>16</v>
      </c>
      <c r="U341" s="27">
        <v>0.5294</v>
      </c>
      <c r="V341" s="27" t="s">
        <v>72</v>
      </c>
      <c r="W341" s="27">
        <v>537.84</v>
      </c>
      <c r="X341" s="27">
        <v>2.944439</v>
      </c>
      <c r="Y341" s="27">
        <v>6.289419</v>
      </c>
      <c r="Z341" s="27">
        <v>4</v>
      </c>
      <c r="AA341" s="27" t="s">
        <v>125</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1</v>
      </c>
      <c r="AR341" s="27">
        <v>0</v>
      </c>
      <c r="AS341" s="27">
        <v>0</v>
      </c>
      <c r="AT341" s="27">
        <v>0</v>
      </c>
      <c r="AU341" s="27">
        <v>0</v>
      </c>
      <c r="AV341" s="27">
        <v>1</v>
      </c>
      <c r="AW341" s="27">
        <v>0</v>
      </c>
      <c r="AX341" s="27">
        <v>0</v>
      </c>
      <c r="AZ341" s="27">
        <v>1</v>
      </c>
      <c r="BA341" s="27">
        <v>1</v>
      </c>
      <c r="BB341" s="27">
        <v>42.81</v>
      </c>
      <c r="BC341" s="27" t="s">
        <v>1212</v>
      </c>
      <c r="BD341" s="27" t="s">
        <v>1213</v>
      </c>
      <c r="BE341" s="27" t="s">
        <v>1214</v>
      </c>
      <c r="BF341" s="27" t="s">
        <v>77</v>
      </c>
      <c r="BG341" s="27">
        <v>1</v>
      </c>
      <c r="BH341" s="27">
        <v>26</v>
      </c>
      <c r="BI341" s="27">
        <v>0.037</v>
      </c>
      <c r="BJ341" s="27">
        <v>1</v>
      </c>
      <c r="BK341" s="27">
        <v>102</v>
      </c>
      <c r="BL341" s="27">
        <v>72.1</v>
      </c>
    </row>
    <row r="342" customHeight="1" spans="1:64">
      <c r="A342" s="27" t="s">
        <v>1215</v>
      </c>
      <c r="B342" s="27" t="s">
        <v>282</v>
      </c>
      <c r="D342" s="27">
        <v>612068820645</v>
      </c>
      <c r="E342" s="27" t="s">
        <v>239</v>
      </c>
      <c r="F342" s="27" t="s">
        <v>160</v>
      </c>
      <c r="G342" s="27" t="s">
        <v>83</v>
      </c>
      <c r="H342" s="27" t="s">
        <v>84</v>
      </c>
      <c r="I342" s="27" t="s">
        <v>85</v>
      </c>
      <c r="J342" s="27">
        <v>5</v>
      </c>
      <c r="K342" s="27">
        <v>65.99</v>
      </c>
      <c r="M342" s="27">
        <v>0</v>
      </c>
      <c r="N342" s="27">
        <v>0</v>
      </c>
      <c r="O342" s="27">
        <v>0</v>
      </c>
      <c r="P342" s="27" t="s">
        <v>86</v>
      </c>
      <c r="Q342" s="27">
        <v>4.204543</v>
      </c>
      <c r="R342" s="27">
        <v>8.25</v>
      </c>
      <c r="S342" s="27">
        <v>2398</v>
      </c>
      <c r="T342" s="27">
        <v>10</v>
      </c>
      <c r="U342" s="27">
        <v>0.9958</v>
      </c>
      <c r="V342" s="27" t="s">
        <v>109</v>
      </c>
      <c r="W342" s="27">
        <v>158244.02</v>
      </c>
      <c r="X342" s="27">
        <v>7.782807</v>
      </c>
      <c r="Y342" s="27">
        <v>11.9719</v>
      </c>
      <c r="Z342" s="27">
        <v>3.1623</v>
      </c>
      <c r="AA342" s="27" t="s">
        <v>139</v>
      </c>
      <c r="AB342" s="27">
        <v>0</v>
      </c>
      <c r="AC342" s="27">
        <v>0</v>
      </c>
      <c r="AD342" s="27">
        <v>0</v>
      </c>
      <c r="AE342" s="27">
        <v>0</v>
      </c>
      <c r="AF342" s="27">
        <v>0</v>
      </c>
      <c r="AG342" s="27">
        <v>0</v>
      </c>
      <c r="AH342" s="27">
        <v>0</v>
      </c>
      <c r="AI342" s="27">
        <v>0</v>
      </c>
      <c r="AJ342" s="27">
        <v>0</v>
      </c>
      <c r="AK342" s="27">
        <v>0</v>
      </c>
      <c r="AL342" s="27">
        <v>1</v>
      </c>
      <c r="AM342" s="27">
        <v>1</v>
      </c>
      <c r="AN342" s="27">
        <v>0</v>
      </c>
      <c r="AO342" s="27">
        <v>0</v>
      </c>
      <c r="AP342" s="27">
        <v>0</v>
      </c>
      <c r="AQ342" s="27">
        <v>1</v>
      </c>
      <c r="AR342" s="27">
        <v>0</v>
      </c>
      <c r="AS342" s="27">
        <v>0</v>
      </c>
      <c r="AT342" s="27">
        <v>0</v>
      </c>
      <c r="AU342" s="27">
        <v>0</v>
      </c>
      <c r="AV342" s="27">
        <v>1</v>
      </c>
      <c r="AW342" s="27">
        <v>0</v>
      </c>
      <c r="AX342" s="27">
        <v>0</v>
      </c>
      <c r="AY342" s="27">
        <v>8</v>
      </c>
      <c r="AZ342" s="27">
        <v>1</v>
      </c>
      <c r="BA342" s="27">
        <v>2</v>
      </c>
      <c r="BB342" s="27">
        <v>69.68</v>
      </c>
      <c r="BC342" s="27" t="s">
        <v>285</v>
      </c>
      <c r="BD342" s="27" t="s">
        <v>1216</v>
      </c>
      <c r="BE342" s="27" t="s">
        <v>128</v>
      </c>
      <c r="BF342" s="27" t="s">
        <v>77</v>
      </c>
      <c r="BG342" s="27">
        <v>1</v>
      </c>
      <c r="BH342" s="27">
        <v>226</v>
      </c>
      <c r="BI342" s="27">
        <v>0.0044</v>
      </c>
      <c r="BJ342" s="27">
        <v>1</v>
      </c>
      <c r="BK342" s="27">
        <v>2</v>
      </c>
      <c r="BL342" s="27">
        <v>99.5</v>
      </c>
    </row>
    <row r="343" customHeight="1" spans="1:64">
      <c r="A343" s="27" t="s">
        <v>1217</v>
      </c>
      <c r="B343" s="27" t="s">
        <v>171</v>
      </c>
      <c r="C343" s="27" t="s">
        <v>1218</v>
      </c>
      <c r="E343" s="27" t="s">
        <v>250</v>
      </c>
      <c r="F343" s="27" t="s">
        <v>160</v>
      </c>
      <c r="G343" s="27" t="s">
        <v>83</v>
      </c>
      <c r="H343" s="27" t="s">
        <v>84</v>
      </c>
      <c r="I343" s="27" t="s">
        <v>85</v>
      </c>
      <c r="J343" s="27">
        <v>5</v>
      </c>
      <c r="K343" s="27">
        <v>159.59</v>
      </c>
      <c r="L343" s="27">
        <v>189.99</v>
      </c>
      <c r="M343" s="27">
        <v>16</v>
      </c>
      <c r="N343" s="27">
        <v>30.4</v>
      </c>
      <c r="O343" s="27">
        <v>1</v>
      </c>
      <c r="P343" s="27" t="s">
        <v>95</v>
      </c>
      <c r="Q343" s="27">
        <v>5.078855</v>
      </c>
      <c r="R343" s="27">
        <v>19.95</v>
      </c>
      <c r="S343" s="27">
        <v>15</v>
      </c>
      <c r="T343" s="27">
        <v>10</v>
      </c>
      <c r="U343" s="27">
        <v>0.6</v>
      </c>
      <c r="V343" s="27" t="s">
        <v>72</v>
      </c>
      <c r="W343" s="27">
        <v>2393.85</v>
      </c>
      <c r="X343" s="27">
        <v>2.772589</v>
      </c>
      <c r="Y343" s="27">
        <v>7.781076</v>
      </c>
      <c r="Z343" s="27">
        <v>3.1623</v>
      </c>
      <c r="AA343" s="27" t="s">
        <v>313</v>
      </c>
      <c r="AB343" s="27">
        <v>0</v>
      </c>
      <c r="AC343" s="27">
        <v>0</v>
      </c>
      <c r="AD343" s="27">
        <v>0</v>
      </c>
      <c r="AE343" s="27">
        <v>0</v>
      </c>
      <c r="AF343" s="27">
        <v>0</v>
      </c>
      <c r="AG343" s="27">
        <v>0</v>
      </c>
      <c r="AH343" s="27">
        <v>0</v>
      </c>
      <c r="AI343" s="27">
        <v>0</v>
      </c>
      <c r="AJ343" s="27">
        <v>0</v>
      </c>
      <c r="AK343" s="27">
        <v>0</v>
      </c>
      <c r="AL343" s="27">
        <v>0</v>
      </c>
      <c r="AM343" s="27">
        <v>1</v>
      </c>
      <c r="AN343" s="27">
        <v>0</v>
      </c>
      <c r="AO343" s="27">
        <v>0</v>
      </c>
      <c r="AP343" s="27">
        <v>0</v>
      </c>
      <c r="AQ343" s="27">
        <v>1</v>
      </c>
      <c r="AR343" s="27">
        <v>0</v>
      </c>
      <c r="AS343" s="27">
        <v>0</v>
      </c>
      <c r="AT343" s="27">
        <v>1</v>
      </c>
      <c r="AU343" s="27">
        <v>0</v>
      </c>
      <c r="AV343" s="27">
        <v>1</v>
      </c>
      <c r="AW343" s="27">
        <v>1</v>
      </c>
      <c r="AX343" s="27">
        <v>0</v>
      </c>
      <c r="AY343" s="27">
        <v>8</v>
      </c>
      <c r="AZ343" s="27">
        <v>1</v>
      </c>
      <c r="BA343" s="27">
        <v>2</v>
      </c>
      <c r="BB343" s="27">
        <v>58.47</v>
      </c>
      <c r="BC343" s="27" t="s">
        <v>174</v>
      </c>
      <c r="BD343" s="27" t="s">
        <v>175</v>
      </c>
      <c r="BE343" s="27" t="s">
        <v>91</v>
      </c>
      <c r="BF343" s="27" t="s">
        <v>77</v>
      </c>
      <c r="BG343" s="27">
        <v>161</v>
      </c>
      <c r="BH343" s="27">
        <v>61</v>
      </c>
      <c r="BI343" s="27">
        <v>0.7252</v>
      </c>
      <c r="BJ343" s="27">
        <v>0</v>
      </c>
      <c r="BK343" s="27">
        <v>4</v>
      </c>
      <c r="BL343" s="27">
        <v>98.9</v>
      </c>
    </row>
    <row r="344" customHeight="1" spans="1:64">
      <c r="A344" s="27" t="s">
        <v>1219</v>
      </c>
      <c r="B344" s="27" t="s">
        <v>171</v>
      </c>
      <c r="C344" s="27" t="s">
        <v>1220</v>
      </c>
      <c r="E344" s="27" t="s">
        <v>250</v>
      </c>
      <c r="F344" s="27" t="s">
        <v>160</v>
      </c>
      <c r="G344" s="27" t="s">
        <v>83</v>
      </c>
      <c r="H344" s="27" t="s">
        <v>84</v>
      </c>
      <c r="I344" s="27" t="s">
        <v>85</v>
      </c>
      <c r="J344" s="27">
        <v>5</v>
      </c>
      <c r="K344" s="27">
        <v>233.99</v>
      </c>
      <c r="M344" s="27">
        <v>0</v>
      </c>
      <c r="N344" s="27">
        <v>0</v>
      </c>
      <c r="O344" s="27">
        <v>0</v>
      </c>
      <c r="P344" s="27" t="s">
        <v>71</v>
      </c>
      <c r="Q344" s="27">
        <v>5.459543</v>
      </c>
      <c r="R344" s="27">
        <v>29.25</v>
      </c>
      <c r="S344" s="27">
        <v>90</v>
      </c>
      <c r="T344" s="27">
        <v>30</v>
      </c>
      <c r="U344" s="27">
        <v>0.75</v>
      </c>
      <c r="V344" s="27" t="s">
        <v>72</v>
      </c>
      <c r="W344" s="27">
        <v>21059.1</v>
      </c>
      <c r="X344" s="27">
        <v>4.51086</v>
      </c>
      <c r="Y344" s="27">
        <v>9.955136</v>
      </c>
      <c r="Z344" s="27">
        <v>5.4772</v>
      </c>
      <c r="AA344" s="27" t="s">
        <v>313</v>
      </c>
      <c r="AB344" s="27">
        <v>1</v>
      </c>
      <c r="AC344" s="27">
        <v>1</v>
      </c>
      <c r="AD344" s="27">
        <v>0</v>
      </c>
      <c r="AE344" s="27">
        <v>0</v>
      </c>
      <c r="AF344" s="27">
        <v>0</v>
      </c>
      <c r="AG344" s="27">
        <v>1</v>
      </c>
      <c r="AH344" s="27">
        <v>0</v>
      </c>
      <c r="AI344" s="27">
        <v>1</v>
      </c>
      <c r="AJ344" s="27">
        <v>0</v>
      </c>
      <c r="AK344" s="27">
        <v>0</v>
      </c>
      <c r="AL344" s="27">
        <v>0</v>
      </c>
      <c r="AM344" s="27">
        <v>0</v>
      </c>
      <c r="AN344" s="27">
        <v>0</v>
      </c>
      <c r="AO344" s="27">
        <v>0</v>
      </c>
      <c r="AP344" s="27">
        <v>0</v>
      </c>
      <c r="AQ344" s="27">
        <v>1</v>
      </c>
      <c r="AR344" s="27">
        <v>0</v>
      </c>
      <c r="AS344" s="27">
        <v>0</v>
      </c>
      <c r="AT344" s="27">
        <v>0</v>
      </c>
      <c r="AU344" s="27">
        <v>0</v>
      </c>
      <c r="AV344" s="27">
        <v>1</v>
      </c>
      <c r="AW344" s="27">
        <v>1</v>
      </c>
      <c r="AX344" s="27">
        <v>0</v>
      </c>
      <c r="AY344" s="27">
        <v>8</v>
      </c>
      <c r="AZ344" s="27">
        <v>1</v>
      </c>
      <c r="BA344" s="27">
        <v>3</v>
      </c>
      <c r="BB344" s="27">
        <v>48</v>
      </c>
      <c r="BC344" s="27" t="s">
        <v>251</v>
      </c>
      <c r="BD344" s="27" t="s">
        <v>175</v>
      </c>
      <c r="BE344" s="27" t="s">
        <v>91</v>
      </c>
      <c r="BF344" s="27" t="s">
        <v>77</v>
      </c>
      <c r="BG344" s="27">
        <v>161</v>
      </c>
      <c r="BH344" s="27">
        <v>61</v>
      </c>
      <c r="BI344" s="27">
        <v>0.7252</v>
      </c>
      <c r="BJ344" s="27">
        <v>0</v>
      </c>
      <c r="BK344" s="27">
        <v>146</v>
      </c>
      <c r="BL344" s="27">
        <v>60</v>
      </c>
    </row>
    <row r="345" customHeight="1" spans="1:64">
      <c r="A345" s="27" t="s">
        <v>1221</v>
      </c>
      <c r="B345" s="27" t="s">
        <v>282</v>
      </c>
      <c r="E345" s="27" t="s">
        <v>250</v>
      </c>
      <c r="F345" s="27" t="s">
        <v>82</v>
      </c>
      <c r="G345" s="27" t="s">
        <v>83</v>
      </c>
      <c r="H345" s="27" t="s">
        <v>84</v>
      </c>
      <c r="I345" s="27" t="s">
        <v>85</v>
      </c>
      <c r="J345" s="27">
        <v>5</v>
      </c>
      <c r="K345" s="27">
        <v>20.99</v>
      </c>
      <c r="M345" s="27">
        <v>0</v>
      </c>
      <c r="N345" s="27">
        <v>0</v>
      </c>
      <c r="O345" s="27">
        <v>0</v>
      </c>
      <c r="P345" s="27" t="s">
        <v>133</v>
      </c>
      <c r="Q345" s="27">
        <v>3.090588</v>
      </c>
      <c r="S345" s="27">
        <v>37</v>
      </c>
      <c r="T345" s="27">
        <v>10</v>
      </c>
      <c r="U345" s="27">
        <v>0.7872</v>
      </c>
      <c r="V345" s="27" t="s">
        <v>72</v>
      </c>
      <c r="W345" s="27">
        <v>776.63</v>
      </c>
      <c r="X345" s="27">
        <v>3.637586</v>
      </c>
      <c r="Y345" s="27">
        <v>6.656251</v>
      </c>
      <c r="Z345" s="27">
        <v>3.1623</v>
      </c>
      <c r="AA345" s="27" t="s">
        <v>483</v>
      </c>
      <c r="AB345" s="27">
        <v>1</v>
      </c>
      <c r="AC345" s="27">
        <v>0</v>
      </c>
      <c r="AD345" s="27">
        <v>1</v>
      </c>
      <c r="AE345" s="27">
        <v>0</v>
      </c>
      <c r="AF345" s="27">
        <v>0</v>
      </c>
      <c r="AG345" s="27">
        <v>0</v>
      </c>
      <c r="AH345" s="27">
        <v>0</v>
      </c>
      <c r="AI345" s="27">
        <v>0</v>
      </c>
      <c r="AJ345" s="27">
        <v>0</v>
      </c>
      <c r="AK345" s="27">
        <v>0</v>
      </c>
      <c r="AL345" s="27">
        <v>0</v>
      </c>
      <c r="AM345" s="27">
        <v>0</v>
      </c>
      <c r="AN345" s="27">
        <v>0</v>
      </c>
      <c r="AO345" s="27">
        <v>0</v>
      </c>
      <c r="AP345" s="27">
        <v>0</v>
      </c>
      <c r="AQ345" s="27">
        <v>0</v>
      </c>
      <c r="AR345" s="27">
        <v>0</v>
      </c>
      <c r="AS345" s="27">
        <v>0</v>
      </c>
      <c r="AT345" s="27">
        <v>1</v>
      </c>
      <c r="AU345" s="27">
        <v>0</v>
      </c>
      <c r="AV345" s="27">
        <v>0</v>
      </c>
      <c r="AW345" s="27">
        <v>0</v>
      </c>
      <c r="AX345" s="27">
        <v>0</v>
      </c>
      <c r="AZ345" s="27">
        <v>1</v>
      </c>
      <c r="BA345" s="27">
        <v>1</v>
      </c>
      <c r="BB345" s="27">
        <v>61.34</v>
      </c>
      <c r="BC345" s="27" t="s">
        <v>285</v>
      </c>
      <c r="BD345" s="27" t="s">
        <v>356</v>
      </c>
      <c r="BE345" s="27" t="s">
        <v>287</v>
      </c>
      <c r="BF345" s="27" t="s">
        <v>77</v>
      </c>
      <c r="BG345" s="27">
        <v>1</v>
      </c>
      <c r="BH345" s="27">
        <v>226</v>
      </c>
      <c r="BI345" s="27">
        <v>0.0044</v>
      </c>
      <c r="BJ345" s="27">
        <v>1</v>
      </c>
      <c r="BK345" s="27">
        <v>2</v>
      </c>
      <c r="BL345" s="27">
        <v>99.5</v>
      </c>
    </row>
    <row r="346" customHeight="1" spans="1:64">
      <c r="A346" s="27" t="s">
        <v>1222</v>
      </c>
      <c r="B346" s="27" t="s">
        <v>125</v>
      </c>
      <c r="E346" s="27" t="s">
        <v>1223</v>
      </c>
      <c r="F346" s="27" t="s">
        <v>1224</v>
      </c>
      <c r="G346" s="27" t="s">
        <v>83</v>
      </c>
      <c r="H346" s="27" t="s">
        <v>138</v>
      </c>
      <c r="I346" s="27" t="s">
        <v>85</v>
      </c>
      <c r="J346" s="27">
        <v>5</v>
      </c>
      <c r="K346" s="27">
        <v>14.99</v>
      </c>
      <c r="M346" s="27">
        <v>0</v>
      </c>
      <c r="N346" s="27">
        <v>0</v>
      </c>
      <c r="O346" s="27">
        <v>0</v>
      </c>
      <c r="P346" s="27" t="s">
        <v>133</v>
      </c>
      <c r="Q346" s="27">
        <v>2.771964</v>
      </c>
      <c r="S346" s="27">
        <v>33</v>
      </c>
      <c r="T346" s="27">
        <v>10</v>
      </c>
      <c r="U346" s="27">
        <v>0.7674</v>
      </c>
      <c r="V346" s="27" t="s">
        <v>72</v>
      </c>
      <c r="W346" s="27">
        <v>494.67</v>
      </c>
      <c r="X346" s="27">
        <v>3.526361</v>
      </c>
      <c r="Y346" s="27">
        <v>6.20591</v>
      </c>
      <c r="Z346" s="27">
        <v>3.1623</v>
      </c>
      <c r="AA346" s="27" t="s">
        <v>125</v>
      </c>
      <c r="AB346" s="27">
        <v>1</v>
      </c>
      <c r="AC346" s="27">
        <v>0</v>
      </c>
      <c r="AD346" s="27">
        <v>0</v>
      </c>
      <c r="AE346" s="27">
        <v>0</v>
      </c>
      <c r="AF346" s="27">
        <v>0</v>
      </c>
      <c r="AG346" s="27">
        <v>0</v>
      </c>
      <c r="AH346" s="27">
        <v>0</v>
      </c>
      <c r="AI346" s="27">
        <v>0</v>
      </c>
      <c r="AJ346" s="27">
        <v>0</v>
      </c>
      <c r="AK346" s="27">
        <v>0</v>
      </c>
      <c r="AL346" s="27">
        <v>0</v>
      </c>
      <c r="AM346" s="27">
        <v>0</v>
      </c>
      <c r="AN346" s="27">
        <v>0</v>
      </c>
      <c r="AO346" s="27">
        <v>0</v>
      </c>
      <c r="AP346" s="27">
        <v>0</v>
      </c>
      <c r="AQ346" s="27">
        <v>0</v>
      </c>
      <c r="AR346" s="27">
        <v>0</v>
      </c>
      <c r="AS346" s="27">
        <v>0</v>
      </c>
      <c r="AT346" s="27">
        <v>0</v>
      </c>
      <c r="AU346" s="27">
        <v>0</v>
      </c>
      <c r="AV346" s="27">
        <v>0</v>
      </c>
      <c r="AW346" s="27">
        <v>0</v>
      </c>
      <c r="AX346" s="27">
        <v>0</v>
      </c>
      <c r="AZ346" s="27">
        <v>6</v>
      </c>
      <c r="BA346" s="27">
        <v>1</v>
      </c>
      <c r="BB346" s="27">
        <v>58.06</v>
      </c>
      <c r="BC346" s="27" t="s">
        <v>1225</v>
      </c>
      <c r="BD346" s="27" t="s">
        <v>1226</v>
      </c>
      <c r="BE346" s="27" t="s">
        <v>1227</v>
      </c>
      <c r="BF346" s="27" t="s">
        <v>77</v>
      </c>
      <c r="BG346" s="27">
        <v>1</v>
      </c>
      <c r="BH346" s="27">
        <v>41</v>
      </c>
      <c r="BI346" s="27">
        <v>0.0238</v>
      </c>
      <c r="BJ346" s="27">
        <v>1</v>
      </c>
      <c r="BK346" s="27">
        <v>32</v>
      </c>
      <c r="BL346" s="27">
        <v>91.2</v>
      </c>
    </row>
    <row r="347" customHeight="1" spans="1:64">
      <c r="A347" s="27" t="s">
        <v>1228</v>
      </c>
      <c r="B347" s="27" t="s">
        <v>171</v>
      </c>
      <c r="E347" s="27" t="s">
        <v>1229</v>
      </c>
      <c r="F347" s="27" t="s">
        <v>160</v>
      </c>
      <c r="G347" s="27" t="s">
        <v>83</v>
      </c>
      <c r="H347" s="27" t="s">
        <v>84</v>
      </c>
      <c r="I347" s="27" t="s">
        <v>85</v>
      </c>
      <c r="J347" s="27">
        <v>5</v>
      </c>
      <c r="K347" s="27">
        <v>44.99</v>
      </c>
      <c r="M347" s="27">
        <v>0</v>
      </c>
      <c r="N347" s="27">
        <v>0</v>
      </c>
      <c r="O347" s="27">
        <v>0</v>
      </c>
      <c r="P347" s="27" t="s">
        <v>86</v>
      </c>
      <c r="Q347" s="27">
        <v>3.828424</v>
      </c>
      <c r="S347" s="27">
        <v>46</v>
      </c>
      <c r="T347" s="27">
        <v>10</v>
      </c>
      <c r="U347" s="27">
        <v>0.8214</v>
      </c>
      <c r="V347" s="27" t="s">
        <v>72</v>
      </c>
      <c r="W347" s="27">
        <v>2069.54</v>
      </c>
      <c r="X347" s="27">
        <v>3.850148</v>
      </c>
      <c r="Y347" s="27">
        <v>7.635565</v>
      </c>
      <c r="Z347" s="27">
        <v>3.1623</v>
      </c>
      <c r="AA347" s="27" t="s">
        <v>125</v>
      </c>
      <c r="AB347" s="27">
        <v>0</v>
      </c>
      <c r="AC347" s="27">
        <v>0</v>
      </c>
      <c r="AD347" s="27">
        <v>0</v>
      </c>
      <c r="AE347" s="27">
        <v>0</v>
      </c>
      <c r="AF347" s="27">
        <v>0</v>
      </c>
      <c r="AG347" s="27">
        <v>1</v>
      </c>
      <c r="AH347" s="27">
        <v>0</v>
      </c>
      <c r="AI347" s="27">
        <v>1</v>
      </c>
      <c r="AJ347" s="27">
        <v>0</v>
      </c>
      <c r="AK347" s="27">
        <v>0</v>
      </c>
      <c r="AL347" s="27">
        <v>0</v>
      </c>
      <c r="AM347" s="27">
        <v>0</v>
      </c>
      <c r="AN347" s="27">
        <v>0</v>
      </c>
      <c r="AO347" s="27">
        <v>0</v>
      </c>
      <c r="AP347" s="27">
        <v>0</v>
      </c>
      <c r="AQ347" s="27">
        <v>1</v>
      </c>
      <c r="AR347" s="27">
        <v>0</v>
      </c>
      <c r="AS347" s="27">
        <v>0</v>
      </c>
      <c r="AT347" s="27">
        <v>0</v>
      </c>
      <c r="AU347" s="27">
        <v>0</v>
      </c>
      <c r="AV347" s="27">
        <v>1</v>
      </c>
      <c r="AW347" s="27">
        <v>0</v>
      </c>
      <c r="AX347" s="27">
        <v>0</v>
      </c>
      <c r="AZ347" s="27">
        <v>1</v>
      </c>
      <c r="BA347" s="27">
        <v>1</v>
      </c>
      <c r="BB347" s="27">
        <v>62.38</v>
      </c>
      <c r="BC347" s="27" t="s">
        <v>174</v>
      </c>
      <c r="BD347" s="27" t="s">
        <v>356</v>
      </c>
      <c r="BE347" s="27" t="s">
        <v>423</v>
      </c>
      <c r="BF347" s="27" t="s">
        <v>77</v>
      </c>
      <c r="BG347" s="27">
        <v>162</v>
      </c>
      <c r="BH347" s="27">
        <v>60</v>
      </c>
      <c r="BI347" s="27">
        <v>0.7297</v>
      </c>
      <c r="BJ347" s="27">
        <v>0</v>
      </c>
      <c r="BK347" s="27">
        <v>6</v>
      </c>
      <c r="BL347" s="27">
        <v>98.4</v>
      </c>
    </row>
    <row r="348" customHeight="1" spans="1:64">
      <c r="A348" s="27" t="s">
        <v>1230</v>
      </c>
      <c r="B348" s="27" t="s">
        <v>819</v>
      </c>
      <c r="C348" s="27" t="s">
        <v>1231</v>
      </c>
      <c r="D348" s="27">
        <v>810083473673</v>
      </c>
      <c r="E348" s="27" t="s">
        <v>81</v>
      </c>
      <c r="F348" s="27" t="s">
        <v>82</v>
      </c>
      <c r="G348" s="27" t="s">
        <v>819</v>
      </c>
      <c r="H348" s="27" t="s">
        <v>102</v>
      </c>
      <c r="I348" s="27" t="s">
        <v>85</v>
      </c>
      <c r="J348" s="27">
        <v>5</v>
      </c>
      <c r="K348" s="27">
        <v>28.99</v>
      </c>
      <c r="M348" s="27">
        <v>0</v>
      </c>
      <c r="N348" s="27">
        <v>0</v>
      </c>
      <c r="O348" s="27">
        <v>0</v>
      </c>
      <c r="P348" s="27" t="s">
        <v>86</v>
      </c>
      <c r="Q348" s="27">
        <v>3.400864</v>
      </c>
      <c r="S348" s="27">
        <v>17</v>
      </c>
      <c r="T348" s="27">
        <v>10</v>
      </c>
      <c r="U348" s="27">
        <v>0.6296</v>
      </c>
      <c r="V348" s="27" t="s">
        <v>72</v>
      </c>
      <c r="W348" s="27">
        <v>492.83</v>
      </c>
      <c r="X348" s="27">
        <v>2.890372</v>
      </c>
      <c r="Y348" s="27">
        <v>6.202191</v>
      </c>
      <c r="Z348" s="27">
        <v>3.1623</v>
      </c>
      <c r="AA348" s="27" t="s">
        <v>483</v>
      </c>
      <c r="AB348" s="27">
        <v>0</v>
      </c>
      <c r="AC348" s="27">
        <v>0</v>
      </c>
      <c r="AD348" s="27">
        <v>0</v>
      </c>
      <c r="AE348" s="27">
        <v>0</v>
      </c>
      <c r="AF348" s="27">
        <v>0</v>
      </c>
      <c r="AG348" s="27">
        <v>1</v>
      </c>
      <c r="AH348" s="27">
        <v>1</v>
      </c>
      <c r="AI348" s="27">
        <v>0</v>
      </c>
      <c r="AJ348" s="27">
        <v>0</v>
      </c>
      <c r="AK348" s="27">
        <v>0</v>
      </c>
      <c r="AL348" s="27">
        <v>0</v>
      </c>
      <c r="AM348" s="27">
        <v>0</v>
      </c>
      <c r="AN348" s="27">
        <v>0</v>
      </c>
      <c r="AO348" s="27">
        <v>0</v>
      </c>
      <c r="AP348" s="27">
        <v>0</v>
      </c>
      <c r="AQ348" s="27">
        <v>0</v>
      </c>
      <c r="AR348" s="27">
        <v>0</v>
      </c>
      <c r="AS348" s="27">
        <v>0</v>
      </c>
      <c r="AT348" s="27">
        <v>1</v>
      </c>
      <c r="AU348" s="27">
        <v>1</v>
      </c>
      <c r="AV348" s="27">
        <v>0</v>
      </c>
      <c r="AW348" s="27">
        <v>0</v>
      </c>
      <c r="AX348" s="27">
        <v>0</v>
      </c>
      <c r="AZ348" s="27">
        <v>1</v>
      </c>
      <c r="BA348" s="27">
        <v>1</v>
      </c>
      <c r="BB348" s="27">
        <v>54.37</v>
      </c>
      <c r="BC348" s="27" t="s">
        <v>1232</v>
      </c>
      <c r="BD348" s="27" t="s">
        <v>1233</v>
      </c>
      <c r="BE348" s="27" t="s">
        <v>113</v>
      </c>
      <c r="BF348" s="27" t="s">
        <v>77</v>
      </c>
      <c r="BG348" s="27">
        <v>168</v>
      </c>
      <c r="BH348" s="27">
        <v>11</v>
      </c>
      <c r="BI348" s="27">
        <v>0.9385</v>
      </c>
      <c r="BJ348" s="27">
        <v>0</v>
      </c>
      <c r="BK348" s="27">
        <v>10</v>
      </c>
      <c r="BL348" s="27">
        <v>97.3</v>
      </c>
    </row>
    <row r="349" customHeight="1" spans="1:64">
      <c r="A349" s="27" t="s">
        <v>1234</v>
      </c>
      <c r="B349" s="27" t="s">
        <v>1235</v>
      </c>
      <c r="E349" s="27" t="s">
        <v>67</v>
      </c>
      <c r="F349" s="27" t="s">
        <v>240</v>
      </c>
      <c r="G349" s="27" t="s">
        <v>83</v>
      </c>
      <c r="H349" s="27" t="s">
        <v>84</v>
      </c>
      <c r="I349" s="27" t="s">
        <v>153</v>
      </c>
      <c r="J349" s="27">
        <v>2</v>
      </c>
      <c r="K349" s="27">
        <v>120.99</v>
      </c>
      <c r="M349" s="27">
        <v>0</v>
      </c>
      <c r="N349" s="27">
        <v>0</v>
      </c>
      <c r="O349" s="27">
        <v>0</v>
      </c>
      <c r="P349" s="27" t="s">
        <v>95</v>
      </c>
      <c r="Q349" s="27">
        <v>4.803939</v>
      </c>
      <c r="R349" s="27">
        <v>7.56</v>
      </c>
      <c r="S349" s="27">
        <v>7</v>
      </c>
      <c r="T349" s="27">
        <v>2</v>
      </c>
      <c r="U349" s="27">
        <v>0.7778</v>
      </c>
      <c r="V349" s="27" t="s">
        <v>87</v>
      </c>
      <c r="W349" s="27">
        <v>846.93</v>
      </c>
      <c r="X349" s="27">
        <v>2.079442</v>
      </c>
      <c r="Y349" s="27">
        <v>6.742798</v>
      </c>
      <c r="Z349" s="27">
        <v>1.4142</v>
      </c>
      <c r="AA349" s="27" t="s">
        <v>125</v>
      </c>
      <c r="AB349" s="27">
        <v>0</v>
      </c>
      <c r="AC349" s="27">
        <v>0</v>
      </c>
      <c r="AD349" s="27">
        <v>0</v>
      </c>
      <c r="AE349" s="27">
        <v>0</v>
      </c>
      <c r="AF349" s="27">
        <v>0</v>
      </c>
      <c r="AG349" s="27">
        <v>0</v>
      </c>
      <c r="AH349" s="27">
        <v>0</v>
      </c>
      <c r="AI349" s="27">
        <v>0</v>
      </c>
      <c r="AJ349" s="27">
        <v>0</v>
      </c>
      <c r="AK349" s="27">
        <v>0</v>
      </c>
      <c r="AL349" s="27">
        <v>0</v>
      </c>
      <c r="AM349" s="27">
        <v>0</v>
      </c>
      <c r="AN349" s="27">
        <v>0</v>
      </c>
      <c r="AO349" s="27">
        <v>0</v>
      </c>
      <c r="AP349" s="27">
        <v>0</v>
      </c>
      <c r="AQ349" s="27">
        <v>0</v>
      </c>
      <c r="AR349" s="27">
        <v>0</v>
      </c>
      <c r="AS349" s="27">
        <v>0</v>
      </c>
      <c r="AT349" s="27">
        <v>0</v>
      </c>
      <c r="AU349" s="27">
        <v>0</v>
      </c>
      <c r="AV349" s="27">
        <v>1</v>
      </c>
      <c r="AW349" s="27">
        <v>1</v>
      </c>
      <c r="AX349" s="27">
        <v>0</v>
      </c>
      <c r="AY349" s="27">
        <v>16</v>
      </c>
      <c r="AZ349" s="27">
        <v>1</v>
      </c>
      <c r="BA349" s="27">
        <v>0</v>
      </c>
      <c r="BB349" s="27">
        <v>31.11</v>
      </c>
      <c r="BC349" s="27" t="s">
        <v>1236</v>
      </c>
      <c r="BD349" s="27" t="s">
        <v>1237</v>
      </c>
      <c r="BE349" s="27" t="s">
        <v>1110</v>
      </c>
      <c r="BF349" s="27" t="s">
        <v>77</v>
      </c>
      <c r="BG349" s="27">
        <v>162</v>
      </c>
      <c r="BH349" s="27">
        <v>60</v>
      </c>
      <c r="BI349" s="27">
        <v>0.7297</v>
      </c>
      <c r="BJ349" s="27">
        <v>0</v>
      </c>
      <c r="BK349" s="27">
        <v>754</v>
      </c>
      <c r="BL349" s="27">
        <v>0</v>
      </c>
    </row>
    <row r="350" customHeight="1" spans="1:64">
      <c r="A350" s="27" t="s">
        <v>1238</v>
      </c>
      <c r="B350" s="27" t="s">
        <v>125</v>
      </c>
      <c r="E350" s="27" t="s">
        <v>1239</v>
      </c>
      <c r="F350" s="27" t="s">
        <v>132</v>
      </c>
      <c r="G350" s="27" t="s">
        <v>83</v>
      </c>
      <c r="H350" s="27" t="s">
        <v>138</v>
      </c>
      <c r="I350" s="27" t="s">
        <v>85</v>
      </c>
      <c r="J350" s="27">
        <v>5</v>
      </c>
      <c r="K350" s="27">
        <v>178</v>
      </c>
      <c r="M350" s="27">
        <v>0</v>
      </c>
      <c r="N350" s="27">
        <v>0</v>
      </c>
      <c r="O350" s="27">
        <v>0</v>
      </c>
      <c r="P350" s="27" t="s">
        <v>95</v>
      </c>
      <c r="Q350" s="27">
        <v>5.187386</v>
      </c>
      <c r="S350" s="27">
        <v>14</v>
      </c>
      <c r="T350" s="27">
        <v>3</v>
      </c>
      <c r="U350" s="27">
        <v>0.8235</v>
      </c>
      <c r="V350" s="27" t="s">
        <v>72</v>
      </c>
      <c r="W350" s="27">
        <v>2492</v>
      </c>
      <c r="X350" s="27">
        <v>2.70805</v>
      </c>
      <c r="Y350" s="27">
        <v>7.821242</v>
      </c>
      <c r="Z350" s="27">
        <v>1.7321</v>
      </c>
      <c r="AA350" s="27" t="s">
        <v>125</v>
      </c>
      <c r="AB350" s="27">
        <v>0</v>
      </c>
      <c r="AC350" s="27">
        <v>0</v>
      </c>
      <c r="AD350" s="27">
        <v>0</v>
      </c>
      <c r="AE350" s="27">
        <v>0</v>
      </c>
      <c r="AF350" s="27">
        <v>0</v>
      </c>
      <c r="AG350" s="27">
        <v>0</v>
      </c>
      <c r="AH350" s="27">
        <v>0</v>
      </c>
      <c r="AI350" s="27">
        <v>0</v>
      </c>
      <c r="AJ350" s="27">
        <v>0</v>
      </c>
      <c r="AK350" s="27">
        <v>0</v>
      </c>
      <c r="AL350" s="27">
        <v>0</v>
      </c>
      <c r="AM350" s="27">
        <v>0</v>
      </c>
      <c r="AN350" s="27">
        <v>0</v>
      </c>
      <c r="AO350" s="27">
        <v>0</v>
      </c>
      <c r="AP350" s="27">
        <v>0</v>
      </c>
      <c r="AQ350" s="27">
        <v>0</v>
      </c>
      <c r="AR350" s="27">
        <v>0</v>
      </c>
      <c r="AS350" s="27">
        <v>0</v>
      </c>
      <c r="AT350" s="27">
        <v>0</v>
      </c>
      <c r="AU350" s="27">
        <v>0</v>
      </c>
      <c r="AV350" s="27">
        <v>0</v>
      </c>
      <c r="AW350" s="27">
        <v>0</v>
      </c>
      <c r="AX350" s="27">
        <v>0</v>
      </c>
      <c r="AZ350" s="27">
        <v>1</v>
      </c>
      <c r="BA350" s="27">
        <v>0</v>
      </c>
      <c r="BB350" s="27">
        <v>62.04</v>
      </c>
      <c r="BC350" s="27" t="s">
        <v>1240</v>
      </c>
      <c r="BD350" s="27" t="s">
        <v>180</v>
      </c>
      <c r="BE350" s="27" t="s">
        <v>113</v>
      </c>
      <c r="BF350" s="27" t="s">
        <v>77</v>
      </c>
      <c r="BG350" s="27">
        <v>168</v>
      </c>
      <c r="BH350" s="27">
        <v>54</v>
      </c>
      <c r="BI350" s="27">
        <v>0.7568</v>
      </c>
      <c r="BJ350" s="27">
        <v>0</v>
      </c>
      <c r="BK350" s="27">
        <v>11</v>
      </c>
      <c r="BL350" s="27">
        <v>97</v>
      </c>
    </row>
    <row r="351" customHeight="1" spans="1:64">
      <c r="A351" s="27" t="s">
        <v>1241</v>
      </c>
      <c r="B351" s="27" t="s">
        <v>1242</v>
      </c>
      <c r="E351" s="27" t="s">
        <v>1243</v>
      </c>
      <c r="F351" s="27" t="s">
        <v>240</v>
      </c>
      <c r="G351" s="27" t="s">
        <v>83</v>
      </c>
      <c r="H351" s="27" t="s">
        <v>84</v>
      </c>
      <c r="I351" s="27" t="s">
        <v>153</v>
      </c>
      <c r="J351" s="27">
        <v>2</v>
      </c>
      <c r="K351" s="27">
        <v>324.85</v>
      </c>
      <c r="M351" s="27">
        <v>0</v>
      </c>
      <c r="N351" s="27">
        <v>0</v>
      </c>
      <c r="O351" s="27">
        <v>0</v>
      </c>
      <c r="P351" s="27" t="s">
        <v>71</v>
      </c>
      <c r="Q351" s="27">
        <v>5.786437</v>
      </c>
      <c r="R351" s="27">
        <v>13.54</v>
      </c>
      <c r="S351" s="27">
        <v>1</v>
      </c>
      <c r="T351" s="27">
        <v>1</v>
      </c>
      <c r="U351" s="27">
        <v>0.5</v>
      </c>
      <c r="V351" s="27" t="s">
        <v>87</v>
      </c>
      <c r="W351" s="27">
        <v>324.85</v>
      </c>
      <c r="X351" s="27">
        <v>0.693147</v>
      </c>
      <c r="Y351" s="27">
        <v>5.786437</v>
      </c>
      <c r="Z351" s="27">
        <v>1</v>
      </c>
      <c r="AA351" s="27" t="s">
        <v>125</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1</v>
      </c>
      <c r="AR351" s="27">
        <v>0</v>
      </c>
      <c r="AS351" s="27">
        <v>0</v>
      </c>
      <c r="AT351" s="27">
        <v>0</v>
      </c>
      <c r="AU351" s="27">
        <v>0</v>
      </c>
      <c r="AV351" s="27">
        <v>1</v>
      </c>
      <c r="AW351" s="27">
        <v>1</v>
      </c>
      <c r="AX351" s="27">
        <v>0</v>
      </c>
      <c r="AY351" s="27">
        <v>24</v>
      </c>
      <c r="AZ351" s="27">
        <v>1</v>
      </c>
      <c r="BA351" s="27">
        <v>1</v>
      </c>
      <c r="BB351" s="27">
        <v>20</v>
      </c>
      <c r="BC351" s="27" t="s">
        <v>1244</v>
      </c>
      <c r="BD351" s="27" t="s">
        <v>1245</v>
      </c>
      <c r="BE351" s="27" t="s">
        <v>76</v>
      </c>
      <c r="BF351" s="27" t="s">
        <v>77</v>
      </c>
      <c r="BG351" s="27">
        <v>167</v>
      </c>
      <c r="BH351" s="27">
        <v>11</v>
      </c>
      <c r="BI351" s="27">
        <v>0.9382</v>
      </c>
      <c r="BJ351" s="27">
        <v>0</v>
      </c>
    </row>
    <row r="352" customHeight="1" spans="1:64">
      <c r="A352" s="27" t="s">
        <v>1246</v>
      </c>
      <c r="B352" s="27" t="s">
        <v>125</v>
      </c>
      <c r="E352" s="27" t="s">
        <v>1247</v>
      </c>
      <c r="F352" s="27" t="s">
        <v>198</v>
      </c>
      <c r="G352" s="27" t="s">
        <v>83</v>
      </c>
      <c r="H352" s="27" t="s">
        <v>138</v>
      </c>
      <c r="I352" s="27" t="s">
        <v>85</v>
      </c>
      <c r="J352" s="27">
        <v>5</v>
      </c>
      <c r="K352" s="27">
        <v>18.04</v>
      </c>
      <c r="M352" s="27">
        <v>0</v>
      </c>
      <c r="N352" s="27">
        <v>0</v>
      </c>
      <c r="O352" s="27">
        <v>0</v>
      </c>
      <c r="P352" s="27" t="s">
        <v>133</v>
      </c>
      <c r="Q352" s="27">
        <v>2.946542</v>
      </c>
      <c r="S352" s="27">
        <v>7</v>
      </c>
      <c r="T352" s="27">
        <v>10</v>
      </c>
      <c r="U352" s="27">
        <v>0.4118</v>
      </c>
      <c r="V352" s="27" t="s">
        <v>87</v>
      </c>
      <c r="W352" s="27">
        <v>126.28</v>
      </c>
      <c r="X352" s="27">
        <v>2.079442</v>
      </c>
      <c r="Y352" s="27">
        <v>4.846389</v>
      </c>
      <c r="Z352" s="27">
        <v>3.1623</v>
      </c>
      <c r="AA352" s="27" t="s">
        <v>125</v>
      </c>
      <c r="AB352" s="27">
        <v>0</v>
      </c>
      <c r="AC352" s="27">
        <v>0</v>
      </c>
      <c r="AD352" s="27">
        <v>0</v>
      </c>
      <c r="AE352" s="27">
        <v>0</v>
      </c>
      <c r="AF352" s="27">
        <v>0</v>
      </c>
      <c r="AG352" s="27">
        <v>0</v>
      </c>
      <c r="AH352" s="27">
        <v>1</v>
      </c>
      <c r="AI352" s="27">
        <v>0</v>
      </c>
      <c r="AJ352" s="27">
        <v>0</v>
      </c>
      <c r="AK352" s="27">
        <v>0</v>
      </c>
      <c r="AL352" s="27">
        <v>0</v>
      </c>
      <c r="AM352" s="27">
        <v>0</v>
      </c>
      <c r="AN352" s="27">
        <v>0</v>
      </c>
      <c r="AO352" s="27">
        <v>0</v>
      </c>
      <c r="AP352" s="27">
        <v>0</v>
      </c>
      <c r="AQ352" s="27">
        <v>0</v>
      </c>
      <c r="AR352" s="27">
        <v>0</v>
      </c>
      <c r="AS352" s="27">
        <v>0</v>
      </c>
      <c r="AT352" s="27">
        <v>1</v>
      </c>
      <c r="AU352" s="27">
        <v>1</v>
      </c>
      <c r="AV352" s="27">
        <v>0</v>
      </c>
      <c r="AW352" s="27">
        <v>0</v>
      </c>
      <c r="AX352" s="27">
        <v>0</v>
      </c>
      <c r="AZ352" s="27">
        <v>1</v>
      </c>
      <c r="BA352" s="27">
        <v>1</v>
      </c>
      <c r="BB352" s="27">
        <v>44.91</v>
      </c>
      <c r="BC352" s="27" t="s">
        <v>1248</v>
      </c>
      <c r="BD352" s="27" t="s">
        <v>150</v>
      </c>
      <c r="BE352" s="27" t="s">
        <v>150</v>
      </c>
      <c r="BF352" s="27" t="s">
        <v>77</v>
      </c>
      <c r="BG352" s="27">
        <v>1</v>
      </c>
      <c r="BH352" s="27">
        <v>100</v>
      </c>
      <c r="BI352" s="27">
        <v>0.0099</v>
      </c>
      <c r="BJ352" s="27">
        <v>1</v>
      </c>
      <c r="BK352" s="27">
        <v>19</v>
      </c>
      <c r="BL352" s="27">
        <v>94.8</v>
      </c>
    </row>
    <row r="353" customHeight="1" spans="1:64">
      <c r="A353" s="27" t="s">
        <v>1249</v>
      </c>
      <c r="B353" s="27" t="s">
        <v>171</v>
      </c>
      <c r="C353" s="27" t="s">
        <v>1250</v>
      </c>
      <c r="E353" s="27" t="s">
        <v>312</v>
      </c>
      <c r="F353" s="27" t="s">
        <v>160</v>
      </c>
      <c r="G353" s="27" t="s">
        <v>83</v>
      </c>
      <c r="H353" s="27" t="s">
        <v>84</v>
      </c>
      <c r="I353" s="27" t="s">
        <v>85</v>
      </c>
      <c r="J353" s="27">
        <v>5</v>
      </c>
      <c r="K353" s="27">
        <v>53.99</v>
      </c>
      <c r="L353" s="27">
        <v>89.99</v>
      </c>
      <c r="M353" s="27">
        <v>40</v>
      </c>
      <c r="N353" s="27">
        <v>36</v>
      </c>
      <c r="O353" s="27">
        <v>1</v>
      </c>
      <c r="P353" s="27" t="s">
        <v>86</v>
      </c>
      <c r="Q353" s="27">
        <v>4.007151</v>
      </c>
      <c r="R353" s="27">
        <v>6.75</v>
      </c>
      <c r="S353" s="27">
        <v>11</v>
      </c>
      <c r="T353" s="27">
        <v>10</v>
      </c>
      <c r="U353" s="27">
        <v>0.5238</v>
      </c>
      <c r="V353" s="27" t="s">
        <v>72</v>
      </c>
      <c r="W353" s="27">
        <v>593.89</v>
      </c>
      <c r="X353" s="27">
        <v>2.484907</v>
      </c>
      <c r="Y353" s="27">
        <v>6.388377</v>
      </c>
      <c r="Z353" s="27">
        <v>3.1623</v>
      </c>
      <c r="AA353" s="27" t="s">
        <v>313</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1</v>
      </c>
      <c r="AR353" s="27">
        <v>0</v>
      </c>
      <c r="AS353" s="27">
        <v>0</v>
      </c>
      <c r="AT353" s="27">
        <v>0</v>
      </c>
      <c r="AU353" s="27">
        <v>0</v>
      </c>
      <c r="AV353" s="27">
        <v>1</v>
      </c>
      <c r="AW353" s="27">
        <v>1</v>
      </c>
      <c r="AX353" s="27">
        <v>0</v>
      </c>
      <c r="AY353" s="27">
        <v>8</v>
      </c>
      <c r="AZ353" s="27">
        <v>1</v>
      </c>
      <c r="BA353" s="27">
        <v>1</v>
      </c>
      <c r="BB353" s="27">
        <v>62.47</v>
      </c>
      <c r="BC353" s="27" t="s">
        <v>174</v>
      </c>
      <c r="BD353" s="27" t="s">
        <v>175</v>
      </c>
      <c r="BE353" s="27" t="s">
        <v>91</v>
      </c>
      <c r="BF353" s="27" t="s">
        <v>77</v>
      </c>
      <c r="BG353" s="27">
        <v>161</v>
      </c>
      <c r="BH353" s="27">
        <v>61</v>
      </c>
      <c r="BI353" s="27">
        <v>0.7252</v>
      </c>
      <c r="BJ353" s="27">
        <v>0</v>
      </c>
      <c r="BK353" s="27">
        <v>6</v>
      </c>
      <c r="BL353" s="27">
        <v>98.4</v>
      </c>
    </row>
    <row r="354" customHeight="1" spans="1:64">
      <c r="A354" s="27" t="s">
        <v>1251</v>
      </c>
      <c r="B354" s="27" t="s">
        <v>1252</v>
      </c>
      <c r="C354" s="27" t="s">
        <v>1253</v>
      </c>
      <c r="D354" s="27">
        <v>4895230324233</v>
      </c>
      <c r="E354" s="27" t="s">
        <v>872</v>
      </c>
      <c r="F354" s="27" t="s">
        <v>82</v>
      </c>
      <c r="G354" s="27" t="s">
        <v>346</v>
      </c>
      <c r="H354" s="27" t="s">
        <v>84</v>
      </c>
      <c r="I354" s="27" t="s">
        <v>85</v>
      </c>
      <c r="J354" s="27">
        <v>5</v>
      </c>
      <c r="K354" s="27">
        <v>26.99</v>
      </c>
      <c r="M354" s="27">
        <v>0</v>
      </c>
      <c r="N354" s="27">
        <v>0</v>
      </c>
      <c r="O354" s="27">
        <v>0</v>
      </c>
      <c r="P354" s="27" t="s">
        <v>86</v>
      </c>
      <c r="Q354" s="27">
        <v>3.331847</v>
      </c>
      <c r="S354" s="27">
        <v>185</v>
      </c>
      <c r="T354" s="27">
        <v>10</v>
      </c>
      <c r="U354" s="27">
        <v>0.9487</v>
      </c>
      <c r="V354" s="27" t="s">
        <v>154</v>
      </c>
      <c r="W354" s="27">
        <v>4993.15</v>
      </c>
      <c r="X354" s="27">
        <v>5.225747</v>
      </c>
      <c r="Y354" s="27">
        <v>8.516023</v>
      </c>
      <c r="Z354" s="27">
        <v>3.1623</v>
      </c>
      <c r="AA354" s="27" t="s">
        <v>125</v>
      </c>
      <c r="AB354" s="27">
        <v>0</v>
      </c>
      <c r="AC354" s="27">
        <v>0</v>
      </c>
      <c r="AD354" s="27">
        <v>0</v>
      </c>
      <c r="AE354" s="27">
        <v>0</v>
      </c>
      <c r="AF354" s="27">
        <v>1</v>
      </c>
      <c r="AG354" s="27">
        <v>0</v>
      </c>
      <c r="AH354" s="27">
        <v>0</v>
      </c>
      <c r="AI354" s="27">
        <v>0</v>
      </c>
      <c r="AJ354" s="27">
        <v>0</v>
      </c>
      <c r="AK354" s="27">
        <v>0</v>
      </c>
      <c r="AL354" s="27">
        <v>0</v>
      </c>
      <c r="AM354" s="27">
        <v>0</v>
      </c>
      <c r="AN354" s="27">
        <v>0</v>
      </c>
      <c r="AO354" s="27">
        <v>0</v>
      </c>
      <c r="AP354" s="27">
        <v>0</v>
      </c>
      <c r="AQ354" s="27">
        <v>0</v>
      </c>
      <c r="AR354" s="27">
        <v>0</v>
      </c>
      <c r="AS354" s="27">
        <v>0</v>
      </c>
      <c r="AT354" s="27">
        <v>1</v>
      </c>
      <c r="AU354" s="27">
        <v>0</v>
      </c>
      <c r="AV354" s="27">
        <v>0</v>
      </c>
      <c r="AW354" s="27">
        <v>1</v>
      </c>
      <c r="AX354" s="27">
        <v>0</v>
      </c>
      <c r="AZ354" s="27">
        <v>2</v>
      </c>
      <c r="BA354" s="27">
        <v>0</v>
      </c>
      <c r="BB354" s="27">
        <v>67.71</v>
      </c>
      <c r="BC354" s="27" t="s">
        <v>1254</v>
      </c>
      <c r="BD354" s="27" t="s">
        <v>1255</v>
      </c>
      <c r="BE354" s="27" t="s">
        <v>1256</v>
      </c>
      <c r="BF354" s="27" t="s">
        <v>77</v>
      </c>
      <c r="BG354" s="27">
        <v>1</v>
      </c>
      <c r="BH354" s="27">
        <v>27</v>
      </c>
      <c r="BI354" s="27">
        <v>0.0357</v>
      </c>
      <c r="BJ354" s="27">
        <v>1</v>
      </c>
      <c r="BK354" s="27">
        <v>3</v>
      </c>
      <c r="BL354" s="27">
        <v>99.2</v>
      </c>
    </row>
    <row r="355" customHeight="1" spans="1:64">
      <c r="A355" s="27" t="s">
        <v>1257</v>
      </c>
      <c r="B355" s="27" t="s">
        <v>144</v>
      </c>
      <c r="E355" s="27" t="s">
        <v>645</v>
      </c>
      <c r="F355" s="27" t="s">
        <v>132</v>
      </c>
      <c r="G355" s="27" t="s">
        <v>83</v>
      </c>
      <c r="H355" s="27" t="s">
        <v>84</v>
      </c>
      <c r="I355" s="27" t="s">
        <v>85</v>
      </c>
      <c r="J355" s="27">
        <v>5</v>
      </c>
      <c r="K355" s="27">
        <v>12.99</v>
      </c>
      <c r="M355" s="27">
        <v>0</v>
      </c>
      <c r="N355" s="27">
        <v>0</v>
      </c>
      <c r="O355" s="27">
        <v>0</v>
      </c>
      <c r="P355" s="27" t="s">
        <v>133</v>
      </c>
      <c r="Q355" s="27">
        <v>2.638343</v>
      </c>
      <c r="S355" s="27">
        <v>257</v>
      </c>
      <c r="T355" s="27">
        <v>10</v>
      </c>
      <c r="U355" s="27">
        <v>0.9625</v>
      </c>
      <c r="V355" s="27" t="s">
        <v>154</v>
      </c>
      <c r="W355" s="27">
        <v>3338.43</v>
      </c>
      <c r="X355" s="27">
        <v>5.55296</v>
      </c>
      <c r="Y355" s="27">
        <v>8.113555</v>
      </c>
      <c r="Z355" s="27">
        <v>3.1623</v>
      </c>
      <c r="AA355" s="27" t="s">
        <v>125</v>
      </c>
      <c r="AB355" s="27">
        <v>0</v>
      </c>
      <c r="AC355" s="27">
        <v>0</v>
      </c>
      <c r="AD355" s="27">
        <v>0</v>
      </c>
      <c r="AE355" s="27">
        <v>0</v>
      </c>
      <c r="AF355" s="27">
        <v>0</v>
      </c>
      <c r="AG355" s="27">
        <v>0</v>
      </c>
      <c r="AH355" s="27">
        <v>0</v>
      </c>
      <c r="AI355" s="27">
        <v>0</v>
      </c>
      <c r="AJ355" s="27">
        <v>0</v>
      </c>
      <c r="AK355" s="27">
        <v>0</v>
      </c>
      <c r="AL355" s="27">
        <v>0</v>
      </c>
      <c r="AM355" s="27">
        <v>0</v>
      </c>
      <c r="AN355" s="27">
        <v>0</v>
      </c>
      <c r="AO355" s="27">
        <v>0</v>
      </c>
      <c r="AP355" s="27">
        <v>0</v>
      </c>
      <c r="AQ355" s="27">
        <v>0</v>
      </c>
      <c r="AR355" s="27">
        <v>0</v>
      </c>
      <c r="AS355" s="27">
        <v>0</v>
      </c>
      <c r="AT355" s="27">
        <v>0</v>
      </c>
      <c r="AU355" s="27">
        <v>0</v>
      </c>
      <c r="AV355" s="27">
        <v>0</v>
      </c>
      <c r="AW355" s="27">
        <v>0</v>
      </c>
      <c r="AX355" s="27">
        <v>0</v>
      </c>
      <c r="AZ355" s="27">
        <v>1</v>
      </c>
      <c r="BA355" s="27">
        <v>0</v>
      </c>
      <c r="BB355" s="27">
        <v>62.65</v>
      </c>
      <c r="BC355" s="27" t="s">
        <v>1258</v>
      </c>
      <c r="BD355" s="27" t="s">
        <v>916</v>
      </c>
      <c r="BE355" s="27" t="s">
        <v>113</v>
      </c>
      <c r="BF355" s="27" t="s">
        <v>77</v>
      </c>
      <c r="BG355" s="27">
        <v>168</v>
      </c>
      <c r="BH355" s="27">
        <v>11</v>
      </c>
      <c r="BI355" s="27">
        <v>0.9385</v>
      </c>
      <c r="BJ355" s="27">
        <v>0</v>
      </c>
      <c r="BK355" s="27">
        <v>71</v>
      </c>
      <c r="BL355" s="27">
        <v>80.5</v>
      </c>
    </row>
    <row r="356" customHeight="1" spans="1:64">
      <c r="A356" s="27" t="s">
        <v>1259</v>
      </c>
      <c r="B356" s="27" t="s">
        <v>1260</v>
      </c>
      <c r="E356" s="27" t="s">
        <v>656</v>
      </c>
      <c r="F356" s="27" t="s">
        <v>132</v>
      </c>
      <c r="G356" s="27" t="s">
        <v>427</v>
      </c>
      <c r="H356" s="27" t="s">
        <v>84</v>
      </c>
      <c r="I356" s="27" t="s">
        <v>85</v>
      </c>
      <c r="J356" s="27">
        <v>5</v>
      </c>
      <c r="K356" s="27">
        <v>28.85</v>
      </c>
      <c r="M356" s="27">
        <v>0</v>
      </c>
      <c r="N356" s="27">
        <v>0</v>
      </c>
      <c r="O356" s="27">
        <v>0</v>
      </c>
      <c r="P356" s="27" t="s">
        <v>86</v>
      </c>
      <c r="Q356" s="27">
        <v>3.396185</v>
      </c>
      <c r="S356" s="27">
        <v>84</v>
      </c>
      <c r="T356" s="27">
        <v>10</v>
      </c>
      <c r="U356" s="27">
        <v>0.8936</v>
      </c>
      <c r="V356" s="27" t="s">
        <v>72</v>
      </c>
      <c r="W356" s="27">
        <v>2423.4</v>
      </c>
      <c r="X356" s="27">
        <v>4.442651</v>
      </c>
      <c r="Y356" s="27">
        <v>7.793339</v>
      </c>
      <c r="Z356" s="27">
        <v>3.1623</v>
      </c>
      <c r="AA356" s="27" t="s">
        <v>125</v>
      </c>
      <c r="AB356" s="27">
        <v>0</v>
      </c>
      <c r="AC356" s="27">
        <v>0</v>
      </c>
      <c r="AD356" s="27">
        <v>0</v>
      </c>
      <c r="AE356" s="27">
        <v>0</v>
      </c>
      <c r="AF356" s="27">
        <v>1</v>
      </c>
      <c r="AG356" s="27">
        <v>0</v>
      </c>
      <c r="AH356" s="27">
        <v>0</v>
      </c>
      <c r="AI356" s="27">
        <v>0</v>
      </c>
      <c r="AJ356" s="27">
        <v>0</v>
      </c>
      <c r="AK356" s="27">
        <v>0</v>
      </c>
      <c r="AL356" s="27">
        <v>0</v>
      </c>
      <c r="AM356" s="27">
        <v>0</v>
      </c>
      <c r="AN356" s="27">
        <v>0</v>
      </c>
      <c r="AO356" s="27">
        <v>0</v>
      </c>
      <c r="AP356" s="27">
        <v>0</v>
      </c>
      <c r="AQ356" s="27">
        <v>0</v>
      </c>
      <c r="AR356" s="27">
        <v>0</v>
      </c>
      <c r="AS356" s="27">
        <v>0</v>
      </c>
      <c r="AT356" s="27">
        <v>0</v>
      </c>
      <c r="AU356" s="27">
        <v>0</v>
      </c>
      <c r="AV356" s="27">
        <v>0</v>
      </c>
      <c r="AW356" s="27">
        <v>1</v>
      </c>
      <c r="AX356" s="27">
        <v>0</v>
      </c>
      <c r="AZ356" s="27">
        <v>2</v>
      </c>
      <c r="BA356" s="27">
        <v>0</v>
      </c>
      <c r="BB356" s="27">
        <v>65.5</v>
      </c>
      <c r="BC356" s="27" t="s">
        <v>1261</v>
      </c>
      <c r="BD356" s="27" t="s">
        <v>1262</v>
      </c>
      <c r="BE356" s="27" t="s">
        <v>226</v>
      </c>
      <c r="BF356" s="27" t="s">
        <v>77</v>
      </c>
      <c r="BG356" s="27">
        <v>1</v>
      </c>
      <c r="BH356" s="27">
        <v>28</v>
      </c>
      <c r="BI356" s="27">
        <v>0.0345</v>
      </c>
      <c r="BJ356" s="27">
        <v>1</v>
      </c>
      <c r="BK356" s="27">
        <v>3</v>
      </c>
      <c r="BL356" s="27">
        <v>99.2</v>
      </c>
    </row>
    <row r="357" customHeight="1" spans="1:64">
      <c r="A357" s="27" t="s">
        <v>1263</v>
      </c>
      <c r="B357" s="27" t="s">
        <v>144</v>
      </c>
      <c r="E357" s="27" t="s">
        <v>1247</v>
      </c>
      <c r="F357" s="27" t="s">
        <v>198</v>
      </c>
      <c r="G357" s="27" t="s">
        <v>83</v>
      </c>
      <c r="H357" s="27" t="s">
        <v>84</v>
      </c>
      <c r="I357" s="27" t="s">
        <v>85</v>
      </c>
      <c r="J357" s="27">
        <v>5</v>
      </c>
      <c r="K357" s="27">
        <v>17.66</v>
      </c>
      <c r="M357" s="27">
        <v>0</v>
      </c>
      <c r="N357" s="27">
        <v>0</v>
      </c>
      <c r="O357" s="27">
        <v>0</v>
      </c>
      <c r="P357" s="27" t="s">
        <v>133</v>
      </c>
      <c r="Q357" s="27">
        <v>2.926382</v>
      </c>
      <c r="S357" s="27">
        <v>3</v>
      </c>
      <c r="T357" s="27">
        <v>10</v>
      </c>
      <c r="U357" s="27">
        <v>0.2308</v>
      </c>
      <c r="V357" s="27" t="s">
        <v>87</v>
      </c>
      <c r="W357" s="27">
        <v>52.98</v>
      </c>
      <c r="X357" s="27">
        <v>1.386294</v>
      </c>
      <c r="Y357" s="27">
        <v>3.988614</v>
      </c>
      <c r="Z357" s="27">
        <v>3.1623</v>
      </c>
      <c r="AA357" s="27" t="s">
        <v>125</v>
      </c>
      <c r="AB357" s="27">
        <v>0</v>
      </c>
      <c r="AC357" s="27">
        <v>0</v>
      </c>
      <c r="AD357" s="27">
        <v>0</v>
      </c>
      <c r="AE357" s="27">
        <v>0</v>
      </c>
      <c r="AF357" s="27">
        <v>0</v>
      </c>
      <c r="AG357" s="27">
        <v>0</v>
      </c>
      <c r="AH357" s="27">
        <v>0</v>
      </c>
      <c r="AI357" s="27">
        <v>0</v>
      </c>
      <c r="AJ357" s="27">
        <v>0</v>
      </c>
      <c r="AK357" s="27">
        <v>0</v>
      </c>
      <c r="AL357" s="27">
        <v>0</v>
      </c>
      <c r="AM357" s="27">
        <v>0</v>
      </c>
      <c r="AN357" s="27">
        <v>0</v>
      </c>
      <c r="AO357" s="27">
        <v>0</v>
      </c>
      <c r="AP357" s="27">
        <v>0</v>
      </c>
      <c r="AQ357" s="27">
        <v>0</v>
      </c>
      <c r="AR357" s="27">
        <v>0</v>
      </c>
      <c r="AS357" s="27">
        <v>0</v>
      </c>
      <c r="AT357" s="27">
        <v>0</v>
      </c>
      <c r="AU357" s="27">
        <v>0</v>
      </c>
      <c r="AV357" s="27">
        <v>0</v>
      </c>
      <c r="AW357" s="27">
        <v>1</v>
      </c>
      <c r="AX357" s="27">
        <v>0</v>
      </c>
      <c r="AZ357" s="27">
        <v>1</v>
      </c>
      <c r="BA357" s="27">
        <v>0</v>
      </c>
      <c r="BB357" s="27">
        <v>9.23</v>
      </c>
      <c r="BC357" s="27" t="s">
        <v>1264</v>
      </c>
      <c r="BD357" s="27" t="s">
        <v>150</v>
      </c>
      <c r="BE357" s="27" t="s">
        <v>150</v>
      </c>
      <c r="BF357" s="27" t="s">
        <v>77</v>
      </c>
      <c r="BG357" s="27">
        <v>1</v>
      </c>
      <c r="BH357" s="27">
        <v>101</v>
      </c>
      <c r="BI357" s="27">
        <v>0.0098</v>
      </c>
      <c r="BJ357" s="27">
        <v>1</v>
      </c>
    </row>
    <row r="358" customHeight="1" spans="1:64">
      <c r="A358" s="27" t="s">
        <v>1265</v>
      </c>
      <c r="B358" s="27" t="s">
        <v>1235</v>
      </c>
      <c r="E358" s="27" t="s">
        <v>438</v>
      </c>
      <c r="F358" s="27" t="s">
        <v>240</v>
      </c>
      <c r="G358" s="27" t="s">
        <v>83</v>
      </c>
      <c r="H358" s="27" t="s">
        <v>84</v>
      </c>
      <c r="I358" s="27" t="s">
        <v>153</v>
      </c>
      <c r="J358" s="27">
        <v>2</v>
      </c>
      <c r="K358" s="27">
        <v>49.99</v>
      </c>
      <c r="M358" s="27">
        <v>0</v>
      </c>
      <c r="N358" s="27">
        <v>0</v>
      </c>
      <c r="O358" s="27">
        <v>0</v>
      </c>
      <c r="P358" s="27" t="s">
        <v>86</v>
      </c>
      <c r="Q358" s="27">
        <v>3.93163</v>
      </c>
      <c r="R358" s="27">
        <v>12.5</v>
      </c>
      <c r="V358" s="27" t="s">
        <v>231</v>
      </c>
      <c r="W358" s="27">
        <v>0</v>
      </c>
      <c r="X358" s="27">
        <v>0</v>
      </c>
      <c r="Y358" s="27">
        <v>0</v>
      </c>
      <c r="Z358" s="27">
        <v>0</v>
      </c>
      <c r="AA358" s="27" t="s">
        <v>125</v>
      </c>
      <c r="AB358" s="27">
        <v>0</v>
      </c>
      <c r="AC358" s="27">
        <v>0</v>
      </c>
      <c r="AD358" s="27">
        <v>0</v>
      </c>
      <c r="AE358" s="27">
        <v>0</v>
      </c>
      <c r="AF358" s="27">
        <v>0</v>
      </c>
      <c r="AG358" s="27">
        <v>0</v>
      </c>
      <c r="AH358" s="27">
        <v>0</v>
      </c>
      <c r="AI358" s="27">
        <v>0</v>
      </c>
      <c r="AJ358" s="27">
        <v>0</v>
      </c>
      <c r="AK358" s="27">
        <v>0</v>
      </c>
      <c r="AL358" s="27">
        <v>0</v>
      </c>
      <c r="AM358" s="27">
        <v>0</v>
      </c>
      <c r="AN358" s="27">
        <v>0</v>
      </c>
      <c r="AO358" s="27">
        <v>0</v>
      </c>
      <c r="AP358" s="27">
        <v>0</v>
      </c>
      <c r="AQ358" s="27">
        <v>0</v>
      </c>
      <c r="AR358" s="27">
        <v>0</v>
      </c>
      <c r="AS358" s="27">
        <v>0</v>
      </c>
      <c r="AT358" s="27">
        <v>0</v>
      </c>
      <c r="AU358" s="27">
        <v>0</v>
      </c>
      <c r="AV358" s="27">
        <v>1</v>
      </c>
      <c r="AW358" s="27">
        <v>1</v>
      </c>
      <c r="AX358" s="27">
        <v>0</v>
      </c>
      <c r="AY358" s="27">
        <v>4</v>
      </c>
      <c r="AZ358" s="27">
        <v>1</v>
      </c>
      <c r="BA358" s="27">
        <v>0</v>
      </c>
      <c r="BB358" s="27">
        <v>0</v>
      </c>
      <c r="BC358" s="27" t="s">
        <v>1266</v>
      </c>
      <c r="BD358" s="27" t="s">
        <v>575</v>
      </c>
      <c r="BE358" s="27" t="s">
        <v>760</v>
      </c>
      <c r="BF358" s="27" t="s">
        <v>77</v>
      </c>
      <c r="BG358" s="27">
        <v>168</v>
      </c>
      <c r="BH358" s="27">
        <v>11</v>
      </c>
      <c r="BI358" s="27">
        <v>0.9385</v>
      </c>
      <c r="BJ358" s="27">
        <v>0</v>
      </c>
    </row>
    <row r="359" customHeight="1" spans="1:64">
      <c r="A359" s="27" t="s">
        <v>1267</v>
      </c>
      <c r="B359" s="27" t="s">
        <v>1268</v>
      </c>
      <c r="D359" s="27">
        <v>30519015943</v>
      </c>
      <c r="E359" s="27" t="s">
        <v>1269</v>
      </c>
      <c r="F359" s="27" t="s">
        <v>240</v>
      </c>
      <c r="G359" s="27" t="s">
        <v>83</v>
      </c>
      <c r="H359" s="27" t="s">
        <v>84</v>
      </c>
      <c r="I359" s="27" t="s">
        <v>203</v>
      </c>
      <c r="J359" s="27">
        <v>4</v>
      </c>
      <c r="K359" s="27">
        <v>640</v>
      </c>
      <c r="M359" s="27">
        <v>0</v>
      </c>
      <c r="N359" s="27">
        <v>0</v>
      </c>
      <c r="O359" s="27">
        <v>0</v>
      </c>
      <c r="P359" s="27" t="s">
        <v>147</v>
      </c>
      <c r="Q359" s="27">
        <v>6.463029</v>
      </c>
      <c r="R359" s="27">
        <v>40</v>
      </c>
      <c r="V359" s="27" t="s">
        <v>231</v>
      </c>
      <c r="W359" s="27">
        <v>0</v>
      </c>
      <c r="X359" s="27">
        <v>0</v>
      </c>
      <c r="Y359" s="27">
        <v>0</v>
      </c>
      <c r="Z359" s="27">
        <v>0</v>
      </c>
      <c r="AA359" s="27" t="s">
        <v>125</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1</v>
      </c>
      <c r="AR359" s="27">
        <v>0</v>
      </c>
      <c r="AS359" s="27">
        <v>0</v>
      </c>
      <c r="AT359" s="27">
        <v>0</v>
      </c>
      <c r="AU359" s="27">
        <v>0</v>
      </c>
      <c r="AV359" s="27">
        <v>1</v>
      </c>
      <c r="AW359" s="27">
        <v>1</v>
      </c>
      <c r="AX359" s="27">
        <v>0</v>
      </c>
      <c r="AY359" s="27">
        <v>16</v>
      </c>
      <c r="AZ359" s="27">
        <v>1</v>
      </c>
      <c r="BA359" s="27">
        <v>1</v>
      </c>
      <c r="BB359" s="27">
        <v>19.23</v>
      </c>
      <c r="BC359" s="27" t="s">
        <v>1270</v>
      </c>
      <c r="BD359" s="27" t="s">
        <v>1271</v>
      </c>
      <c r="BE359" s="27" t="s">
        <v>150</v>
      </c>
      <c r="BF359" s="27" t="s">
        <v>77</v>
      </c>
      <c r="BG359" s="27">
        <v>208</v>
      </c>
      <c r="BH359" s="27">
        <v>11</v>
      </c>
      <c r="BI359" s="27">
        <v>0.9498</v>
      </c>
      <c r="BJ359" s="27">
        <v>0</v>
      </c>
      <c r="BK359" s="27">
        <v>131</v>
      </c>
      <c r="BL359" s="27">
        <v>64.1</v>
      </c>
    </row>
    <row r="360" customHeight="1" spans="1:64">
      <c r="A360" s="27" t="s">
        <v>1272</v>
      </c>
      <c r="B360" s="27" t="s">
        <v>124</v>
      </c>
      <c r="E360" s="27" t="s">
        <v>81</v>
      </c>
      <c r="F360" s="27" t="s">
        <v>82</v>
      </c>
      <c r="G360" s="27" t="s">
        <v>346</v>
      </c>
      <c r="H360" s="27" t="s">
        <v>84</v>
      </c>
      <c r="I360" s="27" t="s">
        <v>85</v>
      </c>
      <c r="J360" s="27">
        <v>5</v>
      </c>
      <c r="K360" s="27">
        <v>36.98</v>
      </c>
      <c r="M360" s="27">
        <v>0</v>
      </c>
      <c r="N360" s="27">
        <v>0</v>
      </c>
      <c r="O360" s="27">
        <v>0</v>
      </c>
      <c r="P360" s="27" t="s">
        <v>86</v>
      </c>
      <c r="Q360" s="27">
        <v>3.63706</v>
      </c>
      <c r="S360" s="27">
        <v>75</v>
      </c>
      <c r="T360" s="27">
        <v>10</v>
      </c>
      <c r="U360" s="27">
        <v>0.8824</v>
      </c>
      <c r="V360" s="27" t="s">
        <v>72</v>
      </c>
      <c r="W360" s="27">
        <v>2773.5</v>
      </c>
      <c r="X360" s="27">
        <v>4.330733</v>
      </c>
      <c r="Y360" s="27">
        <v>7.928226</v>
      </c>
      <c r="Z360" s="27">
        <v>3.1623</v>
      </c>
      <c r="AA360" s="27" t="s">
        <v>483</v>
      </c>
      <c r="AB360" s="27">
        <v>0</v>
      </c>
      <c r="AC360" s="27">
        <v>0</v>
      </c>
      <c r="AD360" s="27">
        <v>0</v>
      </c>
      <c r="AE360" s="27">
        <v>0</v>
      </c>
      <c r="AF360" s="27">
        <v>0</v>
      </c>
      <c r="AG360" s="27">
        <v>0</v>
      </c>
      <c r="AH360" s="27">
        <v>1</v>
      </c>
      <c r="AI360" s="27">
        <v>0</v>
      </c>
      <c r="AJ360" s="27">
        <v>0</v>
      </c>
      <c r="AK360" s="27">
        <v>0</v>
      </c>
      <c r="AL360" s="27">
        <v>0</v>
      </c>
      <c r="AM360" s="27">
        <v>0</v>
      </c>
      <c r="AN360" s="27">
        <v>0</v>
      </c>
      <c r="AO360" s="27">
        <v>0</v>
      </c>
      <c r="AP360" s="27">
        <v>0</v>
      </c>
      <c r="AQ360" s="27">
        <v>0</v>
      </c>
      <c r="AR360" s="27">
        <v>0</v>
      </c>
      <c r="AS360" s="27">
        <v>0</v>
      </c>
      <c r="AT360" s="27">
        <v>1</v>
      </c>
      <c r="AU360" s="27">
        <v>0</v>
      </c>
      <c r="AV360" s="27">
        <v>0</v>
      </c>
      <c r="AW360" s="27">
        <v>0</v>
      </c>
      <c r="AX360" s="27">
        <v>0</v>
      </c>
      <c r="AZ360" s="27">
        <v>1</v>
      </c>
      <c r="BA360" s="27">
        <v>1</v>
      </c>
      <c r="BB360" s="27">
        <v>64.73</v>
      </c>
      <c r="BC360" s="27" t="s">
        <v>1273</v>
      </c>
      <c r="BD360" s="27" t="s">
        <v>1274</v>
      </c>
      <c r="BE360" s="27" t="s">
        <v>756</v>
      </c>
      <c r="BF360" s="27" t="s">
        <v>77</v>
      </c>
      <c r="BG360" s="27">
        <v>168</v>
      </c>
      <c r="BH360" s="27">
        <v>11</v>
      </c>
      <c r="BI360" s="27">
        <v>0.9385</v>
      </c>
      <c r="BJ360" s="27">
        <v>0</v>
      </c>
      <c r="BK360" s="27">
        <v>7</v>
      </c>
      <c r="BL360" s="27">
        <v>98.1</v>
      </c>
    </row>
    <row r="361" customHeight="1" spans="1:64">
      <c r="A361" s="27" t="s">
        <v>1275</v>
      </c>
      <c r="B361" s="27" t="s">
        <v>93</v>
      </c>
      <c r="E361" s="27" t="s">
        <v>81</v>
      </c>
      <c r="F361" s="27" t="s">
        <v>82</v>
      </c>
      <c r="G361" s="27" t="s">
        <v>93</v>
      </c>
      <c r="H361" s="27" t="s">
        <v>69</v>
      </c>
      <c r="I361" s="27" t="s">
        <v>85</v>
      </c>
      <c r="J361" s="27">
        <v>5</v>
      </c>
      <c r="K361" s="27">
        <v>109.97</v>
      </c>
      <c r="M361" s="27">
        <v>0</v>
      </c>
      <c r="N361" s="27">
        <v>0</v>
      </c>
      <c r="O361" s="27">
        <v>0</v>
      </c>
      <c r="P361" s="27" t="s">
        <v>95</v>
      </c>
      <c r="Q361" s="27">
        <v>4.70926</v>
      </c>
      <c r="S361" s="27">
        <v>8</v>
      </c>
      <c r="T361" s="27">
        <v>4</v>
      </c>
      <c r="U361" s="27">
        <v>0.6667</v>
      </c>
      <c r="V361" s="27" t="s">
        <v>87</v>
      </c>
      <c r="W361" s="27">
        <v>879.76</v>
      </c>
      <c r="X361" s="27">
        <v>2.197225</v>
      </c>
      <c r="Y361" s="27">
        <v>6.780785</v>
      </c>
      <c r="Z361" s="27">
        <v>2</v>
      </c>
      <c r="AA361" s="27" t="s">
        <v>73</v>
      </c>
      <c r="AB361" s="27">
        <v>0</v>
      </c>
      <c r="AC361" s="27">
        <v>0</v>
      </c>
      <c r="AD361" s="27">
        <v>0</v>
      </c>
      <c r="AE361" s="27">
        <v>1</v>
      </c>
      <c r="AF361" s="27">
        <v>0</v>
      </c>
      <c r="AG361" s="27">
        <v>0</v>
      </c>
      <c r="AH361" s="27">
        <v>1</v>
      </c>
      <c r="AI361" s="27">
        <v>0</v>
      </c>
      <c r="AJ361" s="27">
        <v>0</v>
      </c>
      <c r="AK361" s="27">
        <v>0</v>
      </c>
      <c r="AL361" s="27">
        <v>0</v>
      </c>
      <c r="AM361" s="27">
        <v>0</v>
      </c>
      <c r="AN361" s="27">
        <v>0</v>
      </c>
      <c r="AO361" s="27">
        <v>0</v>
      </c>
      <c r="AP361" s="27">
        <v>0</v>
      </c>
      <c r="AQ361" s="27">
        <v>0</v>
      </c>
      <c r="AR361" s="27">
        <v>0</v>
      </c>
      <c r="AS361" s="27">
        <v>0</v>
      </c>
      <c r="AT361" s="27">
        <v>1</v>
      </c>
      <c r="AU361" s="27">
        <v>0</v>
      </c>
      <c r="AV361" s="27">
        <v>0</v>
      </c>
      <c r="AW361" s="27">
        <v>0</v>
      </c>
      <c r="AX361" s="27">
        <v>0</v>
      </c>
      <c r="AZ361" s="27">
        <v>1</v>
      </c>
      <c r="BA361" s="27">
        <v>2</v>
      </c>
      <c r="BB361" s="27">
        <v>26.67</v>
      </c>
      <c r="BC361" s="27" t="s">
        <v>1276</v>
      </c>
      <c r="BD361" s="27" t="s">
        <v>1277</v>
      </c>
      <c r="BE361" s="27" t="s">
        <v>243</v>
      </c>
      <c r="BF361" s="27" t="s">
        <v>77</v>
      </c>
      <c r="BG361" s="27">
        <v>168</v>
      </c>
      <c r="BH361" s="27">
        <v>11</v>
      </c>
      <c r="BI361" s="27">
        <v>0.9385</v>
      </c>
      <c r="BJ361" s="27">
        <v>0</v>
      </c>
    </row>
    <row r="362" customHeight="1" spans="1:64">
      <c r="A362" s="27" t="s">
        <v>1278</v>
      </c>
      <c r="B362" s="27" t="s">
        <v>1279</v>
      </c>
      <c r="E362" s="27" t="s">
        <v>1048</v>
      </c>
      <c r="F362" s="27" t="s">
        <v>132</v>
      </c>
      <c r="G362" s="27" t="s">
        <v>83</v>
      </c>
      <c r="H362" s="27" t="s">
        <v>84</v>
      </c>
      <c r="I362" s="27" t="s">
        <v>85</v>
      </c>
      <c r="J362" s="27">
        <v>5</v>
      </c>
      <c r="K362" s="27">
        <v>5.5</v>
      </c>
      <c r="M362" s="27">
        <v>0</v>
      </c>
      <c r="N362" s="27">
        <v>0</v>
      </c>
      <c r="O362" s="27">
        <v>0</v>
      </c>
      <c r="P362" s="27" t="s">
        <v>133</v>
      </c>
      <c r="Q362" s="27">
        <v>1.871802</v>
      </c>
      <c r="S362" s="27">
        <v>724</v>
      </c>
      <c r="U362" s="27">
        <v>1</v>
      </c>
      <c r="V362" s="27" t="s">
        <v>154</v>
      </c>
      <c r="W362" s="27">
        <v>3982</v>
      </c>
      <c r="X362" s="27">
        <v>6.586172</v>
      </c>
      <c r="Y362" s="27">
        <v>8.289791</v>
      </c>
      <c r="Z362" s="27">
        <v>0</v>
      </c>
      <c r="AA362" s="27" t="s">
        <v>125</v>
      </c>
      <c r="AB362" s="27">
        <v>0</v>
      </c>
      <c r="AC362" s="27">
        <v>0</v>
      </c>
      <c r="AD362" s="27">
        <v>0</v>
      </c>
      <c r="AE362" s="27">
        <v>0</v>
      </c>
      <c r="AF362" s="27">
        <v>0</v>
      </c>
      <c r="AG362" s="27">
        <v>0</v>
      </c>
      <c r="AH362" s="27">
        <v>0</v>
      </c>
      <c r="AI362" s="27">
        <v>0</v>
      </c>
      <c r="AJ362" s="27">
        <v>0</v>
      </c>
      <c r="AK362" s="27">
        <v>0</v>
      </c>
      <c r="AL362" s="27">
        <v>0</v>
      </c>
      <c r="AM362" s="27">
        <v>0</v>
      </c>
      <c r="AN362" s="27">
        <v>0</v>
      </c>
      <c r="AO362" s="27">
        <v>0</v>
      </c>
      <c r="AP362" s="27">
        <v>0</v>
      </c>
      <c r="AQ362" s="27">
        <v>0</v>
      </c>
      <c r="AR362" s="27">
        <v>0</v>
      </c>
      <c r="AS362" s="27">
        <v>0</v>
      </c>
      <c r="AT362" s="27">
        <v>0</v>
      </c>
      <c r="AU362" s="27">
        <v>0</v>
      </c>
      <c r="AV362" s="27">
        <v>0</v>
      </c>
      <c r="AW362" s="27">
        <v>0</v>
      </c>
      <c r="AX362" s="27">
        <v>0</v>
      </c>
      <c r="AZ362" s="27">
        <v>1</v>
      </c>
      <c r="BA362" s="27">
        <v>0</v>
      </c>
      <c r="BB362" s="27">
        <v>60.64</v>
      </c>
      <c r="BC362" s="27" t="s">
        <v>1280</v>
      </c>
      <c r="BD362" s="27" t="s">
        <v>348</v>
      </c>
      <c r="BE362" s="27" t="s">
        <v>136</v>
      </c>
      <c r="BF362" s="27" t="s">
        <v>77</v>
      </c>
      <c r="BG362" s="27">
        <v>179</v>
      </c>
      <c r="BH362" s="27">
        <v>11</v>
      </c>
      <c r="BI362" s="27">
        <v>0.9421</v>
      </c>
      <c r="BJ362" s="27">
        <v>0</v>
      </c>
      <c r="BK362" s="27">
        <v>114</v>
      </c>
      <c r="BL362" s="27">
        <v>68.8</v>
      </c>
    </row>
    <row r="363" customHeight="1" spans="1:64">
      <c r="A363" s="27" t="s">
        <v>1281</v>
      </c>
      <c r="B363" s="27" t="s">
        <v>144</v>
      </c>
      <c r="E363" s="27" t="s">
        <v>889</v>
      </c>
      <c r="F363" s="27" t="s">
        <v>132</v>
      </c>
      <c r="G363" s="27" t="s">
        <v>83</v>
      </c>
      <c r="H363" s="27" t="s">
        <v>84</v>
      </c>
      <c r="I363" s="27" t="s">
        <v>85</v>
      </c>
      <c r="J363" s="27">
        <v>5</v>
      </c>
      <c r="K363" s="27">
        <v>11.99</v>
      </c>
      <c r="M363" s="27">
        <v>0</v>
      </c>
      <c r="N363" s="27">
        <v>0</v>
      </c>
      <c r="O363" s="27">
        <v>0</v>
      </c>
      <c r="P363" s="27" t="s">
        <v>133</v>
      </c>
      <c r="Q363" s="27">
        <v>2.56418</v>
      </c>
      <c r="S363" s="27">
        <v>214</v>
      </c>
      <c r="T363" s="27">
        <v>10</v>
      </c>
      <c r="U363" s="27">
        <v>0.9554</v>
      </c>
      <c r="V363" s="27" t="s">
        <v>154</v>
      </c>
      <c r="W363" s="27">
        <v>2565.86</v>
      </c>
      <c r="X363" s="27">
        <v>5.370638</v>
      </c>
      <c r="Y363" s="27">
        <v>7.850439</v>
      </c>
      <c r="Z363" s="27">
        <v>3.1623</v>
      </c>
      <c r="AA363" s="27" t="s">
        <v>125</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v>0</v>
      </c>
      <c r="AS363" s="27">
        <v>0</v>
      </c>
      <c r="AT363" s="27">
        <v>0</v>
      </c>
      <c r="AU363" s="27">
        <v>0</v>
      </c>
      <c r="AV363" s="27">
        <v>0</v>
      </c>
      <c r="AW363" s="27">
        <v>0</v>
      </c>
      <c r="AX363" s="27">
        <v>0</v>
      </c>
      <c r="AZ363" s="27">
        <v>1</v>
      </c>
      <c r="BA363" s="27">
        <v>0</v>
      </c>
      <c r="BB363" s="27">
        <v>68.07</v>
      </c>
      <c r="BC363" s="27" t="s">
        <v>1282</v>
      </c>
      <c r="BD363" s="27" t="s">
        <v>112</v>
      </c>
      <c r="BE363" s="27" t="s">
        <v>113</v>
      </c>
      <c r="BF363" s="27" t="s">
        <v>77</v>
      </c>
      <c r="BG363" s="27">
        <v>162</v>
      </c>
      <c r="BH363" s="27">
        <v>60</v>
      </c>
      <c r="BI363" s="27">
        <v>0.7297</v>
      </c>
      <c r="BJ363" s="27">
        <v>0</v>
      </c>
      <c r="BK363" s="27">
        <v>2</v>
      </c>
      <c r="BL363" s="27">
        <v>99.5</v>
      </c>
    </row>
    <row r="364" customHeight="1" spans="1:64">
      <c r="A364" s="27" t="s">
        <v>1283</v>
      </c>
      <c r="B364" s="27" t="s">
        <v>1284</v>
      </c>
      <c r="E364" s="27" t="s">
        <v>1285</v>
      </c>
      <c r="F364" s="27" t="s">
        <v>352</v>
      </c>
      <c r="G364" s="27" t="s">
        <v>83</v>
      </c>
      <c r="H364" s="27" t="s">
        <v>84</v>
      </c>
      <c r="I364" s="27" t="s">
        <v>85</v>
      </c>
      <c r="J364" s="27">
        <v>5</v>
      </c>
      <c r="K364" s="27">
        <v>10.99</v>
      </c>
      <c r="M364" s="27">
        <v>0</v>
      </c>
      <c r="N364" s="27">
        <v>0</v>
      </c>
      <c r="O364" s="27">
        <v>0</v>
      </c>
      <c r="P364" s="27" t="s">
        <v>133</v>
      </c>
      <c r="Q364" s="27">
        <v>2.484073</v>
      </c>
      <c r="S364" s="27">
        <v>154</v>
      </c>
      <c r="T364" s="27">
        <v>10</v>
      </c>
      <c r="U364" s="27">
        <v>0.939</v>
      </c>
      <c r="V364" s="27" t="s">
        <v>72</v>
      </c>
      <c r="W364" s="27">
        <v>1692.46</v>
      </c>
      <c r="X364" s="27">
        <v>5.043425</v>
      </c>
      <c r="Y364" s="27">
        <v>7.434529</v>
      </c>
      <c r="Z364" s="27">
        <v>3.1623</v>
      </c>
      <c r="AA364" s="27" t="s">
        <v>125</v>
      </c>
      <c r="AB364" s="27">
        <v>0</v>
      </c>
      <c r="AC364" s="27">
        <v>0</v>
      </c>
      <c r="AD364" s="27">
        <v>0</v>
      </c>
      <c r="AE364" s="27">
        <v>1</v>
      </c>
      <c r="AF364" s="27">
        <v>0</v>
      </c>
      <c r="AG364" s="27">
        <v>0</v>
      </c>
      <c r="AH364" s="27">
        <v>0</v>
      </c>
      <c r="AI364" s="27">
        <v>0</v>
      </c>
      <c r="AJ364" s="27">
        <v>0</v>
      </c>
      <c r="AK364" s="27">
        <v>0</v>
      </c>
      <c r="AL364" s="27">
        <v>0</v>
      </c>
      <c r="AM364" s="27">
        <v>0</v>
      </c>
      <c r="AN364" s="27">
        <v>0</v>
      </c>
      <c r="AO364" s="27">
        <v>0</v>
      </c>
      <c r="AP364" s="27">
        <v>0</v>
      </c>
      <c r="AQ364" s="27">
        <v>0</v>
      </c>
      <c r="AR364" s="27">
        <v>0</v>
      </c>
      <c r="AS364" s="27">
        <v>0</v>
      </c>
      <c r="AT364" s="27">
        <v>1</v>
      </c>
      <c r="AU364" s="27">
        <v>0</v>
      </c>
      <c r="AV364" s="27">
        <v>0</v>
      </c>
      <c r="AW364" s="27">
        <v>0</v>
      </c>
      <c r="AX364" s="27">
        <v>0</v>
      </c>
      <c r="AZ364" s="27">
        <v>1</v>
      </c>
      <c r="BA364" s="27">
        <v>1</v>
      </c>
      <c r="BB364" s="27">
        <v>67.41</v>
      </c>
      <c r="BC364" s="27" t="s">
        <v>1286</v>
      </c>
      <c r="BD364" s="27" t="s">
        <v>356</v>
      </c>
      <c r="BE364" s="27" t="s">
        <v>77</v>
      </c>
      <c r="BF364" s="27" t="s">
        <v>77</v>
      </c>
      <c r="BG364" s="27">
        <v>163</v>
      </c>
      <c r="BH364" s="27">
        <v>58</v>
      </c>
      <c r="BI364" s="27">
        <v>0.7376</v>
      </c>
      <c r="BJ364" s="27">
        <v>0</v>
      </c>
      <c r="BK364" s="27">
        <v>2</v>
      </c>
      <c r="BL364" s="27">
        <v>99.5</v>
      </c>
    </row>
    <row r="365" customHeight="1" spans="1:64">
      <c r="A365" s="27" t="s">
        <v>1287</v>
      </c>
      <c r="B365" s="27" t="s">
        <v>93</v>
      </c>
      <c r="C365" s="27" t="s">
        <v>1288</v>
      </c>
      <c r="E365" s="27" t="s">
        <v>1289</v>
      </c>
      <c r="F365" s="27" t="s">
        <v>82</v>
      </c>
      <c r="G365" s="27" t="s">
        <v>93</v>
      </c>
      <c r="H365" s="27" t="s">
        <v>69</v>
      </c>
      <c r="I365" s="27" t="s">
        <v>108</v>
      </c>
      <c r="J365" s="27">
        <v>3</v>
      </c>
      <c r="K365" s="27">
        <v>137.99</v>
      </c>
      <c r="L365" s="27">
        <v>229.99</v>
      </c>
      <c r="M365" s="27">
        <v>40</v>
      </c>
      <c r="N365" s="27">
        <v>92</v>
      </c>
      <c r="O365" s="27">
        <v>1</v>
      </c>
      <c r="P365" s="27" t="s">
        <v>95</v>
      </c>
      <c r="Q365" s="27">
        <v>4.934402</v>
      </c>
      <c r="S365" s="27">
        <v>62</v>
      </c>
      <c r="T365" s="27">
        <v>19</v>
      </c>
      <c r="U365" s="27">
        <v>0.7654</v>
      </c>
      <c r="V365" s="27" t="s">
        <v>72</v>
      </c>
      <c r="W365" s="27">
        <v>8555.38</v>
      </c>
      <c r="X365" s="27">
        <v>4.143135</v>
      </c>
      <c r="Y365" s="27">
        <v>9.054432</v>
      </c>
      <c r="Z365" s="27">
        <v>4.3589</v>
      </c>
      <c r="AA365" s="27" t="s">
        <v>125</v>
      </c>
      <c r="AB365" s="27">
        <v>0</v>
      </c>
      <c r="AC365" s="27">
        <v>0</v>
      </c>
      <c r="AD365" s="27">
        <v>0</v>
      </c>
      <c r="AE365" s="27">
        <v>1</v>
      </c>
      <c r="AF365" s="27">
        <v>1</v>
      </c>
      <c r="AG365" s="27">
        <v>0</v>
      </c>
      <c r="AH365" s="27">
        <v>0</v>
      </c>
      <c r="AI365" s="27">
        <v>0</v>
      </c>
      <c r="AJ365" s="27">
        <v>1</v>
      </c>
      <c r="AK365" s="27">
        <v>1</v>
      </c>
      <c r="AL365" s="27">
        <v>0</v>
      </c>
      <c r="AM365" s="27">
        <v>0</v>
      </c>
      <c r="AN365" s="27">
        <v>0</v>
      </c>
      <c r="AO365" s="27">
        <v>0</v>
      </c>
      <c r="AP365" s="27">
        <v>0</v>
      </c>
      <c r="AQ365" s="27">
        <v>0</v>
      </c>
      <c r="AR365" s="27">
        <v>0</v>
      </c>
      <c r="AS365" s="27">
        <v>0</v>
      </c>
      <c r="AT365" s="27">
        <v>1</v>
      </c>
      <c r="AU365" s="27">
        <v>0</v>
      </c>
      <c r="AV365" s="27">
        <v>0</v>
      </c>
      <c r="AW365" s="27">
        <v>0</v>
      </c>
      <c r="AX365" s="27">
        <v>0</v>
      </c>
      <c r="AZ365" s="27">
        <v>1</v>
      </c>
      <c r="BA365" s="27">
        <v>2</v>
      </c>
      <c r="BB365" s="27">
        <v>72.47</v>
      </c>
      <c r="BC365" s="27" t="s">
        <v>96</v>
      </c>
      <c r="BD365" s="27" t="s">
        <v>97</v>
      </c>
      <c r="BE365" s="27" t="s">
        <v>98</v>
      </c>
      <c r="BF365" s="27" t="s">
        <v>77</v>
      </c>
      <c r="BG365" s="27">
        <v>1</v>
      </c>
      <c r="BH365" s="27">
        <v>28</v>
      </c>
      <c r="BI365" s="27">
        <v>0.0345</v>
      </c>
      <c r="BJ365" s="27">
        <v>1</v>
      </c>
      <c r="BK365" s="27">
        <v>2</v>
      </c>
      <c r="BL365" s="27">
        <v>99.5</v>
      </c>
    </row>
    <row r="366" customHeight="1" spans="1:64">
      <c r="A366" s="27" t="s">
        <v>1290</v>
      </c>
      <c r="B366" s="27" t="s">
        <v>739</v>
      </c>
      <c r="E366" s="27" t="s">
        <v>81</v>
      </c>
      <c r="F366" s="27" t="s">
        <v>160</v>
      </c>
      <c r="G366" s="27" t="s">
        <v>83</v>
      </c>
      <c r="H366" s="27" t="s">
        <v>84</v>
      </c>
      <c r="I366" s="27" t="s">
        <v>108</v>
      </c>
      <c r="J366" s="27">
        <v>3</v>
      </c>
      <c r="K366" s="27">
        <v>177.6</v>
      </c>
      <c r="M366" s="27">
        <v>0</v>
      </c>
      <c r="N366" s="27">
        <v>0</v>
      </c>
      <c r="O366" s="27">
        <v>0</v>
      </c>
      <c r="P366" s="27" t="s">
        <v>95</v>
      </c>
      <c r="Q366" s="27">
        <v>5.185149</v>
      </c>
      <c r="S366" s="27">
        <v>35</v>
      </c>
      <c r="T366" s="27">
        <v>10</v>
      </c>
      <c r="U366" s="27">
        <v>0.7778</v>
      </c>
      <c r="V366" s="27" t="s">
        <v>72</v>
      </c>
      <c r="W366" s="27">
        <v>6216</v>
      </c>
      <c r="X366" s="27">
        <v>3.583519</v>
      </c>
      <c r="Y366" s="27">
        <v>8.735043</v>
      </c>
      <c r="Z366" s="27">
        <v>3.1623</v>
      </c>
      <c r="AA366" s="27" t="s">
        <v>313</v>
      </c>
      <c r="AB366" s="27">
        <v>0</v>
      </c>
      <c r="AC366" s="27">
        <v>0</v>
      </c>
      <c r="AD366" s="27">
        <v>0</v>
      </c>
      <c r="AE366" s="27">
        <v>1</v>
      </c>
      <c r="AF366" s="27">
        <v>0</v>
      </c>
      <c r="AG366" s="27">
        <v>0</v>
      </c>
      <c r="AH366" s="27">
        <v>1</v>
      </c>
      <c r="AI366" s="27">
        <v>0</v>
      </c>
      <c r="AJ366" s="27">
        <v>0</v>
      </c>
      <c r="AK366" s="27">
        <v>0</v>
      </c>
      <c r="AL366" s="27">
        <v>0</v>
      </c>
      <c r="AM366" s="27">
        <v>0</v>
      </c>
      <c r="AN366" s="27">
        <v>0</v>
      </c>
      <c r="AO366" s="27">
        <v>0</v>
      </c>
      <c r="AP366" s="27">
        <v>0</v>
      </c>
      <c r="AQ366" s="27">
        <v>0</v>
      </c>
      <c r="AR366" s="27">
        <v>0</v>
      </c>
      <c r="AS366" s="27">
        <v>0</v>
      </c>
      <c r="AT366" s="27">
        <v>1</v>
      </c>
      <c r="AU366" s="27">
        <v>0</v>
      </c>
      <c r="AV366" s="27">
        <v>0</v>
      </c>
      <c r="AW366" s="27">
        <v>1</v>
      </c>
      <c r="AX366" s="27">
        <v>0</v>
      </c>
      <c r="AZ366" s="27">
        <v>1</v>
      </c>
      <c r="BA366" s="27">
        <v>2</v>
      </c>
      <c r="BB366" s="27">
        <v>59.7</v>
      </c>
      <c r="BC366" s="27" t="s">
        <v>1291</v>
      </c>
      <c r="BD366" s="27" t="s">
        <v>169</v>
      </c>
      <c r="BE366" s="27" t="s">
        <v>128</v>
      </c>
      <c r="BF366" s="27" t="s">
        <v>77</v>
      </c>
      <c r="BG366" s="27">
        <v>1</v>
      </c>
      <c r="BH366" s="27">
        <v>28</v>
      </c>
      <c r="BI366" s="27">
        <v>0.0345</v>
      </c>
      <c r="BJ366" s="27">
        <v>1</v>
      </c>
      <c r="BK366" s="27">
        <v>17</v>
      </c>
      <c r="BL366" s="27">
        <v>95.3</v>
      </c>
    </row>
    <row r="367" customHeight="1" spans="1:64">
      <c r="A367" s="27" t="s">
        <v>1292</v>
      </c>
      <c r="B367" s="27" t="s">
        <v>125</v>
      </c>
      <c r="E367" s="27" t="s">
        <v>81</v>
      </c>
      <c r="F367" s="27" t="s">
        <v>240</v>
      </c>
      <c r="G367" s="27" t="s">
        <v>83</v>
      </c>
      <c r="H367" s="27" t="s">
        <v>138</v>
      </c>
      <c r="I367" s="27" t="s">
        <v>85</v>
      </c>
      <c r="J367" s="27">
        <v>5</v>
      </c>
      <c r="K367" s="27">
        <v>19.99</v>
      </c>
      <c r="M367" s="27">
        <v>0</v>
      </c>
      <c r="N367" s="27">
        <v>0</v>
      </c>
      <c r="O367" s="27">
        <v>0</v>
      </c>
      <c r="P367" s="27" t="s">
        <v>133</v>
      </c>
      <c r="Q367" s="27">
        <v>3.044046</v>
      </c>
      <c r="S367" s="27">
        <v>49</v>
      </c>
      <c r="T367" s="27">
        <v>10</v>
      </c>
      <c r="U367" s="27">
        <v>0.8305</v>
      </c>
      <c r="V367" s="27" t="s">
        <v>72</v>
      </c>
      <c r="W367" s="27">
        <v>979.51</v>
      </c>
      <c r="X367" s="27">
        <v>3.912023</v>
      </c>
      <c r="Y367" s="27">
        <v>6.888073</v>
      </c>
      <c r="Z367" s="27">
        <v>3.1623</v>
      </c>
      <c r="AA367" s="27" t="s">
        <v>139</v>
      </c>
      <c r="AB367" s="27">
        <v>0</v>
      </c>
      <c r="AC367" s="27">
        <v>0</v>
      </c>
      <c r="AD367" s="27">
        <v>0</v>
      </c>
      <c r="AE367" s="27">
        <v>0</v>
      </c>
      <c r="AF367" s="27">
        <v>0</v>
      </c>
      <c r="AG367" s="27">
        <v>0</v>
      </c>
      <c r="AH367" s="27">
        <v>1</v>
      </c>
      <c r="AI367" s="27">
        <v>0</v>
      </c>
      <c r="AJ367" s="27">
        <v>0</v>
      </c>
      <c r="AK367" s="27">
        <v>0</v>
      </c>
      <c r="AL367" s="27">
        <v>1</v>
      </c>
      <c r="AM367" s="27">
        <v>0</v>
      </c>
      <c r="AN367" s="27">
        <v>0</v>
      </c>
      <c r="AO367" s="27">
        <v>0</v>
      </c>
      <c r="AP367" s="27">
        <v>0</v>
      </c>
      <c r="AQ367" s="27">
        <v>0</v>
      </c>
      <c r="AR367" s="27">
        <v>0</v>
      </c>
      <c r="AS367" s="27">
        <v>0</v>
      </c>
      <c r="AT367" s="27">
        <v>0</v>
      </c>
      <c r="AU367" s="27">
        <v>0</v>
      </c>
      <c r="AV367" s="27">
        <v>0</v>
      </c>
      <c r="AW367" s="27">
        <v>0</v>
      </c>
      <c r="AX367" s="27">
        <v>0</v>
      </c>
      <c r="AZ367" s="27">
        <v>1</v>
      </c>
      <c r="BA367" s="27">
        <v>1</v>
      </c>
      <c r="BB367" s="27">
        <v>63.07</v>
      </c>
      <c r="BC367" s="27" t="s">
        <v>1293</v>
      </c>
      <c r="BD367" s="27" t="s">
        <v>356</v>
      </c>
      <c r="BE367" s="27" t="s">
        <v>287</v>
      </c>
      <c r="BF367" s="27" t="s">
        <v>77</v>
      </c>
      <c r="BG367" s="27">
        <v>1</v>
      </c>
      <c r="BH367" s="27">
        <v>48</v>
      </c>
      <c r="BI367" s="27">
        <v>0.0204</v>
      </c>
      <c r="BJ367" s="27">
        <v>1</v>
      </c>
      <c r="BK367" s="27">
        <v>2</v>
      </c>
      <c r="BL367" s="27">
        <v>99.5</v>
      </c>
    </row>
    <row r="368" customHeight="1" spans="1:64">
      <c r="A368" s="27" t="s">
        <v>1294</v>
      </c>
      <c r="B368" s="27" t="s">
        <v>171</v>
      </c>
      <c r="C368" s="27" t="s">
        <v>1295</v>
      </c>
      <c r="E368" s="27" t="s">
        <v>250</v>
      </c>
      <c r="F368" s="27" t="s">
        <v>160</v>
      </c>
      <c r="G368" s="27" t="s">
        <v>83</v>
      </c>
      <c r="H368" s="27" t="s">
        <v>84</v>
      </c>
      <c r="I368" s="27" t="s">
        <v>85</v>
      </c>
      <c r="J368" s="27">
        <v>5</v>
      </c>
      <c r="K368" s="27">
        <v>16.49</v>
      </c>
      <c r="M368" s="27">
        <v>0</v>
      </c>
      <c r="N368" s="27">
        <v>0</v>
      </c>
      <c r="O368" s="27">
        <v>0</v>
      </c>
      <c r="P368" s="27" t="s">
        <v>133</v>
      </c>
      <c r="Q368" s="27">
        <v>2.861629</v>
      </c>
      <c r="S368" s="27">
        <v>726</v>
      </c>
      <c r="T368" s="27">
        <v>10</v>
      </c>
      <c r="U368" s="27">
        <v>0.9864</v>
      </c>
      <c r="V368" s="27" t="s">
        <v>154</v>
      </c>
      <c r="W368" s="27">
        <v>11971.74</v>
      </c>
      <c r="X368" s="27">
        <v>6.588926</v>
      </c>
      <c r="Y368" s="27">
        <v>9.390388</v>
      </c>
      <c r="Z368" s="27">
        <v>3.1623</v>
      </c>
      <c r="AA368" s="27" t="s">
        <v>139</v>
      </c>
      <c r="AB368" s="27">
        <v>1</v>
      </c>
      <c r="AC368" s="27">
        <v>0</v>
      </c>
      <c r="AD368" s="27">
        <v>0</v>
      </c>
      <c r="AE368" s="27">
        <v>0</v>
      </c>
      <c r="AF368" s="27">
        <v>0</v>
      </c>
      <c r="AG368" s="27">
        <v>0</v>
      </c>
      <c r="AH368" s="27">
        <v>0</v>
      </c>
      <c r="AI368" s="27">
        <v>0</v>
      </c>
      <c r="AJ368" s="27">
        <v>0</v>
      </c>
      <c r="AK368" s="27">
        <v>0</v>
      </c>
      <c r="AL368" s="27">
        <v>0</v>
      </c>
      <c r="AM368" s="27">
        <v>0</v>
      </c>
      <c r="AN368" s="27">
        <v>0</v>
      </c>
      <c r="AO368" s="27">
        <v>0</v>
      </c>
      <c r="AP368" s="27">
        <v>0</v>
      </c>
      <c r="AQ368" s="27">
        <v>0</v>
      </c>
      <c r="AR368" s="27">
        <v>0</v>
      </c>
      <c r="AS368" s="27">
        <v>0</v>
      </c>
      <c r="AT368" s="27">
        <v>1</v>
      </c>
      <c r="AU368" s="27">
        <v>0</v>
      </c>
      <c r="AV368" s="27">
        <v>0</v>
      </c>
      <c r="AW368" s="27">
        <v>0</v>
      </c>
      <c r="AX368" s="27">
        <v>0</v>
      </c>
      <c r="AZ368" s="27">
        <v>1</v>
      </c>
      <c r="BA368" s="27">
        <v>1</v>
      </c>
      <c r="BB368" s="27">
        <v>68.98</v>
      </c>
      <c r="BC368" s="27" t="s">
        <v>174</v>
      </c>
      <c r="BD368" s="27" t="s">
        <v>175</v>
      </c>
      <c r="BE368" s="27" t="s">
        <v>226</v>
      </c>
      <c r="BF368" s="27" t="s">
        <v>77</v>
      </c>
      <c r="BG368" s="27">
        <v>1</v>
      </c>
      <c r="BH368" s="27">
        <v>28</v>
      </c>
      <c r="BI368" s="27">
        <v>0.0345</v>
      </c>
      <c r="BJ368" s="27">
        <v>1</v>
      </c>
      <c r="BK368" s="27">
        <v>6</v>
      </c>
      <c r="BL368" s="27">
        <v>98.4</v>
      </c>
    </row>
    <row r="369" customHeight="1" spans="1:64">
      <c r="A369" s="27" t="s">
        <v>1296</v>
      </c>
      <c r="B369" s="27" t="s">
        <v>125</v>
      </c>
      <c r="E369" s="27" t="s">
        <v>438</v>
      </c>
      <c r="F369" s="27" t="s">
        <v>198</v>
      </c>
      <c r="G369" s="27" t="s">
        <v>83</v>
      </c>
      <c r="H369" s="27" t="s">
        <v>138</v>
      </c>
      <c r="I369" s="27" t="s">
        <v>85</v>
      </c>
      <c r="J369" s="27">
        <v>5</v>
      </c>
      <c r="K369" s="27">
        <v>8.99</v>
      </c>
      <c r="M369" s="27">
        <v>0</v>
      </c>
      <c r="N369" s="27">
        <v>0</v>
      </c>
      <c r="O369" s="27">
        <v>0</v>
      </c>
      <c r="P369" s="27" t="s">
        <v>133</v>
      </c>
      <c r="Q369" s="27">
        <v>2.301585</v>
      </c>
      <c r="S369" s="27">
        <v>142</v>
      </c>
      <c r="T369" s="27">
        <v>10</v>
      </c>
      <c r="U369" s="27">
        <v>0.9342</v>
      </c>
      <c r="V369" s="27" t="s">
        <v>72</v>
      </c>
      <c r="W369" s="27">
        <v>1276.58</v>
      </c>
      <c r="X369" s="27">
        <v>4.962845</v>
      </c>
      <c r="Y369" s="27">
        <v>7.152723</v>
      </c>
      <c r="Z369" s="27">
        <v>3.1623</v>
      </c>
      <c r="AA369" s="27" t="s">
        <v>125</v>
      </c>
      <c r="AB369" s="27">
        <v>1</v>
      </c>
      <c r="AC369" s="27">
        <v>0</v>
      </c>
      <c r="AD369" s="27">
        <v>0</v>
      </c>
      <c r="AE369" s="27">
        <v>0</v>
      </c>
      <c r="AF369" s="27">
        <v>0</v>
      </c>
      <c r="AG369" s="27">
        <v>0</v>
      </c>
      <c r="AH369" s="27">
        <v>0</v>
      </c>
      <c r="AI369" s="27">
        <v>0</v>
      </c>
      <c r="AJ369" s="27">
        <v>0</v>
      </c>
      <c r="AK369" s="27">
        <v>0</v>
      </c>
      <c r="AL369" s="27">
        <v>0</v>
      </c>
      <c r="AM369" s="27">
        <v>0</v>
      </c>
      <c r="AN369" s="27">
        <v>0</v>
      </c>
      <c r="AO369" s="27">
        <v>0</v>
      </c>
      <c r="AP369" s="27">
        <v>0</v>
      </c>
      <c r="AQ369" s="27">
        <v>0</v>
      </c>
      <c r="AR369" s="27">
        <v>0</v>
      </c>
      <c r="AS369" s="27">
        <v>0</v>
      </c>
      <c r="AT369" s="27">
        <v>0</v>
      </c>
      <c r="AU369" s="27">
        <v>0</v>
      </c>
      <c r="AV369" s="27">
        <v>0</v>
      </c>
      <c r="AW369" s="27">
        <v>0</v>
      </c>
      <c r="AX369" s="27">
        <v>0</v>
      </c>
      <c r="AZ369" s="27">
        <v>1</v>
      </c>
      <c r="BA369" s="27">
        <v>1</v>
      </c>
      <c r="BB369" s="27">
        <v>64.82</v>
      </c>
      <c r="BC369" s="27" t="s">
        <v>1297</v>
      </c>
      <c r="BD369" s="27" t="s">
        <v>1271</v>
      </c>
      <c r="BE369" s="27" t="s">
        <v>136</v>
      </c>
      <c r="BF369" s="27" t="s">
        <v>77</v>
      </c>
      <c r="BG369" s="27">
        <v>168</v>
      </c>
      <c r="BH369" s="27">
        <v>11</v>
      </c>
      <c r="BI369" s="27">
        <v>0.9385</v>
      </c>
      <c r="BJ369" s="27">
        <v>0</v>
      </c>
      <c r="BK369" s="27">
        <v>31</v>
      </c>
      <c r="BL369" s="27">
        <v>91.5</v>
      </c>
    </row>
    <row r="370" customHeight="1" spans="1:64">
      <c r="A370" s="27" t="s">
        <v>1298</v>
      </c>
      <c r="B370" s="27" t="s">
        <v>125</v>
      </c>
      <c r="E370" s="27" t="s">
        <v>438</v>
      </c>
      <c r="F370" s="27" t="s">
        <v>240</v>
      </c>
      <c r="G370" s="27" t="s">
        <v>83</v>
      </c>
      <c r="H370" s="27" t="s">
        <v>138</v>
      </c>
      <c r="I370" s="27" t="s">
        <v>85</v>
      </c>
      <c r="J370" s="27">
        <v>5</v>
      </c>
      <c r="K370" s="27">
        <v>455</v>
      </c>
      <c r="M370" s="27">
        <v>0</v>
      </c>
      <c r="N370" s="27">
        <v>0</v>
      </c>
      <c r="O370" s="27">
        <v>0</v>
      </c>
      <c r="P370" s="27" t="s">
        <v>71</v>
      </c>
      <c r="Q370" s="27">
        <v>6.122493</v>
      </c>
      <c r="R370" s="27">
        <v>28.44</v>
      </c>
      <c r="S370" s="27">
        <v>3</v>
      </c>
      <c r="T370" s="27">
        <v>2</v>
      </c>
      <c r="U370" s="27">
        <v>0.6</v>
      </c>
      <c r="V370" s="27" t="s">
        <v>87</v>
      </c>
      <c r="W370" s="27">
        <v>1365</v>
      </c>
      <c r="X370" s="27">
        <v>1.386294</v>
      </c>
      <c r="Y370" s="27">
        <v>7.219642</v>
      </c>
      <c r="Z370" s="27">
        <v>1.4142</v>
      </c>
      <c r="AA370" s="27" t="s">
        <v>125</v>
      </c>
      <c r="AB370" s="27">
        <v>0</v>
      </c>
      <c r="AC370" s="27">
        <v>0</v>
      </c>
      <c r="AD370" s="27">
        <v>0</v>
      </c>
      <c r="AE370" s="27">
        <v>0</v>
      </c>
      <c r="AF370" s="27">
        <v>0</v>
      </c>
      <c r="AG370" s="27">
        <v>1</v>
      </c>
      <c r="AH370" s="27">
        <v>0</v>
      </c>
      <c r="AI370" s="27">
        <v>0</v>
      </c>
      <c r="AJ370" s="27">
        <v>0</v>
      </c>
      <c r="AK370" s="27">
        <v>0</v>
      </c>
      <c r="AL370" s="27">
        <v>0</v>
      </c>
      <c r="AM370" s="27">
        <v>0</v>
      </c>
      <c r="AN370" s="27">
        <v>0</v>
      </c>
      <c r="AO370" s="27">
        <v>0</v>
      </c>
      <c r="AP370" s="27">
        <v>0</v>
      </c>
      <c r="AQ370" s="27">
        <v>1</v>
      </c>
      <c r="AR370" s="27">
        <v>0</v>
      </c>
      <c r="AS370" s="27">
        <v>0</v>
      </c>
      <c r="AT370" s="27">
        <v>0</v>
      </c>
      <c r="AU370" s="27">
        <v>0</v>
      </c>
      <c r="AV370" s="27">
        <v>1</v>
      </c>
      <c r="AW370" s="27">
        <v>0</v>
      </c>
      <c r="AX370" s="27">
        <v>0</v>
      </c>
      <c r="AY370" s="27">
        <v>16</v>
      </c>
      <c r="AZ370" s="27">
        <v>1</v>
      </c>
      <c r="BA370" s="27">
        <v>1</v>
      </c>
      <c r="BB370" s="27">
        <v>51.54</v>
      </c>
      <c r="BC370" s="27" t="s">
        <v>1004</v>
      </c>
      <c r="BD370" s="27" t="s">
        <v>1005</v>
      </c>
      <c r="BE370" s="27" t="s">
        <v>113</v>
      </c>
      <c r="BF370" s="27" t="s">
        <v>77</v>
      </c>
      <c r="BG370" s="27">
        <v>168</v>
      </c>
      <c r="BH370" s="27">
        <v>11</v>
      </c>
      <c r="BI370" s="27">
        <v>0.9385</v>
      </c>
      <c r="BJ370" s="27">
        <v>0</v>
      </c>
      <c r="BK370" s="27">
        <v>30</v>
      </c>
      <c r="BL370" s="27">
        <v>91.8</v>
      </c>
    </row>
    <row r="371" customHeight="1" spans="1:64">
      <c r="A371" s="27" t="s">
        <v>1299</v>
      </c>
      <c r="B371" s="27" t="s">
        <v>171</v>
      </c>
      <c r="C371" s="27" t="s">
        <v>1300</v>
      </c>
      <c r="E371" s="27" t="s">
        <v>250</v>
      </c>
      <c r="F371" s="27" t="s">
        <v>160</v>
      </c>
      <c r="G371" s="27" t="s">
        <v>83</v>
      </c>
      <c r="H371" s="27" t="s">
        <v>84</v>
      </c>
      <c r="I371" s="27" t="s">
        <v>85</v>
      </c>
      <c r="J371" s="27">
        <v>5</v>
      </c>
      <c r="K371" s="27">
        <v>125.55</v>
      </c>
      <c r="M371" s="27">
        <v>0</v>
      </c>
      <c r="N371" s="27">
        <v>0</v>
      </c>
      <c r="O371" s="27">
        <v>0</v>
      </c>
      <c r="P371" s="27" t="s">
        <v>95</v>
      </c>
      <c r="Q371" s="27">
        <v>4.840637</v>
      </c>
      <c r="R371" s="27">
        <v>31.39</v>
      </c>
      <c r="S371" s="27">
        <v>106</v>
      </c>
      <c r="T371" s="27">
        <v>100</v>
      </c>
      <c r="U371" s="27">
        <v>0.5146</v>
      </c>
      <c r="V371" s="27" t="s">
        <v>72</v>
      </c>
      <c r="W371" s="27">
        <v>13308.3</v>
      </c>
      <c r="X371" s="27">
        <v>4.672829</v>
      </c>
      <c r="Y371" s="27">
        <v>9.496218</v>
      </c>
      <c r="Z371" s="27">
        <v>10</v>
      </c>
      <c r="AA371" s="27" t="s">
        <v>110</v>
      </c>
      <c r="AB371" s="27">
        <v>0</v>
      </c>
      <c r="AC371" s="27">
        <v>0</v>
      </c>
      <c r="AD371" s="27">
        <v>0</v>
      </c>
      <c r="AE371" s="27">
        <v>0</v>
      </c>
      <c r="AF371" s="27">
        <v>0</v>
      </c>
      <c r="AG371" s="27">
        <v>0</v>
      </c>
      <c r="AH371" s="27">
        <v>1</v>
      </c>
      <c r="AI371" s="27">
        <v>0</v>
      </c>
      <c r="AJ371" s="27">
        <v>0</v>
      </c>
      <c r="AK371" s="27">
        <v>0</v>
      </c>
      <c r="AL371" s="27">
        <v>0</v>
      </c>
      <c r="AM371" s="27">
        <v>0</v>
      </c>
      <c r="AN371" s="27">
        <v>1</v>
      </c>
      <c r="AO371" s="27">
        <v>0</v>
      </c>
      <c r="AP371" s="27">
        <v>0</v>
      </c>
      <c r="AQ371" s="27">
        <v>1</v>
      </c>
      <c r="AR371" s="27">
        <v>0</v>
      </c>
      <c r="AS371" s="27">
        <v>0</v>
      </c>
      <c r="AT371" s="27">
        <v>0</v>
      </c>
      <c r="AU371" s="27">
        <v>0</v>
      </c>
      <c r="AV371" s="27">
        <v>1</v>
      </c>
      <c r="AW371" s="27">
        <v>1</v>
      </c>
      <c r="AX371" s="27">
        <v>0</v>
      </c>
      <c r="AY371" s="27">
        <v>4</v>
      </c>
      <c r="AZ371" s="27">
        <v>1</v>
      </c>
      <c r="BA371" s="27">
        <v>3</v>
      </c>
      <c r="BB371" s="27">
        <v>49.68</v>
      </c>
      <c r="BC371" s="27" t="s">
        <v>251</v>
      </c>
      <c r="BD371" s="27" t="s">
        <v>175</v>
      </c>
      <c r="BE371" s="27" t="s">
        <v>91</v>
      </c>
      <c r="BF371" s="27" t="s">
        <v>77</v>
      </c>
      <c r="BG371" s="27">
        <v>162</v>
      </c>
      <c r="BH371" s="27">
        <v>60</v>
      </c>
      <c r="BI371" s="27">
        <v>0.7297</v>
      </c>
      <c r="BJ371" s="27">
        <v>0</v>
      </c>
      <c r="BK371" s="27">
        <v>11</v>
      </c>
      <c r="BL371" s="27">
        <v>97</v>
      </c>
    </row>
    <row r="372" customHeight="1" spans="1:64">
      <c r="A372" s="27" t="s">
        <v>1301</v>
      </c>
      <c r="B372" s="27" t="s">
        <v>171</v>
      </c>
      <c r="C372" s="27" t="s">
        <v>1302</v>
      </c>
      <c r="E372" s="27" t="s">
        <v>255</v>
      </c>
      <c r="F372" s="27" t="s">
        <v>160</v>
      </c>
      <c r="G372" s="27" t="s">
        <v>83</v>
      </c>
      <c r="H372" s="27" t="s">
        <v>84</v>
      </c>
      <c r="I372" s="27" t="s">
        <v>85</v>
      </c>
      <c r="J372" s="27">
        <v>5</v>
      </c>
      <c r="K372" s="27">
        <v>127.49</v>
      </c>
      <c r="M372" s="27">
        <v>0</v>
      </c>
      <c r="N372" s="27">
        <v>0</v>
      </c>
      <c r="O372" s="27">
        <v>0</v>
      </c>
      <c r="P372" s="27" t="s">
        <v>95</v>
      </c>
      <c r="Q372" s="27">
        <v>4.855851</v>
      </c>
      <c r="R372" s="27">
        <v>7.97</v>
      </c>
      <c r="S372" s="27">
        <v>84</v>
      </c>
      <c r="T372" s="27">
        <v>10</v>
      </c>
      <c r="U372" s="27">
        <v>0.8936</v>
      </c>
      <c r="V372" s="27" t="s">
        <v>72</v>
      </c>
      <c r="W372" s="27">
        <v>10709.16</v>
      </c>
      <c r="X372" s="27">
        <v>4.442651</v>
      </c>
      <c r="Y372" s="27">
        <v>9.278948</v>
      </c>
      <c r="Z372" s="27">
        <v>3.1623</v>
      </c>
      <c r="AA372" s="27" t="s">
        <v>110</v>
      </c>
      <c r="AB372" s="27">
        <v>1</v>
      </c>
      <c r="AC372" s="27">
        <v>1</v>
      </c>
      <c r="AD372" s="27">
        <v>0</v>
      </c>
      <c r="AE372" s="27">
        <v>0</v>
      </c>
      <c r="AF372" s="27">
        <v>0</v>
      </c>
      <c r="AG372" s="27">
        <v>0</v>
      </c>
      <c r="AH372" s="27">
        <v>0</v>
      </c>
      <c r="AI372" s="27">
        <v>0</v>
      </c>
      <c r="AJ372" s="27">
        <v>0</v>
      </c>
      <c r="AK372" s="27">
        <v>0</v>
      </c>
      <c r="AL372" s="27">
        <v>0</v>
      </c>
      <c r="AM372" s="27">
        <v>0</v>
      </c>
      <c r="AN372" s="27">
        <v>0</v>
      </c>
      <c r="AO372" s="27">
        <v>0</v>
      </c>
      <c r="AP372" s="27">
        <v>0</v>
      </c>
      <c r="AQ372" s="27">
        <v>1</v>
      </c>
      <c r="AR372" s="27">
        <v>0</v>
      </c>
      <c r="AS372" s="27">
        <v>0</v>
      </c>
      <c r="AT372" s="27">
        <v>0</v>
      </c>
      <c r="AU372" s="27">
        <v>0</v>
      </c>
      <c r="AV372" s="27">
        <v>1</v>
      </c>
      <c r="AW372" s="27">
        <v>1</v>
      </c>
      <c r="AX372" s="27">
        <v>0</v>
      </c>
      <c r="AY372" s="27">
        <v>16</v>
      </c>
      <c r="AZ372" s="27">
        <v>1</v>
      </c>
      <c r="BA372" s="27">
        <v>3</v>
      </c>
      <c r="BB372" s="27">
        <v>64.99</v>
      </c>
      <c r="BC372" s="27" t="s">
        <v>506</v>
      </c>
      <c r="BD372" s="27" t="s">
        <v>175</v>
      </c>
      <c r="BE372" s="27" t="s">
        <v>91</v>
      </c>
      <c r="BF372" s="27" t="s">
        <v>77</v>
      </c>
      <c r="BG372" s="27">
        <v>161</v>
      </c>
      <c r="BH372" s="27">
        <v>61</v>
      </c>
      <c r="BI372" s="27">
        <v>0.7252</v>
      </c>
      <c r="BJ372" s="27">
        <v>0</v>
      </c>
      <c r="BK372" s="27">
        <v>9</v>
      </c>
      <c r="BL372" s="27">
        <v>97.5</v>
      </c>
    </row>
    <row r="373" customHeight="1" spans="1:64">
      <c r="A373" s="27" t="s">
        <v>599</v>
      </c>
      <c r="B373" s="27" t="s">
        <v>600</v>
      </c>
      <c r="E373" s="27" t="s">
        <v>601</v>
      </c>
      <c r="F373" s="27" t="s">
        <v>82</v>
      </c>
      <c r="G373" s="27" t="s">
        <v>83</v>
      </c>
      <c r="H373" s="27" t="s">
        <v>84</v>
      </c>
      <c r="I373" s="27" t="s">
        <v>85</v>
      </c>
      <c r="J373" s="27">
        <v>5</v>
      </c>
      <c r="K373" s="27">
        <v>48.99</v>
      </c>
      <c r="M373" s="27">
        <v>0</v>
      </c>
      <c r="N373" s="27">
        <v>0</v>
      </c>
      <c r="O373" s="27">
        <v>0</v>
      </c>
      <c r="P373" s="27" t="s">
        <v>86</v>
      </c>
      <c r="Q373" s="27">
        <v>3.911823</v>
      </c>
      <c r="S373" s="27">
        <v>101</v>
      </c>
      <c r="T373" s="27">
        <v>8</v>
      </c>
      <c r="U373" s="27">
        <v>0.9266</v>
      </c>
      <c r="V373" s="27" t="s">
        <v>72</v>
      </c>
      <c r="W373" s="27">
        <v>4947.99</v>
      </c>
      <c r="X373" s="27">
        <v>4.624973</v>
      </c>
      <c r="Y373" s="27">
        <v>8.506939</v>
      </c>
      <c r="Z373" s="27">
        <v>2.8284</v>
      </c>
      <c r="AA373" s="27" t="s">
        <v>125</v>
      </c>
      <c r="AB373" s="27">
        <v>0</v>
      </c>
      <c r="AC373" s="27">
        <v>0</v>
      </c>
      <c r="AD373" s="27">
        <v>0</v>
      </c>
      <c r="AE373" s="27">
        <v>0</v>
      </c>
      <c r="AF373" s="27">
        <v>0</v>
      </c>
      <c r="AG373" s="27">
        <v>0</v>
      </c>
      <c r="AH373" s="27">
        <v>1</v>
      </c>
      <c r="AI373" s="27">
        <v>0</v>
      </c>
      <c r="AJ373" s="27">
        <v>0</v>
      </c>
      <c r="AK373" s="27">
        <v>0</v>
      </c>
      <c r="AL373" s="27">
        <v>1</v>
      </c>
      <c r="AM373" s="27">
        <v>0</v>
      </c>
      <c r="AN373" s="27">
        <v>0</v>
      </c>
      <c r="AO373" s="27">
        <v>0</v>
      </c>
      <c r="AP373" s="27">
        <v>0</v>
      </c>
      <c r="AQ373" s="27">
        <v>0</v>
      </c>
      <c r="AR373" s="27">
        <v>0</v>
      </c>
      <c r="AS373" s="27">
        <v>0</v>
      </c>
      <c r="AT373" s="27">
        <v>0</v>
      </c>
      <c r="AU373" s="27">
        <v>0</v>
      </c>
      <c r="AV373" s="27">
        <v>0</v>
      </c>
      <c r="AW373" s="27">
        <v>0</v>
      </c>
      <c r="AX373" s="27">
        <v>0</v>
      </c>
      <c r="AZ373" s="27">
        <v>1</v>
      </c>
      <c r="BA373" s="27">
        <v>1</v>
      </c>
      <c r="BB373" s="27">
        <v>66.91</v>
      </c>
      <c r="BC373" s="27" t="s">
        <v>1303</v>
      </c>
      <c r="BD373" s="27" t="s">
        <v>1304</v>
      </c>
      <c r="BE373" s="27" t="s">
        <v>113</v>
      </c>
      <c r="BF373" s="27" t="s">
        <v>77</v>
      </c>
      <c r="BG373" s="27">
        <v>168</v>
      </c>
      <c r="BH373" s="27">
        <v>11</v>
      </c>
      <c r="BI373" s="27">
        <v>0.9385</v>
      </c>
      <c r="BJ373" s="27">
        <v>0</v>
      </c>
      <c r="BK373" s="27">
        <v>2</v>
      </c>
      <c r="BL373" s="27">
        <v>99.5</v>
      </c>
    </row>
    <row r="374" customHeight="1" spans="1:64">
      <c r="A374" s="27" t="s">
        <v>1305</v>
      </c>
      <c r="B374" s="27" t="s">
        <v>365</v>
      </c>
      <c r="C374" s="27" t="s">
        <v>1306</v>
      </c>
      <c r="D374" s="27">
        <v>810084693575</v>
      </c>
      <c r="E374" s="27" t="s">
        <v>163</v>
      </c>
      <c r="F374" s="27" t="s">
        <v>82</v>
      </c>
      <c r="G374" s="27" t="s">
        <v>83</v>
      </c>
      <c r="H374" s="27" t="s">
        <v>84</v>
      </c>
      <c r="I374" s="27" t="s">
        <v>85</v>
      </c>
      <c r="J374" s="27">
        <v>5</v>
      </c>
      <c r="K374" s="27">
        <v>169.99</v>
      </c>
      <c r="M374" s="27">
        <v>0</v>
      </c>
      <c r="N374" s="27">
        <v>0</v>
      </c>
      <c r="O374" s="27">
        <v>0</v>
      </c>
      <c r="P374" s="27" t="s">
        <v>95</v>
      </c>
      <c r="Q374" s="27">
        <v>5.141605</v>
      </c>
      <c r="S374" s="27">
        <v>6</v>
      </c>
      <c r="T374" s="27">
        <v>1</v>
      </c>
      <c r="U374" s="27">
        <v>0.8571</v>
      </c>
      <c r="V374" s="27" t="s">
        <v>87</v>
      </c>
      <c r="W374" s="27">
        <v>1019.94</v>
      </c>
      <c r="X374" s="27">
        <v>1.94591</v>
      </c>
      <c r="Y374" s="27">
        <v>6.928479</v>
      </c>
      <c r="Z374" s="27">
        <v>1</v>
      </c>
      <c r="AA374" s="27" t="s">
        <v>125</v>
      </c>
      <c r="AB374" s="27">
        <v>0</v>
      </c>
      <c r="AC374" s="27">
        <v>0</v>
      </c>
      <c r="AD374" s="27">
        <v>0</v>
      </c>
      <c r="AE374" s="27">
        <v>0</v>
      </c>
      <c r="AF374" s="27">
        <v>0</v>
      </c>
      <c r="AG374" s="27">
        <v>0</v>
      </c>
      <c r="AH374" s="27">
        <v>0</v>
      </c>
      <c r="AI374" s="27">
        <v>0</v>
      </c>
      <c r="AJ374" s="27">
        <v>0</v>
      </c>
      <c r="AK374" s="27">
        <v>0</v>
      </c>
      <c r="AL374" s="27">
        <v>0</v>
      </c>
      <c r="AM374" s="27">
        <v>0</v>
      </c>
      <c r="AN374" s="27">
        <v>0</v>
      </c>
      <c r="AO374" s="27">
        <v>0</v>
      </c>
      <c r="AP374" s="27">
        <v>0</v>
      </c>
      <c r="AQ374" s="27">
        <v>0</v>
      </c>
      <c r="AR374" s="27">
        <v>0</v>
      </c>
      <c r="AS374" s="27">
        <v>0</v>
      </c>
      <c r="AT374" s="27">
        <v>0</v>
      </c>
      <c r="AU374" s="27">
        <v>0</v>
      </c>
      <c r="AV374" s="27">
        <v>0</v>
      </c>
      <c r="AW374" s="27">
        <v>0</v>
      </c>
      <c r="AX374" s="27">
        <v>0</v>
      </c>
      <c r="AZ374" s="27">
        <v>1</v>
      </c>
      <c r="BA374" s="27">
        <v>0</v>
      </c>
      <c r="BB374" s="27">
        <v>64.13</v>
      </c>
      <c r="BC374" s="27" t="s">
        <v>1307</v>
      </c>
      <c r="BD374" s="27" t="s">
        <v>940</v>
      </c>
      <c r="BE374" s="27" t="s">
        <v>1308</v>
      </c>
      <c r="BF374" s="27" t="s">
        <v>77</v>
      </c>
      <c r="BG374" s="27">
        <v>1</v>
      </c>
      <c r="BH374" s="27">
        <v>15</v>
      </c>
      <c r="BI374" s="27">
        <v>0.0625</v>
      </c>
      <c r="BJ374" s="27">
        <v>1</v>
      </c>
      <c r="BK374" s="27">
        <v>2</v>
      </c>
      <c r="BL374" s="27">
        <v>99.5</v>
      </c>
    </row>
    <row r="375" customHeight="1" spans="1:64">
      <c r="A375" s="27" t="s">
        <v>1309</v>
      </c>
      <c r="B375" s="27" t="s">
        <v>115</v>
      </c>
      <c r="E375" s="27" t="s">
        <v>1310</v>
      </c>
      <c r="F375" s="27" t="s">
        <v>82</v>
      </c>
      <c r="G375" s="27" t="s">
        <v>117</v>
      </c>
      <c r="H375" s="27" t="s">
        <v>107</v>
      </c>
      <c r="I375" s="27" t="s">
        <v>85</v>
      </c>
      <c r="J375" s="27">
        <v>5</v>
      </c>
      <c r="K375" s="27">
        <v>11.99</v>
      </c>
      <c r="M375" s="27">
        <v>0</v>
      </c>
      <c r="N375" s="27">
        <v>0</v>
      </c>
      <c r="O375" s="27">
        <v>0</v>
      </c>
      <c r="P375" s="27" t="s">
        <v>133</v>
      </c>
      <c r="Q375" s="27">
        <v>2.56418</v>
      </c>
      <c r="S375" s="27">
        <v>47</v>
      </c>
      <c r="T375" s="27">
        <v>10</v>
      </c>
      <c r="U375" s="27">
        <v>0.8246</v>
      </c>
      <c r="V375" s="27" t="s">
        <v>72</v>
      </c>
      <c r="W375" s="27">
        <v>563.53</v>
      </c>
      <c r="X375" s="27">
        <v>3.871201</v>
      </c>
      <c r="Y375" s="27">
        <v>6.335994</v>
      </c>
      <c r="Z375" s="27">
        <v>3.1623</v>
      </c>
      <c r="AA375" s="27" t="s">
        <v>139</v>
      </c>
      <c r="AB375" s="27">
        <v>0</v>
      </c>
      <c r="AC375" s="27">
        <v>0</v>
      </c>
      <c r="AD375" s="27">
        <v>0</v>
      </c>
      <c r="AE375" s="27">
        <v>0</v>
      </c>
      <c r="AF375" s="27">
        <v>0</v>
      </c>
      <c r="AG375" s="27">
        <v>0</v>
      </c>
      <c r="AH375" s="27">
        <v>0</v>
      </c>
      <c r="AI375" s="27">
        <v>0</v>
      </c>
      <c r="AJ375" s="27">
        <v>0</v>
      </c>
      <c r="AK375" s="27">
        <v>0</v>
      </c>
      <c r="AL375" s="27">
        <v>0</v>
      </c>
      <c r="AM375" s="27">
        <v>0</v>
      </c>
      <c r="AN375" s="27">
        <v>0</v>
      </c>
      <c r="AO375" s="27">
        <v>0</v>
      </c>
      <c r="AP375" s="27">
        <v>0</v>
      </c>
      <c r="AQ375" s="27">
        <v>0</v>
      </c>
      <c r="AR375" s="27">
        <v>0</v>
      </c>
      <c r="AS375" s="27">
        <v>1</v>
      </c>
      <c r="AT375" s="27">
        <v>0</v>
      </c>
      <c r="AU375" s="27">
        <v>0</v>
      </c>
      <c r="AV375" s="27">
        <v>0</v>
      </c>
      <c r="AW375" s="27">
        <v>0</v>
      </c>
      <c r="AX375" s="27">
        <v>0</v>
      </c>
      <c r="AZ375" s="27">
        <v>1</v>
      </c>
      <c r="BA375" s="27">
        <v>0</v>
      </c>
      <c r="BB375" s="27">
        <v>60.19</v>
      </c>
      <c r="BC375" s="27" t="s">
        <v>1311</v>
      </c>
      <c r="BD375" s="27" t="s">
        <v>698</v>
      </c>
      <c r="BE375" s="27" t="s">
        <v>166</v>
      </c>
      <c r="BF375" s="27" t="s">
        <v>77</v>
      </c>
      <c r="BG375" s="27">
        <v>168</v>
      </c>
      <c r="BH375" s="27">
        <v>11</v>
      </c>
      <c r="BI375" s="27">
        <v>0.9385</v>
      </c>
      <c r="BJ375" s="27">
        <v>0</v>
      </c>
      <c r="BK375" s="27">
        <v>34</v>
      </c>
      <c r="BL375" s="27">
        <v>90.7</v>
      </c>
    </row>
    <row r="376" customHeight="1" spans="1:64">
      <c r="A376" s="27" t="s">
        <v>1312</v>
      </c>
      <c r="B376" s="27" t="s">
        <v>548</v>
      </c>
      <c r="D376" s="27">
        <v>755113382788</v>
      </c>
      <c r="E376" s="27" t="s">
        <v>1313</v>
      </c>
      <c r="F376" s="27" t="s">
        <v>82</v>
      </c>
      <c r="G376" s="27" t="s">
        <v>83</v>
      </c>
      <c r="H376" s="27" t="s">
        <v>84</v>
      </c>
      <c r="I376" s="27" t="s">
        <v>85</v>
      </c>
      <c r="J376" s="27">
        <v>5</v>
      </c>
      <c r="K376" s="27">
        <v>79.99</v>
      </c>
      <c r="M376" s="27">
        <v>0</v>
      </c>
      <c r="N376" s="27">
        <v>0</v>
      </c>
      <c r="O376" s="27">
        <v>0</v>
      </c>
      <c r="P376" s="27" t="s">
        <v>95</v>
      </c>
      <c r="Q376" s="27">
        <v>4.394326</v>
      </c>
      <c r="S376" s="27">
        <v>23</v>
      </c>
      <c r="T376" s="27">
        <v>10</v>
      </c>
      <c r="U376" s="27">
        <v>0.697</v>
      </c>
      <c r="V376" s="27" t="s">
        <v>72</v>
      </c>
      <c r="W376" s="27">
        <v>1839.77</v>
      </c>
      <c r="X376" s="27">
        <v>3.178054</v>
      </c>
      <c r="Y376" s="27">
        <v>7.517939</v>
      </c>
      <c r="Z376" s="27">
        <v>3.1623</v>
      </c>
      <c r="AA376" s="27" t="s">
        <v>125</v>
      </c>
      <c r="AB376" s="27">
        <v>0</v>
      </c>
      <c r="AC376" s="27">
        <v>0</v>
      </c>
      <c r="AD376" s="27">
        <v>0</v>
      </c>
      <c r="AE376" s="27">
        <v>1</v>
      </c>
      <c r="AF376" s="27">
        <v>1</v>
      </c>
      <c r="AG376" s="27">
        <v>0</v>
      </c>
      <c r="AH376" s="27">
        <v>1</v>
      </c>
      <c r="AI376" s="27">
        <v>0</v>
      </c>
      <c r="AJ376" s="27">
        <v>0</v>
      </c>
      <c r="AK376" s="27">
        <v>0</v>
      </c>
      <c r="AL376" s="27">
        <v>0</v>
      </c>
      <c r="AM376" s="27">
        <v>0</v>
      </c>
      <c r="AN376" s="27">
        <v>0</v>
      </c>
      <c r="AO376" s="27">
        <v>0</v>
      </c>
      <c r="AP376" s="27">
        <v>0</v>
      </c>
      <c r="AQ376" s="27">
        <v>0</v>
      </c>
      <c r="AR376" s="27">
        <v>0</v>
      </c>
      <c r="AS376" s="27">
        <v>0</v>
      </c>
      <c r="AT376" s="27">
        <v>1</v>
      </c>
      <c r="AU376" s="27">
        <v>0</v>
      </c>
      <c r="AV376" s="27">
        <v>0</v>
      </c>
      <c r="AW376" s="27">
        <v>1</v>
      </c>
      <c r="AX376" s="27">
        <v>0</v>
      </c>
      <c r="AZ376" s="27">
        <v>3</v>
      </c>
      <c r="BA376" s="27">
        <v>2</v>
      </c>
      <c r="BB376" s="27">
        <v>56.8</v>
      </c>
      <c r="BC376" s="27" t="s">
        <v>89</v>
      </c>
      <c r="BD376" s="27" t="s">
        <v>286</v>
      </c>
      <c r="BE376" s="27" t="s">
        <v>423</v>
      </c>
      <c r="BF376" s="27" t="s">
        <v>77</v>
      </c>
      <c r="BG376" s="27">
        <v>162</v>
      </c>
      <c r="BH376" s="27">
        <v>59</v>
      </c>
      <c r="BI376" s="27">
        <v>0.733</v>
      </c>
      <c r="BJ376" s="27">
        <v>0</v>
      </c>
      <c r="BK376" s="27">
        <v>13</v>
      </c>
      <c r="BL376" s="27">
        <v>96.4</v>
      </c>
    </row>
    <row r="377" customHeight="1" spans="1:64">
      <c r="A377" s="27" t="s">
        <v>1314</v>
      </c>
      <c r="B377" s="27" t="s">
        <v>1315</v>
      </c>
      <c r="C377" s="27" t="s">
        <v>1316</v>
      </c>
      <c r="E377" s="27" t="s">
        <v>1317</v>
      </c>
      <c r="F377" s="27" t="s">
        <v>240</v>
      </c>
      <c r="G377" s="27" t="s">
        <v>83</v>
      </c>
      <c r="H377" s="27" t="s">
        <v>84</v>
      </c>
      <c r="I377" s="27" t="s">
        <v>203</v>
      </c>
      <c r="J377" s="27">
        <v>4</v>
      </c>
      <c r="K377" s="27">
        <v>75</v>
      </c>
      <c r="L377" s="27">
        <v>299.99</v>
      </c>
      <c r="M377" s="27">
        <v>75</v>
      </c>
      <c r="N377" s="27">
        <v>224.99</v>
      </c>
      <c r="O377" s="27">
        <v>1</v>
      </c>
      <c r="P377" s="27" t="s">
        <v>95</v>
      </c>
      <c r="Q377" s="27">
        <v>4.330733</v>
      </c>
      <c r="T377" s="27">
        <v>2</v>
      </c>
      <c r="U377" s="27">
        <v>0</v>
      </c>
      <c r="V377" s="27" t="s">
        <v>231</v>
      </c>
      <c r="W377" s="27">
        <v>0</v>
      </c>
      <c r="X377" s="27">
        <v>0</v>
      </c>
      <c r="Y377" s="27">
        <v>0</v>
      </c>
      <c r="Z377" s="27">
        <v>1.4142</v>
      </c>
      <c r="AA377" s="27" t="s">
        <v>125</v>
      </c>
      <c r="AB377" s="27">
        <v>0</v>
      </c>
      <c r="AC377" s="27">
        <v>0</v>
      </c>
      <c r="AD377" s="27">
        <v>0</v>
      </c>
      <c r="AE377" s="27">
        <v>0</v>
      </c>
      <c r="AF377" s="27">
        <v>0</v>
      </c>
      <c r="AG377" s="27">
        <v>0</v>
      </c>
      <c r="AH377" s="27">
        <v>0</v>
      </c>
      <c r="AI377" s="27">
        <v>0</v>
      </c>
      <c r="AJ377" s="27">
        <v>0</v>
      </c>
      <c r="AK377" s="27">
        <v>0</v>
      </c>
      <c r="AL377" s="27">
        <v>0</v>
      </c>
      <c r="AM377" s="27">
        <v>0</v>
      </c>
      <c r="AN377" s="27">
        <v>0</v>
      </c>
      <c r="AO377" s="27">
        <v>0</v>
      </c>
      <c r="AP377" s="27">
        <v>0</v>
      </c>
      <c r="AQ377" s="27">
        <v>1</v>
      </c>
      <c r="AR377" s="27">
        <v>0</v>
      </c>
      <c r="AS377" s="27">
        <v>0</v>
      </c>
      <c r="AT377" s="27">
        <v>0</v>
      </c>
      <c r="AU377" s="27">
        <v>0</v>
      </c>
      <c r="AV377" s="27">
        <v>1</v>
      </c>
      <c r="AW377" s="27">
        <v>1</v>
      </c>
      <c r="AX377" s="27">
        <v>0</v>
      </c>
      <c r="AZ377" s="27">
        <v>1</v>
      </c>
      <c r="BA377" s="27">
        <v>1</v>
      </c>
      <c r="BB377" s="27">
        <v>41.82</v>
      </c>
      <c r="BC377" s="27" t="s">
        <v>1318</v>
      </c>
      <c r="BD377" s="27" t="s">
        <v>1319</v>
      </c>
      <c r="BE377" s="27" t="s">
        <v>113</v>
      </c>
      <c r="BF377" s="27" t="s">
        <v>77</v>
      </c>
      <c r="BG377" s="27">
        <v>168</v>
      </c>
      <c r="BH377" s="27">
        <v>38</v>
      </c>
      <c r="BI377" s="27">
        <v>0.8155</v>
      </c>
      <c r="BJ377" s="27">
        <v>0</v>
      </c>
      <c r="BK377" s="27">
        <v>130</v>
      </c>
      <c r="BL377" s="27">
        <v>64.4</v>
      </c>
    </row>
    <row r="378" customHeight="1" spans="1:64">
      <c r="A378" s="27" t="s">
        <v>1320</v>
      </c>
      <c r="B378" s="27" t="s">
        <v>1321</v>
      </c>
      <c r="C378" s="27" t="s">
        <v>1322</v>
      </c>
      <c r="E378" s="27" t="s">
        <v>163</v>
      </c>
      <c r="F378" s="27" t="s">
        <v>240</v>
      </c>
      <c r="G378" s="27" t="s">
        <v>83</v>
      </c>
      <c r="H378" s="27" t="s">
        <v>84</v>
      </c>
      <c r="I378" s="27" t="s">
        <v>85</v>
      </c>
      <c r="J378" s="27">
        <v>5</v>
      </c>
      <c r="K378" s="27">
        <v>282.15</v>
      </c>
      <c r="L378" s="27">
        <v>297</v>
      </c>
      <c r="M378" s="27">
        <v>5</v>
      </c>
      <c r="N378" s="27">
        <v>14.85</v>
      </c>
      <c r="O378" s="27">
        <v>1</v>
      </c>
      <c r="P378" s="27" t="s">
        <v>71</v>
      </c>
      <c r="Q378" s="27">
        <v>5.645977</v>
      </c>
      <c r="R378" s="27">
        <v>35.27</v>
      </c>
      <c r="V378" s="27" t="s">
        <v>231</v>
      </c>
      <c r="W378" s="27">
        <v>0</v>
      </c>
      <c r="X378" s="27">
        <v>0</v>
      </c>
      <c r="Y378" s="27">
        <v>0</v>
      </c>
      <c r="Z378" s="27">
        <v>0</v>
      </c>
      <c r="AA378" s="27" t="s">
        <v>125</v>
      </c>
      <c r="AB378" s="27">
        <v>0</v>
      </c>
      <c r="AC378" s="27">
        <v>0</v>
      </c>
      <c r="AD378" s="27">
        <v>0</v>
      </c>
      <c r="AE378" s="27">
        <v>0</v>
      </c>
      <c r="AF378" s="27">
        <v>0</v>
      </c>
      <c r="AG378" s="27">
        <v>0</v>
      </c>
      <c r="AH378" s="27">
        <v>0</v>
      </c>
      <c r="AI378" s="27">
        <v>0</v>
      </c>
      <c r="AJ378" s="27">
        <v>0</v>
      </c>
      <c r="AK378" s="27">
        <v>0</v>
      </c>
      <c r="AL378" s="27">
        <v>0</v>
      </c>
      <c r="AM378" s="27">
        <v>0</v>
      </c>
      <c r="AN378" s="27">
        <v>0</v>
      </c>
      <c r="AO378" s="27">
        <v>0</v>
      </c>
      <c r="AP378" s="27">
        <v>0</v>
      </c>
      <c r="AQ378" s="27">
        <v>1</v>
      </c>
      <c r="AR378" s="27">
        <v>0</v>
      </c>
      <c r="AS378" s="27">
        <v>0</v>
      </c>
      <c r="AT378" s="27">
        <v>0</v>
      </c>
      <c r="AU378" s="27">
        <v>0</v>
      </c>
      <c r="AV378" s="27">
        <v>1</v>
      </c>
      <c r="AW378" s="27">
        <v>1</v>
      </c>
      <c r="AX378" s="27">
        <v>0</v>
      </c>
      <c r="AY378" s="27">
        <v>8</v>
      </c>
      <c r="AZ378" s="27">
        <v>1</v>
      </c>
      <c r="BA378" s="27">
        <v>1</v>
      </c>
      <c r="BB378" s="27">
        <v>1.5</v>
      </c>
      <c r="BC378" s="27" t="s">
        <v>1323</v>
      </c>
      <c r="BD378" s="27" t="s">
        <v>1324</v>
      </c>
      <c r="BE378" s="27" t="s">
        <v>98</v>
      </c>
      <c r="BF378" s="27" t="s">
        <v>77</v>
      </c>
      <c r="BG378" s="27">
        <v>1</v>
      </c>
      <c r="BH378" s="27">
        <v>14</v>
      </c>
      <c r="BI378" s="27">
        <v>0.0667</v>
      </c>
      <c r="BJ378" s="27">
        <v>1</v>
      </c>
      <c r="BK378" s="27">
        <v>425</v>
      </c>
      <c r="BL378" s="27">
        <v>0</v>
      </c>
    </row>
    <row r="379" customHeight="1" spans="1:64">
      <c r="A379" s="27" t="s">
        <v>1325</v>
      </c>
      <c r="B379" s="27" t="s">
        <v>344</v>
      </c>
      <c r="E379" s="27" t="s">
        <v>911</v>
      </c>
      <c r="F379" s="27" t="s">
        <v>82</v>
      </c>
      <c r="G379" s="27" t="s">
        <v>346</v>
      </c>
      <c r="H379" s="27" t="s">
        <v>107</v>
      </c>
      <c r="I379" s="27" t="s">
        <v>203</v>
      </c>
      <c r="J379" s="27">
        <v>4</v>
      </c>
      <c r="K379" s="27">
        <v>29.99</v>
      </c>
      <c r="M379" s="27">
        <v>0</v>
      </c>
      <c r="N379" s="27">
        <v>0</v>
      </c>
      <c r="O379" s="27">
        <v>0</v>
      </c>
      <c r="P379" s="27" t="s">
        <v>86</v>
      </c>
      <c r="Q379" s="27">
        <v>3.433665</v>
      </c>
      <c r="S379" s="27">
        <v>1341</v>
      </c>
      <c r="T379" s="27">
        <v>10</v>
      </c>
      <c r="U379" s="27">
        <v>0.9926</v>
      </c>
      <c r="V379" s="27" t="s">
        <v>109</v>
      </c>
      <c r="W379" s="27">
        <v>40216.59</v>
      </c>
      <c r="X379" s="27">
        <v>7.201916</v>
      </c>
      <c r="Y379" s="27">
        <v>10.60206</v>
      </c>
      <c r="Z379" s="27">
        <v>3.1623</v>
      </c>
      <c r="AA379" s="27" t="s">
        <v>125</v>
      </c>
      <c r="AB379" s="27">
        <v>0</v>
      </c>
      <c r="AC379" s="27">
        <v>0</v>
      </c>
      <c r="AD379" s="27">
        <v>0</v>
      </c>
      <c r="AE379" s="27">
        <v>0</v>
      </c>
      <c r="AF379" s="27">
        <v>0</v>
      </c>
      <c r="AG379" s="27">
        <v>0</v>
      </c>
      <c r="AH379" s="27">
        <v>0</v>
      </c>
      <c r="AI379" s="27">
        <v>0</v>
      </c>
      <c r="AJ379" s="27">
        <v>0</v>
      </c>
      <c r="AK379" s="27">
        <v>0</v>
      </c>
      <c r="AL379" s="27">
        <v>0</v>
      </c>
      <c r="AM379" s="27">
        <v>0</v>
      </c>
      <c r="AN379" s="27">
        <v>0</v>
      </c>
      <c r="AO379" s="27">
        <v>0</v>
      </c>
      <c r="AP379" s="27">
        <v>0</v>
      </c>
      <c r="AQ379" s="27">
        <v>0</v>
      </c>
      <c r="AR379" s="27">
        <v>0</v>
      </c>
      <c r="AS379" s="27">
        <v>0</v>
      </c>
      <c r="AT379" s="27">
        <v>0</v>
      </c>
      <c r="AU379" s="27">
        <v>0</v>
      </c>
      <c r="AV379" s="27">
        <v>0</v>
      </c>
      <c r="AW379" s="27">
        <v>1</v>
      </c>
      <c r="AX379" s="27">
        <v>0</v>
      </c>
      <c r="AZ379" s="27">
        <v>1</v>
      </c>
      <c r="BA379" s="27">
        <v>0</v>
      </c>
      <c r="BB379" s="27">
        <v>68.95</v>
      </c>
      <c r="BC379" s="27" t="s">
        <v>1326</v>
      </c>
      <c r="BD379" s="27" t="s">
        <v>348</v>
      </c>
      <c r="BE379" s="27" t="s">
        <v>136</v>
      </c>
      <c r="BF379" s="27" t="s">
        <v>77</v>
      </c>
      <c r="BG379" s="27">
        <v>168</v>
      </c>
      <c r="BH379" s="27">
        <v>11</v>
      </c>
      <c r="BI379" s="27">
        <v>0.9385</v>
      </c>
      <c r="BJ379" s="27">
        <v>0</v>
      </c>
      <c r="BK379" s="27">
        <v>9</v>
      </c>
      <c r="BL379" s="27">
        <v>97.5</v>
      </c>
    </row>
    <row r="380" customHeight="1" spans="1:64">
      <c r="A380" s="27" t="s">
        <v>1327</v>
      </c>
      <c r="B380" s="27" t="s">
        <v>1328</v>
      </c>
      <c r="D380" s="27">
        <v>196852605996</v>
      </c>
      <c r="E380" s="27" t="s">
        <v>1329</v>
      </c>
      <c r="F380" s="27" t="s">
        <v>68</v>
      </c>
      <c r="G380" s="27" t="s">
        <v>83</v>
      </c>
      <c r="H380" s="27" t="s">
        <v>84</v>
      </c>
      <c r="I380" s="27" t="s">
        <v>85</v>
      </c>
      <c r="J380" s="27">
        <v>5</v>
      </c>
      <c r="K380" s="27">
        <v>129.99</v>
      </c>
      <c r="M380" s="27">
        <v>0</v>
      </c>
      <c r="N380" s="27">
        <v>0</v>
      </c>
      <c r="O380" s="27">
        <v>0</v>
      </c>
      <c r="P380" s="27" t="s">
        <v>95</v>
      </c>
      <c r="Q380" s="27">
        <v>4.875121</v>
      </c>
      <c r="S380" s="27">
        <v>44</v>
      </c>
      <c r="T380" s="27">
        <v>10</v>
      </c>
      <c r="U380" s="27">
        <v>0.8148</v>
      </c>
      <c r="V380" s="27" t="s">
        <v>72</v>
      </c>
      <c r="W380" s="27">
        <v>5719.56</v>
      </c>
      <c r="X380" s="27">
        <v>3.806662</v>
      </c>
      <c r="Y380" s="27">
        <v>8.651822</v>
      </c>
      <c r="Z380" s="27">
        <v>3.1623</v>
      </c>
      <c r="AA380" s="27" t="s">
        <v>125</v>
      </c>
      <c r="AB380" s="27">
        <v>0</v>
      </c>
      <c r="AC380" s="27">
        <v>0</v>
      </c>
      <c r="AD380" s="27">
        <v>0</v>
      </c>
      <c r="AE380" s="27">
        <v>0</v>
      </c>
      <c r="AF380" s="27">
        <v>0</v>
      </c>
      <c r="AG380" s="27">
        <v>0</v>
      </c>
      <c r="AH380" s="27">
        <v>0</v>
      </c>
      <c r="AI380" s="27">
        <v>0</v>
      </c>
      <c r="AJ380" s="27">
        <v>0</v>
      </c>
      <c r="AK380" s="27">
        <v>0</v>
      </c>
      <c r="AL380" s="27">
        <v>0</v>
      </c>
      <c r="AM380" s="27">
        <v>0</v>
      </c>
      <c r="AN380" s="27">
        <v>0</v>
      </c>
      <c r="AO380" s="27">
        <v>0</v>
      </c>
      <c r="AP380" s="27">
        <v>0</v>
      </c>
      <c r="AQ380" s="27">
        <v>0</v>
      </c>
      <c r="AR380" s="27">
        <v>0</v>
      </c>
      <c r="AS380" s="27">
        <v>0</v>
      </c>
      <c r="AT380" s="27">
        <v>0</v>
      </c>
      <c r="AU380" s="27">
        <v>0</v>
      </c>
      <c r="AV380" s="27">
        <v>0</v>
      </c>
      <c r="AW380" s="27">
        <v>0</v>
      </c>
      <c r="AX380" s="27">
        <v>0</v>
      </c>
      <c r="AZ380" s="27">
        <v>1</v>
      </c>
      <c r="BA380" s="27">
        <v>0</v>
      </c>
      <c r="BB380" s="27">
        <v>62.35</v>
      </c>
      <c r="BC380" s="27" t="s">
        <v>1330</v>
      </c>
      <c r="BD380" s="27" t="s">
        <v>1331</v>
      </c>
      <c r="BE380" s="27" t="s">
        <v>407</v>
      </c>
      <c r="BF380" s="27" t="s">
        <v>77</v>
      </c>
      <c r="BG380" s="27">
        <v>169</v>
      </c>
      <c r="BH380" s="27">
        <v>11</v>
      </c>
      <c r="BI380" s="27">
        <v>0.9389</v>
      </c>
      <c r="BJ380" s="27">
        <v>0</v>
      </c>
      <c r="BK380" s="27">
        <v>3</v>
      </c>
      <c r="BL380" s="27">
        <v>99.2</v>
      </c>
    </row>
    <row r="381" customHeight="1" spans="1:64">
      <c r="A381" s="27" t="s">
        <v>1332</v>
      </c>
      <c r="B381" s="27" t="s">
        <v>171</v>
      </c>
      <c r="C381" s="27" t="s">
        <v>1333</v>
      </c>
      <c r="E381" s="27" t="s">
        <v>505</v>
      </c>
      <c r="F381" s="27" t="s">
        <v>160</v>
      </c>
      <c r="G381" s="27" t="s">
        <v>83</v>
      </c>
      <c r="H381" s="27" t="s">
        <v>84</v>
      </c>
      <c r="I381" s="27" t="s">
        <v>85</v>
      </c>
      <c r="J381" s="27">
        <v>5</v>
      </c>
      <c r="K381" s="27">
        <v>55.16</v>
      </c>
      <c r="L381" s="27">
        <v>64.89</v>
      </c>
      <c r="M381" s="27">
        <v>14.99</v>
      </c>
      <c r="N381" s="27">
        <v>9.73</v>
      </c>
      <c r="O381" s="27">
        <v>1</v>
      </c>
      <c r="P381" s="27" t="s">
        <v>86</v>
      </c>
      <c r="Q381" s="27">
        <v>4.028205</v>
      </c>
      <c r="R381" s="27">
        <v>3.45</v>
      </c>
      <c r="S381" s="27">
        <v>130</v>
      </c>
      <c r="T381" s="27">
        <v>10</v>
      </c>
      <c r="U381" s="27">
        <v>0.9286</v>
      </c>
      <c r="V381" s="27" t="s">
        <v>72</v>
      </c>
      <c r="W381" s="27">
        <v>7170.8</v>
      </c>
      <c r="X381" s="27">
        <v>4.875197</v>
      </c>
      <c r="Y381" s="27">
        <v>8.877912</v>
      </c>
      <c r="Z381" s="27">
        <v>3.1623</v>
      </c>
      <c r="AA381" s="27" t="s">
        <v>313</v>
      </c>
      <c r="AB381" s="27">
        <v>0</v>
      </c>
      <c r="AC381" s="27">
        <v>0</v>
      </c>
      <c r="AD381" s="27">
        <v>0</v>
      </c>
      <c r="AE381" s="27">
        <v>0</v>
      </c>
      <c r="AF381" s="27">
        <v>0</v>
      </c>
      <c r="AG381" s="27">
        <v>0</v>
      </c>
      <c r="AH381" s="27">
        <v>0</v>
      </c>
      <c r="AI381" s="27">
        <v>0</v>
      </c>
      <c r="AJ381" s="27">
        <v>0</v>
      </c>
      <c r="AK381" s="27">
        <v>0</v>
      </c>
      <c r="AL381" s="27">
        <v>1</v>
      </c>
      <c r="AM381" s="27">
        <v>1</v>
      </c>
      <c r="AN381" s="27">
        <v>0</v>
      </c>
      <c r="AO381" s="27">
        <v>0</v>
      </c>
      <c r="AP381" s="27">
        <v>0</v>
      </c>
      <c r="AQ381" s="27">
        <v>1</v>
      </c>
      <c r="AR381" s="27">
        <v>0</v>
      </c>
      <c r="AS381" s="27">
        <v>0</v>
      </c>
      <c r="AT381" s="27">
        <v>0</v>
      </c>
      <c r="AU381" s="27">
        <v>0</v>
      </c>
      <c r="AV381" s="27">
        <v>1</v>
      </c>
      <c r="AW381" s="27">
        <v>0</v>
      </c>
      <c r="AX381" s="27">
        <v>0</v>
      </c>
      <c r="AY381" s="27">
        <v>16</v>
      </c>
      <c r="AZ381" s="27">
        <v>1</v>
      </c>
      <c r="BA381" s="27">
        <v>2</v>
      </c>
      <c r="BB381" s="27">
        <v>70.89</v>
      </c>
      <c r="BC381" s="27" t="s">
        <v>326</v>
      </c>
      <c r="BD381" s="27" t="s">
        <v>175</v>
      </c>
      <c r="BE381" s="27" t="s">
        <v>91</v>
      </c>
      <c r="BF381" s="27" t="s">
        <v>77</v>
      </c>
      <c r="BG381" s="27">
        <v>162</v>
      </c>
      <c r="BH381" s="27">
        <v>60</v>
      </c>
      <c r="BI381" s="27">
        <v>0.7297</v>
      </c>
      <c r="BJ381" s="27">
        <v>0</v>
      </c>
      <c r="BK381" s="27">
        <v>9</v>
      </c>
      <c r="BL381" s="27">
        <v>97.5</v>
      </c>
    </row>
    <row r="382" customHeight="1" spans="1:64">
      <c r="A382" s="27" t="s">
        <v>1334</v>
      </c>
      <c r="B382" s="27" t="s">
        <v>93</v>
      </c>
      <c r="E382" s="27" t="s">
        <v>255</v>
      </c>
      <c r="F382" s="27" t="s">
        <v>160</v>
      </c>
      <c r="G382" s="27" t="s">
        <v>93</v>
      </c>
      <c r="H382" s="27" t="s">
        <v>69</v>
      </c>
      <c r="I382" s="27" t="s">
        <v>85</v>
      </c>
      <c r="J382" s="27">
        <v>5</v>
      </c>
      <c r="K382" s="27">
        <v>1149</v>
      </c>
      <c r="M382" s="27">
        <v>0</v>
      </c>
      <c r="N382" s="27">
        <v>0</v>
      </c>
      <c r="O382" s="27">
        <v>0</v>
      </c>
      <c r="P382" s="27" t="s">
        <v>147</v>
      </c>
      <c r="Q382" s="27">
        <v>7.047517</v>
      </c>
      <c r="R382" s="27">
        <v>71.81</v>
      </c>
      <c r="S382" s="27">
        <v>47</v>
      </c>
      <c r="T382" s="27">
        <v>5</v>
      </c>
      <c r="U382" s="27">
        <v>0.9038</v>
      </c>
      <c r="V382" s="27" t="s">
        <v>72</v>
      </c>
      <c r="W382" s="27">
        <v>54003</v>
      </c>
      <c r="X382" s="27">
        <v>3.871201</v>
      </c>
      <c r="Y382" s="27">
        <v>10.896813</v>
      </c>
      <c r="Z382" s="27">
        <v>2.2361</v>
      </c>
      <c r="AA382" s="27" t="s">
        <v>313</v>
      </c>
      <c r="AB382" s="27">
        <v>0</v>
      </c>
      <c r="AC382" s="27">
        <v>0</v>
      </c>
      <c r="AD382" s="27">
        <v>0</v>
      </c>
      <c r="AE382" s="27">
        <v>0</v>
      </c>
      <c r="AF382" s="27">
        <v>0</v>
      </c>
      <c r="AG382" s="27">
        <v>1</v>
      </c>
      <c r="AH382" s="27">
        <v>0</v>
      </c>
      <c r="AI382" s="27">
        <v>1</v>
      </c>
      <c r="AJ382" s="27">
        <v>0</v>
      </c>
      <c r="AK382" s="27">
        <v>0</v>
      </c>
      <c r="AL382" s="27">
        <v>0</v>
      </c>
      <c r="AM382" s="27">
        <v>0</v>
      </c>
      <c r="AN382" s="27">
        <v>0</v>
      </c>
      <c r="AO382" s="27">
        <v>0</v>
      </c>
      <c r="AP382" s="27">
        <v>0</v>
      </c>
      <c r="AQ382" s="27">
        <v>1</v>
      </c>
      <c r="AR382" s="27">
        <v>0</v>
      </c>
      <c r="AS382" s="27">
        <v>0</v>
      </c>
      <c r="AT382" s="27">
        <v>1</v>
      </c>
      <c r="AU382" s="27">
        <v>0</v>
      </c>
      <c r="AV382" s="27">
        <v>1</v>
      </c>
      <c r="AW382" s="27">
        <v>1</v>
      </c>
      <c r="AX382" s="27">
        <v>0</v>
      </c>
      <c r="AY382" s="27">
        <v>16</v>
      </c>
      <c r="AZ382" s="27">
        <v>1</v>
      </c>
      <c r="BA382" s="27">
        <v>1</v>
      </c>
      <c r="BB382" s="27">
        <v>66</v>
      </c>
      <c r="BC382" s="27" t="s">
        <v>96</v>
      </c>
      <c r="BD382" s="27" t="s">
        <v>97</v>
      </c>
      <c r="BE382" s="27" t="s">
        <v>98</v>
      </c>
      <c r="BF382" s="27" t="s">
        <v>77</v>
      </c>
      <c r="BG382" s="27">
        <v>1</v>
      </c>
      <c r="BH382" s="27">
        <v>28</v>
      </c>
      <c r="BI382" s="27">
        <v>0.0345</v>
      </c>
      <c r="BJ382" s="27">
        <v>1</v>
      </c>
      <c r="BK382" s="27">
        <v>2</v>
      </c>
      <c r="BL382" s="27">
        <v>99.5</v>
      </c>
    </row>
    <row r="383" customHeight="1" spans="1:64">
      <c r="A383" s="27" t="s">
        <v>1335</v>
      </c>
      <c r="B383" s="27" t="s">
        <v>427</v>
      </c>
      <c r="C383" s="27" t="s">
        <v>1336</v>
      </c>
      <c r="E383" s="27" t="s">
        <v>275</v>
      </c>
      <c r="F383" s="27" t="s">
        <v>1337</v>
      </c>
      <c r="G383" s="27" t="s">
        <v>427</v>
      </c>
      <c r="H383" s="27" t="s">
        <v>107</v>
      </c>
      <c r="I383" s="27" t="s">
        <v>85</v>
      </c>
      <c r="J383" s="27">
        <v>5</v>
      </c>
      <c r="K383" s="27">
        <v>16.99</v>
      </c>
      <c r="M383" s="27">
        <v>0</v>
      </c>
      <c r="N383" s="27">
        <v>0</v>
      </c>
      <c r="O383" s="27">
        <v>0</v>
      </c>
      <c r="P383" s="27" t="s">
        <v>133</v>
      </c>
      <c r="Q383" s="27">
        <v>2.889816</v>
      </c>
      <c r="S383" s="27">
        <v>15</v>
      </c>
      <c r="T383" s="27">
        <v>10</v>
      </c>
      <c r="U383" s="27">
        <v>0.6</v>
      </c>
      <c r="V383" s="27" t="s">
        <v>72</v>
      </c>
      <c r="W383" s="27">
        <v>254.85</v>
      </c>
      <c r="X383" s="27">
        <v>2.772589</v>
      </c>
      <c r="Y383" s="27">
        <v>5.544591</v>
      </c>
      <c r="Z383" s="27">
        <v>3.1623</v>
      </c>
      <c r="AA383" s="27" t="s">
        <v>125</v>
      </c>
      <c r="AB383" s="27">
        <v>0</v>
      </c>
      <c r="AC383" s="27">
        <v>0</v>
      </c>
      <c r="AD383" s="27">
        <v>0</v>
      </c>
      <c r="AE383" s="27">
        <v>0</v>
      </c>
      <c r="AF383" s="27">
        <v>0</v>
      </c>
      <c r="AG383" s="27">
        <v>0</v>
      </c>
      <c r="AH383" s="27">
        <v>0</v>
      </c>
      <c r="AI383" s="27">
        <v>0</v>
      </c>
      <c r="AJ383" s="27">
        <v>0</v>
      </c>
      <c r="AK383" s="27">
        <v>0</v>
      </c>
      <c r="AL383" s="27">
        <v>0</v>
      </c>
      <c r="AM383" s="27">
        <v>0</v>
      </c>
      <c r="AN383" s="27">
        <v>0</v>
      </c>
      <c r="AO383" s="27">
        <v>0</v>
      </c>
      <c r="AP383" s="27">
        <v>1</v>
      </c>
      <c r="AQ383" s="27">
        <v>0</v>
      </c>
      <c r="AR383" s="27">
        <v>0</v>
      </c>
      <c r="AS383" s="27">
        <v>0</v>
      </c>
      <c r="AT383" s="27">
        <v>0</v>
      </c>
      <c r="AU383" s="27">
        <v>0</v>
      </c>
      <c r="AV383" s="27">
        <v>0</v>
      </c>
      <c r="AW383" s="27">
        <v>0</v>
      </c>
      <c r="AX383" s="27">
        <v>0</v>
      </c>
      <c r="AZ383" s="27">
        <v>1</v>
      </c>
      <c r="BA383" s="27">
        <v>0</v>
      </c>
      <c r="BB383" s="27">
        <v>53.76</v>
      </c>
      <c r="BC383" s="27" t="s">
        <v>1338</v>
      </c>
      <c r="BD383" s="27" t="s">
        <v>1339</v>
      </c>
      <c r="BE383" s="27" t="s">
        <v>113</v>
      </c>
      <c r="BF383" s="27" t="s">
        <v>77</v>
      </c>
      <c r="BG383" s="27">
        <v>170</v>
      </c>
      <c r="BH383" s="27">
        <v>11</v>
      </c>
      <c r="BI383" s="27">
        <v>0.9392</v>
      </c>
      <c r="BJ383" s="27">
        <v>0</v>
      </c>
      <c r="BK383" s="27">
        <v>3</v>
      </c>
      <c r="BL383" s="27">
        <v>99.2</v>
      </c>
    </row>
    <row r="384" customHeight="1" spans="1:64">
      <c r="A384" s="27" t="s">
        <v>1340</v>
      </c>
      <c r="B384" s="27" t="s">
        <v>171</v>
      </c>
      <c r="C384" s="27" t="s">
        <v>1341</v>
      </c>
      <c r="E384" s="27" t="s">
        <v>250</v>
      </c>
      <c r="F384" s="27" t="s">
        <v>160</v>
      </c>
      <c r="G384" s="27" t="s">
        <v>83</v>
      </c>
      <c r="H384" s="27" t="s">
        <v>84</v>
      </c>
      <c r="I384" s="27" t="s">
        <v>85</v>
      </c>
      <c r="J384" s="27">
        <v>5</v>
      </c>
      <c r="K384" s="27">
        <v>148.49</v>
      </c>
      <c r="L384" s="27">
        <v>269.99</v>
      </c>
      <c r="M384" s="27">
        <v>45</v>
      </c>
      <c r="N384" s="27">
        <v>121.5</v>
      </c>
      <c r="O384" s="27">
        <v>1</v>
      </c>
      <c r="P384" s="27" t="s">
        <v>95</v>
      </c>
      <c r="Q384" s="27">
        <v>5.00723</v>
      </c>
      <c r="R384" s="27">
        <v>18.56</v>
      </c>
      <c r="S384" s="27">
        <v>44</v>
      </c>
      <c r="T384" s="27">
        <v>10</v>
      </c>
      <c r="U384" s="27">
        <v>0.8148</v>
      </c>
      <c r="V384" s="27" t="s">
        <v>72</v>
      </c>
      <c r="W384" s="27">
        <v>6533.56</v>
      </c>
      <c r="X384" s="27">
        <v>3.806662</v>
      </c>
      <c r="Y384" s="27">
        <v>8.78486</v>
      </c>
      <c r="Z384" s="27">
        <v>3.1623</v>
      </c>
      <c r="AA384" s="27" t="s">
        <v>73</v>
      </c>
      <c r="AB384" s="27">
        <v>1</v>
      </c>
      <c r="AC384" s="27">
        <v>1</v>
      </c>
      <c r="AD384" s="27">
        <v>0</v>
      </c>
      <c r="AE384" s="27">
        <v>0</v>
      </c>
      <c r="AF384" s="27">
        <v>0</v>
      </c>
      <c r="AG384" s="27">
        <v>1</v>
      </c>
      <c r="AH384" s="27">
        <v>0</v>
      </c>
      <c r="AI384" s="27">
        <v>1</v>
      </c>
      <c r="AJ384" s="27">
        <v>0</v>
      </c>
      <c r="AK384" s="27">
        <v>0</v>
      </c>
      <c r="AL384" s="27">
        <v>0</v>
      </c>
      <c r="AM384" s="27">
        <v>0</v>
      </c>
      <c r="AN384" s="27">
        <v>0</v>
      </c>
      <c r="AO384" s="27">
        <v>0</v>
      </c>
      <c r="AP384" s="27">
        <v>0</v>
      </c>
      <c r="AQ384" s="27">
        <v>1</v>
      </c>
      <c r="AR384" s="27">
        <v>0</v>
      </c>
      <c r="AS384" s="27">
        <v>0</v>
      </c>
      <c r="AT384" s="27">
        <v>0</v>
      </c>
      <c r="AU384" s="27">
        <v>0</v>
      </c>
      <c r="AV384" s="27">
        <v>1</v>
      </c>
      <c r="AW384" s="27">
        <v>1</v>
      </c>
      <c r="AX384" s="27">
        <v>0</v>
      </c>
      <c r="AY384" s="27">
        <v>8</v>
      </c>
      <c r="AZ384" s="27">
        <v>1</v>
      </c>
      <c r="BA384" s="27">
        <v>3</v>
      </c>
      <c r="BB384" s="27">
        <v>75.76</v>
      </c>
      <c r="BC384" s="27" t="s">
        <v>174</v>
      </c>
      <c r="BD384" s="27" t="s">
        <v>175</v>
      </c>
      <c r="BE384" s="27" t="s">
        <v>91</v>
      </c>
      <c r="BF384" s="27" t="s">
        <v>77</v>
      </c>
      <c r="BG384" s="27">
        <v>161</v>
      </c>
      <c r="BH384" s="27">
        <v>61</v>
      </c>
      <c r="BI384" s="27">
        <v>0.7252</v>
      </c>
      <c r="BJ384" s="27">
        <v>0</v>
      </c>
      <c r="BK384" s="27">
        <v>4</v>
      </c>
      <c r="BL384" s="27">
        <v>98.9</v>
      </c>
    </row>
    <row r="385" customHeight="1" spans="1:64">
      <c r="A385" s="27" t="s">
        <v>1342</v>
      </c>
      <c r="B385" s="27" t="s">
        <v>171</v>
      </c>
      <c r="C385" s="27" t="s">
        <v>1343</v>
      </c>
      <c r="E385" s="27" t="s">
        <v>173</v>
      </c>
      <c r="F385" s="27" t="s">
        <v>160</v>
      </c>
      <c r="G385" s="27" t="s">
        <v>83</v>
      </c>
      <c r="H385" s="27" t="s">
        <v>84</v>
      </c>
      <c r="I385" s="27" t="s">
        <v>85</v>
      </c>
      <c r="J385" s="27">
        <v>5</v>
      </c>
      <c r="K385" s="27">
        <v>123.99</v>
      </c>
      <c r="M385" s="27">
        <v>0</v>
      </c>
      <c r="N385" s="27">
        <v>0</v>
      </c>
      <c r="O385" s="27">
        <v>0</v>
      </c>
      <c r="P385" s="27" t="s">
        <v>95</v>
      </c>
      <c r="Q385" s="27">
        <v>4.828234</v>
      </c>
      <c r="S385" s="27">
        <v>697</v>
      </c>
      <c r="T385" s="27">
        <v>100</v>
      </c>
      <c r="U385" s="27">
        <v>0.8745</v>
      </c>
      <c r="V385" s="27" t="s">
        <v>154</v>
      </c>
      <c r="W385" s="27">
        <v>86421.03</v>
      </c>
      <c r="X385" s="27">
        <v>6.548219</v>
      </c>
      <c r="Y385" s="27">
        <v>11.366998</v>
      </c>
      <c r="Z385" s="27">
        <v>10</v>
      </c>
      <c r="AA385" s="27" t="s">
        <v>313</v>
      </c>
      <c r="AB385" s="27">
        <v>1</v>
      </c>
      <c r="AC385" s="27">
        <v>1</v>
      </c>
      <c r="AD385" s="27">
        <v>0</v>
      </c>
      <c r="AE385" s="27">
        <v>0</v>
      </c>
      <c r="AF385" s="27">
        <v>0</v>
      </c>
      <c r="AG385" s="27">
        <v>1</v>
      </c>
      <c r="AH385" s="27">
        <v>0</v>
      </c>
      <c r="AI385" s="27">
        <v>1</v>
      </c>
      <c r="AJ385" s="27">
        <v>0</v>
      </c>
      <c r="AK385" s="27">
        <v>0</v>
      </c>
      <c r="AL385" s="27">
        <v>1</v>
      </c>
      <c r="AM385" s="27">
        <v>1</v>
      </c>
      <c r="AN385" s="27">
        <v>0</v>
      </c>
      <c r="AO385" s="27">
        <v>0</v>
      </c>
      <c r="AP385" s="27">
        <v>0</v>
      </c>
      <c r="AQ385" s="27">
        <v>0</v>
      </c>
      <c r="AR385" s="27">
        <v>0</v>
      </c>
      <c r="AS385" s="27">
        <v>0</v>
      </c>
      <c r="AT385" s="27">
        <v>1</v>
      </c>
      <c r="AU385" s="27">
        <v>0</v>
      </c>
      <c r="AV385" s="27">
        <v>0</v>
      </c>
      <c r="AW385" s="27">
        <v>0</v>
      </c>
      <c r="AX385" s="27">
        <v>0</v>
      </c>
      <c r="AZ385" s="27">
        <v>1</v>
      </c>
      <c r="BA385" s="27">
        <v>3</v>
      </c>
      <c r="BB385" s="27">
        <v>64.5</v>
      </c>
      <c r="BC385" s="27" t="s">
        <v>251</v>
      </c>
      <c r="BD385" s="27" t="s">
        <v>175</v>
      </c>
      <c r="BE385" s="27" t="s">
        <v>91</v>
      </c>
      <c r="BF385" s="27" t="s">
        <v>77</v>
      </c>
      <c r="BG385" s="27">
        <v>162</v>
      </c>
      <c r="BH385" s="27">
        <v>60</v>
      </c>
      <c r="BI385" s="27">
        <v>0.7297</v>
      </c>
      <c r="BJ385" s="27">
        <v>0</v>
      </c>
      <c r="BK385" s="27">
        <v>6</v>
      </c>
      <c r="BL385" s="27">
        <v>98.4</v>
      </c>
    </row>
    <row r="386" customHeight="1" spans="1:64">
      <c r="A386" s="27" t="s">
        <v>1344</v>
      </c>
      <c r="B386" s="27" t="s">
        <v>335</v>
      </c>
      <c r="E386" s="27" t="s">
        <v>81</v>
      </c>
      <c r="F386" s="27" t="s">
        <v>160</v>
      </c>
      <c r="G386" s="27" t="s">
        <v>83</v>
      </c>
      <c r="H386" s="27" t="s">
        <v>84</v>
      </c>
      <c r="I386" s="27" t="s">
        <v>85</v>
      </c>
      <c r="J386" s="27">
        <v>5</v>
      </c>
      <c r="K386" s="27">
        <v>216.19</v>
      </c>
      <c r="L386" s="27">
        <v>229.99</v>
      </c>
      <c r="M386" s="27">
        <v>6</v>
      </c>
      <c r="N386" s="27">
        <v>13.8</v>
      </c>
      <c r="O386" s="27">
        <v>1</v>
      </c>
      <c r="P386" s="27" t="s">
        <v>71</v>
      </c>
      <c r="Q386" s="27">
        <v>5.380773</v>
      </c>
      <c r="R386" s="27">
        <v>21.62</v>
      </c>
      <c r="S386" s="27">
        <v>17</v>
      </c>
      <c r="T386" s="27">
        <v>10</v>
      </c>
      <c r="U386" s="27">
        <v>0.6296</v>
      </c>
      <c r="V386" s="27" t="s">
        <v>72</v>
      </c>
      <c r="W386" s="27">
        <v>3675.23</v>
      </c>
      <c r="X386" s="27">
        <v>2.890372</v>
      </c>
      <c r="Y386" s="27">
        <v>8.209643</v>
      </c>
      <c r="Z386" s="27">
        <v>3.1623</v>
      </c>
      <c r="AA386" s="27" t="s">
        <v>313</v>
      </c>
      <c r="AB386" s="27">
        <v>0</v>
      </c>
      <c r="AC386" s="27">
        <v>0</v>
      </c>
      <c r="AD386" s="27">
        <v>0</v>
      </c>
      <c r="AE386" s="27">
        <v>0</v>
      </c>
      <c r="AF386" s="27">
        <v>0</v>
      </c>
      <c r="AG386" s="27">
        <v>0</v>
      </c>
      <c r="AH386" s="27">
        <v>1</v>
      </c>
      <c r="AI386" s="27">
        <v>0</v>
      </c>
      <c r="AJ386" s="27">
        <v>0</v>
      </c>
      <c r="AK386" s="27">
        <v>0</v>
      </c>
      <c r="AL386" s="27">
        <v>0</v>
      </c>
      <c r="AM386" s="27">
        <v>0</v>
      </c>
      <c r="AN386" s="27">
        <v>0</v>
      </c>
      <c r="AO386" s="27">
        <v>0</v>
      </c>
      <c r="AP386" s="27">
        <v>0</v>
      </c>
      <c r="AQ386" s="27">
        <v>1</v>
      </c>
      <c r="AR386" s="27">
        <v>0</v>
      </c>
      <c r="AS386" s="27">
        <v>0</v>
      </c>
      <c r="AT386" s="27">
        <v>1</v>
      </c>
      <c r="AU386" s="27">
        <v>0</v>
      </c>
      <c r="AV386" s="27">
        <v>1</v>
      </c>
      <c r="AW386" s="27">
        <v>1</v>
      </c>
      <c r="AX386" s="27">
        <v>0</v>
      </c>
      <c r="AY386" s="27">
        <v>10</v>
      </c>
      <c r="AZ386" s="27">
        <v>1</v>
      </c>
      <c r="BA386" s="27">
        <v>2</v>
      </c>
      <c r="BB386" s="27">
        <v>56.56</v>
      </c>
      <c r="BC386" s="27" t="s">
        <v>1345</v>
      </c>
      <c r="BG386" s="27">
        <v>0</v>
      </c>
      <c r="BH386" s="27">
        <v>0</v>
      </c>
      <c r="BJ386" s="27">
        <v>0</v>
      </c>
      <c r="BK386" s="27">
        <v>5</v>
      </c>
      <c r="BL386" s="27">
        <v>98.6</v>
      </c>
    </row>
    <row r="387" customHeight="1" spans="1:64">
      <c r="A387" s="27" t="s">
        <v>1346</v>
      </c>
      <c r="B387" s="27" t="s">
        <v>104</v>
      </c>
      <c r="C387" s="27" t="s">
        <v>1347</v>
      </c>
      <c r="D387" s="27">
        <v>194644232290</v>
      </c>
      <c r="E387" s="27" t="s">
        <v>81</v>
      </c>
      <c r="F387" s="27" t="s">
        <v>82</v>
      </c>
      <c r="G387" s="27" t="s">
        <v>106</v>
      </c>
      <c r="H387" s="27" t="s">
        <v>107</v>
      </c>
      <c r="I387" s="27" t="s">
        <v>108</v>
      </c>
      <c r="J387" s="27">
        <v>3</v>
      </c>
      <c r="K387" s="27">
        <v>289.99</v>
      </c>
      <c r="L387" s="27">
        <v>549.99</v>
      </c>
      <c r="M387" s="27">
        <v>47.27</v>
      </c>
      <c r="N387" s="27">
        <v>260</v>
      </c>
      <c r="O387" s="27">
        <v>1</v>
      </c>
      <c r="P387" s="27" t="s">
        <v>71</v>
      </c>
      <c r="Q387" s="27">
        <v>5.673289</v>
      </c>
      <c r="S387" s="27">
        <v>132</v>
      </c>
      <c r="T387" s="27">
        <v>146</v>
      </c>
      <c r="U387" s="27">
        <v>0.4748</v>
      </c>
      <c r="V387" s="27" t="s">
        <v>72</v>
      </c>
      <c r="W387" s="27">
        <v>38278.68</v>
      </c>
      <c r="X387" s="27">
        <v>4.890349</v>
      </c>
      <c r="Y387" s="27">
        <v>10.552674</v>
      </c>
      <c r="Z387" s="27">
        <v>12.083</v>
      </c>
      <c r="AA387" s="27" t="s">
        <v>125</v>
      </c>
      <c r="AB387" s="27">
        <v>0</v>
      </c>
      <c r="AC387" s="27">
        <v>0</v>
      </c>
      <c r="AD387" s="27">
        <v>0</v>
      </c>
      <c r="AE387" s="27">
        <v>1</v>
      </c>
      <c r="AF387" s="27">
        <v>0</v>
      </c>
      <c r="AG387" s="27">
        <v>0</v>
      </c>
      <c r="AH387" s="27">
        <v>1</v>
      </c>
      <c r="AI387" s="27">
        <v>0</v>
      </c>
      <c r="AJ387" s="27">
        <v>0</v>
      </c>
      <c r="AK387" s="27">
        <v>1</v>
      </c>
      <c r="AL387" s="27">
        <v>0</v>
      </c>
      <c r="AM387" s="27">
        <v>0</v>
      </c>
      <c r="AN387" s="27">
        <v>0</v>
      </c>
      <c r="AO387" s="27">
        <v>0</v>
      </c>
      <c r="AP387" s="27">
        <v>0</v>
      </c>
      <c r="AQ387" s="27">
        <v>0</v>
      </c>
      <c r="AR387" s="27">
        <v>0</v>
      </c>
      <c r="AS387" s="27">
        <v>0</v>
      </c>
      <c r="AT387" s="27">
        <v>1</v>
      </c>
      <c r="AU387" s="27">
        <v>0</v>
      </c>
      <c r="AV387" s="27">
        <v>0</v>
      </c>
      <c r="AW387" s="27">
        <v>1</v>
      </c>
      <c r="AX387" s="27">
        <v>0</v>
      </c>
      <c r="AZ387" s="27">
        <v>1</v>
      </c>
      <c r="BA387" s="27">
        <v>3</v>
      </c>
      <c r="BB387" s="27">
        <v>63.02</v>
      </c>
      <c r="BC387" s="27" t="s">
        <v>111</v>
      </c>
      <c r="BG387" s="27">
        <v>0</v>
      </c>
      <c r="BH387" s="27">
        <v>0</v>
      </c>
      <c r="BJ387" s="27">
        <v>0</v>
      </c>
      <c r="BK387" s="27">
        <v>2</v>
      </c>
      <c r="BL387" s="27">
        <v>99.5</v>
      </c>
    </row>
    <row r="388" customHeight="1" spans="1:64">
      <c r="A388" s="27" t="s">
        <v>1348</v>
      </c>
      <c r="B388" s="27" t="s">
        <v>1349</v>
      </c>
      <c r="D388" s="27">
        <v>6901425854602</v>
      </c>
      <c r="E388" s="27" t="s">
        <v>1350</v>
      </c>
      <c r="F388" s="27" t="s">
        <v>82</v>
      </c>
      <c r="G388" s="27" t="s">
        <v>83</v>
      </c>
      <c r="H388" s="27" t="s">
        <v>84</v>
      </c>
      <c r="I388" s="27" t="s">
        <v>85</v>
      </c>
      <c r="J388" s="27">
        <v>5</v>
      </c>
      <c r="K388" s="27">
        <v>115</v>
      </c>
      <c r="M388" s="27">
        <v>0</v>
      </c>
      <c r="N388" s="27">
        <v>0</v>
      </c>
      <c r="O388" s="27">
        <v>0</v>
      </c>
      <c r="P388" s="27" t="s">
        <v>95</v>
      </c>
      <c r="Q388" s="27">
        <v>4.75359</v>
      </c>
      <c r="S388" s="27">
        <v>3</v>
      </c>
      <c r="T388" s="27">
        <v>29</v>
      </c>
      <c r="U388" s="27">
        <v>0.0938</v>
      </c>
      <c r="V388" s="27" t="s">
        <v>87</v>
      </c>
      <c r="W388" s="27">
        <v>345</v>
      </c>
      <c r="X388" s="27">
        <v>1.386294</v>
      </c>
      <c r="Y388" s="27">
        <v>5.846439</v>
      </c>
      <c r="Z388" s="27">
        <v>5.3852</v>
      </c>
      <c r="AA388" s="27" t="s">
        <v>125</v>
      </c>
      <c r="AB388" s="27">
        <v>0</v>
      </c>
      <c r="AC388" s="27">
        <v>0</v>
      </c>
      <c r="AD388" s="27">
        <v>0</v>
      </c>
      <c r="AE388" s="27">
        <v>1</v>
      </c>
      <c r="AF388" s="27">
        <v>0</v>
      </c>
      <c r="AG388" s="27">
        <v>0</v>
      </c>
      <c r="AH388" s="27">
        <v>1</v>
      </c>
      <c r="AI388" s="27">
        <v>0</v>
      </c>
      <c r="AJ388" s="27">
        <v>0</v>
      </c>
      <c r="AK388" s="27">
        <v>0</v>
      </c>
      <c r="AL388" s="27">
        <v>0</v>
      </c>
      <c r="AM388" s="27">
        <v>0</v>
      </c>
      <c r="AN388" s="27">
        <v>0</v>
      </c>
      <c r="AO388" s="27">
        <v>0</v>
      </c>
      <c r="AP388" s="27">
        <v>0</v>
      </c>
      <c r="AQ388" s="27">
        <v>0</v>
      </c>
      <c r="AR388" s="27">
        <v>0</v>
      </c>
      <c r="AS388" s="27">
        <v>0</v>
      </c>
      <c r="AT388" s="27">
        <v>1</v>
      </c>
      <c r="AU388" s="27">
        <v>0</v>
      </c>
      <c r="AV388" s="27">
        <v>0</v>
      </c>
      <c r="AW388" s="27">
        <v>0</v>
      </c>
      <c r="AX388" s="27">
        <v>0</v>
      </c>
      <c r="AZ388" s="27">
        <v>1</v>
      </c>
      <c r="BA388" s="27">
        <v>2</v>
      </c>
      <c r="BB388" s="27">
        <v>32.85</v>
      </c>
      <c r="BC388" s="27" t="s">
        <v>1351</v>
      </c>
      <c r="BD388" s="27" t="s">
        <v>169</v>
      </c>
      <c r="BE388" s="27" t="s">
        <v>113</v>
      </c>
      <c r="BF388" s="27" t="s">
        <v>77</v>
      </c>
      <c r="BG388" s="27">
        <v>162</v>
      </c>
      <c r="BH388" s="27">
        <v>59</v>
      </c>
      <c r="BI388" s="27">
        <v>0.733</v>
      </c>
      <c r="BJ388" s="27">
        <v>0</v>
      </c>
      <c r="BK388" s="27">
        <v>11</v>
      </c>
      <c r="BL388" s="27">
        <v>97</v>
      </c>
    </row>
    <row r="389" customHeight="1" spans="1:64">
      <c r="A389" s="27" t="s">
        <v>1327</v>
      </c>
      <c r="B389" s="27" t="s">
        <v>1328</v>
      </c>
      <c r="D389" s="27">
        <v>196852605996</v>
      </c>
      <c r="E389" s="27" t="s">
        <v>1329</v>
      </c>
      <c r="F389" s="27" t="s">
        <v>68</v>
      </c>
      <c r="G389" s="27" t="s">
        <v>83</v>
      </c>
      <c r="H389" s="27" t="s">
        <v>84</v>
      </c>
      <c r="I389" s="27" t="s">
        <v>85</v>
      </c>
      <c r="J389" s="27">
        <v>5</v>
      </c>
      <c r="K389" s="27">
        <v>129.99</v>
      </c>
      <c r="M389" s="27">
        <v>0</v>
      </c>
      <c r="N389" s="27">
        <v>0</v>
      </c>
      <c r="O389" s="27">
        <v>0</v>
      </c>
      <c r="P389" s="27" t="s">
        <v>95</v>
      </c>
      <c r="Q389" s="27">
        <v>4.875121</v>
      </c>
      <c r="S389" s="27">
        <v>21</v>
      </c>
      <c r="T389" s="27">
        <v>10</v>
      </c>
      <c r="U389" s="27">
        <v>0.6774</v>
      </c>
      <c r="V389" s="27" t="s">
        <v>72</v>
      </c>
      <c r="W389" s="27">
        <v>2729.79</v>
      </c>
      <c r="X389" s="27">
        <v>3.091042</v>
      </c>
      <c r="Y389" s="27">
        <v>7.912346</v>
      </c>
      <c r="Z389" s="27">
        <v>3.1623</v>
      </c>
      <c r="AA389" s="27" t="s">
        <v>125</v>
      </c>
      <c r="AB389" s="27">
        <v>0</v>
      </c>
      <c r="AC389" s="27">
        <v>0</v>
      </c>
      <c r="AD389" s="27">
        <v>0</v>
      </c>
      <c r="AE389" s="27">
        <v>0</v>
      </c>
      <c r="AF389" s="27">
        <v>0</v>
      </c>
      <c r="AG389" s="27">
        <v>0</v>
      </c>
      <c r="AH389" s="27">
        <v>0</v>
      </c>
      <c r="AI389" s="27">
        <v>0</v>
      </c>
      <c r="AJ389" s="27">
        <v>0</v>
      </c>
      <c r="AK389" s="27">
        <v>0</v>
      </c>
      <c r="AL389" s="27">
        <v>0</v>
      </c>
      <c r="AM389" s="27">
        <v>0</v>
      </c>
      <c r="AN389" s="27">
        <v>0</v>
      </c>
      <c r="AO389" s="27">
        <v>0</v>
      </c>
      <c r="AP389" s="27">
        <v>0</v>
      </c>
      <c r="AQ389" s="27">
        <v>0</v>
      </c>
      <c r="AR389" s="27">
        <v>0</v>
      </c>
      <c r="AS389" s="27">
        <v>0</v>
      </c>
      <c r="AT389" s="27">
        <v>0</v>
      </c>
      <c r="AU389" s="27">
        <v>0</v>
      </c>
      <c r="AV389" s="27">
        <v>0</v>
      </c>
      <c r="AW389" s="27">
        <v>0</v>
      </c>
      <c r="AX389" s="27">
        <v>0</v>
      </c>
      <c r="AZ389" s="27">
        <v>1</v>
      </c>
      <c r="BA389" s="27">
        <v>0</v>
      </c>
      <c r="BB389" s="27">
        <v>56.86</v>
      </c>
      <c r="BC389" s="27" t="s">
        <v>1330</v>
      </c>
      <c r="BD389" s="27" t="s">
        <v>1331</v>
      </c>
      <c r="BE389" s="27" t="s">
        <v>407</v>
      </c>
      <c r="BF389" s="27" t="s">
        <v>77</v>
      </c>
      <c r="BG389" s="27">
        <v>169</v>
      </c>
      <c r="BH389" s="27">
        <v>11</v>
      </c>
      <c r="BI389" s="27">
        <v>0.9389</v>
      </c>
      <c r="BJ389" s="27">
        <v>0</v>
      </c>
      <c r="BK389" s="27">
        <v>3</v>
      </c>
      <c r="BL389" s="27">
        <v>99.2</v>
      </c>
    </row>
    <row r="390" customHeight="1" spans="1:64">
      <c r="A390" s="27" t="s">
        <v>1352</v>
      </c>
      <c r="B390" s="27" t="s">
        <v>125</v>
      </c>
      <c r="E390" s="27" t="s">
        <v>1353</v>
      </c>
      <c r="F390" s="27" t="s">
        <v>198</v>
      </c>
      <c r="G390" s="27" t="s">
        <v>83</v>
      </c>
      <c r="H390" s="27" t="s">
        <v>138</v>
      </c>
      <c r="I390" s="27" t="s">
        <v>85</v>
      </c>
      <c r="J390" s="27">
        <v>5</v>
      </c>
      <c r="K390" s="27">
        <v>11.46</v>
      </c>
      <c r="L390" s="27">
        <v>12.59</v>
      </c>
      <c r="M390" s="27">
        <v>8.98</v>
      </c>
      <c r="N390" s="27">
        <v>1.13</v>
      </c>
      <c r="O390" s="27">
        <v>1</v>
      </c>
      <c r="P390" s="27" t="s">
        <v>133</v>
      </c>
      <c r="Q390" s="27">
        <v>2.522524</v>
      </c>
      <c r="S390" s="27">
        <v>82</v>
      </c>
      <c r="T390" s="27">
        <v>10</v>
      </c>
      <c r="U390" s="27">
        <v>0.8913</v>
      </c>
      <c r="V390" s="27" t="s">
        <v>72</v>
      </c>
      <c r="W390" s="27">
        <v>939.72</v>
      </c>
      <c r="X390" s="27">
        <v>4.418841</v>
      </c>
      <c r="Y390" s="27">
        <v>6.846646</v>
      </c>
      <c r="Z390" s="27">
        <v>3.1623</v>
      </c>
      <c r="AA390" s="27" t="s">
        <v>125</v>
      </c>
      <c r="AB390" s="27">
        <v>0</v>
      </c>
      <c r="AC390" s="27">
        <v>0</v>
      </c>
      <c r="AD390" s="27">
        <v>0</v>
      </c>
      <c r="AE390" s="27">
        <v>0</v>
      </c>
      <c r="AF390" s="27">
        <v>0</v>
      </c>
      <c r="AG390" s="27">
        <v>0</v>
      </c>
      <c r="AH390" s="27">
        <v>0</v>
      </c>
      <c r="AI390" s="27">
        <v>0</v>
      </c>
      <c r="AJ390" s="27">
        <v>0</v>
      </c>
      <c r="AK390" s="27">
        <v>0</v>
      </c>
      <c r="AL390" s="27">
        <v>0</v>
      </c>
      <c r="AM390" s="27">
        <v>0</v>
      </c>
      <c r="AN390" s="27">
        <v>0</v>
      </c>
      <c r="AO390" s="27">
        <v>0</v>
      </c>
      <c r="AP390" s="27">
        <v>0</v>
      </c>
      <c r="AQ390" s="27">
        <v>0</v>
      </c>
      <c r="AR390" s="27">
        <v>0</v>
      </c>
      <c r="AS390" s="27">
        <v>0</v>
      </c>
      <c r="AT390" s="27">
        <v>0</v>
      </c>
      <c r="AU390" s="27">
        <v>0</v>
      </c>
      <c r="AV390" s="27">
        <v>0</v>
      </c>
      <c r="AW390" s="27">
        <v>1</v>
      </c>
      <c r="AX390" s="27">
        <v>0</v>
      </c>
      <c r="AZ390" s="27">
        <v>3</v>
      </c>
      <c r="BA390" s="27">
        <v>0</v>
      </c>
      <c r="BB390" s="27">
        <v>68.2</v>
      </c>
      <c r="BC390" s="27" t="s">
        <v>1354</v>
      </c>
      <c r="BD390" s="27" t="s">
        <v>1304</v>
      </c>
      <c r="BE390" s="27" t="s">
        <v>128</v>
      </c>
      <c r="BF390" s="27" t="s">
        <v>77</v>
      </c>
      <c r="BG390" s="27">
        <v>2</v>
      </c>
      <c r="BH390" s="27">
        <v>27</v>
      </c>
      <c r="BI390" s="27">
        <v>0.069</v>
      </c>
      <c r="BJ390" s="27">
        <v>0</v>
      </c>
      <c r="BK390" s="27">
        <v>2</v>
      </c>
      <c r="BL390" s="27">
        <v>99.5</v>
      </c>
    </row>
    <row r="391" customHeight="1" spans="1:64">
      <c r="A391" s="27" t="s">
        <v>1355</v>
      </c>
      <c r="B391" s="27" t="s">
        <v>65</v>
      </c>
      <c r="C391" s="27" t="s">
        <v>1356</v>
      </c>
      <c r="D391" s="27">
        <v>695529059310</v>
      </c>
      <c r="E391" s="27" t="s">
        <v>163</v>
      </c>
      <c r="F391" s="27" t="s">
        <v>160</v>
      </c>
      <c r="G391" s="27" t="s">
        <v>65</v>
      </c>
      <c r="H391" s="27" t="s">
        <v>69</v>
      </c>
      <c r="I391" s="27" t="s">
        <v>203</v>
      </c>
      <c r="J391" s="27">
        <v>4</v>
      </c>
      <c r="K391" s="27">
        <v>274.99</v>
      </c>
      <c r="M391" s="27">
        <v>0</v>
      </c>
      <c r="N391" s="27">
        <v>0</v>
      </c>
      <c r="O391" s="27">
        <v>0</v>
      </c>
      <c r="P391" s="27" t="s">
        <v>71</v>
      </c>
      <c r="Q391" s="27">
        <v>5.620365</v>
      </c>
      <c r="S391" s="27">
        <v>61</v>
      </c>
      <c r="T391" s="27">
        <v>5</v>
      </c>
      <c r="U391" s="27">
        <v>0.9242</v>
      </c>
      <c r="V391" s="27" t="s">
        <v>72</v>
      </c>
      <c r="W391" s="27">
        <v>16774.39</v>
      </c>
      <c r="X391" s="27">
        <v>4.127134</v>
      </c>
      <c r="Y391" s="27">
        <v>9.727668</v>
      </c>
      <c r="Z391" s="27">
        <v>2.2361</v>
      </c>
      <c r="AA391" s="27" t="s">
        <v>73</v>
      </c>
      <c r="AB391" s="27">
        <v>0</v>
      </c>
      <c r="AC391" s="27">
        <v>0</v>
      </c>
      <c r="AD391" s="27">
        <v>0</v>
      </c>
      <c r="AE391" s="27">
        <v>0</v>
      </c>
      <c r="AF391" s="27">
        <v>0</v>
      </c>
      <c r="AG391" s="27">
        <v>1</v>
      </c>
      <c r="AH391" s="27">
        <v>1</v>
      </c>
      <c r="AI391" s="27">
        <v>0</v>
      </c>
      <c r="AJ391" s="27">
        <v>0</v>
      </c>
      <c r="AK391" s="27">
        <v>0</v>
      </c>
      <c r="AL391" s="27">
        <v>0</v>
      </c>
      <c r="AM391" s="27">
        <v>0</v>
      </c>
      <c r="AN391" s="27">
        <v>0</v>
      </c>
      <c r="AO391" s="27">
        <v>0</v>
      </c>
      <c r="AP391" s="27">
        <v>0</v>
      </c>
      <c r="AQ391" s="27">
        <v>1</v>
      </c>
      <c r="AR391" s="27">
        <v>0</v>
      </c>
      <c r="AS391" s="27">
        <v>0</v>
      </c>
      <c r="AT391" s="27">
        <v>0</v>
      </c>
      <c r="AU391" s="27">
        <v>0</v>
      </c>
      <c r="AV391" s="27">
        <v>1</v>
      </c>
      <c r="AW391" s="27">
        <v>0</v>
      </c>
      <c r="AX391" s="27">
        <v>1</v>
      </c>
      <c r="AZ391" s="27">
        <v>1</v>
      </c>
      <c r="BA391" s="27">
        <v>2</v>
      </c>
      <c r="BB391" s="27">
        <v>66.82</v>
      </c>
      <c r="BC391" s="27" t="s">
        <v>784</v>
      </c>
      <c r="BD391" s="27" t="s">
        <v>785</v>
      </c>
      <c r="BE391" s="27" t="s">
        <v>774</v>
      </c>
      <c r="BF391" s="27" t="s">
        <v>77</v>
      </c>
      <c r="BG391" s="27">
        <v>1</v>
      </c>
      <c r="BH391" s="27">
        <v>27</v>
      </c>
      <c r="BI391" s="27">
        <v>0.0357</v>
      </c>
      <c r="BJ391" s="27">
        <v>1</v>
      </c>
      <c r="BK391" s="27">
        <v>2</v>
      </c>
      <c r="BL391" s="27">
        <v>99.5</v>
      </c>
    </row>
    <row r="392" customHeight="1" spans="1:64">
      <c r="A392" s="27" t="s">
        <v>1357</v>
      </c>
      <c r="B392" s="27" t="s">
        <v>1358</v>
      </c>
      <c r="E392" s="27" t="s">
        <v>438</v>
      </c>
      <c r="F392" s="27" t="s">
        <v>240</v>
      </c>
      <c r="G392" s="27" t="s">
        <v>83</v>
      </c>
      <c r="H392" s="27" t="s">
        <v>84</v>
      </c>
      <c r="I392" s="27" t="s">
        <v>203</v>
      </c>
      <c r="J392" s="27">
        <v>4</v>
      </c>
      <c r="K392" s="27">
        <v>16.99</v>
      </c>
      <c r="M392" s="27">
        <v>0</v>
      </c>
      <c r="N392" s="27">
        <v>0</v>
      </c>
      <c r="O392" s="27">
        <v>0</v>
      </c>
      <c r="P392" s="27" t="s">
        <v>133</v>
      </c>
      <c r="Q392" s="27">
        <v>2.889816</v>
      </c>
      <c r="V392" s="27" t="s">
        <v>231</v>
      </c>
      <c r="W392" s="27">
        <v>0</v>
      </c>
      <c r="X392" s="27">
        <v>0</v>
      </c>
      <c r="Y392" s="27">
        <v>0</v>
      </c>
      <c r="Z392" s="27">
        <v>0</v>
      </c>
      <c r="AA392" s="27" t="s">
        <v>125</v>
      </c>
      <c r="AB392" s="27">
        <v>0</v>
      </c>
      <c r="AC392" s="27">
        <v>0</v>
      </c>
      <c r="AD392" s="27">
        <v>0</v>
      </c>
      <c r="AE392" s="27">
        <v>0</v>
      </c>
      <c r="AF392" s="27">
        <v>0</v>
      </c>
      <c r="AG392" s="27">
        <v>0</v>
      </c>
      <c r="AH392" s="27">
        <v>0</v>
      </c>
      <c r="AI392" s="27">
        <v>0</v>
      </c>
      <c r="AJ392" s="27">
        <v>0</v>
      </c>
      <c r="AK392" s="27">
        <v>0</v>
      </c>
      <c r="AL392" s="27">
        <v>0</v>
      </c>
      <c r="AM392" s="27">
        <v>0</v>
      </c>
      <c r="AN392" s="27">
        <v>0</v>
      </c>
      <c r="AO392" s="27">
        <v>0</v>
      </c>
      <c r="AP392" s="27">
        <v>0</v>
      </c>
      <c r="AQ392" s="27">
        <v>0</v>
      </c>
      <c r="AR392" s="27">
        <v>0</v>
      </c>
      <c r="AS392" s="27">
        <v>0</v>
      </c>
      <c r="AT392" s="27">
        <v>0</v>
      </c>
      <c r="AU392" s="27">
        <v>0</v>
      </c>
      <c r="AV392" s="27">
        <v>1</v>
      </c>
      <c r="AW392" s="27">
        <v>0</v>
      </c>
      <c r="AX392" s="27">
        <v>0</v>
      </c>
      <c r="AZ392" s="27">
        <v>1</v>
      </c>
      <c r="BA392" s="27">
        <v>0</v>
      </c>
      <c r="BB392" s="27">
        <v>27.45</v>
      </c>
      <c r="BC392" s="27" t="s">
        <v>1359</v>
      </c>
      <c r="BD392" s="27" t="s">
        <v>1360</v>
      </c>
      <c r="BE392" s="27" t="s">
        <v>1361</v>
      </c>
      <c r="BF392" s="27" t="s">
        <v>77</v>
      </c>
      <c r="BG392" s="27">
        <v>168</v>
      </c>
      <c r="BH392" s="27">
        <v>11</v>
      </c>
      <c r="BI392" s="27">
        <v>0.9385</v>
      </c>
      <c r="BJ392" s="27">
        <v>0</v>
      </c>
      <c r="BK392" s="27">
        <v>31</v>
      </c>
      <c r="BL392" s="27">
        <v>91.5</v>
      </c>
    </row>
    <row r="393" customHeight="1" spans="1:64">
      <c r="A393" s="27" t="s">
        <v>1362</v>
      </c>
      <c r="B393" s="27" t="s">
        <v>1363</v>
      </c>
      <c r="D393" s="27">
        <v>313085250209</v>
      </c>
      <c r="E393" s="27" t="s">
        <v>163</v>
      </c>
      <c r="F393" s="27" t="s">
        <v>82</v>
      </c>
      <c r="G393" s="27" t="s">
        <v>83</v>
      </c>
      <c r="H393" s="27" t="s">
        <v>84</v>
      </c>
      <c r="I393" s="27" t="s">
        <v>85</v>
      </c>
      <c r="J393" s="27">
        <v>5</v>
      </c>
      <c r="K393" s="27">
        <v>340.23</v>
      </c>
      <c r="M393" s="27">
        <v>0</v>
      </c>
      <c r="N393" s="27">
        <v>0</v>
      </c>
      <c r="O393" s="27">
        <v>0</v>
      </c>
      <c r="P393" s="27" t="s">
        <v>71</v>
      </c>
      <c r="Q393" s="27">
        <v>5.832557</v>
      </c>
      <c r="S393" s="27">
        <v>1</v>
      </c>
      <c r="T393" s="27">
        <v>6</v>
      </c>
      <c r="U393" s="27">
        <v>0.1429</v>
      </c>
      <c r="V393" s="27" t="s">
        <v>87</v>
      </c>
      <c r="W393" s="27">
        <v>340.23</v>
      </c>
      <c r="X393" s="27">
        <v>0.693147</v>
      </c>
      <c r="Y393" s="27">
        <v>5.832557</v>
      </c>
      <c r="Z393" s="27">
        <v>2.4495</v>
      </c>
      <c r="AA393" s="27" t="s">
        <v>88</v>
      </c>
      <c r="AB393" s="27">
        <v>1</v>
      </c>
      <c r="AC393" s="27">
        <v>1</v>
      </c>
      <c r="AD393" s="27">
        <v>0</v>
      </c>
      <c r="AE393" s="27">
        <v>1</v>
      </c>
      <c r="AF393" s="27">
        <v>0</v>
      </c>
      <c r="AG393" s="27">
        <v>0</v>
      </c>
      <c r="AH393" s="27">
        <v>0</v>
      </c>
      <c r="AI393" s="27">
        <v>0</v>
      </c>
      <c r="AJ393" s="27">
        <v>0</v>
      </c>
      <c r="AK393" s="27">
        <v>1</v>
      </c>
      <c r="AL393" s="27">
        <v>0</v>
      </c>
      <c r="AM393" s="27">
        <v>0</v>
      </c>
      <c r="AN393" s="27">
        <v>0</v>
      </c>
      <c r="AO393" s="27">
        <v>0</v>
      </c>
      <c r="AP393" s="27">
        <v>0</v>
      </c>
      <c r="AQ393" s="27">
        <v>0</v>
      </c>
      <c r="AR393" s="27">
        <v>0</v>
      </c>
      <c r="AS393" s="27">
        <v>0</v>
      </c>
      <c r="AT393" s="27">
        <v>0</v>
      </c>
      <c r="AU393" s="27">
        <v>0</v>
      </c>
      <c r="AV393" s="27">
        <v>0</v>
      </c>
      <c r="AW393" s="27">
        <v>1</v>
      </c>
      <c r="AX393" s="27">
        <v>0</v>
      </c>
      <c r="AZ393" s="27">
        <v>1</v>
      </c>
      <c r="BA393" s="27">
        <v>4</v>
      </c>
      <c r="BB393" s="27">
        <v>34.58</v>
      </c>
      <c r="BC393" s="27" t="s">
        <v>1364</v>
      </c>
      <c r="BD393" s="27" t="s">
        <v>1274</v>
      </c>
      <c r="BE393" s="27" t="s">
        <v>756</v>
      </c>
      <c r="BF393" s="27" t="s">
        <v>77</v>
      </c>
      <c r="BG393" s="27">
        <v>208</v>
      </c>
      <c r="BH393" s="27">
        <v>11</v>
      </c>
      <c r="BI393" s="27">
        <v>0.9498</v>
      </c>
      <c r="BJ393" s="27">
        <v>0</v>
      </c>
      <c r="BK393" s="27">
        <v>14</v>
      </c>
      <c r="BL393" s="27">
        <v>96.2</v>
      </c>
    </row>
    <row r="394" customHeight="1" spans="1:64">
      <c r="A394" s="27" t="s">
        <v>1365</v>
      </c>
      <c r="B394" s="27" t="s">
        <v>1366</v>
      </c>
      <c r="E394" s="27" t="s">
        <v>163</v>
      </c>
      <c r="F394" s="27" t="s">
        <v>82</v>
      </c>
      <c r="G394" s="27" t="s">
        <v>83</v>
      </c>
      <c r="H394" s="27" t="s">
        <v>84</v>
      </c>
      <c r="I394" s="27" t="s">
        <v>85</v>
      </c>
      <c r="J394" s="27">
        <v>5</v>
      </c>
      <c r="K394" s="27">
        <v>42</v>
      </c>
      <c r="M394" s="27">
        <v>0</v>
      </c>
      <c r="N394" s="27">
        <v>0</v>
      </c>
      <c r="O394" s="27">
        <v>0</v>
      </c>
      <c r="P394" s="27" t="s">
        <v>86</v>
      </c>
      <c r="Q394" s="27">
        <v>3.7612</v>
      </c>
      <c r="S394" s="27">
        <v>25</v>
      </c>
      <c r="T394" s="27">
        <v>5</v>
      </c>
      <c r="U394" s="27">
        <v>0.8333</v>
      </c>
      <c r="V394" s="27" t="s">
        <v>72</v>
      </c>
      <c r="W394" s="27">
        <v>1050</v>
      </c>
      <c r="X394" s="27">
        <v>3.258097</v>
      </c>
      <c r="Y394" s="27">
        <v>6.957497</v>
      </c>
      <c r="Z394" s="27">
        <v>2.2361</v>
      </c>
      <c r="AA394" s="27" t="s">
        <v>187</v>
      </c>
      <c r="AB394" s="27">
        <v>1</v>
      </c>
      <c r="AC394" s="27">
        <v>0</v>
      </c>
      <c r="AD394" s="27">
        <v>0</v>
      </c>
      <c r="AE394" s="27">
        <v>0</v>
      </c>
      <c r="AF394" s="27">
        <v>0</v>
      </c>
      <c r="AG394" s="27">
        <v>0</v>
      </c>
      <c r="AH394" s="27">
        <v>1</v>
      </c>
      <c r="AI394" s="27">
        <v>0</v>
      </c>
      <c r="AJ394" s="27">
        <v>0</v>
      </c>
      <c r="AK394" s="27">
        <v>0</v>
      </c>
      <c r="AL394" s="27">
        <v>0</v>
      </c>
      <c r="AM394" s="27">
        <v>0</v>
      </c>
      <c r="AN394" s="27">
        <v>0</v>
      </c>
      <c r="AO394" s="27">
        <v>0</v>
      </c>
      <c r="AP394" s="27">
        <v>0</v>
      </c>
      <c r="AQ394" s="27">
        <v>0</v>
      </c>
      <c r="AR394" s="27">
        <v>0</v>
      </c>
      <c r="AS394" s="27">
        <v>1</v>
      </c>
      <c r="AT394" s="27">
        <v>0</v>
      </c>
      <c r="AU394" s="27">
        <v>0</v>
      </c>
      <c r="AV394" s="27">
        <v>0</v>
      </c>
      <c r="AW394" s="27">
        <v>0</v>
      </c>
      <c r="AX394" s="27">
        <v>0</v>
      </c>
      <c r="AZ394" s="27">
        <v>1</v>
      </c>
      <c r="BA394" s="27">
        <v>2</v>
      </c>
      <c r="BB394" s="27">
        <v>62.43</v>
      </c>
      <c r="BC394" s="27" t="s">
        <v>1367</v>
      </c>
      <c r="BD394" s="27" t="s">
        <v>444</v>
      </c>
      <c r="BE394" s="27" t="s">
        <v>166</v>
      </c>
      <c r="BF394" s="27" t="s">
        <v>77</v>
      </c>
      <c r="BG394" s="27">
        <v>168</v>
      </c>
      <c r="BH394" s="27">
        <v>11</v>
      </c>
      <c r="BI394" s="27">
        <v>0.9385</v>
      </c>
      <c r="BJ394" s="27">
        <v>0</v>
      </c>
      <c r="BK394" s="27">
        <v>11</v>
      </c>
      <c r="BL394" s="27">
        <v>97</v>
      </c>
    </row>
    <row r="395" customHeight="1" spans="1:64">
      <c r="A395" s="27" t="s">
        <v>1368</v>
      </c>
      <c r="B395" s="27" t="s">
        <v>427</v>
      </c>
      <c r="C395" s="27" t="s">
        <v>1056</v>
      </c>
      <c r="E395" s="27" t="s">
        <v>438</v>
      </c>
      <c r="F395" s="27" t="s">
        <v>82</v>
      </c>
      <c r="G395" s="27" t="s">
        <v>427</v>
      </c>
      <c r="H395" s="27" t="s">
        <v>107</v>
      </c>
      <c r="I395" s="27" t="s">
        <v>153</v>
      </c>
      <c r="J395" s="27">
        <v>2</v>
      </c>
      <c r="K395" s="27">
        <v>89.99</v>
      </c>
      <c r="M395" s="27">
        <v>0</v>
      </c>
      <c r="N395" s="27">
        <v>0</v>
      </c>
      <c r="O395" s="27">
        <v>0</v>
      </c>
      <c r="P395" s="27" t="s">
        <v>95</v>
      </c>
      <c r="Q395" s="27">
        <v>4.51075</v>
      </c>
      <c r="S395" s="27">
        <v>6</v>
      </c>
      <c r="T395" s="27">
        <v>4</v>
      </c>
      <c r="U395" s="27">
        <v>0.6</v>
      </c>
      <c r="V395" s="27" t="s">
        <v>87</v>
      </c>
      <c r="W395" s="27">
        <v>539.94</v>
      </c>
      <c r="X395" s="27">
        <v>1.94591</v>
      </c>
      <c r="Y395" s="27">
        <v>6.293308</v>
      </c>
      <c r="Z395" s="27">
        <v>2</v>
      </c>
      <c r="AA395" s="27" t="s">
        <v>125</v>
      </c>
      <c r="AB395" s="27">
        <v>0</v>
      </c>
      <c r="AC395" s="27">
        <v>0</v>
      </c>
      <c r="AD395" s="27">
        <v>0</v>
      </c>
      <c r="AE395" s="27">
        <v>0</v>
      </c>
      <c r="AF395" s="27">
        <v>0</v>
      </c>
      <c r="AG395" s="27">
        <v>0</v>
      </c>
      <c r="AH395" s="27">
        <v>0</v>
      </c>
      <c r="AI395" s="27">
        <v>0</v>
      </c>
      <c r="AJ395" s="27">
        <v>0</v>
      </c>
      <c r="AK395" s="27">
        <v>0</v>
      </c>
      <c r="AL395" s="27">
        <v>0</v>
      </c>
      <c r="AM395" s="27">
        <v>0</v>
      </c>
      <c r="AN395" s="27">
        <v>0</v>
      </c>
      <c r="AO395" s="27">
        <v>0</v>
      </c>
      <c r="AP395" s="27">
        <v>1</v>
      </c>
      <c r="AQ395" s="27">
        <v>0</v>
      </c>
      <c r="AR395" s="27">
        <v>0</v>
      </c>
      <c r="AS395" s="27">
        <v>0</v>
      </c>
      <c r="AT395" s="27">
        <v>1</v>
      </c>
      <c r="AU395" s="27">
        <v>1</v>
      </c>
      <c r="AV395" s="27">
        <v>0</v>
      </c>
      <c r="AW395" s="27">
        <v>0</v>
      </c>
      <c r="AX395" s="27">
        <v>0</v>
      </c>
      <c r="AZ395" s="27">
        <v>1</v>
      </c>
      <c r="BA395" s="27">
        <v>0</v>
      </c>
      <c r="BB395" s="27">
        <v>53.85</v>
      </c>
      <c r="BC395" s="27" t="s">
        <v>597</v>
      </c>
      <c r="BD395" s="27" t="s">
        <v>598</v>
      </c>
      <c r="BE395" s="27" t="s">
        <v>113</v>
      </c>
      <c r="BF395" s="27" t="s">
        <v>77</v>
      </c>
      <c r="BG395" s="27">
        <v>162</v>
      </c>
      <c r="BH395" s="27">
        <v>19</v>
      </c>
      <c r="BI395" s="27">
        <v>0.895</v>
      </c>
      <c r="BJ395" s="27">
        <v>0</v>
      </c>
      <c r="BK395" s="27">
        <v>2</v>
      </c>
      <c r="BL395" s="27">
        <v>99.5</v>
      </c>
    </row>
    <row r="396" customHeight="1" spans="1:64">
      <c r="A396" s="27" t="s">
        <v>1369</v>
      </c>
      <c r="B396" s="27" t="s">
        <v>1370</v>
      </c>
      <c r="E396" s="27" t="s">
        <v>1371</v>
      </c>
      <c r="F396" s="27" t="s">
        <v>240</v>
      </c>
      <c r="G396" s="27" t="s">
        <v>83</v>
      </c>
      <c r="H396" s="27" t="s">
        <v>84</v>
      </c>
      <c r="I396" s="27" t="s">
        <v>153</v>
      </c>
      <c r="J396" s="27">
        <v>2</v>
      </c>
      <c r="K396" s="27">
        <v>209.99</v>
      </c>
      <c r="L396" s="27">
        <v>249.99</v>
      </c>
      <c r="M396" s="27">
        <v>16</v>
      </c>
      <c r="N396" s="27">
        <v>40</v>
      </c>
      <c r="O396" s="27">
        <v>1</v>
      </c>
      <c r="P396" s="27" t="s">
        <v>71</v>
      </c>
      <c r="Q396" s="27">
        <v>5.351811</v>
      </c>
      <c r="T396" s="27">
        <v>2</v>
      </c>
      <c r="U396" s="27">
        <v>0</v>
      </c>
      <c r="V396" s="27" t="s">
        <v>231</v>
      </c>
      <c r="W396" s="27">
        <v>0</v>
      </c>
      <c r="X396" s="27">
        <v>0</v>
      </c>
      <c r="Y396" s="27">
        <v>0</v>
      </c>
      <c r="Z396" s="27">
        <v>1.4142</v>
      </c>
      <c r="AA396" s="27" t="s">
        <v>483</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v>0</v>
      </c>
      <c r="AS396" s="27">
        <v>0</v>
      </c>
      <c r="AT396" s="27">
        <v>0</v>
      </c>
      <c r="AU396" s="27">
        <v>0</v>
      </c>
      <c r="AV396" s="27">
        <v>0</v>
      </c>
      <c r="AW396" s="27">
        <v>0</v>
      </c>
      <c r="AX396" s="27">
        <v>0</v>
      </c>
      <c r="AZ396" s="27">
        <v>1</v>
      </c>
      <c r="BA396" s="27">
        <v>0</v>
      </c>
      <c r="BB396" s="27">
        <v>30.27</v>
      </c>
      <c r="BC396" s="27" t="s">
        <v>1372</v>
      </c>
      <c r="BD396" s="27" t="s">
        <v>1373</v>
      </c>
      <c r="BE396" s="27" t="s">
        <v>941</v>
      </c>
      <c r="BF396" s="27" t="s">
        <v>77</v>
      </c>
      <c r="BG396" s="27">
        <v>167</v>
      </c>
      <c r="BH396" s="27">
        <v>16</v>
      </c>
      <c r="BI396" s="27">
        <v>0.9126</v>
      </c>
      <c r="BJ396" s="27">
        <v>0</v>
      </c>
      <c r="BK396" s="27">
        <v>55</v>
      </c>
      <c r="BL396" s="27">
        <v>84.9</v>
      </c>
    </row>
    <row r="397" customHeight="1" spans="1:64">
      <c r="A397" s="27" t="s">
        <v>1374</v>
      </c>
      <c r="B397" s="27" t="s">
        <v>384</v>
      </c>
      <c r="E397" s="27" t="s">
        <v>81</v>
      </c>
      <c r="F397" s="27" t="s">
        <v>160</v>
      </c>
      <c r="G397" s="27" t="s">
        <v>83</v>
      </c>
      <c r="H397" s="27" t="s">
        <v>84</v>
      </c>
      <c r="I397" s="27" t="s">
        <v>85</v>
      </c>
      <c r="J397" s="27">
        <v>5</v>
      </c>
      <c r="K397" s="27">
        <v>39.99</v>
      </c>
      <c r="L397" s="27">
        <v>62.99</v>
      </c>
      <c r="M397" s="27">
        <v>36.51</v>
      </c>
      <c r="N397" s="27">
        <v>23</v>
      </c>
      <c r="O397" s="27">
        <v>1</v>
      </c>
      <c r="P397" s="27" t="s">
        <v>86</v>
      </c>
      <c r="Q397" s="27">
        <v>3.713328</v>
      </c>
      <c r="S397" s="27">
        <v>15</v>
      </c>
      <c r="T397" s="27">
        <v>10</v>
      </c>
      <c r="U397" s="27">
        <v>0.6</v>
      </c>
      <c r="V397" s="27" t="s">
        <v>72</v>
      </c>
      <c r="W397" s="27">
        <v>599.85</v>
      </c>
      <c r="X397" s="27">
        <v>2.772589</v>
      </c>
      <c r="Y397" s="27">
        <v>6.398345</v>
      </c>
      <c r="Z397" s="27">
        <v>3.1623</v>
      </c>
      <c r="AA397" s="27" t="s">
        <v>125</v>
      </c>
      <c r="AB397" s="27">
        <v>0</v>
      </c>
      <c r="AC397" s="27">
        <v>0</v>
      </c>
      <c r="AD397" s="27">
        <v>0</v>
      </c>
      <c r="AE397" s="27">
        <v>1</v>
      </c>
      <c r="AF397" s="27">
        <v>0</v>
      </c>
      <c r="AG397" s="27">
        <v>0</v>
      </c>
      <c r="AH397" s="27">
        <v>1</v>
      </c>
      <c r="AI397" s="27">
        <v>0</v>
      </c>
      <c r="AJ397" s="27">
        <v>1</v>
      </c>
      <c r="AK397" s="27">
        <v>0</v>
      </c>
      <c r="AL397" s="27">
        <v>0</v>
      </c>
      <c r="AM397" s="27">
        <v>0</v>
      </c>
      <c r="AN397" s="27">
        <v>0</v>
      </c>
      <c r="AO397" s="27">
        <v>0</v>
      </c>
      <c r="AP397" s="27">
        <v>0</v>
      </c>
      <c r="AQ397" s="27">
        <v>0</v>
      </c>
      <c r="AR397" s="27">
        <v>0</v>
      </c>
      <c r="AS397" s="27">
        <v>0</v>
      </c>
      <c r="AT397" s="27">
        <v>0</v>
      </c>
      <c r="AU397" s="27">
        <v>0</v>
      </c>
      <c r="AV397" s="27">
        <v>0</v>
      </c>
      <c r="AW397" s="27">
        <v>0</v>
      </c>
      <c r="AX397" s="27">
        <v>0</v>
      </c>
      <c r="AZ397" s="27">
        <v>2</v>
      </c>
      <c r="BA397" s="27">
        <v>2</v>
      </c>
      <c r="BB397" s="27">
        <v>64.8</v>
      </c>
      <c r="BC397" s="27" t="s">
        <v>385</v>
      </c>
      <c r="BD397" s="27" t="s">
        <v>225</v>
      </c>
      <c r="BE397" s="27" t="s">
        <v>226</v>
      </c>
      <c r="BF397" s="27" t="s">
        <v>77</v>
      </c>
      <c r="BG397" s="27">
        <v>1</v>
      </c>
      <c r="BH397" s="27">
        <v>52</v>
      </c>
      <c r="BI397" s="27">
        <v>0.0189</v>
      </c>
      <c r="BJ397" s="27">
        <v>1</v>
      </c>
      <c r="BK397" s="27">
        <v>2</v>
      </c>
      <c r="BL397" s="27">
        <v>99.5</v>
      </c>
    </row>
    <row r="398" customHeight="1" spans="1:64">
      <c r="A398" s="27" t="s">
        <v>1375</v>
      </c>
      <c r="B398" s="27" t="s">
        <v>1376</v>
      </c>
      <c r="E398" s="27" t="s">
        <v>1377</v>
      </c>
      <c r="F398" s="27" t="s">
        <v>82</v>
      </c>
      <c r="G398" s="27" t="s">
        <v>83</v>
      </c>
      <c r="H398" s="27" t="s">
        <v>84</v>
      </c>
      <c r="I398" s="27" t="s">
        <v>203</v>
      </c>
      <c r="J398" s="27">
        <v>4</v>
      </c>
      <c r="K398" s="27">
        <v>600</v>
      </c>
      <c r="M398" s="27">
        <v>0</v>
      </c>
      <c r="N398" s="27">
        <v>0</v>
      </c>
      <c r="O398" s="27">
        <v>0</v>
      </c>
      <c r="P398" s="27" t="s">
        <v>147</v>
      </c>
      <c r="Q398" s="27">
        <v>6.398595</v>
      </c>
      <c r="S398" s="27">
        <v>2</v>
      </c>
      <c r="T398" s="27">
        <v>1</v>
      </c>
      <c r="U398" s="27">
        <v>0.6667</v>
      </c>
      <c r="V398" s="27" t="s">
        <v>87</v>
      </c>
      <c r="W398" s="27">
        <v>1200</v>
      </c>
      <c r="X398" s="27">
        <v>1.098612</v>
      </c>
      <c r="Y398" s="27">
        <v>7.09091</v>
      </c>
      <c r="Z398" s="27">
        <v>1</v>
      </c>
      <c r="AA398" s="27" t="s">
        <v>125</v>
      </c>
      <c r="AB398" s="27">
        <v>0</v>
      </c>
      <c r="AC398" s="27">
        <v>0</v>
      </c>
      <c r="AD398" s="27">
        <v>0</v>
      </c>
      <c r="AE398" s="27">
        <v>0</v>
      </c>
      <c r="AF398" s="27">
        <v>0</v>
      </c>
      <c r="AG398" s="27">
        <v>0</v>
      </c>
      <c r="AH398" s="27">
        <v>0</v>
      </c>
      <c r="AI398" s="27">
        <v>0</v>
      </c>
      <c r="AJ398" s="27">
        <v>0</v>
      </c>
      <c r="AK398" s="27">
        <v>1</v>
      </c>
      <c r="AL398" s="27">
        <v>0</v>
      </c>
      <c r="AM398" s="27">
        <v>0</v>
      </c>
      <c r="AN398" s="27">
        <v>0</v>
      </c>
      <c r="AO398" s="27">
        <v>0</v>
      </c>
      <c r="AP398" s="27">
        <v>0</v>
      </c>
      <c r="AQ398" s="27">
        <v>0</v>
      </c>
      <c r="AR398" s="27">
        <v>0</v>
      </c>
      <c r="AS398" s="27">
        <v>0</v>
      </c>
      <c r="AT398" s="27">
        <v>0</v>
      </c>
      <c r="AU398" s="27">
        <v>0</v>
      </c>
      <c r="AV398" s="27">
        <v>0</v>
      </c>
      <c r="AW398" s="27">
        <v>0</v>
      </c>
      <c r="AX398" s="27">
        <v>0</v>
      </c>
      <c r="AZ398" s="27">
        <v>1</v>
      </c>
      <c r="BA398" s="27">
        <v>1</v>
      </c>
      <c r="BB398" s="27">
        <v>56.34</v>
      </c>
      <c r="BC398" s="27" t="s">
        <v>1378</v>
      </c>
      <c r="BD398" s="27" t="s">
        <v>1379</v>
      </c>
      <c r="BE398" s="27" t="s">
        <v>166</v>
      </c>
      <c r="BF398" s="27" t="s">
        <v>77</v>
      </c>
      <c r="BG398" s="27">
        <v>168</v>
      </c>
      <c r="BH398" s="27">
        <v>11</v>
      </c>
      <c r="BI398" s="27">
        <v>0.9385</v>
      </c>
      <c r="BJ398" s="27">
        <v>0</v>
      </c>
      <c r="BK398" s="27">
        <v>4</v>
      </c>
      <c r="BL398" s="27">
        <v>98.9</v>
      </c>
    </row>
    <row r="399" customHeight="1" spans="1:64">
      <c r="A399" s="27" t="s">
        <v>1380</v>
      </c>
      <c r="B399" s="27" t="s">
        <v>1381</v>
      </c>
      <c r="E399" s="27" t="s">
        <v>81</v>
      </c>
      <c r="F399" s="27" t="s">
        <v>82</v>
      </c>
      <c r="G399" s="27" t="s">
        <v>83</v>
      </c>
      <c r="H399" s="27" t="s">
        <v>84</v>
      </c>
      <c r="I399" s="27" t="s">
        <v>85</v>
      </c>
      <c r="J399" s="27">
        <v>5</v>
      </c>
      <c r="K399" s="27">
        <v>34.98</v>
      </c>
      <c r="M399" s="27">
        <v>0</v>
      </c>
      <c r="N399" s="27">
        <v>0</v>
      </c>
      <c r="O399" s="27">
        <v>0</v>
      </c>
      <c r="P399" s="27" t="s">
        <v>86</v>
      </c>
      <c r="Q399" s="27">
        <v>3.582963</v>
      </c>
      <c r="S399" s="27">
        <v>354</v>
      </c>
      <c r="T399" s="27">
        <v>10</v>
      </c>
      <c r="U399" s="27">
        <v>0.9725</v>
      </c>
      <c r="V399" s="27" t="s">
        <v>154</v>
      </c>
      <c r="W399" s="27">
        <v>12382.92</v>
      </c>
      <c r="X399" s="27">
        <v>5.872118</v>
      </c>
      <c r="Y399" s="27">
        <v>9.424154</v>
      </c>
      <c r="Z399" s="27">
        <v>3.1623</v>
      </c>
      <c r="AA399" s="27" t="s">
        <v>73</v>
      </c>
      <c r="AB399" s="27">
        <v>1</v>
      </c>
      <c r="AC399" s="27">
        <v>0</v>
      </c>
      <c r="AD399" s="27">
        <v>0</v>
      </c>
      <c r="AE399" s="27">
        <v>0</v>
      </c>
      <c r="AF399" s="27">
        <v>0</v>
      </c>
      <c r="AG399" s="27">
        <v>0</v>
      </c>
      <c r="AH399" s="27">
        <v>1</v>
      </c>
      <c r="AI399" s="27">
        <v>0</v>
      </c>
      <c r="AJ399" s="27">
        <v>0</v>
      </c>
      <c r="AK399" s="27">
        <v>1</v>
      </c>
      <c r="AL399" s="27">
        <v>0</v>
      </c>
      <c r="AM399" s="27">
        <v>0</v>
      </c>
      <c r="AN399" s="27">
        <v>0</v>
      </c>
      <c r="AO399" s="27">
        <v>0</v>
      </c>
      <c r="AP399" s="27">
        <v>0</v>
      </c>
      <c r="AQ399" s="27">
        <v>0</v>
      </c>
      <c r="AR399" s="27">
        <v>0</v>
      </c>
      <c r="AS399" s="27">
        <v>0</v>
      </c>
      <c r="AT399" s="27">
        <v>1</v>
      </c>
      <c r="AU399" s="27">
        <v>0</v>
      </c>
      <c r="AV399" s="27">
        <v>0</v>
      </c>
      <c r="AW399" s="27">
        <v>0</v>
      </c>
      <c r="AX399" s="27">
        <v>0</v>
      </c>
      <c r="AZ399" s="27">
        <v>1</v>
      </c>
      <c r="BA399" s="27">
        <v>3</v>
      </c>
      <c r="BB399" s="27">
        <v>68.48</v>
      </c>
      <c r="BC399" s="27" t="s">
        <v>1382</v>
      </c>
      <c r="BD399" s="27" t="s">
        <v>219</v>
      </c>
      <c r="BE399" s="27" t="s">
        <v>690</v>
      </c>
      <c r="BF399" s="27" t="s">
        <v>77</v>
      </c>
      <c r="BG399" s="27">
        <v>126</v>
      </c>
      <c r="BH399" s="27">
        <v>59</v>
      </c>
      <c r="BI399" s="27">
        <v>0.6811</v>
      </c>
      <c r="BJ399" s="27">
        <v>0</v>
      </c>
      <c r="BK399" s="27">
        <v>5</v>
      </c>
      <c r="BL399" s="27">
        <v>98.6</v>
      </c>
    </row>
    <row r="400" customHeight="1" spans="1:64">
      <c r="A400" s="27" t="s">
        <v>1383</v>
      </c>
      <c r="B400" s="27" t="s">
        <v>115</v>
      </c>
      <c r="E400" s="27" t="s">
        <v>601</v>
      </c>
      <c r="F400" s="27" t="s">
        <v>198</v>
      </c>
      <c r="G400" s="27" t="s">
        <v>117</v>
      </c>
      <c r="H400" s="27" t="s">
        <v>107</v>
      </c>
      <c r="I400" s="27" t="s">
        <v>203</v>
      </c>
      <c r="J400" s="27">
        <v>4</v>
      </c>
      <c r="K400" s="27">
        <v>28.99</v>
      </c>
      <c r="M400" s="27">
        <v>0</v>
      </c>
      <c r="N400" s="27">
        <v>0</v>
      </c>
      <c r="O400" s="27">
        <v>0</v>
      </c>
      <c r="P400" s="27" t="s">
        <v>86</v>
      </c>
      <c r="Q400" s="27">
        <v>3.400864</v>
      </c>
      <c r="S400" s="27">
        <v>825</v>
      </c>
      <c r="T400" s="27">
        <v>10</v>
      </c>
      <c r="U400" s="27">
        <v>0.988</v>
      </c>
      <c r="V400" s="27" t="s">
        <v>154</v>
      </c>
      <c r="W400" s="27">
        <v>23916.75</v>
      </c>
      <c r="X400" s="27">
        <v>6.716595</v>
      </c>
      <c r="Y400" s="27">
        <v>10.082376</v>
      </c>
      <c r="Z400" s="27">
        <v>3.1623</v>
      </c>
      <c r="AA400" s="27" t="s">
        <v>125</v>
      </c>
      <c r="AB400" s="27">
        <v>0</v>
      </c>
      <c r="AC400" s="27">
        <v>0</v>
      </c>
      <c r="AD400" s="27">
        <v>0</v>
      </c>
      <c r="AE400" s="27">
        <v>0</v>
      </c>
      <c r="AF400" s="27">
        <v>0</v>
      </c>
      <c r="AG400" s="27">
        <v>0</v>
      </c>
      <c r="AH400" s="27">
        <v>0</v>
      </c>
      <c r="AI400" s="27">
        <v>0</v>
      </c>
      <c r="AJ400" s="27">
        <v>0</v>
      </c>
      <c r="AK400" s="27">
        <v>0</v>
      </c>
      <c r="AL400" s="27">
        <v>1</v>
      </c>
      <c r="AM400" s="27">
        <v>0</v>
      </c>
      <c r="AN400" s="27">
        <v>0</v>
      </c>
      <c r="AO400" s="27">
        <v>0</v>
      </c>
      <c r="AP400" s="27">
        <v>0</v>
      </c>
      <c r="AQ400" s="27">
        <v>0</v>
      </c>
      <c r="AR400" s="27">
        <v>0</v>
      </c>
      <c r="AS400" s="27">
        <v>0</v>
      </c>
      <c r="AT400" s="27">
        <v>0</v>
      </c>
      <c r="AU400" s="27">
        <v>0</v>
      </c>
      <c r="AV400" s="27">
        <v>0</v>
      </c>
      <c r="AW400" s="27">
        <v>1</v>
      </c>
      <c r="AX400" s="27">
        <v>0</v>
      </c>
      <c r="AZ400" s="27">
        <v>2</v>
      </c>
      <c r="BA400" s="27">
        <v>0</v>
      </c>
      <c r="BB400" s="27">
        <v>67.54</v>
      </c>
      <c r="BC400" s="27" t="s">
        <v>1384</v>
      </c>
      <c r="BD400" s="27" t="s">
        <v>1385</v>
      </c>
      <c r="BE400" s="27" t="s">
        <v>407</v>
      </c>
      <c r="BF400" s="27" t="s">
        <v>77</v>
      </c>
      <c r="BG400" s="27">
        <v>162</v>
      </c>
      <c r="BH400" s="27">
        <v>19</v>
      </c>
      <c r="BI400" s="27">
        <v>0.895</v>
      </c>
      <c r="BJ400" s="27">
        <v>0</v>
      </c>
      <c r="BK400" s="27">
        <v>24</v>
      </c>
      <c r="BL400" s="27">
        <v>93.4</v>
      </c>
    </row>
    <row r="401" customHeight="1" spans="1:64">
      <c r="A401" s="27" t="s">
        <v>1386</v>
      </c>
      <c r="B401" s="27" t="s">
        <v>1387</v>
      </c>
      <c r="E401" s="27" t="s">
        <v>1388</v>
      </c>
      <c r="F401" s="27" t="s">
        <v>240</v>
      </c>
      <c r="G401" s="27" t="s">
        <v>83</v>
      </c>
      <c r="H401" s="27" t="s">
        <v>84</v>
      </c>
      <c r="I401" s="27" t="s">
        <v>153</v>
      </c>
      <c r="J401" s="27">
        <v>2</v>
      </c>
      <c r="K401" s="27">
        <v>50</v>
      </c>
      <c r="M401" s="27">
        <v>0</v>
      </c>
      <c r="N401" s="27">
        <v>0</v>
      </c>
      <c r="O401" s="27">
        <v>0</v>
      </c>
      <c r="P401" s="27" t="s">
        <v>86</v>
      </c>
      <c r="Q401" s="27">
        <v>3.931826</v>
      </c>
      <c r="R401" s="27">
        <v>6.25</v>
      </c>
      <c r="V401" s="27" t="s">
        <v>231</v>
      </c>
      <c r="W401" s="27">
        <v>0</v>
      </c>
      <c r="X401" s="27">
        <v>0</v>
      </c>
      <c r="Y401" s="27">
        <v>0</v>
      </c>
      <c r="Z401" s="27">
        <v>0</v>
      </c>
      <c r="AA401" s="27" t="s">
        <v>125</v>
      </c>
      <c r="AB401" s="27">
        <v>0</v>
      </c>
      <c r="AC401" s="27">
        <v>0</v>
      </c>
      <c r="AD401" s="27">
        <v>0</v>
      </c>
      <c r="AE401" s="27">
        <v>0</v>
      </c>
      <c r="AF401" s="27">
        <v>0</v>
      </c>
      <c r="AG401" s="27">
        <v>0</v>
      </c>
      <c r="AH401" s="27">
        <v>0</v>
      </c>
      <c r="AI401" s="27">
        <v>0</v>
      </c>
      <c r="AJ401" s="27">
        <v>0</v>
      </c>
      <c r="AK401" s="27">
        <v>0</v>
      </c>
      <c r="AL401" s="27">
        <v>0</v>
      </c>
      <c r="AM401" s="27">
        <v>0</v>
      </c>
      <c r="AN401" s="27">
        <v>0</v>
      </c>
      <c r="AO401" s="27">
        <v>0</v>
      </c>
      <c r="AP401" s="27">
        <v>0</v>
      </c>
      <c r="AQ401" s="27">
        <v>1</v>
      </c>
      <c r="AR401" s="27">
        <v>0</v>
      </c>
      <c r="AS401" s="27">
        <v>0</v>
      </c>
      <c r="AT401" s="27">
        <v>0</v>
      </c>
      <c r="AU401" s="27">
        <v>0</v>
      </c>
      <c r="AV401" s="27">
        <v>1</v>
      </c>
      <c r="AW401" s="27">
        <v>1</v>
      </c>
      <c r="AX401" s="27">
        <v>0</v>
      </c>
      <c r="AY401" s="27">
        <v>8</v>
      </c>
      <c r="AZ401" s="27">
        <v>1</v>
      </c>
      <c r="BA401" s="27">
        <v>1</v>
      </c>
      <c r="BB401" s="27">
        <v>0</v>
      </c>
      <c r="BC401" s="27" t="s">
        <v>1389</v>
      </c>
      <c r="BD401" s="27" t="s">
        <v>1390</v>
      </c>
      <c r="BE401" s="27" t="s">
        <v>1062</v>
      </c>
      <c r="BF401" s="27" t="s">
        <v>77</v>
      </c>
      <c r="BG401" s="27">
        <v>168</v>
      </c>
      <c r="BH401" s="27">
        <v>11</v>
      </c>
      <c r="BI401" s="27">
        <v>0.9385</v>
      </c>
      <c r="BJ401" s="27">
        <v>0</v>
      </c>
    </row>
    <row r="402" customHeight="1" spans="1:64">
      <c r="A402" s="27" t="s">
        <v>1391</v>
      </c>
      <c r="B402" s="27" t="s">
        <v>125</v>
      </c>
      <c r="C402" s="27" t="s">
        <v>1392</v>
      </c>
      <c r="E402" s="27" t="s">
        <v>163</v>
      </c>
      <c r="F402" s="27" t="s">
        <v>82</v>
      </c>
      <c r="G402" s="27" t="s">
        <v>83</v>
      </c>
      <c r="H402" s="27" t="s">
        <v>138</v>
      </c>
      <c r="I402" s="27" t="s">
        <v>85</v>
      </c>
      <c r="J402" s="27">
        <v>5</v>
      </c>
      <c r="K402" s="27">
        <v>16.99</v>
      </c>
      <c r="M402" s="27">
        <v>0</v>
      </c>
      <c r="N402" s="27">
        <v>0</v>
      </c>
      <c r="O402" s="27">
        <v>0</v>
      </c>
      <c r="P402" s="27" t="s">
        <v>133</v>
      </c>
      <c r="Q402" s="27">
        <v>2.889816</v>
      </c>
      <c r="S402" s="27">
        <v>1</v>
      </c>
      <c r="T402" s="27">
        <v>9</v>
      </c>
      <c r="U402" s="27">
        <v>0.1</v>
      </c>
      <c r="V402" s="27" t="s">
        <v>87</v>
      </c>
      <c r="W402" s="27">
        <v>16.99</v>
      </c>
      <c r="X402" s="27">
        <v>0.693147</v>
      </c>
      <c r="Y402" s="27">
        <v>2.889816</v>
      </c>
      <c r="Z402" s="27">
        <v>3</v>
      </c>
      <c r="AA402" s="27" t="s">
        <v>139</v>
      </c>
      <c r="AB402" s="27">
        <v>1</v>
      </c>
      <c r="AC402" s="27">
        <v>0</v>
      </c>
      <c r="AD402" s="27">
        <v>0</v>
      </c>
      <c r="AE402" s="27">
        <v>0</v>
      </c>
      <c r="AF402" s="27">
        <v>0</v>
      </c>
      <c r="AG402" s="27">
        <v>0</v>
      </c>
      <c r="AH402" s="27">
        <v>1</v>
      </c>
      <c r="AI402" s="27">
        <v>0</v>
      </c>
      <c r="AJ402" s="27">
        <v>0</v>
      </c>
      <c r="AK402" s="27">
        <v>0</v>
      </c>
      <c r="AL402" s="27">
        <v>0</v>
      </c>
      <c r="AM402" s="27">
        <v>0</v>
      </c>
      <c r="AN402" s="27">
        <v>0</v>
      </c>
      <c r="AO402" s="27">
        <v>0</v>
      </c>
      <c r="AP402" s="27">
        <v>0</v>
      </c>
      <c r="AQ402" s="27">
        <v>0</v>
      </c>
      <c r="AR402" s="27">
        <v>0</v>
      </c>
      <c r="AS402" s="27">
        <v>1</v>
      </c>
      <c r="AT402" s="27">
        <v>0</v>
      </c>
      <c r="AU402" s="27">
        <v>0</v>
      </c>
      <c r="AV402" s="27">
        <v>0</v>
      </c>
      <c r="AW402" s="27">
        <v>0</v>
      </c>
      <c r="AX402" s="27">
        <v>0</v>
      </c>
      <c r="AZ402" s="27">
        <v>1</v>
      </c>
      <c r="BA402" s="27">
        <v>2</v>
      </c>
      <c r="BB402" s="27">
        <v>32.26</v>
      </c>
      <c r="BC402" s="27" t="s">
        <v>1393</v>
      </c>
      <c r="BD402" s="27" t="s">
        <v>406</v>
      </c>
      <c r="BE402" s="27" t="s">
        <v>557</v>
      </c>
      <c r="BF402" s="27" t="s">
        <v>77</v>
      </c>
      <c r="BG402" s="27">
        <v>1</v>
      </c>
      <c r="BH402" s="27">
        <v>12</v>
      </c>
      <c r="BI402" s="27">
        <v>0.0769</v>
      </c>
      <c r="BJ402" s="27">
        <v>1</v>
      </c>
      <c r="BK402" s="27">
        <v>21</v>
      </c>
      <c r="BL402" s="27">
        <v>94.2</v>
      </c>
    </row>
    <row r="403" customHeight="1" spans="1:64">
      <c r="A403" s="27" t="s">
        <v>1394</v>
      </c>
      <c r="B403" s="27" t="s">
        <v>125</v>
      </c>
      <c r="E403" s="27" t="s">
        <v>81</v>
      </c>
      <c r="F403" s="27" t="s">
        <v>82</v>
      </c>
      <c r="G403" s="27" t="s">
        <v>83</v>
      </c>
      <c r="H403" s="27" t="s">
        <v>138</v>
      </c>
      <c r="I403" s="27" t="s">
        <v>85</v>
      </c>
      <c r="J403" s="27">
        <v>5</v>
      </c>
      <c r="K403" s="27">
        <v>18.99</v>
      </c>
      <c r="M403" s="27">
        <v>0</v>
      </c>
      <c r="N403" s="27">
        <v>0</v>
      </c>
      <c r="O403" s="27">
        <v>0</v>
      </c>
      <c r="P403" s="27" t="s">
        <v>133</v>
      </c>
      <c r="Q403" s="27">
        <v>2.995232</v>
      </c>
      <c r="S403" s="27">
        <v>111</v>
      </c>
      <c r="T403" s="27">
        <v>10</v>
      </c>
      <c r="U403" s="27">
        <v>0.9174</v>
      </c>
      <c r="V403" s="27" t="s">
        <v>72</v>
      </c>
      <c r="W403" s="27">
        <v>2107.89</v>
      </c>
      <c r="X403" s="27">
        <v>4.718499</v>
      </c>
      <c r="Y403" s="27">
        <v>7.653917</v>
      </c>
      <c r="Z403" s="27">
        <v>3.1623</v>
      </c>
      <c r="AA403" s="27" t="s">
        <v>139</v>
      </c>
      <c r="AB403" s="27">
        <v>0</v>
      </c>
      <c r="AC403" s="27">
        <v>0</v>
      </c>
      <c r="AD403" s="27">
        <v>0</v>
      </c>
      <c r="AE403" s="27">
        <v>0</v>
      </c>
      <c r="AF403" s="27">
        <v>0</v>
      </c>
      <c r="AG403" s="27">
        <v>0</v>
      </c>
      <c r="AH403" s="27">
        <v>1</v>
      </c>
      <c r="AI403" s="27">
        <v>0</v>
      </c>
      <c r="AJ403" s="27">
        <v>0</v>
      </c>
      <c r="AK403" s="27">
        <v>0</v>
      </c>
      <c r="AL403" s="27">
        <v>0</v>
      </c>
      <c r="AM403" s="27">
        <v>0</v>
      </c>
      <c r="AN403" s="27">
        <v>0</v>
      </c>
      <c r="AO403" s="27">
        <v>0</v>
      </c>
      <c r="AP403" s="27">
        <v>0</v>
      </c>
      <c r="AQ403" s="27">
        <v>0</v>
      </c>
      <c r="AR403" s="27">
        <v>0</v>
      </c>
      <c r="AS403" s="27">
        <v>0</v>
      </c>
      <c r="AT403" s="27">
        <v>0</v>
      </c>
      <c r="AU403" s="27">
        <v>0</v>
      </c>
      <c r="AV403" s="27">
        <v>0</v>
      </c>
      <c r="AW403" s="27">
        <v>0</v>
      </c>
      <c r="AX403" s="27">
        <v>0</v>
      </c>
      <c r="AZ403" s="27">
        <v>1</v>
      </c>
      <c r="BA403" s="27">
        <v>1</v>
      </c>
      <c r="BB403" s="27">
        <v>66.22</v>
      </c>
      <c r="BC403" s="27" t="s">
        <v>1395</v>
      </c>
      <c r="BD403" s="27" t="s">
        <v>112</v>
      </c>
      <c r="BE403" s="27" t="s">
        <v>128</v>
      </c>
      <c r="BF403" s="27" t="s">
        <v>77</v>
      </c>
      <c r="BG403" s="27">
        <v>43</v>
      </c>
      <c r="BH403" s="27">
        <v>172</v>
      </c>
      <c r="BI403" s="27">
        <v>0.2</v>
      </c>
      <c r="BJ403" s="27">
        <v>0</v>
      </c>
      <c r="BK403" s="27">
        <v>6</v>
      </c>
      <c r="BL403" s="27">
        <v>98.4</v>
      </c>
    </row>
    <row r="404" customHeight="1" spans="1:64">
      <c r="A404" s="27" t="s">
        <v>1396</v>
      </c>
      <c r="B404" s="27" t="s">
        <v>171</v>
      </c>
      <c r="E404" s="27" t="s">
        <v>209</v>
      </c>
      <c r="F404" s="27" t="s">
        <v>160</v>
      </c>
      <c r="G404" s="27" t="s">
        <v>83</v>
      </c>
      <c r="H404" s="27" t="s">
        <v>84</v>
      </c>
      <c r="I404" s="27" t="s">
        <v>85</v>
      </c>
      <c r="J404" s="27">
        <v>5</v>
      </c>
      <c r="K404" s="27">
        <v>153.99</v>
      </c>
      <c r="M404" s="27">
        <v>0</v>
      </c>
      <c r="N404" s="27">
        <v>0</v>
      </c>
      <c r="O404" s="27">
        <v>0</v>
      </c>
      <c r="P404" s="27" t="s">
        <v>95</v>
      </c>
      <c r="Q404" s="27">
        <v>5.043361</v>
      </c>
      <c r="R404" s="27">
        <v>19.25</v>
      </c>
      <c r="S404" s="27">
        <v>24</v>
      </c>
      <c r="T404" s="27">
        <v>20</v>
      </c>
      <c r="U404" s="27">
        <v>0.5455</v>
      </c>
      <c r="V404" s="27" t="s">
        <v>72</v>
      </c>
      <c r="W404" s="27">
        <v>3695.76</v>
      </c>
      <c r="X404" s="27">
        <v>3.218876</v>
      </c>
      <c r="Y404" s="27">
        <v>8.215212</v>
      </c>
      <c r="Z404" s="27">
        <v>4.4721</v>
      </c>
      <c r="AA404" s="27" t="s">
        <v>313</v>
      </c>
      <c r="AB404" s="27">
        <v>1</v>
      </c>
      <c r="AC404" s="27">
        <v>1</v>
      </c>
      <c r="AD404" s="27">
        <v>0</v>
      </c>
      <c r="AE404" s="27">
        <v>0</v>
      </c>
      <c r="AF404" s="27">
        <v>0</v>
      </c>
      <c r="AG404" s="27">
        <v>0</v>
      </c>
      <c r="AH404" s="27">
        <v>0</v>
      </c>
      <c r="AI404" s="27">
        <v>0</v>
      </c>
      <c r="AJ404" s="27">
        <v>0</v>
      </c>
      <c r="AK404" s="27">
        <v>0</v>
      </c>
      <c r="AL404" s="27">
        <v>0</v>
      </c>
      <c r="AM404" s="27">
        <v>0</v>
      </c>
      <c r="AN404" s="27">
        <v>0</v>
      </c>
      <c r="AO404" s="27">
        <v>0</v>
      </c>
      <c r="AP404" s="27">
        <v>0</v>
      </c>
      <c r="AQ404" s="27">
        <v>1</v>
      </c>
      <c r="AR404" s="27">
        <v>0</v>
      </c>
      <c r="AS404" s="27">
        <v>0</v>
      </c>
      <c r="AT404" s="27">
        <v>1</v>
      </c>
      <c r="AU404" s="27">
        <v>0</v>
      </c>
      <c r="AV404" s="27">
        <v>1</v>
      </c>
      <c r="AW404" s="27">
        <v>1</v>
      </c>
      <c r="AX404" s="27">
        <v>0</v>
      </c>
      <c r="AY404" s="27">
        <v>8</v>
      </c>
      <c r="AZ404" s="27">
        <v>1</v>
      </c>
      <c r="BA404" s="27">
        <v>3</v>
      </c>
      <c r="BB404" s="27">
        <v>46.24</v>
      </c>
      <c r="BC404" s="27" t="s">
        <v>251</v>
      </c>
      <c r="BD404" s="27" t="s">
        <v>175</v>
      </c>
      <c r="BE404" s="27" t="s">
        <v>91</v>
      </c>
      <c r="BF404" s="27" t="s">
        <v>77</v>
      </c>
      <c r="BG404" s="27">
        <v>161</v>
      </c>
      <c r="BH404" s="27">
        <v>61</v>
      </c>
      <c r="BI404" s="27">
        <v>0.7252</v>
      </c>
      <c r="BJ404" s="27">
        <v>0</v>
      </c>
      <c r="BK404" s="27">
        <v>68</v>
      </c>
      <c r="BL404" s="27">
        <v>81.4</v>
      </c>
    </row>
    <row r="405" customHeight="1" spans="1:64">
      <c r="A405" s="27" t="s">
        <v>1397</v>
      </c>
      <c r="B405" s="27" t="s">
        <v>739</v>
      </c>
      <c r="E405" s="27" t="s">
        <v>81</v>
      </c>
      <c r="F405" s="27" t="s">
        <v>82</v>
      </c>
      <c r="G405" s="27" t="s">
        <v>83</v>
      </c>
      <c r="H405" s="27" t="s">
        <v>84</v>
      </c>
      <c r="I405" s="27" t="s">
        <v>203</v>
      </c>
      <c r="J405" s="27">
        <v>4</v>
      </c>
      <c r="K405" s="27">
        <v>330</v>
      </c>
      <c r="M405" s="27">
        <v>0</v>
      </c>
      <c r="N405" s="27">
        <v>0</v>
      </c>
      <c r="O405" s="27">
        <v>0</v>
      </c>
      <c r="P405" s="27" t="s">
        <v>71</v>
      </c>
      <c r="Q405" s="27">
        <v>5.802118</v>
      </c>
      <c r="V405" s="27" t="s">
        <v>231</v>
      </c>
      <c r="W405" s="27">
        <v>0</v>
      </c>
      <c r="X405" s="27">
        <v>0</v>
      </c>
      <c r="Y405" s="27">
        <v>0</v>
      </c>
      <c r="Z405" s="27">
        <v>0</v>
      </c>
      <c r="AA405" s="27" t="s">
        <v>73</v>
      </c>
      <c r="AB405" s="27">
        <v>0</v>
      </c>
      <c r="AC405" s="27">
        <v>0</v>
      </c>
      <c r="AD405" s="27">
        <v>0</v>
      </c>
      <c r="AE405" s="27">
        <v>1</v>
      </c>
      <c r="AF405" s="27">
        <v>0</v>
      </c>
      <c r="AG405" s="27">
        <v>0</v>
      </c>
      <c r="AH405" s="27">
        <v>0</v>
      </c>
      <c r="AI405" s="27">
        <v>0</v>
      </c>
      <c r="AJ405" s="27">
        <v>0</v>
      </c>
      <c r="AK405" s="27">
        <v>0</v>
      </c>
      <c r="AL405" s="27">
        <v>0</v>
      </c>
      <c r="AM405" s="27">
        <v>0</v>
      </c>
      <c r="AN405" s="27">
        <v>0</v>
      </c>
      <c r="AO405" s="27">
        <v>0</v>
      </c>
      <c r="AP405" s="27">
        <v>0</v>
      </c>
      <c r="AQ405" s="27">
        <v>0</v>
      </c>
      <c r="AR405" s="27">
        <v>0</v>
      </c>
      <c r="AS405" s="27">
        <v>0</v>
      </c>
      <c r="AT405" s="27">
        <v>0</v>
      </c>
      <c r="AU405" s="27">
        <v>0</v>
      </c>
      <c r="AV405" s="27">
        <v>0</v>
      </c>
      <c r="AW405" s="27">
        <v>1</v>
      </c>
      <c r="AX405" s="27">
        <v>1</v>
      </c>
      <c r="AZ405" s="27">
        <v>1</v>
      </c>
      <c r="BA405" s="27">
        <v>1</v>
      </c>
      <c r="BB405" s="27">
        <v>0</v>
      </c>
      <c r="BC405" s="27" t="s">
        <v>1398</v>
      </c>
      <c r="BD405" s="27" t="s">
        <v>1399</v>
      </c>
      <c r="BE405" s="27" t="s">
        <v>1062</v>
      </c>
      <c r="BF405" s="27" t="s">
        <v>77</v>
      </c>
      <c r="BG405" s="27">
        <v>168</v>
      </c>
      <c r="BH405" s="27">
        <v>11</v>
      </c>
      <c r="BI405" s="27">
        <v>0.9385</v>
      </c>
      <c r="BJ405" s="27">
        <v>0</v>
      </c>
    </row>
    <row r="406" customHeight="1" spans="1:64">
      <c r="A406" s="27" t="s">
        <v>1400</v>
      </c>
      <c r="B406" s="27" t="s">
        <v>1401</v>
      </c>
      <c r="E406" s="27" t="s">
        <v>1402</v>
      </c>
      <c r="F406" s="27" t="s">
        <v>82</v>
      </c>
      <c r="G406" s="27" t="s">
        <v>83</v>
      </c>
      <c r="H406" s="27" t="s">
        <v>84</v>
      </c>
      <c r="I406" s="27" t="s">
        <v>85</v>
      </c>
      <c r="J406" s="27">
        <v>5</v>
      </c>
      <c r="K406" s="27">
        <v>44.99</v>
      </c>
      <c r="M406" s="27">
        <v>0</v>
      </c>
      <c r="N406" s="27">
        <v>0</v>
      </c>
      <c r="O406" s="27">
        <v>0</v>
      </c>
      <c r="P406" s="27" t="s">
        <v>86</v>
      </c>
      <c r="Q406" s="27">
        <v>3.828424</v>
      </c>
      <c r="S406" s="27">
        <v>127</v>
      </c>
      <c r="T406" s="27">
        <v>10</v>
      </c>
      <c r="U406" s="27">
        <v>0.927</v>
      </c>
      <c r="V406" s="27" t="s">
        <v>72</v>
      </c>
      <c r="W406" s="27">
        <v>5713.73</v>
      </c>
      <c r="X406" s="27">
        <v>4.85203</v>
      </c>
      <c r="Y406" s="27">
        <v>8.650802</v>
      </c>
      <c r="Z406" s="27">
        <v>3.1623</v>
      </c>
      <c r="AA406" s="27" t="s">
        <v>187</v>
      </c>
      <c r="AB406" s="27">
        <v>0</v>
      </c>
      <c r="AC406" s="27">
        <v>0</v>
      </c>
      <c r="AD406" s="27">
        <v>0</v>
      </c>
      <c r="AE406" s="27">
        <v>0</v>
      </c>
      <c r="AF406" s="27">
        <v>0</v>
      </c>
      <c r="AG406" s="27">
        <v>0</v>
      </c>
      <c r="AH406" s="27">
        <v>1</v>
      </c>
      <c r="AI406" s="27">
        <v>0</v>
      </c>
      <c r="AJ406" s="27">
        <v>0</v>
      </c>
      <c r="AK406" s="27">
        <v>0</v>
      </c>
      <c r="AL406" s="27">
        <v>0</v>
      </c>
      <c r="AM406" s="27">
        <v>0</v>
      </c>
      <c r="AN406" s="27">
        <v>0</v>
      </c>
      <c r="AO406" s="27">
        <v>0</v>
      </c>
      <c r="AP406" s="27">
        <v>0</v>
      </c>
      <c r="AQ406" s="27">
        <v>0</v>
      </c>
      <c r="AR406" s="27">
        <v>0</v>
      </c>
      <c r="AS406" s="27">
        <v>0</v>
      </c>
      <c r="AT406" s="27">
        <v>0</v>
      </c>
      <c r="AU406" s="27">
        <v>0</v>
      </c>
      <c r="AV406" s="27">
        <v>0</v>
      </c>
      <c r="AW406" s="27">
        <v>0</v>
      </c>
      <c r="AX406" s="27">
        <v>0</v>
      </c>
      <c r="AZ406" s="27">
        <v>1</v>
      </c>
      <c r="BA406" s="27">
        <v>1</v>
      </c>
      <c r="BB406" s="27">
        <v>66.93</v>
      </c>
      <c r="BC406" s="27" t="s">
        <v>1403</v>
      </c>
      <c r="BD406" s="27" t="s">
        <v>112</v>
      </c>
      <c r="BE406" s="27" t="s">
        <v>128</v>
      </c>
      <c r="BF406" s="27" t="s">
        <v>77</v>
      </c>
      <c r="BG406" s="27">
        <v>1</v>
      </c>
      <c r="BH406" s="27">
        <v>28</v>
      </c>
      <c r="BI406" s="27">
        <v>0.0345</v>
      </c>
      <c r="BJ406" s="27">
        <v>1</v>
      </c>
      <c r="BK406" s="27">
        <v>2</v>
      </c>
      <c r="BL406" s="27">
        <v>99.5</v>
      </c>
    </row>
    <row r="407" customHeight="1" spans="1:64">
      <c r="A407" s="27" t="s">
        <v>1404</v>
      </c>
      <c r="B407" s="27" t="s">
        <v>1405</v>
      </c>
      <c r="E407" s="27" t="s">
        <v>81</v>
      </c>
      <c r="F407" s="27" t="s">
        <v>82</v>
      </c>
      <c r="G407" s="27" t="s">
        <v>83</v>
      </c>
      <c r="H407" s="27" t="s">
        <v>84</v>
      </c>
      <c r="I407" s="27" t="s">
        <v>85</v>
      </c>
      <c r="J407" s="27">
        <v>5</v>
      </c>
      <c r="K407" s="27">
        <v>18.95</v>
      </c>
      <c r="M407" s="27">
        <v>0</v>
      </c>
      <c r="N407" s="27">
        <v>0</v>
      </c>
      <c r="O407" s="27">
        <v>0</v>
      </c>
      <c r="P407" s="27" t="s">
        <v>133</v>
      </c>
      <c r="Q407" s="27">
        <v>2.993229</v>
      </c>
      <c r="S407" s="27">
        <v>25</v>
      </c>
      <c r="T407" s="27">
        <v>10</v>
      </c>
      <c r="U407" s="27">
        <v>0.7143</v>
      </c>
      <c r="V407" s="27" t="s">
        <v>72</v>
      </c>
      <c r="W407" s="27">
        <v>473.75</v>
      </c>
      <c r="X407" s="27">
        <v>3.258097</v>
      </c>
      <c r="Y407" s="27">
        <v>6.162788</v>
      </c>
      <c r="Z407" s="27">
        <v>3.1623</v>
      </c>
      <c r="AA407" s="27" t="s">
        <v>139</v>
      </c>
      <c r="AB407" s="27">
        <v>1</v>
      </c>
      <c r="AC407" s="27">
        <v>0</v>
      </c>
      <c r="AD407" s="27">
        <v>0</v>
      </c>
      <c r="AE407" s="27">
        <v>0</v>
      </c>
      <c r="AF407" s="27">
        <v>0</v>
      </c>
      <c r="AG407" s="27">
        <v>0</v>
      </c>
      <c r="AH407" s="27">
        <v>0</v>
      </c>
      <c r="AI407" s="27">
        <v>0</v>
      </c>
      <c r="AJ407" s="27">
        <v>0</v>
      </c>
      <c r="AK407" s="27">
        <v>0</v>
      </c>
      <c r="AL407" s="27">
        <v>0</v>
      </c>
      <c r="AM407" s="27">
        <v>0</v>
      </c>
      <c r="AN407" s="27">
        <v>0</v>
      </c>
      <c r="AO407" s="27">
        <v>0</v>
      </c>
      <c r="AP407" s="27">
        <v>0</v>
      </c>
      <c r="AQ407" s="27">
        <v>0</v>
      </c>
      <c r="AR407" s="27">
        <v>0</v>
      </c>
      <c r="AS407" s="27">
        <v>0</v>
      </c>
      <c r="AT407" s="27">
        <v>0</v>
      </c>
      <c r="AU407" s="27">
        <v>1</v>
      </c>
      <c r="AV407" s="27">
        <v>0</v>
      </c>
      <c r="AW407" s="27">
        <v>0</v>
      </c>
      <c r="AX407" s="27">
        <v>0</v>
      </c>
      <c r="AZ407" s="27">
        <v>1</v>
      </c>
      <c r="BA407" s="27">
        <v>1</v>
      </c>
      <c r="BB407" s="27">
        <v>57.91</v>
      </c>
      <c r="BC407" s="27" t="s">
        <v>1406</v>
      </c>
      <c r="BD407" s="27" t="s">
        <v>793</v>
      </c>
      <c r="BE407" s="27" t="s">
        <v>113</v>
      </c>
      <c r="BF407" s="27" t="s">
        <v>77</v>
      </c>
      <c r="BG407" s="27">
        <v>167</v>
      </c>
      <c r="BH407" s="27">
        <v>13</v>
      </c>
      <c r="BI407" s="27">
        <v>0.9278</v>
      </c>
      <c r="BJ407" s="27">
        <v>0</v>
      </c>
      <c r="BK407" s="27">
        <v>8</v>
      </c>
      <c r="BL407" s="27">
        <v>97.8</v>
      </c>
    </row>
    <row r="408" customHeight="1" spans="1:64">
      <c r="A408" s="27" t="s">
        <v>1407</v>
      </c>
      <c r="B408" s="27" t="s">
        <v>104</v>
      </c>
      <c r="C408" s="27" t="s">
        <v>1408</v>
      </c>
      <c r="D408" s="27">
        <v>194644210670</v>
      </c>
      <c r="E408" s="27" t="s">
        <v>81</v>
      </c>
      <c r="F408" s="27" t="s">
        <v>82</v>
      </c>
      <c r="G408" s="27" t="s">
        <v>106</v>
      </c>
      <c r="H408" s="27" t="s">
        <v>107</v>
      </c>
      <c r="I408" s="27" t="s">
        <v>108</v>
      </c>
      <c r="J408" s="27">
        <v>3</v>
      </c>
      <c r="K408" s="27">
        <v>159.99</v>
      </c>
      <c r="L408" s="27">
        <v>219.99</v>
      </c>
      <c r="M408" s="27">
        <v>27.27</v>
      </c>
      <c r="N408" s="27">
        <v>60</v>
      </c>
      <c r="O408" s="27">
        <v>1</v>
      </c>
      <c r="P408" s="27" t="s">
        <v>95</v>
      </c>
      <c r="Q408" s="27">
        <v>5.081342</v>
      </c>
      <c r="S408" s="27">
        <v>1949</v>
      </c>
      <c r="T408" s="27">
        <v>28</v>
      </c>
      <c r="U408" s="27">
        <v>0.9858</v>
      </c>
      <c r="V408" s="27" t="s">
        <v>109</v>
      </c>
      <c r="W408" s="27">
        <v>311820.51</v>
      </c>
      <c r="X408" s="27">
        <v>7.575585</v>
      </c>
      <c r="Y408" s="27">
        <v>12.650186</v>
      </c>
      <c r="Z408" s="27">
        <v>5.2915</v>
      </c>
      <c r="AA408" s="27" t="s">
        <v>73</v>
      </c>
      <c r="AB408" s="27">
        <v>0</v>
      </c>
      <c r="AC408" s="27">
        <v>0</v>
      </c>
      <c r="AD408" s="27">
        <v>0</v>
      </c>
      <c r="AE408" s="27">
        <v>1</v>
      </c>
      <c r="AF408" s="27">
        <v>0</v>
      </c>
      <c r="AG408" s="27">
        <v>0</v>
      </c>
      <c r="AH408" s="27">
        <v>1</v>
      </c>
      <c r="AI408" s="27">
        <v>0</v>
      </c>
      <c r="AJ408" s="27">
        <v>0</v>
      </c>
      <c r="AK408" s="27">
        <v>0</v>
      </c>
      <c r="AL408" s="27">
        <v>0</v>
      </c>
      <c r="AM408" s="27">
        <v>0</v>
      </c>
      <c r="AN408" s="27">
        <v>0</v>
      </c>
      <c r="AO408" s="27">
        <v>0</v>
      </c>
      <c r="AP408" s="27">
        <v>0</v>
      </c>
      <c r="AQ408" s="27">
        <v>0</v>
      </c>
      <c r="AR408" s="27">
        <v>0</v>
      </c>
      <c r="AS408" s="27">
        <v>0</v>
      </c>
      <c r="AT408" s="27">
        <v>1</v>
      </c>
      <c r="AU408" s="27">
        <v>0</v>
      </c>
      <c r="AV408" s="27">
        <v>0</v>
      </c>
      <c r="AW408" s="27">
        <v>0</v>
      </c>
      <c r="AX408" s="27">
        <v>0</v>
      </c>
      <c r="AZ408" s="27">
        <v>1</v>
      </c>
      <c r="BA408" s="27">
        <v>2</v>
      </c>
      <c r="BB408" s="27">
        <v>77.46</v>
      </c>
      <c r="BC408" s="27" t="s">
        <v>111</v>
      </c>
      <c r="BD408" s="27" t="s">
        <v>112</v>
      </c>
      <c r="BE408" s="27" t="s">
        <v>113</v>
      </c>
      <c r="BF408" s="27" t="s">
        <v>77</v>
      </c>
      <c r="BG408" s="27">
        <v>162</v>
      </c>
      <c r="BH408" s="27">
        <v>24</v>
      </c>
      <c r="BI408" s="27">
        <v>0.871</v>
      </c>
      <c r="BJ408" s="27">
        <v>0</v>
      </c>
      <c r="BK408" s="27">
        <v>2</v>
      </c>
      <c r="BL408" s="27">
        <v>99.5</v>
      </c>
    </row>
    <row r="409" customHeight="1" spans="1:64">
      <c r="A409" s="27" t="s">
        <v>1409</v>
      </c>
      <c r="B409" s="27" t="s">
        <v>245</v>
      </c>
      <c r="C409" s="27" t="s">
        <v>933</v>
      </c>
      <c r="E409" s="27" t="s">
        <v>250</v>
      </c>
      <c r="F409" s="27" t="s">
        <v>82</v>
      </c>
      <c r="G409" s="27" t="s">
        <v>83</v>
      </c>
      <c r="H409" s="27" t="s">
        <v>84</v>
      </c>
      <c r="I409" s="27" t="s">
        <v>85</v>
      </c>
      <c r="J409" s="27">
        <v>5</v>
      </c>
      <c r="K409" s="27">
        <v>16.91</v>
      </c>
      <c r="M409" s="27">
        <v>0</v>
      </c>
      <c r="N409" s="27">
        <v>0</v>
      </c>
      <c r="O409" s="27">
        <v>0</v>
      </c>
      <c r="P409" s="27" t="s">
        <v>133</v>
      </c>
      <c r="Q409" s="27">
        <v>2.885359</v>
      </c>
      <c r="S409" s="27">
        <v>137</v>
      </c>
      <c r="T409" s="27">
        <v>10</v>
      </c>
      <c r="U409" s="27">
        <v>0.932</v>
      </c>
      <c r="V409" s="27" t="s">
        <v>72</v>
      </c>
      <c r="W409" s="27">
        <v>2316.67</v>
      </c>
      <c r="X409" s="27">
        <v>4.927254</v>
      </c>
      <c r="Y409" s="27">
        <v>7.748318</v>
      </c>
      <c r="Z409" s="27">
        <v>3.1623</v>
      </c>
      <c r="AA409" s="27" t="s">
        <v>139</v>
      </c>
      <c r="AB409" s="27">
        <v>1</v>
      </c>
      <c r="AC409" s="27">
        <v>0</v>
      </c>
      <c r="AD409" s="27">
        <v>0</v>
      </c>
      <c r="AE409" s="27">
        <v>0</v>
      </c>
      <c r="AF409" s="27">
        <v>0</v>
      </c>
      <c r="AG409" s="27">
        <v>0</v>
      </c>
      <c r="AH409" s="27">
        <v>0</v>
      </c>
      <c r="AI409" s="27">
        <v>0</v>
      </c>
      <c r="AJ409" s="27">
        <v>0</v>
      </c>
      <c r="AK409" s="27">
        <v>0</v>
      </c>
      <c r="AL409" s="27">
        <v>0</v>
      </c>
      <c r="AM409" s="27">
        <v>0</v>
      </c>
      <c r="AN409" s="27">
        <v>0</v>
      </c>
      <c r="AO409" s="27">
        <v>0</v>
      </c>
      <c r="AP409" s="27">
        <v>0</v>
      </c>
      <c r="AQ409" s="27">
        <v>0</v>
      </c>
      <c r="AR409" s="27">
        <v>0</v>
      </c>
      <c r="AS409" s="27">
        <v>0</v>
      </c>
      <c r="AT409" s="27">
        <v>1</v>
      </c>
      <c r="AU409" s="27">
        <v>0</v>
      </c>
      <c r="AV409" s="27">
        <v>0</v>
      </c>
      <c r="AW409" s="27">
        <v>0</v>
      </c>
      <c r="AX409" s="27">
        <v>0</v>
      </c>
      <c r="AZ409" s="27">
        <v>1</v>
      </c>
      <c r="BA409" s="27">
        <v>1</v>
      </c>
      <c r="BB409" s="27">
        <v>67.04</v>
      </c>
      <c r="BC409" s="27" t="s">
        <v>326</v>
      </c>
      <c r="BD409" s="27" t="s">
        <v>356</v>
      </c>
      <c r="BE409" s="27" t="s">
        <v>423</v>
      </c>
      <c r="BF409" s="27" t="s">
        <v>77</v>
      </c>
      <c r="BG409" s="27">
        <v>162</v>
      </c>
      <c r="BH409" s="27">
        <v>60</v>
      </c>
      <c r="BI409" s="27">
        <v>0.7297</v>
      </c>
      <c r="BJ409" s="27">
        <v>0</v>
      </c>
      <c r="BK409" s="27">
        <v>3</v>
      </c>
      <c r="BL409" s="27">
        <v>99.2</v>
      </c>
    </row>
    <row r="410" customHeight="1" spans="1:64">
      <c r="A410" s="27" t="s">
        <v>1410</v>
      </c>
      <c r="B410" s="27" t="s">
        <v>104</v>
      </c>
      <c r="C410" s="27" t="s">
        <v>1411</v>
      </c>
      <c r="D410" s="27">
        <v>194644082901</v>
      </c>
      <c r="E410" s="27" t="s">
        <v>653</v>
      </c>
      <c r="F410" s="27" t="s">
        <v>198</v>
      </c>
      <c r="G410" s="27" t="s">
        <v>106</v>
      </c>
      <c r="H410" s="27" t="s">
        <v>107</v>
      </c>
      <c r="I410" s="27" t="s">
        <v>108</v>
      </c>
      <c r="J410" s="27">
        <v>3</v>
      </c>
      <c r="K410" s="27">
        <v>15.29</v>
      </c>
      <c r="L410" s="27">
        <v>34.99</v>
      </c>
      <c r="M410" s="27">
        <v>56.3</v>
      </c>
      <c r="N410" s="27">
        <v>19.7</v>
      </c>
      <c r="O410" s="27">
        <v>1</v>
      </c>
      <c r="P410" s="27" t="s">
        <v>133</v>
      </c>
      <c r="Q410" s="27">
        <v>2.790551</v>
      </c>
      <c r="S410" s="27">
        <v>290</v>
      </c>
      <c r="T410" s="27">
        <v>7</v>
      </c>
      <c r="U410" s="27">
        <v>0.9764</v>
      </c>
      <c r="V410" s="27" t="s">
        <v>154</v>
      </c>
      <c r="W410" s="27">
        <v>4434.1</v>
      </c>
      <c r="X410" s="27">
        <v>5.673323</v>
      </c>
      <c r="Y410" s="27">
        <v>8.397305</v>
      </c>
      <c r="Z410" s="27">
        <v>2.6458</v>
      </c>
      <c r="AA410" s="27" t="s">
        <v>125</v>
      </c>
      <c r="AB410" s="27">
        <v>0</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v>0</v>
      </c>
      <c r="AS410" s="27">
        <v>0</v>
      </c>
      <c r="AT410" s="27">
        <v>0</v>
      </c>
      <c r="AU410" s="27">
        <v>0</v>
      </c>
      <c r="AV410" s="27">
        <v>0</v>
      </c>
      <c r="AW410" s="27">
        <v>0</v>
      </c>
      <c r="AX410" s="27">
        <v>0</v>
      </c>
      <c r="AZ410" s="27">
        <v>1</v>
      </c>
      <c r="BA410" s="27">
        <v>0</v>
      </c>
      <c r="BB410" s="27">
        <v>85.8</v>
      </c>
      <c r="BC410" s="27" t="s">
        <v>111</v>
      </c>
      <c r="BD410" s="27" t="s">
        <v>112</v>
      </c>
      <c r="BE410" s="27" t="s">
        <v>113</v>
      </c>
      <c r="BF410" s="27" t="s">
        <v>77</v>
      </c>
      <c r="BG410" s="27">
        <v>162</v>
      </c>
      <c r="BH410" s="27">
        <v>24</v>
      </c>
      <c r="BI410" s="27">
        <v>0.871</v>
      </c>
      <c r="BJ410" s="27">
        <v>0</v>
      </c>
      <c r="BK410" s="27">
        <v>2</v>
      </c>
      <c r="BL410" s="27">
        <v>99.5</v>
      </c>
    </row>
    <row r="411" customHeight="1" spans="1:64">
      <c r="A411" s="27" t="s">
        <v>1412</v>
      </c>
      <c r="B411" s="27" t="s">
        <v>1413</v>
      </c>
      <c r="E411" s="27" t="s">
        <v>239</v>
      </c>
      <c r="F411" s="27" t="s">
        <v>240</v>
      </c>
      <c r="G411" s="27" t="s">
        <v>83</v>
      </c>
      <c r="H411" s="27" t="s">
        <v>84</v>
      </c>
      <c r="I411" s="27" t="s">
        <v>153</v>
      </c>
      <c r="J411" s="27">
        <v>2</v>
      </c>
      <c r="K411" s="27">
        <v>126</v>
      </c>
      <c r="L411" s="27">
        <v>150</v>
      </c>
      <c r="M411" s="27">
        <v>16</v>
      </c>
      <c r="N411" s="27">
        <v>24</v>
      </c>
      <c r="O411" s="27">
        <v>1</v>
      </c>
      <c r="P411" s="27" t="s">
        <v>95</v>
      </c>
      <c r="Q411" s="27">
        <v>4.844187</v>
      </c>
      <c r="R411" s="27">
        <v>7.88</v>
      </c>
      <c r="V411" s="27" t="s">
        <v>231</v>
      </c>
      <c r="W411" s="27">
        <v>0</v>
      </c>
      <c r="X411" s="27">
        <v>0</v>
      </c>
      <c r="Y411" s="27">
        <v>0</v>
      </c>
      <c r="Z411" s="27">
        <v>0</v>
      </c>
      <c r="AA411" s="27" t="s">
        <v>125</v>
      </c>
      <c r="AB411" s="27">
        <v>0</v>
      </c>
      <c r="AC411" s="27">
        <v>0</v>
      </c>
      <c r="AD411" s="27">
        <v>0</v>
      </c>
      <c r="AE411" s="27">
        <v>0</v>
      </c>
      <c r="AF411" s="27">
        <v>0</v>
      </c>
      <c r="AG411" s="27">
        <v>0</v>
      </c>
      <c r="AH411" s="27">
        <v>0</v>
      </c>
      <c r="AI411" s="27">
        <v>0</v>
      </c>
      <c r="AJ411" s="27">
        <v>0</v>
      </c>
      <c r="AK411" s="27">
        <v>0</v>
      </c>
      <c r="AL411" s="27">
        <v>0</v>
      </c>
      <c r="AM411" s="27">
        <v>0</v>
      </c>
      <c r="AN411" s="27">
        <v>0</v>
      </c>
      <c r="AO411" s="27">
        <v>0</v>
      </c>
      <c r="AP411" s="27">
        <v>0</v>
      </c>
      <c r="AQ411" s="27">
        <v>0</v>
      </c>
      <c r="AR411" s="27">
        <v>0</v>
      </c>
      <c r="AS411" s="27">
        <v>0</v>
      </c>
      <c r="AT411" s="27">
        <v>0</v>
      </c>
      <c r="AU411" s="27">
        <v>0</v>
      </c>
      <c r="AV411" s="27">
        <v>1</v>
      </c>
      <c r="AW411" s="27">
        <v>1</v>
      </c>
      <c r="AX411" s="27">
        <v>0</v>
      </c>
      <c r="AY411" s="27">
        <v>16</v>
      </c>
      <c r="AZ411" s="27">
        <v>1</v>
      </c>
      <c r="BA411" s="27">
        <v>0</v>
      </c>
      <c r="BB411" s="27">
        <v>33.81</v>
      </c>
      <c r="BC411" s="27" t="s">
        <v>1414</v>
      </c>
      <c r="BD411" s="27" t="s">
        <v>1415</v>
      </c>
      <c r="BE411" s="27" t="s">
        <v>113</v>
      </c>
      <c r="BF411" s="27" t="s">
        <v>77</v>
      </c>
      <c r="BG411" s="27">
        <v>162</v>
      </c>
      <c r="BH411" s="27">
        <v>20</v>
      </c>
      <c r="BI411" s="27">
        <v>0.8901</v>
      </c>
      <c r="BJ411" s="27">
        <v>0</v>
      </c>
      <c r="BK411" s="27">
        <v>12</v>
      </c>
      <c r="BL411" s="27">
        <v>96.7</v>
      </c>
    </row>
    <row r="412" customHeight="1" spans="1:64">
      <c r="A412" s="27" t="s">
        <v>1416</v>
      </c>
      <c r="B412" s="27" t="s">
        <v>311</v>
      </c>
      <c r="E412" s="27" t="s">
        <v>312</v>
      </c>
      <c r="F412" s="27" t="s">
        <v>240</v>
      </c>
      <c r="G412" s="27" t="s">
        <v>83</v>
      </c>
      <c r="H412" s="27" t="s">
        <v>84</v>
      </c>
      <c r="I412" s="27" t="s">
        <v>85</v>
      </c>
      <c r="J412" s="27">
        <v>5</v>
      </c>
      <c r="K412" s="27">
        <v>68.99</v>
      </c>
      <c r="M412" s="27">
        <v>0</v>
      </c>
      <c r="N412" s="27">
        <v>0</v>
      </c>
      <c r="O412" s="27">
        <v>0</v>
      </c>
      <c r="P412" s="27" t="s">
        <v>86</v>
      </c>
      <c r="Q412" s="27">
        <v>4.248352</v>
      </c>
      <c r="R412" s="27">
        <v>8.62</v>
      </c>
      <c r="S412" s="27">
        <v>22</v>
      </c>
      <c r="T412" s="27">
        <v>10</v>
      </c>
      <c r="U412" s="27">
        <v>0.6875</v>
      </c>
      <c r="V412" s="27" t="s">
        <v>72</v>
      </c>
      <c r="W412" s="27">
        <v>1517.78</v>
      </c>
      <c r="X412" s="27">
        <v>3.135494</v>
      </c>
      <c r="Y412" s="27">
        <v>7.325663</v>
      </c>
      <c r="Z412" s="27">
        <v>3.1623</v>
      </c>
      <c r="AA412" s="27" t="s">
        <v>139</v>
      </c>
      <c r="AB412" s="27">
        <v>0</v>
      </c>
      <c r="AC412" s="27">
        <v>0</v>
      </c>
      <c r="AD412" s="27">
        <v>0</v>
      </c>
      <c r="AE412" s="27">
        <v>0</v>
      </c>
      <c r="AF412" s="27">
        <v>0</v>
      </c>
      <c r="AG412" s="27">
        <v>0</v>
      </c>
      <c r="AH412" s="27">
        <v>0</v>
      </c>
      <c r="AI412" s="27">
        <v>0</v>
      </c>
      <c r="AJ412" s="27">
        <v>0</v>
      </c>
      <c r="AK412" s="27">
        <v>0</v>
      </c>
      <c r="AL412" s="27">
        <v>0</v>
      </c>
      <c r="AM412" s="27">
        <v>0</v>
      </c>
      <c r="AN412" s="27">
        <v>0</v>
      </c>
      <c r="AO412" s="27">
        <v>0</v>
      </c>
      <c r="AP412" s="27">
        <v>0</v>
      </c>
      <c r="AQ412" s="27">
        <v>1</v>
      </c>
      <c r="AR412" s="27">
        <v>0</v>
      </c>
      <c r="AS412" s="27">
        <v>0</v>
      </c>
      <c r="AT412" s="27">
        <v>0</v>
      </c>
      <c r="AU412" s="27">
        <v>0</v>
      </c>
      <c r="AV412" s="27">
        <v>1</v>
      </c>
      <c r="AW412" s="27">
        <v>1</v>
      </c>
      <c r="AX412" s="27">
        <v>0</v>
      </c>
      <c r="AY412" s="27">
        <v>8</v>
      </c>
      <c r="AZ412" s="27">
        <v>1</v>
      </c>
      <c r="BA412" s="27">
        <v>1</v>
      </c>
      <c r="BB412" s="27">
        <v>57.17</v>
      </c>
      <c r="BC412" s="27" t="s">
        <v>1417</v>
      </c>
      <c r="BD412" s="27" t="s">
        <v>225</v>
      </c>
      <c r="BE412" s="27" t="s">
        <v>91</v>
      </c>
      <c r="BF412" s="27" t="s">
        <v>77</v>
      </c>
      <c r="BG412" s="27">
        <v>168</v>
      </c>
      <c r="BH412" s="27">
        <v>54</v>
      </c>
      <c r="BI412" s="27">
        <v>0.7568</v>
      </c>
      <c r="BJ412" s="27">
        <v>0</v>
      </c>
      <c r="BK412" s="27">
        <v>4</v>
      </c>
      <c r="BL412" s="27">
        <v>98.9</v>
      </c>
    </row>
    <row r="413" customHeight="1" spans="1:64">
      <c r="A413" s="27" t="s">
        <v>1418</v>
      </c>
      <c r="B413" s="27" t="s">
        <v>1029</v>
      </c>
      <c r="C413" s="27" t="s">
        <v>1419</v>
      </c>
      <c r="E413" s="27" t="s">
        <v>1170</v>
      </c>
      <c r="F413" s="27" t="s">
        <v>82</v>
      </c>
      <c r="G413" s="27" t="s">
        <v>83</v>
      </c>
      <c r="H413" s="27" t="s">
        <v>450</v>
      </c>
      <c r="I413" s="27" t="s">
        <v>153</v>
      </c>
      <c r="J413" s="27">
        <v>2</v>
      </c>
      <c r="K413" s="27">
        <v>100</v>
      </c>
      <c r="M413" s="27">
        <v>0</v>
      </c>
      <c r="N413" s="27">
        <v>0</v>
      </c>
      <c r="O413" s="27">
        <v>0</v>
      </c>
      <c r="P413" s="27" t="s">
        <v>95</v>
      </c>
      <c r="Q413" s="27">
        <v>4.615121</v>
      </c>
      <c r="S413" s="27">
        <v>1</v>
      </c>
      <c r="T413" s="27">
        <v>6</v>
      </c>
      <c r="U413" s="27">
        <v>0.1429</v>
      </c>
      <c r="V413" s="27" t="s">
        <v>87</v>
      </c>
      <c r="W413" s="27">
        <v>100</v>
      </c>
      <c r="X413" s="27">
        <v>0.693147</v>
      </c>
      <c r="Y413" s="27">
        <v>4.615121</v>
      </c>
      <c r="Z413" s="27">
        <v>2.4495</v>
      </c>
      <c r="AA413" s="27" t="s">
        <v>187</v>
      </c>
      <c r="AB413" s="27">
        <v>1</v>
      </c>
      <c r="AC413" s="27">
        <v>1</v>
      </c>
      <c r="AD413" s="27">
        <v>0</v>
      </c>
      <c r="AE413" s="27">
        <v>0</v>
      </c>
      <c r="AF413" s="27">
        <v>0</v>
      </c>
      <c r="AG413" s="27">
        <v>0</v>
      </c>
      <c r="AH413" s="27">
        <v>0</v>
      </c>
      <c r="AI413" s="27">
        <v>0</v>
      </c>
      <c r="AJ413" s="27">
        <v>0</v>
      </c>
      <c r="AK413" s="27">
        <v>0</v>
      </c>
      <c r="AL413" s="27">
        <v>0</v>
      </c>
      <c r="AM413" s="27">
        <v>0</v>
      </c>
      <c r="AN413" s="27">
        <v>0</v>
      </c>
      <c r="AO413" s="27">
        <v>0</v>
      </c>
      <c r="AP413" s="27">
        <v>0</v>
      </c>
      <c r="AQ413" s="27">
        <v>0</v>
      </c>
      <c r="AR413" s="27">
        <v>0</v>
      </c>
      <c r="AS413" s="27">
        <v>0</v>
      </c>
      <c r="AT413" s="27">
        <v>0</v>
      </c>
      <c r="AU413" s="27">
        <v>0</v>
      </c>
      <c r="AV413" s="27">
        <v>0</v>
      </c>
      <c r="AW413" s="27">
        <v>0</v>
      </c>
      <c r="AX413" s="27">
        <v>0</v>
      </c>
      <c r="AZ413" s="27">
        <v>1</v>
      </c>
      <c r="BA413" s="27">
        <v>2</v>
      </c>
      <c r="BB413" s="27">
        <v>34.16</v>
      </c>
      <c r="BC413" s="27" t="s">
        <v>468</v>
      </c>
      <c r="BD413" s="27" t="s">
        <v>469</v>
      </c>
      <c r="BE413" s="27" t="s">
        <v>243</v>
      </c>
      <c r="BF413" s="27" t="s">
        <v>77</v>
      </c>
      <c r="BG413" s="27">
        <v>162</v>
      </c>
      <c r="BH413" s="27">
        <v>19</v>
      </c>
      <c r="BI413" s="27">
        <v>0.895</v>
      </c>
      <c r="BJ413" s="27">
        <v>0</v>
      </c>
      <c r="BK413" s="27">
        <v>19</v>
      </c>
      <c r="BL413" s="27">
        <v>94.8</v>
      </c>
    </row>
    <row r="414" customHeight="1" spans="1:64">
      <c r="A414" s="27" t="s">
        <v>1420</v>
      </c>
      <c r="B414" s="27" t="s">
        <v>65</v>
      </c>
      <c r="C414" s="27" t="s">
        <v>1421</v>
      </c>
      <c r="D414" s="27">
        <v>695529052106</v>
      </c>
      <c r="E414" s="27" t="s">
        <v>163</v>
      </c>
      <c r="F414" s="27" t="s">
        <v>68</v>
      </c>
      <c r="G414" s="27" t="s">
        <v>65</v>
      </c>
      <c r="H414" s="27" t="s">
        <v>69</v>
      </c>
      <c r="I414" s="27" t="s">
        <v>85</v>
      </c>
      <c r="J414" s="27">
        <v>5</v>
      </c>
      <c r="K414" s="27">
        <v>419.99</v>
      </c>
      <c r="M414" s="27">
        <v>0</v>
      </c>
      <c r="N414" s="27">
        <v>0</v>
      </c>
      <c r="O414" s="27">
        <v>0</v>
      </c>
      <c r="P414" s="27" t="s">
        <v>71</v>
      </c>
      <c r="Q414" s="27">
        <v>6.042609</v>
      </c>
      <c r="S414" s="27">
        <v>18</v>
      </c>
      <c r="T414" s="27">
        <v>10</v>
      </c>
      <c r="U414" s="27">
        <v>0.6429</v>
      </c>
      <c r="V414" s="27" t="s">
        <v>72</v>
      </c>
      <c r="W414" s="27">
        <v>7559.82</v>
      </c>
      <c r="X414" s="27">
        <v>2.944439</v>
      </c>
      <c r="Y414" s="27">
        <v>8.930735</v>
      </c>
      <c r="Z414" s="27">
        <v>3.1623</v>
      </c>
      <c r="AA414" s="27" t="s">
        <v>73</v>
      </c>
      <c r="AB414" s="27">
        <v>0</v>
      </c>
      <c r="AC414" s="27">
        <v>0</v>
      </c>
      <c r="AD414" s="27">
        <v>0</v>
      </c>
      <c r="AE414" s="27">
        <v>0</v>
      </c>
      <c r="AF414" s="27">
        <v>0</v>
      </c>
      <c r="AG414" s="27">
        <v>1</v>
      </c>
      <c r="AH414" s="27">
        <v>1</v>
      </c>
      <c r="AI414" s="27">
        <v>0</v>
      </c>
      <c r="AJ414" s="27">
        <v>0</v>
      </c>
      <c r="AK414" s="27">
        <v>0</v>
      </c>
      <c r="AL414" s="27">
        <v>0</v>
      </c>
      <c r="AM414" s="27">
        <v>0</v>
      </c>
      <c r="AN414" s="27">
        <v>0</v>
      </c>
      <c r="AO414" s="27">
        <v>0</v>
      </c>
      <c r="AP414" s="27">
        <v>0</v>
      </c>
      <c r="AQ414" s="27">
        <v>1</v>
      </c>
      <c r="AR414" s="27">
        <v>0</v>
      </c>
      <c r="AS414" s="27">
        <v>0</v>
      </c>
      <c r="AT414" s="27">
        <v>0</v>
      </c>
      <c r="AU414" s="27">
        <v>0</v>
      </c>
      <c r="AV414" s="27">
        <v>1</v>
      </c>
      <c r="AW414" s="27">
        <v>0</v>
      </c>
      <c r="AX414" s="27">
        <v>0</v>
      </c>
      <c r="AZ414" s="27">
        <v>1</v>
      </c>
      <c r="BA414" s="27">
        <v>2</v>
      </c>
      <c r="BB414" s="27">
        <v>55.57</v>
      </c>
      <c r="BC414" s="27" t="s">
        <v>784</v>
      </c>
      <c r="BD414" s="27" t="s">
        <v>785</v>
      </c>
      <c r="BE414" s="27" t="s">
        <v>774</v>
      </c>
      <c r="BF414" s="27" t="s">
        <v>77</v>
      </c>
      <c r="BG414" s="27">
        <v>1</v>
      </c>
      <c r="BH414" s="27">
        <v>27</v>
      </c>
      <c r="BI414" s="27">
        <v>0.0357</v>
      </c>
      <c r="BJ414" s="27">
        <v>1</v>
      </c>
      <c r="BK414" s="27">
        <v>2</v>
      </c>
      <c r="BL414" s="27">
        <v>99.5</v>
      </c>
    </row>
    <row r="415" customHeight="1" spans="1:64">
      <c r="A415" s="27" t="s">
        <v>1422</v>
      </c>
      <c r="B415" s="27" t="s">
        <v>613</v>
      </c>
      <c r="E415" s="27" t="s">
        <v>559</v>
      </c>
      <c r="F415" s="27" t="s">
        <v>240</v>
      </c>
      <c r="G415" s="27" t="s">
        <v>83</v>
      </c>
      <c r="H415" s="27" t="s">
        <v>84</v>
      </c>
      <c r="I415" s="27" t="s">
        <v>203</v>
      </c>
      <c r="J415" s="27">
        <v>4</v>
      </c>
      <c r="K415" s="27">
        <v>88</v>
      </c>
      <c r="M415" s="27">
        <v>0</v>
      </c>
      <c r="N415" s="27">
        <v>0</v>
      </c>
      <c r="O415" s="27">
        <v>0</v>
      </c>
      <c r="P415" s="27" t="s">
        <v>95</v>
      </c>
      <c r="Q415" s="27">
        <v>4.488636</v>
      </c>
      <c r="R415" s="27">
        <v>22</v>
      </c>
      <c r="V415" s="27" t="s">
        <v>231</v>
      </c>
      <c r="W415" s="27">
        <v>0</v>
      </c>
      <c r="X415" s="27">
        <v>0</v>
      </c>
      <c r="Y415" s="27">
        <v>0</v>
      </c>
      <c r="Z415" s="27">
        <v>0</v>
      </c>
      <c r="AA415" s="27" t="s">
        <v>125</v>
      </c>
      <c r="AB415" s="27">
        <v>0</v>
      </c>
      <c r="AC415" s="27">
        <v>0</v>
      </c>
      <c r="AD415" s="27">
        <v>0</v>
      </c>
      <c r="AE415" s="27">
        <v>0</v>
      </c>
      <c r="AF415" s="27">
        <v>0</v>
      </c>
      <c r="AG415" s="27">
        <v>1</v>
      </c>
      <c r="AH415" s="27">
        <v>0</v>
      </c>
      <c r="AI415" s="27">
        <v>1</v>
      </c>
      <c r="AJ415" s="27">
        <v>0</v>
      </c>
      <c r="AK415" s="27">
        <v>0</v>
      </c>
      <c r="AL415" s="27">
        <v>0</v>
      </c>
      <c r="AM415" s="27">
        <v>0</v>
      </c>
      <c r="AN415" s="27">
        <v>0</v>
      </c>
      <c r="AO415" s="27">
        <v>0</v>
      </c>
      <c r="AP415" s="27">
        <v>0</v>
      </c>
      <c r="AQ415" s="27">
        <v>1</v>
      </c>
      <c r="AR415" s="27">
        <v>0</v>
      </c>
      <c r="AS415" s="27">
        <v>0</v>
      </c>
      <c r="AT415" s="27">
        <v>0</v>
      </c>
      <c r="AU415" s="27">
        <v>0</v>
      </c>
      <c r="AV415" s="27">
        <v>1</v>
      </c>
      <c r="AW415" s="27">
        <v>1</v>
      </c>
      <c r="AX415" s="27">
        <v>0</v>
      </c>
      <c r="AY415" s="27">
        <v>4</v>
      </c>
      <c r="AZ415" s="27">
        <v>1</v>
      </c>
      <c r="BA415" s="27">
        <v>1</v>
      </c>
      <c r="BB415" s="27">
        <v>18.33</v>
      </c>
      <c r="BC415" s="27" t="s">
        <v>1423</v>
      </c>
      <c r="BD415" s="27" t="s">
        <v>1415</v>
      </c>
      <c r="BE415" s="27" t="s">
        <v>128</v>
      </c>
      <c r="BF415" s="27" t="s">
        <v>77</v>
      </c>
      <c r="BG415" s="27">
        <v>1</v>
      </c>
      <c r="BH415" s="27">
        <v>11</v>
      </c>
      <c r="BI415" s="27">
        <v>0.0833</v>
      </c>
      <c r="BJ415" s="27">
        <v>1</v>
      </c>
      <c r="BK415" s="27">
        <v>142</v>
      </c>
      <c r="BL415" s="27">
        <v>61.1</v>
      </c>
    </row>
    <row r="416" customHeight="1" spans="1:64">
      <c r="A416" s="27" t="s">
        <v>1424</v>
      </c>
      <c r="B416" s="27" t="s">
        <v>427</v>
      </c>
      <c r="D416" s="27">
        <v>193108149785</v>
      </c>
      <c r="E416" s="27" t="s">
        <v>81</v>
      </c>
      <c r="F416" s="27" t="s">
        <v>160</v>
      </c>
      <c r="G416" s="27" t="s">
        <v>427</v>
      </c>
      <c r="H416" s="27" t="s">
        <v>107</v>
      </c>
      <c r="I416" s="27" t="s">
        <v>85</v>
      </c>
      <c r="J416" s="27">
        <v>5</v>
      </c>
      <c r="K416" s="27">
        <v>129.95</v>
      </c>
      <c r="M416" s="27">
        <v>0</v>
      </c>
      <c r="N416" s="27">
        <v>0</v>
      </c>
      <c r="O416" s="27">
        <v>0</v>
      </c>
      <c r="P416" s="27" t="s">
        <v>95</v>
      </c>
      <c r="Q416" s="27">
        <v>4.874816</v>
      </c>
      <c r="S416" s="27">
        <v>2</v>
      </c>
      <c r="T416" s="27">
        <v>4</v>
      </c>
      <c r="U416" s="27">
        <v>0.3333</v>
      </c>
      <c r="V416" s="27" t="s">
        <v>87</v>
      </c>
      <c r="W416" s="27">
        <v>259.9</v>
      </c>
      <c r="X416" s="27">
        <v>1.098612</v>
      </c>
      <c r="Y416" s="27">
        <v>5.564137</v>
      </c>
      <c r="Z416" s="27">
        <v>2</v>
      </c>
      <c r="AA416" s="27" t="s">
        <v>73</v>
      </c>
      <c r="AB416" s="27">
        <v>0</v>
      </c>
      <c r="AC416" s="27">
        <v>0</v>
      </c>
      <c r="AD416" s="27">
        <v>0</v>
      </c>
      <c r="AE416" s="27">
        <v>0</v>
      </c>
      <c r="AF416" s="27">
        <v>1</v>
      </c>
      <c r="AG416" s="27">
        <v>0</v>
      </c>
      <c r="AH416" s="27">
        <v>0</v>
      </c>
      <c r="AI416" s="27">
        <v>0</v>
      </c>
      <c r="AJ416" s="27">
        <v>0</v>
      </c>
      <c r="AK416" s="27">
        <v>0</v>
      </c>
      <c r="AL416" s="27">
        <v>0</v>
      </c>
      <c r="AM416" s="27">
        <v>0</v>
      </c>
      <c r="AN416" s="27">
        <v>0</v>
      </c>
      <c r="AO416" s="27">
        <v>0</v>
      </c>
      <c r="AP416" s="27">
        <v>0</v>
      </c>
      <c r="AQ416" s="27">
        <v>0</v>
      </c>
      <c r="AR416" s="27">
        <v>0</v>
      </c>
      <c r="AS416" s="27">
        <v>0</v>
      </c>
      <c r="AT416" s="27">
        <v>0</v>
      </c>
      <c r="AU416" s="27">
        <v>0</v>
      </c>
      <c r="AV416" s="27">
        <v>0</v>
      </c>
      <c r="AW416" s="27">
        <v>0</v>
      </c>
      <c r="AX416" s="27">
        <v>0</v>
      </c>
      <c r="AZ416" s="27">
        <v>1</v>
      </c>
      <c r="BA416" s="27">
        <v>0</v>
      </c>
      <c r="BB416" s="27">
        <v>41.44</v>
      </c>
      <c r="BC416" s="27" t="s">
        <v>1425</v>
      </c>
      <c r="BD416" s="27" t="s">
        <v>1426</v>
      </c>
      <c r="BE416" s="27" t="s">
        <v>760</v>
      </c>
      <c r="BF416" s="27" t="s">
        <v>77</v>
      </c>
      <c r="BG416" s="27">
        <v>162</v>
      </c>
      <c r="BH416" s="27">
        <v>58</v>
      </c>
      <c r="BI416" s="27">
        <v>0.7364</v>
      </c>
      <c r="BJ416" s="27">
        <v>0</v>
      </c>
      <c r="BK416" s="27">
        <v>23</v>
      </c>
      <c r="BL416" s="27">
        <v>93.7</v>
      </c>
    </row>
    <row r="417" customHeight="1" spans="1:64">
      <c r="A417" s="27" t="s">
        <v>1427</v>
      </c>
      <c r="B417" s="27" t="s">
        <v>115</v>
      </c>
      <c r="C417" s="27" t="s">
        <v>1428</v>
      </c>
      <c r="E417" s="27" t="s">
        <v>122</v>
      </c>
      <c r="F417" s="27" t="s">
        <v>82</v>
      </c>
      <c r="G417" s="27" t="s">
        <v>117</v>
      </c>
      <c r="H417" s="27" t="s">
        <v>107</v>
      </c>
      <c r="I417" s="27" t="s">
        <v>85</v>
      </c>
      <c r="J417" s="27">
        <v>5</v>
      </c>
      <c r="K417" s="27">
        <v>20.99</v>
      </c>
      <c r="M417" s="27">
        <v>0</v>
      </c>
      <c r="N417" s="27">
        <v>0</v>
      </c>
      <c r="O417" s="27">
        <v>0</v>
      </c>
      <c r="P417" s="27" t="s">
        <v>133</v>
      </c>
      <c r="Q417" s="27">
        <v>3.090588</v>
      </c>
      <c r="S417" s="27">
        <v>8</v>
      </c>
      <c r="T417" s="27">
        <v>91</v>
      </c>
      <c r="U417" s="27">
        <v>0.0808</v>
      </c>
      <c r="V417" s="27" t="s">
        <v>87</v>
      </c>
      <c r="W417" s="27">
        <v>167.92</v>
      </c>
      <c r="X417" s="27">
        <v>2.197225</v>
      </c>
      <c r="Y417" s="27">
        <v>5.129425</v>
      </c>
      <c r="Z417" s="27">
        <v>9.5394</v>
      </c>
      <c r="AA417" s="27" t="s">
        <v>125</v>
      </c>
      <c r="AB417" s="27">
        <v>0</v>
      </c>
      <c r="AC417" s="27">
        <v>0</v>
      </c>
      <c r="AD417" s="27">
        <v>0</v>
      </c>
      <c r="AE417" s="27">
        <v>1</v>
      </c>
      <c r="AF417" s="27">
        <v>1</v>
      </c>
      <c r="AG417" s="27">
        <v>0</v>
      </c>
      <c r="AH417" s="27">
        <v>0</v>
      </c>
      <c r="AI417" s="27">
        <v>0</v>
      </c>
      <c r="AJ417" s="27">
        <v>0</v>
      </c>
      <c r="AK417" s="27">
        <v>0</v>
      </c>
      <c r="AL417" s="27">
        <v>0</v>
      </c>
      <c r="AM417" s="27">
        <v>0</v>
      </c>
      <c r="AN417" s="27">
        <v>0</v>
      </c>
      <c r="AO417" s="27">
        <v>0</v>
      </c>
      <c r="AP417" s="27">
        <v>0</v>
      </c>
      <c r="AQ417" s="27">
        <v>0</v>
      </c>
      <c r="AR417" s="27">
        <v>0</v>
      </c>
      <c r="AS417" s="27">
        <v>1</v>
      </c>
      <c r="AT417" s="27">
        <v>0</v>
      </c>
      <c r="AU417" s="27">
        <v>0</v>
      </c>
      <c r="AV417" s="27">
        <v>0</v>
      </c>
      <c r="AW417" s="27">
        <v>1</v>
      </c>
      <c r="AX417" s="27">
        <v>0</v>
      </c>
      <c r="AZ417" s="27">
        <v>2</v>
      </c>
      <c r="BA417" s="27">
        <v>1</v>
      </c>
      <c r="BB417" s="27">
        <v>32.81</v>
      </c>
      <c r="BC417" s="27" t="s">
        <v>1429</v>
      </c>
      <c r="BD417" s="27" t="s">
        <v>112</v>
      </c>
      <c r="BE417" s="27" t="s">
        <v>128</v>
      </c>
      <c r="BF417" s="27" t="s">
        <v>77</v>
      </c>
      <c r="BG417" s="27">
        <v>1</v>
      </c>
      <c r="BH417" s="27">
        <v>14</v>
      </c>
      <c r="BI417" s="27">
        <v>0.0667</v>
      </c>
      <c r="BJ417" s="27">
        <v>1</v>
      </c>
      <c r="BK417" s="27">
        <v>5</v>
      </c>
      <c r="BL417" s="27">
        <v>98.6</v>
      </c>
    </row>
    <row r="418" customHeight="1" spans="1:64">
      <c r="A418" s="27" t="s">
        <v>1430</v>
      </c>
      <c r="B418" s="27" t="s">
        <v>195</v>
      </c>
      <c r="D418" s="27">
        <v>843261113870</v>
      </c>
      <c r="E418" s="27" t="s">
        <v>195</v>
      </c>
      <c r="F418" s="27" t="s">
        <v>82</v>
      </c>
      <c r="G418" s="27" t="s">
        <v>83</v>
      </c>
      <c r="H418" s="27" t="s">
        <v>84</v>
      </c>
      <c r="I418" s="27" t="s">
        <v>85</v>
      </c>
      <c r="J418" s="27">
        <v>5</v>
      </c>
      <c r="K418" s="27">
        <v>58</v>
      </c>
      <c r="M418" s="27">
        <v>0</v>
      </c>
      <c r="N418" s="27">
        <v>0</v>
      </c>
      <c r="O418" s="27">
        <v>0</v>
      </c>
      <c r="P418" s="27" t="s">
        <v>86</v>
      </c>
      <c r="Q418" s="27">
        <v>4.077537</v>
      </c>
      <c r="S418" s="27">
        <v>6</v>
      </c>
      <c r="T418" s="27">
        <v>4</v>
      </c>
      <c r="U418" s="27">
        <v>0.6</v>
      </c>
      <c r="V418" s="27" t="s">
        <v>87</v>
      </c>
      <c r="W418" s="27">
        <v>348</v>
      </c>
      <c r="X418" s="27">
        <v>1.94591</v>
      </c>
      <c r="Y418" s="27">
        <v>5.855072</v>
      </c>
      <c r="Z418" s="27">
        <v>2</v>
      </c>
      <c r="AA418" s="27" t="s">
        <v>139</v>
      </c>
      <c r="AB418" s="27">
        <v>0</v>
      </c>
      <c r="AC418" s="27">
        <v>0</v>
      </c>
      <c r="AD418" s="27">
        <v>0</v>
      </c>
      <c r="AE418" s="27">
        <v>0</v>
      </c>
      <c r="AF418" s="27">
        <v>0</v>
      </c>
      <c r="AG418" s="27">
        <v>1</v>
      </c>
      <c r="AH418" s="27">
        <v>1</v>
      </c>
      <c r="AI418" s="27">
        <v>0</v>
      </c>
      <c r="AJ418" s="27">
        <v>0</v>
      </c>
      <c r="AK418" s="27">
        <v>0</v>
      </c>
      <c r="AL418" s="27">
        <v>0</v>
      </c>
      <c r="AM418" s="27">
        <v>0</v>
      </c>
      <c r="AN418" s="27">
        <v>0</v>
      </c>
      <c r="AO418" s="27">
        <v>0</v>
      </c>
      <c r="AP418" s="27">
        <v>0</v>
      </c>
      <c r="AQ418" s="27">
        <v>0</v>
      </c>
      <c r="AR418" s="27">
        <v>0</v>
      </c>
      <c r="AS418" s="27">
        <v>1</v>
      </c>
      <c r="AT418" s="27">
        <v>0</v>
      </c>
      <c r="AU418" s="27">
        <v>0</v>
      </c>
      <c r="AV418" s="27">
        <v>0</v>
      </c>
      <c r="AW418" s="27">
        <v>0</v>
      </c>
      <c r="AX418" s="27">
        <v>0</v>
      </c>
      <c r="AZ418" s="27">
        <v>1</v>
      </c>
      <c r="BA418" s="27">
        <v>1</v>
      </c>
      <c r="BB418" s="27">
        <v>24</v>
      </c>
      <c r="BC418" s="27" t="s">
        <v>1431</v>
      </c>
      <c r="BD418" s="27" t="s">
        <v>1432</v>
      </c>
      <c r="BE418" s="27" t="s">
        <v>1051</v>
      </c>
      <c r="BF418" s="27" t="s">
        <v>77</v>
      </c>
      <c r="BG418" s="27">
        <v>168</v>
      </c>
      <c r="BH418" s="27">
        <v>11</v>
      </c>
      <c r="BI418" s="27">
        <v>0.9385</v>
      </c>
      <c r="BJ418" s="27">
        <v>0</v>
      </c>
    </row>
    <row r="419" customHeight="1" spans="1:64">
      <c r="A419" s="27" t="s">
        <v>1433</v>
      </c>
      <c r="B419" s="27" t="s">
        <v>1073</v>
      </c>
      <c r="E419" s="27" t="s">
        <v>239</v>
      </c>
      <c r="F419" s="27" t="s">
        <v>240</v>
      </c>
      <c r="G419" s="27" t="s">
        <v>83</v>
      </c>
      <c r="H419" s="27" t="s">
        <v>84</v>
      </c>
      <c r="I419" s="27" t="s">
        <v>85</v>
      </c>
      <c r="J419" s="27">
        <v>5</v>
      </c>
      <c r="K419" s="27">
        <v>109.99</v>
      </c>
      <c r="M419" s="27">
        <v>0</v>
      </c>
      <c r="N419" s="27">
        <v>0</v>
      </c>
      <c r="O419" s="27">
        <v>0</v>
      </c>
      <c r="P419" s="27" t="s">
        <v>95</v>
      </c>
      <c r="Q419" s="27">
        <v>4.70944</v>
      </c>
      <c r="R419" s="27">
        <v>13.75</v>
      </c>
      <c r="S419" s="27">
        <v>10</v>
      </c>
      <c r="T419" s="27">
        <v>10</v>
      </c>
      <c r="U419" s="27">
        <v>0.5</v>
      </c>
      <c r="V419" s="27" t="s">
        <v>87</v>
      </c>
      <c r="W419" s="27">
        <v>1099.9</v>
      </c>
      <c r="X419" s="27">
        <v>2.397895</v>
      </c>
      <c r="Y419" s="27">
        <v>7.003883</v>
      </c>
      <c r="Z419" s="27">
        <v>3.1623</v>
      </c>
      <c r="AA419" s="27" t="s">
        <v>139</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1</v>
      </c>
      <c r="AR419" s="27">
        <v>0</v>
      </c>
      <c r="AS419" s="27">
        <v>0</v>
      </c>
      <c r="AT419" s="27">
        <v>0</v>
      </c>
      <c r="AU419" s="27">
        <v>0</v>
      </c>
      <c r="AV419" s="27">
        <v>1</v>
      </c>
      <c r="AW419" s="27">
        <v>1</v>
      </c>
      <c r="AX419" s="27">
        <v>0</v>
      </c>
      <c r="AY419" s="27">
        <v>8</v>
      </c>
      <c r="AZ419" s="27">
        <v>1</v>
      </c>
      <c r="BA419" s="27">
        <v>1</v>
      </c>
      <c r="BB419" s="27">
        <v>49.76</v>
      </c>
      <c r="BC419" s="27" t="s">
        <v>1074</v>
      </c>
      <c r="BD419" s="27" t="s">
        <v>180</v>
      </c>
      <c r="BE419" s="27" t="s">
        <v>128</v>
      </c>
      <c r="BF419" s="27" t="s">
        <v>77</v>
      </c>
      <c r="BG419" s="27">
        <v>1</v>
      </c>
      <c r="BH419" s="27">
        <v>13</v>
      </c>
      <c r="BI419" s="27">
        <v>0.0714</v>
      </c>
      <c r="BJ419" s="27">
        <v>1</v>
      </c>
      <c r="BK419" s="27">
        <v>3</v>
      </c>
      <c r="BL419" s="27">
        <v>99.2</v>
      </c>
    </row>
    <row r="420" customHeight="1" spans="1:64">
      <c r="A420" s="27" t="s">
        <v>1434</v>
      </c>
      <c r="B420" s="27" t="s">
        <v>93</v>
      </c>
      <c r="C420" s="27" t="s">
        <v>1435</v>
      </c>
      <c r="E420" s="27" t="s">
        <v>250</v>
      </c>
      <c r="F420" s="27" t="s">
        <v>82</v>
      </c>
      <c r="G420" s="27" t="s">
        <v>93</v>
      </c>
      <c r="H420" s="27" t="s">
        <v>69</v>
      </c>
      <c r="I420" s="27" t="s">
        <v>85</v>
      </c>
      <c r="J420" s="27">
        <v>5</v>
      </c>
      <c r="K420" s="27">
        <v>129.99</v>
      </c>
      <c r="M420" s="27">
        <v>0</v>
      </c>
      <c r="N420" s="27">
        <v>0</v>
      </c>
      <c r="O420" s="27">
        <v>0</v>
      </c>
      <c r="P420" s="27" t="s">
        <v>95</v>
      </c>
      <c r="Q420" s="27">
        <v>4.875121</v>
      </c>
      <c r="S420" s="27">
        <v>85</v>
      </c>
      <c r="T420" s="27">
        <v>20</v>
      </c>
      <c r="U420" s="27">
        <v>0.8095</v>
      </c>
      <c r="V420" s="27" t="s">
        <v>72</v>
      </c>
      <c r="W420" s="27">
        <v>11049.15</v>
      </c>
      <c r="X420" s="27">
        <v>4.454347</v>
      </c>
      <c r="Y420" s="27">
        <v>9.310199</v>
      </c>
      <c r="Z420" s="27">
        <v>4.4721</v>
      </c>
      <c r="AA420" s="27" t="s">
        <v>187</v>
      </c>
      <c r="AB420" s="27">
        <v>1</v>
      </c>
      <c r="AC420" s="27">
        <v>1</v>
      </c>
      <c r="AD420" s="27">
        <v>0</v>
      </c>
      <c r="AE420" s="27">
        <v>0</v>
      </c>
      <c r="AF420" s="27">
        <v>0</v>
      </c>
      <c r="AG420" s="27">
        <v>1</v>
      </c>
      <c r="AH420" s="27">
        <v>0</v>
      </c>
      <c r="AI420" s="27">
        <v>1</v>
      </c>
      <c r="AJ420" s="27">
        <v>0</v>
      </c>
      <c r="AK420" s="27">
        <v>0</v>
      </c>
      <c r="AL420" s="27">
        <v>0</v>
      </c>
      <c r="AM420" s="27">
        <v>0</v>
      </c>
      <c r="AN420" s="27">
        <v>1</v>
      </c>
      <c r="AO420" s="27">
        <v>0</v>
      </c>
      <c r="AP420" s="27">
        <v>0</v>
      </c>
      <c r="AQ420" s="27">
        <v>0</v>
      </c>
      <c r="AR420" s="27">
        <v>0</v>
      </c>
      <c r="AS420" s="27">
        <v>0</v>
      </c>
      <c r="AT420" s="27">
        <v>0</v>
      </c>
      <c r="AU420" s="27">
        <v>0</v>
      </c>
      <c r="AV420" s="27">
        <v>0</v>
      </c>
      <c r="AW420" s="27">
        <v>0</v>
      </c>
      <c r="AX420" s="27">
        <v>0</v>
      </c>
      <c r="AZ420" s="27">
        <v>1</v>
      </c>
      <c r="BA420" s="27">
        <v>3</v>
      </c>
      <c r="BB420" s="27">
        <v>61.9</v>
      </c>
      <c r="BC420" s="27" t="s">
        <v>96</v>
      </c>
      <c r="BD420" s="27" t="s">
        <v>97</v>
      </c>
      <c r="BE420" s="27" t="s">
        <v>98</v>
      </c>
      <c r="BF420" s="27" t="s">
        <v>77</v>
      </c>
      <c r="BG420" s="27">
        <v>1</v>
      </c>
      <c r="BH420" s="27">
        <v>28</v>
      </c>
      <c r="BI420" s="27">
        <v>0.0345</v>
      </c>
      <c r="BJ420" s="27">
        <v>1</v>
      </c>
      <c r="BK420" s="27">
        <v>6</v>
      </c>
      <c r="BL420" s="27">
        <v>98.4</v>
      </c>
    </row>
    <row r="421" customHeight="1" spans="1:64">
      <c r="A421" s="27" t="s">
        <v>1436</v>
      </c>
      <c r="B421" s="27" t="s">
        <v>384</v>
      </c>
      <c r="E421" s="27" t="s">
        <v>81</v>
      </c>
      <c r="F421" s="27" t="s">
        <v>82</v>
      </c>
      <c r="G421" s="27" t="s">
        <v>83</v>
      </c>
      <c r="H421" s="27" t="s">
        <v>84</v>
      </c>
      <c r="I421" s="27" t="s">
        <v>85</v>
      </c>
      <c r="J421" s="27">
        <v>5</v>
      </c>
      <c r="K421" s="27">
        <v>69.99</v>
      </c>
      <c r="L421" s="27">
        <v>87.49</v>
      </c>
      <c r="M421" s="27">
        <v>20</v>
      </c>
      <c r="N421" s="27">
        <v>17.5</v>
      </c>
      <c r="O421" s="27">
        <v>1</v>
      </c>
      <c r="P421" s="27" t="s">
        <v>86</v>
      </c>
      <c r="Q421" s="27">
        <v>4.262539</v>
      </c>
      <c r="S421" s="27">
        <v>320</v>
      </c>
      <c r="T421" s="27">
        <v>10</v>
      </c>
      <c r="U421" s="27">
        <v>0.9697</v>
      </c>
      <c r="V421" s="27" t="s">
        <v>154</v>
      </c>
      <c r="W421" s="27">
        <v>22396.8</v>
      </c>
      <c r="X421" s="27">
        <v>5.771441</v>
      </c>
      <c r="Y421" s="27">
        <v>10.016718</v>
      </c>
      <c r="Z421" s="27">
        <v>3.1623</v>
      </c>
      <c r="AA421" s="27" t="s">
        <v>88</v>
      </c>
      <c r="AB421" s="27">
        <v>0</v>
      </c>
      <c r="AC421" s="27">
        <v>0</v>
      </c>
      <c r="AD421" s="27">
        <v>0</v>
      </c>
      <c r="AE421" s="27">
        <v>1</v>
      </c>
      <c r="AF421" s="27">
        <v>1</v>
      </c>
      <c r="AG421" s="27">
        <v>0</v>
      </c>
      <c r="AH421" s="27">
        <v>1</v>
      </c>
      <c r="AI421" s="27">
        <v>0</v>
      </c>
      <c r="AJ421" s="27">
        <v>0</v>
      </c>
      <c r="AK421" s="27">
        <v>0</v>
      </c>
      <c r="AL421" s="27">
        <v>0</v>
      </c>
      <c r="AM421" s="27">
        <v>0</v>
      </c>
      <c r="AN421" s="27">
        <v>0</v>
      </c>
      <c r="AO421" s="27">
        <v>0</v>
      </c>
      <c r="AP421" s="27">
        <v>0</v>
      </c>
      <c r="AQ421" s="27">
        <v>0</v>
      </c>
      <c r="AR421" s="27">
        <v>0</v>
      </c>
      <c r="AS421" s="27">
        <v>0</v>
      </c>
      <c r="AT421" s="27">
        <v>1</v>
      </c>
      <c r="AU421" s="27">
        <v>0</v>
      </c>
      <c r="AV421" s="27">
        <v>0</v>
      </c>
      <c r="AW421" s="27">
        <v>0</v>
      </c>
      <c r="AX421" s="27">
        <v>0</v>
      </c>
      <c r="AZ421" s="27">
        <v>2</v>
      </c>
      <c r="BA421" s="27">
        <v>2</v>
      </c>
      <c r="BB421" s="27">
        <v>74.46</v>
      </c>
      <c r="BC421" s="27" t="s">
        <v>309</v>
      </c>
      <c r="BD421" s="27" t="s">
        <v>1437</v>
      </c>
      <c r="BE421" s="27" t="s">
        <v>774</v>
      </c>
      <c r="BF421" s="27" t="s">
        <v>77</v>
      </c>
      <c r="BG421" s="27">
        <v>1</v>
      </c>
      <c r="BH421" s="27">
        <v>28</v>
      </c>
      <c r="BI421" s="27">
        <v>0.0345</v>
      </c>
      <c r="BJ421" s="27">
        <v>1</v>
      </c>
      <c r="BK421" s="27">
        <v>4</v>
      </c>
      <c r="BL421" s="27">
        <v>98.9</v>
      </c>
    </row>
    <row r="422" customHeight="1" spans="1:64">
      <c r="A422" s="27" t="s">
        <v>1438</v>
      </c>
      <c r="B422" s="27" t="s">
        <v>171</v>
      </c>
      <c r="C422" s="27" t="s">
        <v>1439</v>
      </c>
      <c r="E422" s="27" t="s">
        <v>255</v>
      </c>
      <c r="F422" s="27" t="s">
        <v>160</v>
      </c>
      <c r="G422" s="27" t="s">
        <v>83</v>
      </c>
      <c r="H422" s="27" t="s">
        <v>84</v>
      </c>
      <c r="I422" s="27" t="s">
        <v>85</v>
      </c>
      <c r="J422" s="27">
        <v>5</v>
      </c>
      <c r="K422" s="27">
        <v>219.96</v>
      </c>
      <c r="M422" s="27">
        <v>0</v>
      </c>
      <c r="N422" s="27">
        <v>0</v>
      </c>
      <c r="O422" s="27">
        <v>0</v>
      </c>
      <c r="P422" s="27" t="s">
        <v>71</v>
      </c>
      <c r="Q422" s="27">
        <v>5.397982</v>
      </c>
      <c r="S422" s="27">
        <v>13</v>
      </c>
      <c r="T422" s="27">
        <v>100</v>
      </c>
      <c r="U422" s="27">
        <v>0.115</v>
      </c>
      <c r="V422" s="27" t="s">
        <v>72</v>
      </c>
      <c r="W422" s="27">
        <v>2859.48</v>
      </c>
      <c r="X422" s="27">
        <v>2.639057</v>
      </c>
      <c r="Y422" s="27">
        <v>7.958745</v>
      </c>
      <c r="Z422" s="27">
        <v>10</v>
      </c>
      <c r="AA422" s="27" t="s">
        <v>73</v>
      </c>
      <c r="AB422" s="27">
        <v>1</v>
      </c>
      <c r="AC422" s="27">
        <v>1</v>
      </c>
      <c r="AD422" s="27">
        <v>0</v>
      </c>
      <c r="AE422" s="27">
        <v>0</v>
      </c>
      <c r="AF422" s="27">
        <v>0</v>
      </c>
      <c r="AG422" s="27">
        <v>1</v>
      </c>
      <c r="AH422" s="27">
        <v>0</v>
      </c>
      <c r="AI422" s="27">
        <v>1</v>
      </c>
      <c r="AJ422" s="27">
        <v>0</v>
      </c>
      <c r="AK422" s="27">
        <v>0</v>
      </c>
      <c r="AL422" s="27">
        <v>0</v>
      </c>
      <c r="AM422" s="27">
        <v>0</v>
      </c>
      <c r="AN422" s="27">
        <v>0</v>
      </c>
      <c r="AO422" s="27">
        <v>0</v>
      </c>
      <c r="AP422" s="27">
        <v>0</v>
      </c>
      <c r="AQ422" s="27">
        <v>0</v>
      </c>
      <c r="AR422" s="27">
        <v>0</v>
      </c>
      <c r="AS422" s="27">
        <v>0</v>
      </c>
      <c r="AT422" s="27">
        <v>1</v>
      </c>
      <c r="AU422" s="27">
        <v>0</v>
      </c>
      <c r="AV422" s="27">
        <v>0</v>
      </c>
      <c r="AW422" s="27">
        <v>0</v>
      </c>
      <c r="AX422" s="27">
        <v>0</v>
      </c>
      <c r="AZ422" s="27">
        <v>1</v>
      </c>
      <c r="BA422" s="27">
        <v>2</v>
      </c>
      <c r="BB422" s="27">
        <v>34.36</v>
      </c>
      <c r="BC422" s="27" t="s">
        <v>251</v>
      </c>
      <c r="BD422" s="27" t="s">
        <v>1216</v>
      </c>
      <c r="BE422" s="27" t="s">
        <v>113</v>
      </c>
      <c r="BF422" s="27" t="s">
        <v>77</v>
      </c>
      <c r="BG422" s="27">
        <v>162</v>
      </c>
      <c r="BH422" s="27">
        <v>60</v>
      </c>
      <c r="BI422" s="27">
        <v>0.7297</v>
      </c>
      <c r="BJ422" s="27">
        <v>0</v>
      </c>
      <c r="BK422" s="27">
        <v>3</v>
      </c>
      <c r="BL422" s="27">
        <v>99.2</v>
      </c>
    </row>
    <row r="423" customHeight="1" spans="1:64">
      <c r="A423" s="27" t="s">
        <v>1440</v>
      </c>
      <c r="B423" s="27" t="s">
        <v>739</v>
      </c>
      <c r="E423" s="27" t="s">
        <v>81</v>
      </c>
      <c r="F423" s="27" t="s">
        <v>82</v>
      </c>
      <c r="G423" s="27" t="s">
        <v>83</v>
      </c>
      <c r="H423" s="27" t="s">
        <v>84</v>
      </c>
      <c r="I423" s="27" t="s">
        <v>85</v>
      </c>
      <c r="J423" s="27">
        <v>5</v>
      </c>
      <c r="K423" s="27">
        <v>48</v>
      </c>
      <c r="M423" s="27">
        <v>0</v>
      </c>
      <c r="N423" s="27">
        <v>0</v>
      </c>
      <c r="O423" s="27">
        <v>0</v>
      </c>
      <c r="P423" s="27" t="s">
        <v>86</v>
      </c>
      <c r="Q423" s="27">
        <v>3.89182</v>
      </c>
      <c r="S423" s="27">
        <v>23</v>
      </c>
      <c r="T423" s="27">
        <v>10</v>
      </c>
      <c r="U423" s="27">
        <v>0.697</v>
      </c>
      <c r="V423" s="27" t="s">
        <v>72</v>
      </c>
      <c r="W423" s="27">
        <v>1104</v>
      </c>
      <c r="X423" s="27">
        <v>3.178054</v>
      </c>
      <c r="Y423" s="27">
        <v>7.007601</v>
      </c>
      <c r="Z423" s="27">
        <v>3.1623</v>
      </c>
      <c r="AA423" s="27" t="s">
        <v>110</v>
      </c>
      <c r="AB423" s="27">
        <v>0</v>
      </c>
      <c r="AC423" s="27">
        <v>0</v>
      </c>
      <c r="AD423" s="27">
        <v>0</v>
      </c>
      <c r="AE423" s="27">
        <v>1</v>
      </c>
      <c r="AF423" s="27">
        <v>0</v>
      </c>
      <c r="AG423" s="27">
        <v>0</v>
      </c>
      <c r="AH423" s="27">
        <v>1</v>
      </c>
      <c r="AI423" s="27">
        <v>0</v>
      </c>
      <c r="AJ423" s="27">
        <v>0</v>
      </c>
      <c r="AK423" s="27">
        <v>0</v>
      </c>
      <c r="AL423" s="27">
        <v>0</v>
      </c>
      <c r="AM423" s="27">
        <v>0</v>
      </c>
      <c r="AN423" s="27">
        <v>0</v>
      </c>
      <c r="AO423" s="27">
        <v>0</v>
      </c>
      <c r="AP423" s="27">
        <v>0</v>
      </c>
      <c r="AQ423" s="27">
        <v>0</v>
      </c>
      <c r="AR423" s="27">
        <v>0</v>
      </c>
      <c r="AS423" s="27">
        <v>0</v>
      </c>
      <c r="AT423" s="27">
        <v>1</v>
      </c>
      <c r="AU423" s="27">
        <v>0</v>
      </c>
      <c r="AV423" s="27">
        <v>0</v>
      </c>
      <c r="AW423" s="27">
        <v>0</v>
      </c>
      <c r="AX423" s="27">
        <v>0</v>
      </c>
      <c r="AZ423" s="27">
        <v>1</v>
      </c>
      <c r="BA423" s="27">
        <v>2</v>
      </c>
      <c r="BB423" s="27">
        <v>52.87</v>
      </c>
      <c r="BC423" s="27" t="s">
        <v>1291</v>
      </c>
      <c r="BD423" s="27" t="s">
        <v>169</v>
      </c>
      <c r="BE423" s="27" t="s">
        <v>128</v>
      </c>
      <c r="BF423" s="27" t="s">
        <v>77</v>
      </c>
      <c r="BG423" s="27">
        <v>1</v>
      </c>
      <c r="BH423" s="27">
        <v>28</v>
      </c>
      <c r="BI423" s="27">
        <v>0.0345</v>
      </c>
      <c r="BJ423" s="27">
        <v>1</v>
      </c>
      <c r="BK423" s="27">
        <v>61</v>
      </c>
      <c r="BL423" s="27">
        <v>83.3</v>
      </c>
    </row>
    <row r="424" customHeight="1" spans="1:64">
      <c r="A424" s="27" t="s">
        <v>1441</v>
      </c>
      <c r="B424" s="27" t="s">
        <v>104</v>
      </c>
      <c r="C424" s="27" t="s">
        <v>1442</v>
      </c>
      <c r="D424" s="27">
        <v>194644131579</v>
      </c>
      <c r="E424" s="27" t="s">
        <v>81</v>
      </c>
      <c r="F424" s="27" t="s">
        <v>82</v>
      </c>
      <c r="G424" s="27" t="s">
        <v>106</v>
      </c>
      <c r="H424" s="27" t="s">
        <v>107</v>
      </c>
      <c r="I424" s="27" t="s">
        <v>85</v>
      </c>
      <c r="J424" s="27">
        <v>5</v>
      </c>
      <c r="K424" s="27">
        <v>129.99</v>
      </c>
      <c r="L424" s="27">
        <v>229.99</v>
      </c>
      <c r="M424" s="27">
        <v>43.48</v>
      </c>
      <c r="N424" s="27">
        <v>100</v>
      </c>
      <c r="O424" s="27">
        <v>1</v>
      </c>
      <c r="P424" s="27" t="s">
        <v>95</v>
      </c>
      <c r="Q424" s="27">
        <v>4.875121</v>
      </c>
      <c r="S424" s="27">
        <v>3</v>
      </c>
      <c r="T424" s="27">
        <v>7</v>
      </c>
      <c r="U424" s="27">
        <v>0.3</v>
      </c>
      <c r="V424" s="27" t="s">
        <v>87</v>
      </c>
      <c r="W424" s="27">
        <v>389.97</v>
      </c>
      <c r="X424" s="27">
        <v>1.386294</v>
      </c>
      <c r="Y424" s="27">
        <v>5.968631</v>
      </c>
      <c r="Z424" s="27">
        <v>2.6458</v>
      </c>
      <c r="AA424" s="27" t="s">
        <v>187</v>
      </c>
      <c r="AB424" s="27">
        <v>0</v>
      </c>
      <c r="AC424" s="27">
        <v>0</v>
      </c>
      <c r="AD424" s="27">
        <v>0</v>
      </c>
      <c r="AE424" s="27">
        <v>1</v>
      </c>
      <c r="AF424" s="27">
        <v>0</v>
      </c>
      <c r="AG424" s="27">
        <v>0</v>
      </c>
      <c r="AH424" s="27">
        <v>1</v>
      </c>
      <c r="AI424" s="27">
        <v>0</v>
      </c>
      <c r="AJ424" s="27">
        <v>0</v>
      </c>
      <c r="AK424" s="27">
        <v>0</v>
      </c>
      <c r="AL424" s="27">
        <v>0</v>
      </c>
      <c r="AM424" s="27">
        <v>0</v>
      </c>
      <c r="AN424" s="27">
        <v>0</v>
      </c>
      <c r="AO424" s="27">
        <v>0</v>
      </c>
      <c r="AP424" s="27">
        <v>0</v>
      </c>
      <c r="AQ424" s="27">
        <v>0</v>
      </c>
      <c r="AR424" s="27">
        <v>0</v>
      </c>
      <c r="AS424" s="27">
        <v>0</v>
      </c>
      <c r="AT424" s="27">
        <v>1</v>
      </c>
      <c r="AU424" s="27">
        <v>0</v>
      </c>
      <c r="AV424" s="27">
        <v>0</v>
      </c>
      <c r="AW424" s="27">
        <v>1</v>
      </c>
      <c r="AX424" s="27">
        <v>0</v>
      </c>
      <c r="AZ424" s="27">
        <v>2</v>
      </c>
      <c r="BA424" s="27">
        <v>2</v>
      </c>
      <c r="BB424" s="27">
        <v>54.89</v>
      </c>
      <c r="BC424" s="27" t="s">
        <v>1443</v>
      </c>
      <c r="BD424" s="27" t="s">
        <v>1444</v>
      </c>
      <c r="BE424" s="27" t="s">
        <v>77</v>
      </c>
      <c r="BF424" s="27" t="s">
        <v>77</v>
      </c>
      <c r="BG424" s="27">
        <v>162</v>
      </c>
      <c r="BH424" s="27">
        <v>20</v>
      </c>
      <c r="BI424" s="27">
        <v>0.8901</v>
      </c>
      <c r="BJ424" s="27">
        <v>0</v>
      </c>
      <c r="BK424" s="27">
        <v>2</v>
      </c>
      <c r="BL424" s="27">
        <v>99.5</v>
      </c>
    </row>
    <row r="425" customHeight="1" spans="1:64">
      <c r="A425" s="27" t="s">
        <v>1445</v>
      </c>
      <c r="B425" s="27" t="s">
        <v>124</v>
      </c>
      <c r="C425" s="27" t="s">
        <v>681</v>
      </c>
      <c r="E425" s="27" t="s">
        <v>81</v>
      </c>
      <c r="F425" s="27" t="s">
        <v>82</v>
      </c>
      <c r="G425" s="27" t="s">
        <v>346</v>
      </c>
      <c r="H425" s="27" t="s">
        <v>84</v>
      </c>
      <c r="I425" s="27" t="s">
        <v>203</v>
      </c>
      <c r="J425" s="27">
        <v>4</v>
      </c>
      <c r="K425" s="27">
        <v>36.99</v>
      </c>
      <c r="M425" s="27">
        <v>0</v>
      </c>
      <c r="N425" s="27">
        <v>0</v>
      </c>
      <c r="O425" s="27">
        <v>0</v>
      </c>
      <c r="P425" s="27" t="s">
        <v>86</v>
      </c>
      <c r="Q425" s="27">
        <v>3.637323</v>
      </c>
      <c r="S425" s="27">
        <v>56</v>
      </c>
      <c r="T425" s="27">
        <v>10</v>
      </c>
      <c r="U425" s="27">
        <v>0.8485</v>
      </c>
      <c r="V425" s="27" t="s">
        <v>72</v>
      </c>
      <c r="W425" s="27">
        <v>2071.44</v>
      </c>
      <c r="X425" s="27">
        <v>4.043051</v>
      </c>
      <c r="Y425" s="27">
        <v>7.636482</v>
      </c>
      <c r="Z425" s="27">
        <v>3.1623</v>
      </c>
      <c r="AA425" s="27" t="s">
        <v>483</v>
      </c>
      <c r="AB425" s="27">
        <v>0</v>
      </c>
      <c r="AC425" s="27">
        <v>0</v>
      </c>
      <c r="AD425" s="27">
        <v>0</v>
      </c>
      <c r="AE425" s="27">
        <v>0</v>
      </c>
      <c r="AF425" s="27">
        <v>0</v>
      </c>
      <c r="AG425" s="27">
        <v>0</v>
      </c>
      <c r="AH425" s="27">
        <v>0</v>
      </c>
      <c r="AI425" s="27">
        <v>0</v>
      </c>
      <c r="AJ425" s="27">
        <v>0</v>
      </c>
      <c r="AK425" s="27">
        <v>0</v>
      </c>
      <c r="AL425" s="27">
        <v>0</v>
      </c>
      <c r="AM425" s="27">
        <v>0</v>
      </c>
      <c r="AN425" s="27">
        <v>0</v>
      </c>
      <c r="AO425" s="27">
        <v>0</v>
      </c>
      <c r="AP425" s="27">
        <v>0</v>
      </c>
      <c r="AQ425" s="27">
        <v>0</v>
      </c>
      <c r="AR425" s="27">
        <v>0</v>
      </c>
      <c r="AS425" s="27">
        <v>0</v>
      </c>
      <c r="AT425" s="27">
        <v>1</v>
      </c>
      <c r="AU425" s="27">
        <v>0</v>
      </c>
      <c r="AV425" s="27">
        <v>0</v>
      </c>
      <c r="AW425" s="27">
        <v>0</v>
      </c>
      <c r="AX425" s="27">
        <v>0</v>
      </c>
      <c r="AZ425" s="27">
        <v>1</v>
      </c>
      <c r="BA425" s="27">
        <v>0</v>
      </c>
      <c r="BB425" s="27">
        <v>58.18</v>
      </c>
      <c r="BC425" s="27" t="s">
        <v>676</v>
      </c>
      <c r="BD425" s="27" t="s">
        <v>677</v>
      </c>
      <c r="BE425" s="27" t="s">
        <v>678</v>
      </c>
      <c r="BF425" s="27" t="s">
        <v>77</v>
      </c>
      <c r="BG425" s="27">
        <v>3</v>
      </c>
      <c r="BH425" s="27">
        <v>216</v>
      </c>
      <c r="BI425" s="27">
        <v>0.0137</v>
      </c>
      <c r="BJ425" s="27">
        <v>0</v>
      </c>
      <c r="BK425" s="27">
        <v>70</v>
      </c>
      <c r="BL425" s="27">
        <v>80.8</v>
      </c>
    </row>
    <row r="426" customHeight="1" spans="1:64">
      <c r="A426" s="27" t="s">
        <v>1446</v>
      </c>
      <c r="B426" s="27" t="s">
        <v>195</v>
      </c>
      <c r="C426" s="27" t="s">
        <v>1447</v>
      </c>
      <c r="D426" s="27">
        <v>815017020459</v>
      </c>
      <c r="E426" s="27" t="s">
        <v>163</v>
      </c>
      <c r="F426" s="27" t="s">
        <v>160</v>
      </c>
      <c r="G426" s="27" t="s">
        <v>83</v>
      </c>
      <c r="H426" s="27" t="s">
        <v>84</v>
      </c>
      <c r="I426" s="27" t="s">
        <v>203</v>
      </c>
      <c r="J426" s="27">
        <v>4</v>
      </c>
      <c r="K426" s="27">
        <v>139.51</v>
      </c>
      <c r="M426" s="27">
        <v>0</v>
      </c>
      <c r="N426" s="27">
        <v>0</v>
      </c>
      <c r="O426" s="27">
        <v>0</v>
      </c>
      <c r="P426" s="27" t="s">
        <v>95</v>
      </c>
      <c r="Q426" s="27">
        <v>4.945279</v>
      </c>
      <c r="S426" s="27">
        <v>1</v>
      </c>
      <c r="T426" s="27">
        <v>2</v>
      </c>
      <c r="U426" s="27">
        <v>0.3333</v>
      </c>
      <c r="V426" s="27" t="s">
        <v>87</v>
      </c>
      <c r="W426" s="27">
        <v>139.51</v>
      </c>
      <c r="X426" s="27">
        <v>0.693147</v>
      </c>
      <c r="Y426" s="27">
        <v>4.945279</v>
      </c>
      <c r="Z426" s="27">
        <v>1.4142</v>
      </c>
      <c r="AA426" s="27" t="s">
        <v>483</v>
      </c>
      <c r="AB426" s="27">
        <v>0</v>
      </c>
      <c r="AC426" s="27">
        <v>0</v>
      </c>
      <c r="AD426" s="27">
        <v>0</v>
      </c>
      <c r="AE426" s="27">
        <v>0</v>
      </c>
      <c r="AF426" s="27">
        <v>0</v>
      </c>
      <c r="AG426" s="27">
        <v>0</v>
      </c>
      <c r="AH426" s="27">
        <v>0</v>
      </c>
      <c r="AI426" s="27">
        <v>0</v>
      </c>
      <c r="AJ426" s="27">
        <v>0</v>
      </c>
      <c r="AK426" s="27">
        <v>0</v>
      </c>
      <c r="AL426" s="27">
        <v>0</v>
      </c>
      <c r="AM426" s="27">
        <v>0</v>
      </c>
      <c r="AN426" s="27">
        <v>0</v>
      </c>
      <c r="AO426" s="27">
        <v>0</v>
      </c>
      <c r="AP426" s="27">
        <v>0</v>
      </c>
      <c r="AQ426" s="27">
        <v>0</v>
      </c>
      <c r="AR426" s="27">
        <v>0</v>
      </c>
      <c r="AS426" s="27">
        <v>0</v>
      </c>
      <c r="AT426" s="27">
        <v>0</v>
      </c>
      <c r="AU426" s="27">
        <v>0</v>
      </c>
      <c r="AV426" s="27">
        <v>0</v>
      </c>
      <c r="AW426" s="27">
        <v>1</v>
      </c>
      <c r="AX426" s="27">
        <v>0</v>
      </c>
      <c r="AZ426" s="27">
        <v>1</v>
      </c>
      <c r="BA426" s="27">
        <v>0</v>
      </c>
      <c r="BB426" s="27">
        <v>43.09</v>
      </c>
      <c r="BC426" s="27" t="s">
        <v>1448</v>
      </c>
      <c r="BD426" s="27" t="s">
        <v>1449</v>
      </c>
      <c r="BE426" s="27" t="s">
        <v>76</v>
      </c>
      <c r="BF426" s="27" t="s">
        <v>77</v>
      </c>
      <c r="BG426" s="27">
        <v>162</v>
      </c>
      <c r="BH426" s="27">
        <v>60</v>
      </c>
      <c r="BI426" s="27">
        <v>0.7297</v>
      </c>
      <c r="BJ426" s="27">
        <v>0</v>
      </c>
      <c r="BK426" s="27">
        <v>3</v>
      </c>
      <c r="BL426" s="27">
        <v>99.2</v>
      </c>
    </row>
    <row r="427" customHeight="1" spans="1:64">
      <c r="A427" s="27" t="s">
        <v>1450</v>
      </c>
      <c r="B427" s="27" t="s">
        <v>125</v>
      </c>
      <c r="C427" s="27" t="s">
        <v>1451</v>
      </c>
      <c r="E427" s="27" t="s">
        <v>656</v>
      </c>
      <c r="F427" s="27" t="s">
        <v>132</v>
      </c>
      <c r="G427" s="27" t="s">
        <v>427</v>
      </c>
      <c r="H427" s="27" t="s">
        <v>138</v>
      </c>
      <c r="I427" s="27" t="s">
        <v>85</v>
      </c>
      <c r="J427" s="27">
        <v>5</v>
      </c>
      <c r="K427" s="27">
        <v>38.99</v>
      </c>
      <c r="M427" s="27">
        <v>0</v>
      </c>
      <c r="N427" s="27">
        <v>0</v>
      </c>
      <c r="O427" s="27">
        <v>0</v>
      </c>
      <c r="P427" s="27" t="s">
        <v>86</v>
      </c>
      <c r="Q427" s="27">
        <v>3.688629</v>
      </c>
      <c r="S427" s="27">
        <v>19</v>
      </c>
      <c r="T427" s="27">
        <v>10</v>
      </c>
      <c r="U427" s="27">
        <v>0.6552</v>
      </c>
      <c r="V427" s="27" t="s">
        <v>72</v>
      </c>
      <c r="W427" s="27">
        <v>740.81</v>
      </c>
      <c r="X427" s="27">
        <v>2.995732</v>
      </c>
      <c r="Y427" s="27">
        <v>6.609093</v>
      </c>
      <c r="Z427" s="27">
        <v>3.1623</v>
      </c>
      <c r="AA427" s="27" t="s">
        <v>187</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v>0</v>
      </c>
      <c r="AS427" s="27">
        <v>0</v>
      </c>
      <c r="AT427" s="27">
        <v>0</v>
      </c>
      <c r="AU427" s="27">
        <v>0</v>
      </c>
      <c r="AV427" s="27">
        <v>0</v>
      </c>
      <c r="AW427" s="27">
        <v>0</v>
      </c>
      <c r="AX427" s="27">
        <v>0</v>
      </c>
      <c r="AZ427" s="27">
        <v>1</v>
      </c>
      <c r="BA427" s="27">
        <v>0</v>
      </c>
      <c r="BB427" s="27">
        <v>51.68</v>
      </c>
      <c r="BC427" s="27" t="s">
        <v>179</v>
      </c>
      <c r="BD427" s="27" t="s">
        <v>180</v>
      </c>
      <c r="BE427" s="27" t="s">
        <v>128</v>
      </c>
      <c r="BF427" s="27" t="s">
        <v>77</v>
      </c>
      <c r="BG427" s="27">
        <v>1</v>
      </c>
      <c r="BH427" s="27">
        <v>65</v>
      </c>
      <c r="BI427" s="27">
        <v>0.0152</v>
      </c>
      <c r="BJ427" s="27">
        <v>1</v>
      </c>
      <c r="BK427" s="27">
        <v>55</v>
      </c>
      <c r="BL427" s="27">
        <v>84.9</v>
      </c>
    </row>
    <row r="428" customHeight="1" spans="1:64">
      <c r="A428" s="27" t="s">
        <v>1452</v>
      </c>
      <c r="B428" s="27" t="s">
        <v>245</v>
      </c>
      <c r="C428" s="27" t="s">
        <v>1453</v>
      </c>
      <c r="E428" s="27" t="s">
        <v>250</v>
      </c>
      <c r="F428" s="27" t="s">
        <v>160</v>
      </c>
      <c r="G428" s="27" t="s">
        <v>83</v>
      </c>
      <c r="H428" s="27" t="s">
        <v>84</v>
      </c>
      <c r="I428" s="27" t="s">
        <v>85</v>
      </c>
      <c r="J428" s="27">
        <v>5</v>
      </c>
      <c r="K428" s="27">
        <v>129.49</v>
      </c>
      <c r="M428" s="27">
        <v>0</v>
      </c>
      <c r="N428" s="27">
        <v>0</v>
      </c>
      <c r="O428" s="27">
        <v>0</v>
      </c>
      <c r="P428" s="27" t="s">
        <v>95</v>
      </c>
      <c r="Q428" s="27">
        <v>4.871297</v>
      </c>
      <c r="R428" s="27">
        <v>8.09</v>
      </c>
      <c r="S428" s="27">
        <v>730</v>
      </c>
      <c r="T428" s="27">
        <v>100</v>
      </c>
      <c r="U428" s="27">
        <v>0.8795</v>
      </c>
      <c r="V428" s="27" t="s">
        <v>154</v>
      </c>
      <c r="W428" s="27">
        <v>94527.7</v>
      </c>
      <c r="X428" s="27">
        <v>6.594413</v>
      </c>
      <c r="Y428" s="27">
        <v>11.456659</v>
      </c>
      <c r="Z428" s="27">
        <v>10</v>
      </c>
      <c r="AA428" s="27" t="s">
        <v>110</v>
      </c>
      <c r="AB428" s="27">
        <v>0</v>
      </c>
      <c r="AC428" s="27">
        <v>0</v>
      </c>
      <c r="AD428" s="27">
        <v>0</v>
      </c>
      <c r="AE428" s="27">
        <v>0</v>
      </c>
      <c r="AF428" s="27">
        <v>0</v>
      </c>
      <c r="AG428" s="27">
        <v>0</v>
      </c>
      <c r="AH428" s="27">
        <v>1</v>
      </c>
      <c r="AI428" s="27">
        <v>0</v>
      </c>
      <c r="AJ428" s="27">
        <v>0</v>
      </c>
      <c r="AK428" s="27">
        <v>0</v>
      </c>
      <c r="AL428" s="27">
        <v>0</v>
      </c>
      <c r="AM428" s="27">
        <v>0</v>
      </c>
      <c r="AN428" s="27">
        <v>1</v>
      </c>
      <c r="AO428" s="27">
        <v>0</v>
      </c>
      <c r="AP428" s="27">
        <v>0</v>
      </c>
      <c r="AQ428" s="27">
        <v>1</v>
      </c>
      <c r="AR428" s="27">
        <v>0</v>
      </c>
      <c r="AS428" s="27">
        <v>0</v>
      </c>
      <c r="AT428" s="27">
        <v>1</v>
      </c>
      <c r="AU428" s="27">
        <v>0</v>
      </c>
      <c r="AV428" s="27">
        <v>1</v>
      </c>
      <c r="AW428" s="27">
        <v>1</v>
      </c>
      <c r="AX428" s="27">
        <v>0</v>
      </c>
      <c r="AY428" s="27">
        <v>16</v>
      </c>
      <c r="AZ428" s="27">
        <v>1</v>
      </c>
      <c r="BA428" s="27">
        <v>3</v>
      </c>
      <c r="BB428" s="27">
        <v>64.85</v>
      </c>
      <c r="BC428" s="27" t="s">
        <v>251</v>
      </c>
      <c r="BD428" s="27" t="s">
        <v>175</v>
      </c>
      <c r="BE428" s="27" t="s">
        <v>91</v>
      </c>
      <c r="BF428" s="27" t="s">
        <v>77</v>
      </c>
      <c r="BG428" s="27">
        <v>162</v>
      </c>
      <c r="BH428" s="27">
        <v>60</v>
      </c>
      <c r="BI428" s="27">
        <v>0.7297</v>
      </c>
      <c r="BJ428" s="27">
        <v>0</v>
      </c>
      <c r="BK428" s="27">
        <v>4</v>
      </c>
      <c r="BL428" s="27">
        <v>98.9</v>
      </c>
    </row>
    <row r="429" customHeight="1" spans="1:64">
      <c r="A429" s="27" t="s">
        <v>1454</v>
      </c>
      <c r="B429" s="27" t="s">
        <v>384</v>
      </c>
      <c r="C429" s="27" t="s">
        <v>1455</v>
      </c>
      <c r="E429" s="27" t="s">
        <v>1456</v>
      </c>
      <c r="F429" s="27" t="s">
        <v>82</v>
      </c>
      <c r="G429" s="27" t="s">
        <v>83</v>
      </c>
      <c r="H429" s="27" t="s">
        <v>84</v>
      </c>
      <c r="I429" s="27" t="s">
        <v>85</v>
      </c>
      <c r="J429" s="27">
        <v>5</v>
      </c>
      <c r="K429" s="27">
        <v>35.99</v>
      </c>
      <c r="L429" s="27">
        <v>37.88</v>
      </c>
      <c r="M429" s="27">
        <v>4.99</v>
      </c>
      <c r="N429" s="27">
        <v>1.89</v>
      </c>
      <c r="O429" s="27">
        <v>1</v>
      </c>
      <c r="P429" s="27" t="s">
        <v>86</v>
      </c>
      <c r="Q429" s="27">
        <v>3.610648</v>
      </c>
      <c r="S429" s="27">
        <v>1</v>
      </c>
      <c r="T429" s="27">
        <v>10</v>
      </c>
      <c r="U429" s="27">
        <v>0.0909</v>
      </c>
      <c r="V429" s="27" t="s">
        <v>87</v>
      </c>
      <c r="W429" s="27">
        <v>35.99</v>
      </c>
      <c r="X429" s="27">
        <v>0.693147</v>
      </c>
      <c r="Y429" s="27">
        <v>3.610648</v>
      </c>
      <c r="Z429" s="27">
        <v>3.1623</v>
      </c>
      <c r="AA429" s="27" t="s">
        <v>110</v>
      </c>
      <c r="AB429" s="27">
        <v>1</v>
      </c>
      <c r="AC429" s="27">
        <v>0</v>
      </c>
      <c r="AD429" s="27">
        <v>0</v>
      </c>
      <c r="AE429" s="27">
        <v>0</v>
      </c>
      <c r="AF429" s="27">
        <v>0</v>
      </c>
      <c r="AG429" s="27">
        <v>0</v>
      </c>
      <c r="AH429" s="27">
        <v>1</v>
      </c>
      <c r="AI429" s="27">
        <v>0</v>
      </c>
      <c r="AJ429" s="27">
        <v>1</v>
      </c>
      <c r="AK429" s="27">
        <v>1</v>
      </c>
      <c r="AL429" s="27">
        <v>0</v>
      </c>
      <c r="AM429" s="27">
        <v>0</v>
      </c>
      <c r="AN429" s="27">
        <v>0</v>
      </c>
      <c r="AO429" s="27">
        <v>0</v>
      </c>
      <c r="AP429" s="27">
        <v>0</v>
      </c>
      <c r="AQ429" s="27">
        <v>0</v>
      </c>
      <c r="AR429" s="27">
        <v>0</v>
      </c>
      <c r="AS429" s="27">
        <v>0</v>
      </c>
      <c r="AT429" s="27">
        <v>0</v>
      </c>
      <c r="AU429" s="27">
        <v>0</v>
      </c>
      <c r="AV429" s="27">
        <v>0</v>
      </c>
      <c r="AW429" s="27">
        <v>0</v>
      </c>
      <c r="AX429" s="27">
        <v>0</v>
      </c>
      <c r="AZ429" s="27">
        <v>4</v>
      </c>
      <c r="BA429" s="27">
        <v>3</v>
      </c>
      <c r="BB429" s="27">
        <v>34.89</v>
      </c>
      <c r="BC429" s="27" t="s">
        <v>385</v>
      </c>
      <c r="BD429" s="27" t="s">
        <v>1457</v>
      </c>
      <c r="BE429" s="27" t="s">
        <v>287</v>
      </c>
      <c r="BF429" s="27" t="s">
        <v>77</v>
      </c>
      <c r="BG429" s="27">
        <v>1</v>
      </c>
      <c r="BH429" s="27">
        <v>27</v>
      </c>
      <c r="BI429" s="27">
        <v>0.0357</v>
      </c>
      <c r="BJ429" s="27">
        <v>1</v>
      </c>
      <c r="BK429" s="27">
        <v>3</v>
      </c>
      <c r="BL429" s="27">
        <v>99.2</v>
      </c>
    </row>
    <row r="430" customHeight="1" spans="1:64">
      <c r="A430" s="27" t="s">
        <v>1458</v>
      </c>
      <c r="B430" s="27" t="s">
        <v>171</v>
      </c>
      <c r="C430" s="27" t="s">
        <v>1459</v>
      </c>
      <c r="E430" s="27" t="s">
        <v>173</v>
      </c>
      <c r="F430" s="27" t="s">
        <v>160</v>
      </c>
      <c r="G430" s="27" t="s">
        <v>83</v>
      </c>
      <c r="H430" s="27" t="s">
        <v>84</v>
      </c>
      <c r="I430" s="27" t="s">
        <v>85</v>
      </c>
      <c r="J430" s="27">
        <v>5</v>
      </c>
      <c r="K430" s="27">
        <v>377.99</v>
      </c>
      <c r="L430" s="27">
        <v>539.99</v>
      </c>
      <c r="M430" s="27">
        <v>30</v>
      </c>
      <c r="N430" s="27">
        <v>162</v>
      </c>
      <c r="O430" s="27">
        <v>1</v>
      </c>
      <c r="P430" s="27" t="s">
        <v>71</v>
      </c>
      <c r="Q430" s="27">
        <v>5.93751</v>
      </c>
      <c r="R430" s="27">
        <v>47.25</v>
      </c>
      <c r="S430" s="27">
        <v>265</v>
      </c>
      <c r="T430" s="27">
        <v>10</v>
      </c>
      <c r="U430" s="27">
        <v>0.9636</v>
      </c>
      <c r="V430" s="27" t="s">
        <v>154</v>
      </c>
      <c r="W430" s="27">
        <v>100167.35</v>
      </c>
      <c r="X430" s="27">
        <v>5.583496</v>
      </c>
      <c r="Y430" s="27">
        <v>11.514608</v>
      </c>
      <c r="Z430" s="27">
        <v>3.1623</v>
      </c>
      <c r="AA430" s="27" t="s">
        <v>313</v>
      </c>
      <c r="AB430" s="27">
        <v>1</v>
      </c>
      <c r="AC430" s="27">
        <v>1</v>
      </c>
      <c r="AD430" s="27">
        <v>0</v>
      </c>
      <c r="AE430" s="27">
        <v>0</v>
      </c>
      <c r="AF430" s="27">
        <v>0</v>
      </c>
      <c r="AG430" s="27">
        <v>1</v>
      </c>
      <c r="AH430" s="27">
        <v>0</v>
      </c>
      <c r="AI430" s="27">
        <v>1</v>
      </c>
      <c r="AJ430" s="27">
        <v>0</v>
      </c>
      <c r="AK430" s="27">
        <v>0</v>
      </c>
      <c r="AL430" s="27">
        <v>0</v>
      </c>
      <c r="AM430" s="27">
        <v>0</v>
      </c>
      <c r="AN430" s="27">
        <v>0</v>
      </c>
      <c r="AO430" s="27">
        <v>0</v>
      </c>
      <c r="AP430" s="27">
        <v>0</v>
      </c>
      <c r="AQ430" s="27">
        <v>1</v>
      </c>
      <c r="AR430" s="27">
        <v>0</v>
      </c>
      <c r="AS430" s="27">
        <v>0</v>
      </c>
      <c r="AT430" s="27">
        <v>1</v>
      </c>
      <c r="AU430" s="27">
        <v>0</v>
      </c>
      <c r="AV430" s="27">
        <v>1</v>
      </c>
      <c r="AW430" s="27">
        <v>1</v>
      </c>
      <c r="AX430" s="27">
        <v>0</v>
      </c>
      <c r="AY430" s="27">
        <v>8</v>
      </c>
      <c r="AZ430" s="27">
        <v>1</v>
      </c>
      <c r="BA430" s="27">
        <v>3</v>
      </c>
      <c r="BB430" s="27">
        <v>76.55</v>
      </c>
      <c r="BC430" s="27" t="s">
        <v>174</v>
      </c>
      <c r="BD430" s="27" t="s">
        <v>356</v>
      </c>
      <c r="BE430" s="27" t="s">
        <v>423</v>
      </c>
      <c r="BF430" s="27" t="s">
        <v>77</v>
      </c>
      <c r="BG430" s="27">
        <v>161</v>
      </c>
      <c r="BH430" s="27">
        <v>61</v>
      </c>
      <c r="BI430" s="27">
        <v>0.7252</v>
      </c>
      <c r="BJ430" s="27">
        <v>0</v>
      </c>
      <c r="BK430" s="27">
        <v>12</v>
      </c>
      <c r="BL430" s="27">
        <v>96.7</v>
      </c>
    </row>
    <row r="431" customHeight="1" spans="1:64">
      <c r="A431" s="27" t="s">
        <v>1460</v>
      </c>
      <c r="B431" s="27" t="s">
        <v>125</v>
      </c>
      <c r="E431" s="27" t="s">
        <v>255</v>
      </c>
      <c r="F431" s="27" t="s">
        <v>82</v>
      </c>
      <c r="G431" s="27" t="s">
        <v>83</v>
      </c>
      <c r="H431" s="27" t="s">
        <v>138</v>
      </c>
      <c r="I431" s="27" t="s">
        <v>85</v>
      </c>
      <c r="J431" s="27">
        <v>5</v>
      </c>
      <c r="K431" s="27">
        <v>22.99</v>
      </c>
      <c r="M431" s="27">
        <v>0</v>
      </c>
      <c r="N431" s="27">
        <v>0</v>
      </c>
      <c r="O431" s="27">
        <v>0</v>
      </c>
      <c r="P431" s="27" t="s">
        <v>133</v>
      </c>
      <c r="Q431" s="27">
        <v>3.177637</v>
      </c>
      <c r="S431" s="27">
        <v>39</v>
      </c>
      <c r="T431" s="27">
        <v>63</v>
      </c>
      <c r="U431" s="27">
        <v>0.3824</v>
      </c>
      <c r="V431" s="27" t="s">
        <v>72</v>
      </c>
      <c r="W431" s="27">
        <v>896.61</v>
      </c>
      <c r="X431" s="27">
        <v>3.688879</v>
      </c>
      <c r="Y431" s="27">
        <v>6.799736</v>
      </c>
      <c r="Z431" s="27">
        <v>7.9373</v>
      </c>
      <c r="AA431" s="27" t="s">
        <v>187</v>
      </c>
      <c r="AB431" s="27">
        <v>0</v>
      </c>
      <c r="AC431" s="27">
        <v>0</v>
      </c>
      <c r="AD431" s="27">
        <v>1</v>
      </c>
      <c r="AE431" s="27">
        <v>0</v>
      </c>
      <c r="AF431" s="27">
        <v>0</v>
      </c>
      <c r="AG431" s="27">
        <v>0</v>
      </c>
      <c r="AH431" s="27">
        <v>0</v>
      </c>
      <c r="AI431" s="27">
        <v>0</v>
      </c>
      <c r="AJ431" s="27">
        <v>0</v>
      </c>
      <c r="AK431" s="27">
        <v>0</v>
      </c>
      <c r="AL431" s="27">
        <v>0</v>
      </c>
      <c r="AM431" s="27">
        <v>0</v>
      </c>
      <c r="AN431" s="27">
        <v>0</v>
      </c>
      <c r="AO431" s="27">
        <v>0</v>
      </c>
      <c r="AP431" s="27">
        <v>0</v>
      </c>
      <c r="AQ431" s="27">
        <v>0</v>
      </c>
      <c r="AR431" s="27">
        <v>0</v>
      </c>
      <c r="AS431" s="27">
        <v>0</v>
      </c>
      <c r="AT431" s="27">
        <v>0</v>
      </c>
      <c r="AU431" s="27">
        <v>0</v>
      </c>
      <c r="AV431" s="27">
        <v>0</v>
      </c>
      <c r="AW431" s="27">
        <v>0</v>
      </c>
      <c r="AX431" s="27">
        <v>0</v>
      </c>
      <c r="AZ431" s="27">
        <v>1</v>
      </c>
      <c r="BA431" s="27">
        <v>0</v>
      </c>
      <c r="BB431" s="27">
        <v>43.5</v>
      </c>
      <c r="BC431" s="27" t="s">
        <v>409</v>
      </c>
      <c r="BD431" s="27" t="s">
        <v>410</v>
      </c>
      <c r="BE431" s="27" t="s">
        <v>407</v>
      </c>
      <c r="BF431" s="27" t="s">
        <v>77</v>
      </c>
      <c r="BG431" s="27">
        <v>162</v>
      </c>
      <c r="BH431" s="27">
        <v>19</v>
      </c>
      <c r="BI431" s="27">
        <v>0.895</v>
      </c>
      <c r="BJ431" s="27">
        <v>0</v>
      </c>
      <c r="BK431" s="27">
        <v>22</v>
      </c>
      <c r="BL431" s="27">
        <v>94</v>
      </c>
    </row>
    <row r="432" customHeight="1" spans="1:64">
      <c r="A432" s="27" t="s">
        <v>1461</v>
      </c>
      <c r="B432" s="27" t="s">
        <v>65</v>
      </c>
      <c r="E432" s="27" t="s">
        <v>250</v>
      </c>
      <c r="F432" s="27" t="s">
        <v>82</v>
      </c>
      <c r="G432" s="27" t="s">
        <v>65</v>
      </c>
      <c r="H432" s="27" t="s">
        <v>69</v>
      </c>
      <c r="I432" s="27" t="s">
        <v>85</v>
      </c>
      <c r="J432" s="27">
        <v>5</v>
      </c>
      <c r="K432" s="27">
        <v>84.55</v>
      </c>
      <c r="M432" s="27">
        <v>0</v>
      </c>
      <c r="N432" s="27">
        <v>0</v>
      </c>
      <c r="O432" s="27">
        <v>0</v>
      </c>
      <c r="P432" s="27" t="s">
        <v>95</v>
      </c>
      <c r="Q432" s="27">
        <v>4.449101</v>
      </c>
      <c r="S432" s="27">
        <v>202</v>
      </c>
      <c r="T432" s="27">
        <v>10</v>
      </c>
      <c r="U432" s="27">
        <v>0.9528</v>
      </c>
      <c r="V432" s="27" t="s">
        <v>154</v>
      </c>
      <c r="W432" s="27">
        <v>17079.1</v>
      </c>
      <c r="X432" s="27">
        <v>5.313206</v>
      </c>
      <c r="Y432" s="27">
        <v>9.745669</v>
      </c>
      <c r="Z432" s="27">
        <v>3.1623</v>
      </c>
      <c r="AA432" s="27" t="s">
        <v>73</v>
      </c>
      <c r="AB432" s="27">
        <v>0</v>
      </c>
      <c r="AC432" s="27">
        <v>0</v>
      </c>
      <c r="AD432" s="27">
        <v>0</v>
      </c>
      <c r="AE432" s="27">
        <v>0</v>
      </c>
      <c r="AF432" s="27">
        <v>0</v>
      </c>
      <c r="AG432" s="27">
        <v>0</v>
      </c>
      <c r="AH432" s="27">
        <v>0</v>
      </c>
      <c r="AI432" s="27">
        <v>0</v>
      </c>
      <c r="AJ432" s="27">
        <v>0</v>
      </c>
      <c r="AK432" s="27">
        <v>0</v>
      </c>
      <c r="AL432" s="27">
        <v>0</v>
      </c>
      <c r="AM432" s="27">
        <v>0</v>
      </c>
      <c r="AN432" s="27">
        <v>0</v>
      </c>
      <c r="AO432" s="27">
        <v>0</v>
      </c>
      <c r="AP432" s="27">
        <v>0</v>
      </c>
      <c r="AQ432" s="27">
        <v>0</v>
      </c>
      <c r="AR432" s="27">
        <v>0</v>
      </c>
      <c r="AS432" s="27">
        <v>0</v>
      </c>
      <c r="AT432" s="27">
        <v>1</v>
      </c>
      <c r="AU432" s="27">
        <v>0</v>
      </c>
      <c r="AV432" s="27">
        <v>0</v>
      </c>
      <c r="AW432" s="27">
        <v>0</v>
      </c>
      <c r="AX432" s="27">
        <v>0</v>
      </c>
      <c r="AZ432" s="27">
        <v>1</v>
      </c>
      <c r="BA432" s="27">
        <v>0</v>
      </c>
      <c r="BB432" s="27">
        <v>67.96</v>
      </c>
      <c r="BC432" s="27" t="s">
        <v>795</v>
      </c>
      <c r="BD432" s="27" t="s">
        <v>796</v>
      </c>
      <c r="BE432" s="27" t="s">
        <v>407</v>
      </c>
      <c r="BF432" s="27" t="s">
        <v>77</v>
      </c>
      <c r="BG432" s="27">
        <v>168</v>
      </c>
      <c r="BH432" s="27">
        <v>11</v>
      </c>
      <c r="BI432" s="27">
        <v>0.9385</v>
      </c>
      <c r="BJ432" s="27">
        <v>0</v>
      </c>
      <c r="BK432" s="27">
        <v>2</v>
      </c>
      <c r="BL432" s="27">
        <v>99.5</v>
      </c>
    </row>
    <row r="433" customHeight="1" spans="1:64">
      <c r="A433" s="27" t="s">
        <v>1462</v>
      </c>
      <c r="B433" s="27" t="s">
        <v>901</v>
      </c>
      <c r="E433" s="27" t="s">
        <v>122</v>
      </c>
      <c r="F433" s="27" t="s">
        <v>276</v>
      </c>
      <c r="G433" s="27" t="s">
        <v>901</v>
      </c>
      <c r="H433" s="27" t="s">
        <v>107</v>
      </c>
      <c r="I433" s="27" t="s">
        <v>85</v>
      </c>
      <c r="J433" s="27">
        <v>5</v>
      </c>
      <c r="K433" s="27">
        <v>9</v>
      </c>
      <c r="M433" s="27">
        <v>0</v>
      </c>
      <c r="N433" s="27">
        <v>0</v>
      </c>
      <c r="O433" s="27">
        <v>0</v>
      </c>
      <c r="P433" s="27" t="s">
        <v>133</v>
      </c>
      <c r="Q433" s="27">
        <v>2.302585</v>
      </c>
      <c r="S433" s="27">
        <v>67</v>
      </c>
      <c r="T433" s="27">
        <v>10</v>
      </c>
      <c r="U433" s="27">
        <v>0.8701</v>
      </c>
      <c r="V433" s="27" t="s">
        <v>72</v>
      </c>
      <c r="W433" s="27">
        <v>603</v>
      </c>
      <c r="X433" s="27">
        <v>4.219508</v>
      </c>
      <c r="Y433" s="27">
        <v>6.403574</v>
      </c>
      <c r="Z433" s="27">
        <v>3.1623</v>
      </c>
      <c r="AA433" s="27" t="s">
        <v>125</v>
      </c>
      <c r="AB433" s="27">
        <v>0</v>
      </c>
      <c r="AC433" s="27">
        <v>0</v>
      </c>
      <c r="AD433" s="27">
        <v>0</v>
      </c>
      <c r="AE433" s="27">
        <v>0</v>
      </c>
      <c r="AF433" s="27">
        <v>1</v>
      </c>
      <c r="AG433" s="27">
        <v>0</v>
      </c>
      <c r="AH433" s="27">
        <v>0</v>
      </c>
      <c r="AI433" s="27">
        <v>0</v>
      </c>
      <c r="AJ433" s="27">
        <v>0</v>
      </c>
      <c r="AK433" s="27">
        <v>0</v>
      </c>
      <c r="AL433" s="27">
        <v>0</v>
      </c>
      <c r="AM433" s="27">
        <v>0</v>
      </c>
      <c r="AN433" s="27">
        <v>0</v>
      </c>
      <c r="AO433" s="27">
        <v>0</v>
      </c>
      <c r="AP433" s="27">
        <v>0</v>
      </c>
      <c r="AQ433" s="27">
        <v>0</v>
      </c>
      <c r="AR433" s="27">
        <v>0</v>
      </c>
      <c r="AS433" s="27">
        <v>1</v>
      </c>
      <c r="AT433" s="27">
        <v>0</v>
      </c>
      <c r="AU433" s="27">
        <v>0</v>
      </c>
      <c r="AV433" s="27">
        <v>0</v>
      </c>
      <c r="AW433" s="27">
        <v>0</v>
      </c>
      <c r="AX433" s="27">
        <v>0</v>
      </c>
      <c r="AZ433" s="27">
        <v>1</v>
      </c>
      <c r="BA433" s="27">
        <v>0</v>
      </c>
      <c r="BB433" s="27">
        <v>64.14</v>
      </c>
      <c r="BC433" s="27" t="s">
        <v>492</v>
      </c>
      <c r="BD433" s="27" t="s">
        <v>97</v>
      </c>
      <c r="BE433" s="27" t="s">
        <v>76</v>
      </c>
      <c r="BF433" s="27" t="s">
        <v>77</v>
      </c>
      <c r="BG433" s="27">
        <v>169</v>
      </c>
      <c r="BH433" s="27">
        <v>11</v>
      </c>
      <c r="BI433" s="27">
        <v>0.9389</v>
      </c>
      <c r="BJ433" s="27">
        <v>0</v>
      </c>
      <c r="BK433" s="27">
        <v>8</v>
      </c>
      <c r="BL433" s="27">
        <v>97.8</v>
      </c>
    </row>
    <row r="434" customHeight="1" spans="1:64">
      <c r="A434" s="27" t="s">
        <v>1463</v>
      </c>
      <c r="B434" s="27" t="s">
        <v>293</v>
      </c>
      <c r="E434" s="27" t="s">
        <v>294</v>
      </c>
      <c r="F434" s="27" t="s">
        <v>198</v>
      </c>
      <c r="G434" s="27" t="s">
        <v>83</v>
      </c>
      <c r="H434" s="27" t="s">
        <v>84</v>
      </c>
      <c r="I434" s="27" t="s">
        <v>85</v>
      </c>
      <c r="J434" s="27">
        <v>5</v>
      </c>
      <c r="K434" s="27">
        <v>119.99</v>
      </c>
      <c r="M434" s="27">
        <v>0</v>
      </c>
      <c r="N434" s="27">
        <v>0</v>
      </c>
      <c r="O434" s="27">
        <v>0</v>
      </c>
      <c r="P434" s="27" t="s">
        <v>95</v>
      </c>
      <c r="Q434" s="27">
        <v>4.795708</v>
      </c>
      <c r="S434" s="27">
        <v>20</v>
      </c>
      <c r="T434" s="27">
        <v>10</v>
      </c>
      <c r="U434" s="27">
        <v>0.6667</v>
      </c>
      <c r="V434" s="27" t="s">
        <v>72</v>
      </c>
      <c r="W434" s="27">
        <v>2399.8</v>
      </c>
      <c r="X434" s="27">
        <v>3.044522</v>
      </c>
      <c r="Y434" s="27">
        <v>7.783557</v>
      </c>
      <c r="Z434" s="27">
        <v>3.1623</v>
      </c>
      <c r="AA434" s="27" t="s">
        <v>125</v>
      </c>
      <c r="AB434" s="27">
        <v>0</v>
      </c>
      <c r="AC434" s="27">
        <v>0</v>
      </c>
      <c r="AD434" s="27">
        <v>0</v>
      </c>
      <c r="AE434" s="27">
        <v>1</v>
      </c>
      <c r="AF434" s="27">
        <v>0</v>
      </c>
      <c r="AG434" s="27">
        <v>0</v>
      </c>
      <c r="AH434" s="27">
        <v>0</v>
      </c>
      <c r="AI434" s="27">
        <v>0</v>
      </c>
      <c r="AJ434" s="27">
        <v>0</v>
      </c>
      <c r="AK434" s="27">
        <v>0</v>
      </c>
      <c r="AL434" s="27">
        <v>0</v>
      </c>
      <c r="AM434" s="27">
        <v>0</v>
      </c>
      <c r="AN434" s="27">
        <v>0</v>
      </c>
      <c r="AO434" s="27">
        <v>0</v>
      </c>
      <c r="AP434" s="27">
        <v>0</v>
      </c>
      <c r="AQ434" s="27">
        <v>0</v>
      </c>
      <c r="AR434" s="27">
        <v>0</v>
      </c>
      <c r="AS434" s="27">
        <v>0</v>
      </c>
      <c r="AT434" s="27">
        <v>0</v>
      </c>
      <c r="AU434" s="27">
        <v>0</v>
      </c>
      <c r="AV434" s="27">
        <v>0</v>
      </c>
      <c r="AW434" s="27">
        <v>1</v>
      </c>
      <c r="AX434" s="27">
        <v>0</v>
      </c>
      <c r="AZ434" s="27">
        <v>1</v>
      </c>
      <c r="BA434" s="27">
        <v>1</v>
      </c>
      <c r="BB434" s="27">
        <v>55.59</v>
      </c>
      <c r="BC434" s="27" t="s">
        <v>295</v>
      </c>
      <c r="BD434" s="27" t="s">
        <v>97</v>
      </c>
      <c r="BE434" s="27" t="s">
        <v>76</v>
      </c>
      <c r="BF434" s="27" t="s">
        <v>77</v>
      </c>
      <c r="BG434" s="27">
        <v>168</v>
      </c>
      <c r="BH434" s="27">
        <v>46</v>
      </c>
      <c r="BI434" s="27">
        <v>0.785</v>
      </c>
      <c r="BJ434" s="27">
        <v>0</v>
      </c>
      <c r="BK434" s="27">
        <v>13</v>
      </c>
      <c r="BL434" s="27">
        <v>96.4</v>
      </c>
    </row>
    <row r="435" customHeight="1" spans="1:64">
      <c r="A435" s="27" t="s">
        <v>1464</v>
      </c>
      <c r="B435" s="27" t="s">
        <v>1465</v>
      </c>
      <c r="E435" s="27" t="s">
        <v>438</v>
      </c>
      <c r="F435" s="27" t="s">
        <v>240</v>
      </c>
      <c r="G435" s="27" t="s">
        <v>83</v>
      </c>
      <c r="H435" s="27" t="s">
        <v>84</v>
      </c>
      <c r="I435" s="27" t="s">
        <v>153</v>
      </c>
      <c r="J435" s="27">
        <v>2</v>
      </c>
      <c r="K435" s="27">
        <v>46.76</v>
      </c>
      <c r="L435" s="27">
        <v>59.95</v>
      </c>
      <c r="M435" s="27">
        <v>22</v>
      </c>
      <c r="N435" s="27">
        <v>13.19</v>
      </c>
      <c r="O435" s="27">
        <v>1</v>
      </c>
      <c r="P435" s="27" t="s">
        <v>86</v>
      </c>
      <c r="Q435" s="27">
        <v>3.866188</v>
      </c>
      <c r="V435" s="27" t="s">
        <v>231</v>
      </c>
      <c r="W435" s="27">
        <v>0</v>
      </c>
      <c r="X435" s="27">
        <v>0</v>
      </c>
      <c r="Y435" s="27">
        <v>0</v>
      </c>
      <c r="Z435" s="27">
        <v>0</v>
      </c>
      <c r="AA435" s="27" t="s">
        <v>125</v>
      </c>
      <c r="AB435" s="27">
        <v>0</v>
      </c>
      <c r="AC435" s="27">
        <v>0</v>
      </c>
      <c r="AD435" s="27">
        <v>0</v>
      </c>
      <c r="AE435" s="27">
        <v>0</v>
      </c>
      <c r="AF435" s="27">
        <v>0</v>
      </c>
      <c r="AG435" s="27">
        <v>0</v>
      </c>
      <c r="AH435" s="27">
        <v>0</v>
      </c>
      <c r="AI435" s="27">
        <v>0</v>
      </c>
      <c r="AJ435" s="27">
        <v>0</v>
      </c>
      <c r="AK435" s="27">
        <v>0</v>
      </c>
      <c r="AL435" s="27">
        <v>0</v>
      </c>
      <c r="AM435" s="27">
        <v>0</v>
      </c>
      <c r="AN435" s="27">
        <v>0</v>
      </c>
      <c r="AO435" s="27">
        <v>0</v>
      </c>
      <c r="AP435" s="27">
        <v>0</v>
      </c>
      <c r="AQ435" s="27">
        <v>0</v>
      </c>
      <c r="AR435" s="27">
        <v>0</v>
      </c>
      <c r="AS435" s="27">
        <v>0</v>
      </c>
      <c r="AT435" s="27">
        <v>0</v>
      </c>
      <c r="AU435" s="27">
        <v>0</v>
      </c>
      <c r="AV435" s="27">
        <v>0</v>
      </c>
      <c r="AW435" s="27">
        <v>0</v>
      </c>
      <c r="AX435" s="27">
        <v>0</v>
      </c>
      <c r="AZ435" s="27">
        <v>1</v>
      </c>
      <c r="BA435" s="27">
        <v>0</v>
      </c>
      <c r="BB435" s="27">
        <v>6.6</v>
      </c>
      <c r="BC435" s="27" t="s">
        <v>1466</v>
      </c>
      <c r="BD435" s="27" t="s">
        <v>1467</v>
      </c>
      <c r="BE435" s="27" t="s">
        <v>1468</v>
      </c>
      <c r="BF435" s="27" t="s">
        <v>77</v>
      </c>
      <c r="BG435" s="27">
        <v>167</v>
      </c>
      <c r="BH435" s="27">
        <v>11</v>
      </c>
      <c r="BI435" s="27">
        <v>0.9382</v>
      </c>
      <c r="BJ435" s="27">
        <v>0</v>
      </c>
    </row>
    <row r="436" customHeight="1" spans="1:64">
      <c r="A436" s="27" t="s">
        <v>1469</v>
      </c>
      <c r="B436" s="27" t="s">
        <v>404</v>
      </c>
      <c r="C436" s="27" t="s">
        <v>1470</v>
      </c>
      <c r="D436" s="27">
        <v>889490018937</v>
      </c>
      <c r="E436" s="27" t="s">
        <v>131</v>
      </c>
      <c r="F436" s="27" t="s">
        <v>132</v>
      </c>
      <c r="G436" s="27" t="s">
        <v>83</v>
      </c>
      <c r="H436" s="27" t="s">
        <v>84</v>
      </c>
      <c r="I436" s="27" t="s">
        <v>85</v>
      </c>
      <c r="J436" s="27">
        <v>5</v>
      </c>
      <c r="K436" s="27">
        <v>8.99</v>
      </c>
      <c r="M436" s="27">
        <v>0</v>
      </c>
      <c r="N436" s="27">
        <v>0</v>
      </c>
      <c r="O436" s="27">
        <v>0</v>
      </c>
      <c r="P436" s="27" t="s">
        <v>133</v>
      </c>
      <c r="Q436" s="27">
        <v>2.301585</v>
      </c>
      <c r="S436" s="27">
        <v>482</v>
      </c>
      <c r="T436" s="27">
        <v>6</v>
      </c>
      <c r="U436" s="27">
        <v>0.9877</v>
      </c>
      <c r="V436" s="27" t="s">
        <v>154</v>
      </c>
      <c r="W436" s="27">
        <v>4333.18</v>
      </c>
      <c r="X436" s="27">
        <v>6.180017</v>
      </c>
      <c r="Y436" s="27">
        <v>8.374288</v>
      </c>
      <c r="Z436" s="27">
        <v>2.4495</v>
      </c>
      <c r="AA436" s="27" t="s">
        <v>125</v>
      </c>
      <c r="AB436" s="27">
        <v>0</v>
      </c>
      <c r="AC436" s="27">
        <v>0</v>
      </c>
      <c r="AD436" s="27">
        <v>0</v>
      </c>
      <c r="AE436" s="27">
        <v>0</v>
      </c>
      <c r="AF436" s="27">
        <v>0</v>
      </c>
      <c r="AG436" s="27">
        <v>0</v>
      </c>
      <c r="AH436" s="27">
        <v>1</v>
      </c>
      <c r="AI436" s="27">
        <v>0</v>
      </c>
      <c r="AJ436" s="27">
        <v>0</v>
      </c>
      <c r="AK436" s="27">
        <v>0</v>
      </c>
      <c r="AL436" s="27">
        <v>0</v>
      </c>
      <c r="AM436" s="27">
        <v>0</v>
      </c>
      <c r="AN436" s="27">
        <v>0</v>
      </c>
      <c r="AO436" s="27">
        <v>0</v>
      </c>
      <c r="AP436" s="27">
        <v>0</v>
      </c>
      <c r="AQ436" s="27">
        <v>0</v>
      </c>
      <c r="AR436" s="27">
        <v>0</v>
      </c>
      <c r="AS436" s="27">
        <v>0</v>
      </c>
      <c r="AT436" s="27">
        <v>0</v>
      </c>
      <c r="AU436" s="27">
        <v>0</v>
      </c>
      <c r="AV436" s="27">
        <v>0</v>
      </c>
      <c r="AW436" s="27">
        <v>0</v>
      </c>
      <c r="AX436" s="27">
        <v>0</v>
      </c>
      <c r="AZ436" s="27">
        <v>1</v>
      </c>
      <c r="BA436" s="27">
        <v>1</v>
      </c>
      <c r="BB436" s="27">
        <v>68.85</v>
      </c>
      <c r="BC436" s="27" t="s">
        <v>1471</v>
      </c>
      <c r="BD436" s="27" t="s">
        <v>1472</v>
      </c>
      <c r="BE436" s="27" t="s">
        <v>407</v>
      </c>
      <c r="BF436" s="27" t="s">
        <v>77</v>
      </c>
      <c r="BG436" s="27">
        <v>162</v>
      </c>
      <c r="BH436" s="27">
        <v>60</v>
      </c>
      <c r="BI436" s="27">
        <v>0.7297</v>
      </c>
      <c r="BJ436" s="27">
        <v>0</v>
      </c>
      <c r="BK436" s="27">
        <v>8</v>
      </c>
      <c r="BL436" s="27">
        <v>97.8</v>
      </c>
    </row>
    <row r="437" customHeight="1" spans="1:64">
      <c r="A437" s="27" t="s">
        <v>1473</v>
      </c>
      <c r="B437" s="27" t="s">
        <v>245</v>
      </c>
      <c r="C437" s="27" t="s">
        <v>1474</v>
      </c>
      <c r="E437" s="27" t="s">
        <v>250</v>
      </c>
      <c r="F437" s="27" t="s">
        <v>160</v>
      </c>
      <c r="G437" s="27" t="s">
        <v>83</v>
      </c>
      <c r="H437" s="27" t="s">
        <v>84</v>
      </c>
      <c r="I437" s="27" t="s">
        <v>85</v>
      </c>
      <c r="J437" s="27">
        <v>5</v>
      </c>
      <c r="K437" s="27">
        <v>58.49</v>
      </c>
      <c r="L437" s="27">
        <v>89.99</v>
      </c>
      <c r="M437" s="27">
        <v>35</v>
      </c>
      <c r="N437" s="27">
        <v>31.5</v>
      </c>
      <c r="O437" s="27">
        <v>1</v>
      </c>
      <c r="P437" s="27" t="s">
        <v>86</v>
      </c>
      <c r="Q437" s="27">
        <v>4.085808</v>
      </c>
      <c r="R437" s="27">
        <v>7.31</v>
      </c>
      <c r="S437" s="27">
        <v>490</v>
      </c>
      <c r="T437" s="27">
        <v>10</v>
      </c>
      <c r="U437" s="27">
        <v>0.98</v>
      </c>
      <c r="V437" s="27" t="s">
        <v>154</v>
      </c>
      <c r="W437" s="27">
        <v>28660.1</v>
      </c>
      <c r="X437" s="27">
        <v>6.196444</v>
      </c>
      <c r="Y437" s="27">
        <v>10.263296</v>
      </c>
      <c r="Z437" s="27">
        <v>3.1623</v>
      </c>
      <c r="AA437" s="27" t="s">
        <v>139</v>
      </c>
      <c r="AB437" s="27">
        <v>0</v>
      </c>
      <c r="AC437" s="27">
        <v>0</v>
      </c>
      <c r="AD437" s="27">
        <v>0</v>
      </c>
      <c r="AE437" s="27">
        <v>0</v>
      </c>
      <c r="AF437" s="27">
        <v>0</v>
      </c>
      <c r="AG437" s="27">
        <v>0</v>
      </c>
      <c r="AH437" s="27">
        <v>0</v>
      </c>
      <c r="AI437" s="27">
        <v>0</v>
      </c>
      <c r="AJ437" s="27">
        <v>0</v>
      </c>
      <c r="AK437" s="27">
        <v>0</v>
      </c>
      <c r="AL437" s="27">
        <v>0</v>
      </c>
      <c r="AM437" s="27">
        <v>1</v>
      </c>
      <c r="AN437" s="27">
        <v>0</v>
      </c>
      <c r="AO437" s="27">
        <v>0</v>
      </c>
      <c r="AP437" s="27">
        <v>0</v>
      </c>
      <c r="AQ437" s="27">
        <v>1</v>
      </c>
      <c r="AR437" s="27">
        <v>0</v>
      </c>
      <c r="AS437" s="27">
        <v>0</v>
      </c>
      <c r="AT437" s="27">
        <v>1</v>
      </c>
      <c r="AU437" s="27">
        <v>0</v>
      </c>
      <c r="AV437" s="27">
        <v>1</v>
      </c>
      <c r="AW437" s="27">
        <v>1</v>
      </c>
      <c r="AX437" s="27">
        <v>0</v>
      </c>
      <c r="AY437" s="27">
        <v>8</v>
      </c>
      <c r="AZ437" s="27">
        <v>1</v>
      </c>
      <c r="BA437" s="27">
        <v>2</v>
      </c>
      <c r="BB437" s="27">
        <v>78.89</v>
      </c>
      <c r="BC437" s="27" t="s">
        <v>732</v>
      </c>
      <c r="BD437" s="27" t="s">
        <v>175</v>
      </c>
      <c r="BE437" s="27" t="s">
        <v>91</v>
      </c>
      <c r="BF437" s="27" t="s">
        <v>77</v>
      </c>
      <c r="BG437" s="27">
        <v>161</v>
      </c>
      <c r="BH437" s="27">
        <v>61</v>
      </c>
      <c r="BI437" s="27">
        <v>0.7252</v>
      </c>
      <c r="BJ437" s="27">
        <v>0</v>
      </c>
      <c r="BK437" s="27">
        <v>10</v>
      </c>
      <c r="BL437" s="27">
        <v>97.3</v>
      </c>
    </row>
    <row r="438" customHeight="1" spans="1:64">
      <c r="A438" s="27" t="s">
        <v>1475</v>
      </c>
      <c r="B438" s="27" t="s">
        <v>1476</v>
      </c>
      <c r="D438" s="27">
        <v>780245006813</v>
      </c>
      <c r="E438" s="27" t="s">
        <v>1477</v>
      </c>
      <c r="F438" s="27" t="s">
        <v>198</v>
      </c>
      <c r="G438" s="27" t="s">
        <v>83</v>
      </c>
      <c r="H438" s="27" t="s">
        <v>84</v>
      </c>
      <c r="I438" s="27" t="s">
        <v>85</v>
      </c>
      <c r="J438" s="27">
        <v>5</v>
      </c>
      <c r="K438" s="27">
        <v>13.49</v>
      </c>
      <c r="M438" s="27">
        <v>0</v>
      </c>
      <c r="N438" s="27">
        <v>0</v>
      </c>
      <c r="O438" s="27">
        <v>0</v>
      </c>
      <c r="P438" s="27" t="s">
        <v>133</v>
      </c>
      <c r="Q438" s="27">
        <v>2.673459</v>
      </c>
      <c r="S438" s="27">
        <v>195</v>
      </c>
      <c r="T438" s="27">
        <v>10</v>
      </c>
      <c r="U438" s="27">
        <v>0.9512</v>
      </c>
      <c r="V438" s="27" t="s">
        <v>154</v>
      </c>
      <c r="W438" s="27">
        <v>2630.55</v>
      </c>
      <c r="X438" s="27">
        <v>5.278115</v>
      </c>
      <c r="Y438" s="27">
        <v>7.875328</v>
      </c>
      <c r="Z438" s="27">
        <v>3.1623</v>
      </c>
      <c r="AA438" s="27" t="s">
        <v>125</v>
      </c>
      <c r="AB438" s="27">
        <v>0</v>
      </c>
      <c r="AC438" s="27">
        <v>0</v>
      </c>
      <c r="AD438" s="27">
        <v>0</v>
      </c>
      <c r="AE438" s="27">
        <v>0</v>
      </c>
      <c r="AF438" s="27">
        <v>0</v>
      </c>
      <c r="AG438" s="27">
        <v>0</v>
      </c>
      <c r="AH438" s="27">
        <v>1</v>
      </c>
      <c r="AI438" s="27">
        <v>0</v>
      </c>
      <c r="AJ438" s="27">
        <v>0</v>
      </c>
      <c r="AK438" s="27">
        <v>0</v>
      </c>
      <c r="AL438" s="27">
        <v>0</v>
      </c>
      <c r="AM438" s="27">
        <v>0</v>
      </c>
      <c r="AN438" s="27">
        <v>0</v>
      </c>
      <c r="AO438" s="27">
        <v>0</v>
      </c>
      <c r="AP438" s="27">
        <v>0</v>
      </c>
      <c r="AQ438" s="27">
        <v>0</v>
      </c>
      <c r="AR438" s="27">
        <v>0</v>
      </c>
      <c r="AS438" s="27">
        <v>0</v>
      </c>
      <c r="AT438" s="27">
        <v>0</v>
      </c>
      <c r="AU438" s="27">
        <v>0</v>
      </c>
      <c r="AV438" s="27">
        <v>0</v>
      </c>
      <c r="AW438" s="27">
        <v>0</v>
      </c>
      <c r="AX438" s="27">
        <v>0</v>
      </c>
      <c r="AZ438" s="27">
        <v>1</v>
      </c>
      <c r="BA438" s="27">
        <v>1</v>
      </c>
      <c r="BB438" s="27">
        <v>66.82</v>
      </c>
      <c r="BC438" s="27" t="s">
        <v>602</v>
      </c>
      <c r="BD438" s="27" t="s">
        <v>169</v>
      </c>
      <c r="BE438" s="27" t="s">
        <v>113</v>
      </c>
      <c r="BF438" s="27" t="s">
        <v>77</v>
      </c>
      <c r="BG438" s="27">
        <v>162</v>
      </c>
      <c r="BH438" s="27">
        <v>18</v>
      </c>
      <c r="BI438" s="27">
        <v>0.9</v>
      </c>
      <c r="BJ438" s="27">
        <v>0</v>
      </c>
      <c r="BK438" s="27">
        <v>15</v>
      </c>
      <c r="BL438" s="27">
        <v>95.9</v>
      </c>
    </row>
    <row r="439" customHeight="1" spans="1:64">
      <c r="A439" s="27" t="s">
        <v>1478</v>
      </c>
      <c r="B439" s="27" t="s">
        <v>427</v>
      </c>
      <c r="E439" s="27" t="s">
        <v>81</v>
      </c>
      <c r="F439" s="27" t="s">
        <v>82</v>
      </c>
      <c r="G439" s="27" t="s">
        <v>427</v>
      </c>
      <c r="H439" s="27" t="s">
        <v>107</v>
      </c>
      <c r="I439" s="27" t="s">
        <v>85</v>
      </c>
      <c r="J439" s="27">
        <v>5</v>
      </c>
      <c r="K439" s="27">
        <v>30</v>
      </c>
      <c r="M439" s="27">
        <v>0</v>
      </c>
      <c r="N439" s="27">
        <v>0</v>
      </c>
      <c r="O439" s="27">
        <v>0</v>
      </c>
      <c r="P439" s="27" t="s">
        <v>86</v>
      </c>
      <c r="Q439" s="27">
        <v>3.433987</v>
      </c>
      <c r="S439" s="27">
        <v>3</v>
      </c>
      <c r="T439" s="27">
        <v>6</v>
      </c>
      <c r="U439" s="27">
        <v>0.3333</v>
      </c>
      <c r="V439" s="27" t="s">
        <v>87</v>
      </c>
      <c r="W439" s="27">
        <v>90</v>
      </c>
      <c r="X439" s="27">
        <v>1.386294</v>
      </c>
      <c r="Y439" s="27">
        <v>4.51086</v>
      </c>
      <c r="Z439" s="27">
        <v>2.4495</v>
      </c>
      <c r="AA439" s="27" t="s">
        <v>125</v>
      </c>
      <c r="AB439" s="27">
        <v>0</v>
      </c>
      <c r="AC439" s="27">
        <v>0</v>
      </c>
      <c r="AD439" s="27">
        <v>0</v>
      </c>
      <c r="AE439" s="27">
        <v>0</v>
      </c>
      <c r="AF439" s="27">
        <v>0</v>
      </c>
      <c r="AG439" s="27">
        <v>0</v>
      </c>
      <c r="AH439" s="27">
        <v>0</v>
      </c>
      <c r="AI439" s="27">
        <v>0</v>
      </c>
      <c r="AJ439" s="27">
        <v>0</v>
      </c>
      <c r="AK439" s="27">
        <v>1</v>
      </c>
      <c r="AL439" s="27">
        <v>0</v>
      </c>
      <c r="AM439" s="27">
        <v>0</v>
      </c>
      <c r="AN439" s="27">
        <v>0</v>
      </c>
      <c r="AO439" s="27">
        <v>0</v>
      </c>
      <c r="AP439" s="27">
        <v>0</v>
      </c>
      <c r="AQ439" s="27">
        <v>0</v>
      </c>
      <c r="AR439" s="27">
        <v>0</v>
      </c>
      <c r="AS439" s="27">
        <v>0</v>
      </c>
      <c r="AT439" s="27">
        <v>0</v>
      </c>
      <c r="AU439" s="27">
        <v>1</v>
      </c>
      <c r="AV439" s="27">
        <v>0</v>
      </c>
      <c r="AW439" s="27">
        <v>0</v>
      </c>
      <c r="AX439" s="27">
        <v>0</v>
      </c>
      <c r="AZ439" s="27">
        <v>1</v>
      </c>
      <c r="BA439" s="27">
        <v>1</v>
      </c>
      <c r="BB439" s="27">
        <v>43.09</v>
      </c>
      <c r="BC439" s="27" t="s">
        <v>1479</v>
      </c>
      <c r="BG439" s="27">
        <v>0</v>
      </c>
      <c r="BH439" s="27">
        <v>0</v>
      </c>
      <c r="BJ439" s="27">
        <v>0</v>
      </c>
      <c r="BK439" s="27">
        <v>3</v>
      </c>
      <c r="BL439" s="27">
        <v>99.2</v>
      </c>
    </row>
    <row r="440" customHeight="1" spans="1:64">
      <c r="A440" s="27" t="s">
        <v>1480</v>
      </c>
      <c r="B440" s="27" t="s">
        <v>427</v>
      </c>
      <c r="C440" s="27" t="s">
        <v>1481</v>
      </c>
      <c r="D440" s="27">
        <v>193108145657</v>
      </c>
      <c r="E440" s="27" t="s">
        <v>81</v>
      </c>
      <c r="F440" s="27" t="s">
        <v>82</v>
      </c>
      <c r="G440" s="27" t="s">
        <v>427</v>
      </c>
      <c r="H440" s="27" t="s">
        <v>107</v>
      </c>
      <c r="I440" s="27" t="s">
        <v>85</v>
      </c>
      <c r="J440" s="27">
        <v>5</v>
      </c>
      <c r="K440" s="27">
        <v>36.99</v>
      </c>
      <c r="M440" s="27">
        <v>0</v>
      </c>
      <c r="N440" s="27">
        <v>0</v>
      </c>
      <c r="O440" s="27">
        <v>0</v>
      </c>
      <c r="P440" s="27" t="s">
        <v>86</v>
      </c>
      <c r="Q440" s="27">
        <v>3.637323</v>
      </c>
      <c r="S440" s="27">
        <v>3</v>
      </c>
      <c r="T440" s="27">
        <v>9</v>
      </c>
      <c r="U440" s="27">
        <v>0.25</v>
      </c>
      <c r="V440" s="27" t="s">
        <v>87</v>
      </c>
      <c r="W440" s="27">
        <v>110.97</v>
      </c>
      <c r="X440" s="27">
        <v>1.386294</v>
      </c>
      <c r="Y440" s="27">
        <v>4.718231</v>
      </c>
      <c r="Z440" s="27">
        <v>3</v>
      </c>
      <c r="AA440" s="27" t="s">
        <v>187</v>
      </c>
      <c r="AB440" s="27">
        <v>0</v>
      </c>
      <c r="AC440" s="27">
        <v>0</v>
      </c>
      <c r="AD440" s="27">
        <v>0</v>
      </c>
      <c r="AE440" s="27">
        <v>0</v>
      </c>
      <c r="AF440" s="27">
        <v>0</v>
      </c>
      <c r="AG440" s="27">
        <v>0</v>
      </c>
      <c r="AH440" s="27">
        <v>1</v>
      </c>
      <c r="AI440" s="27">
        <v>0</v>
      </c>
      <c r="AJ440" s="27">
        <v>0</v>
      </c>
      <c r="AK440" s="27">
        <v>0</v>
      </c>
      <c r="AL440" s="27">
        <v>0</v>
      </c>
      <c r="AM440" s="27">
        <v>0</v>
      </c>
      <c r="AN440" s="27">
        <v>0</v>
      </c>
      <c r="AO440" s="27">
        <v>0</v>
      </c>
      <c r="AP440" s="27">
        <v>1</v>
      </c>
      <c r="AQ440" s="27">
        <v>0</v>
      </c>
      <c r="AR440" s="27">
        <v>0</v>
      </c>
      <c r="AS440" s="27">
        <v>0</v>
      </c>
      <c r="AT440" s="27">
        <v>1</v>
      </c>
      <c r="AU440" s="27">
        <v>0</v>
      </c>
      <c r="AV440" s="27">
        <v>0</v>
      </c>
      <c r="AW440" s="27">
        <v>0</v>
      </c>
      <c r="AX440" s="27">
        <v>0</v>
      </c>
      <c r="AZ440" s="27">
        <v>1</v>
      </c>
      <c r="BA440" s="27">
        <v>1</v>
      </c>
      <c r="BB440" s="27">
        <v>39.19</v>
      </c>
      <c r="BC440" s="27" t="s">
        <v>1482</v>
      </c>
      <c r="BG440" s="27">
        <v>0</v>
      </c>
      <c r="BH440" s="27">
        <v>0</v>
      </c>
      <c r="BJ440" s="27">
        <v>0</v>
      </c>
      <c r="BK440" s="27">
        <v>10</v>
      </c>
      <c r="BL440" s="27">
        <v>97.3</v>
      </c>
    </row>
    <row r="441" customHeight="1" spans="1:64">
      <c r="A441" s="27" t="s">
        <v>1483</v>
      </c>
      <c r="B441" s="27" t="s">
        <v>624</v>
      </c>
      <c r="C441" s="27" t="s">
        <v>1484</v>
      </c>
      <c r="E441" s="27" t="s">
        <v>122</v>
      </c>
      <c r="F441" s="27" t="s">
        <v>82</v>
      </c>
      <c r="G441" s="27" t="s">
        <v>117</v>
      </c>
      <c r="H441" s="27" t="s">
        <v>84</v>
      </c>
      <c r="I441" s="27" t="s">
        <v>85</v>
      </c>
      <c r="J441" s="27">
        <v>5</v>
      </c>
      <c r="K441" s="27">
        <v>35.89</v>
      </c>
      <c r="M441" s="27">
        <v>0</v>
      </c>
      <c r="N441" s="27">
        <v>0</v>
      </c>
      <c r="O441" s="27">
        <v>0</v>
      </c>
      <c r="P441" s="27" t="s">
        <v>86</v>
      </c>
      <c r="Q441" s="27">
        <v>3.607941</v>
      </c>
      <c r="S441" s="27">
        <v>121</v>
      </c>
      <c r="T441" s="27">
        <v>10</v>
      </c>
      <c r="U441" s="27">
        <v>0.9237</v>
      </c>
      <c r="V441" s="27" t="s">
        <v>72</v>
      </c>
      <c r="W441" s="27">
        <v>4342.69</v>
      </c>
      <c r="X441" s="27">
        <v>4.804021</v>
      </c>
      <c r="Y441" s="27">
        <v>8.376479</v>
      </c>
      <c r="Z441" s="27">
        <v>3.1623</v>
      </c>
      <c r="AA441" s="27" t="s">
        <v>125</v>
      </c>
      <c r="AB441" s="27">
        <v>0</v>
      </c>
      <c r="AC441" s="27">
        <v>0</v>
      </c>
      <c r="AD441" s="27">
        <v>0</v>
      </c>
      <c r="AE441" s="27">
        <v>0</v>
      </c>
      <c r="AF441" s="27">
        <v>0</v>
      </c>
      <c r="AG441" s="27">
        <v>0</v>
      </c>
      <c r="AH441" s="27">
        <v>1</v>
      </c>
      <c r="AI441" s="27">
        <v>0</v>
      </c>
      <c r="AJ441" s="27">
        <v>0</v>
      </c>
      <c r="AK441" s="27">
        <v>0</v>
      </c>
      <c r="AL441" s="27">
        <v>0</v>
      </c>
      <c r="AM441" s="27">
        <v>0</v>
      </c>
      <c r="AN441" s="27">
        <v>0</v>
      </c>
      <c r="AO441" s="27">
        <v>0</v>
      </c>
      <c r="AP441" s="27">
        <v>0</v>
      </c>
      <c r="AQ441" s="27">
        <v>0</v>
      </c>
      <c r="AR441" s="27">
        <v>0</v>
      </c>
      <c r="AS441" s="27">
        <v>1</v>
      </c>
      <c r="AT441" s="27">
        <v>0</v>
      </c>
      <c r="AU441" s="27">
        <v>0</v>
      </c>
      <c r="AV441" s="27">
        <v>0</v>
      </c>
      <c r="AW441" s="27">
        <v>0</v>
      </c>
      <c r="AX441" s="27">
        <v>0</v>
      </c>
      <c r="AZ441" s="27">
        <v>1</v>
      </c>
      <c r="BA441" s="27">
        <v>1</v>
      </c>
      <c r="BB441" s="27">
        <v>66.05</v>
      </c>
      <c r="BC441" s="27" t="s">
        <v>625</v>
      </c>
      <c r="BG441" s="27">
        <v>0</v>
      </c>
      <c r="BH441" s="27">
        <v>0</v>
      </c>
      <c r="BJ441" s="27">
        <v>0</v>
      </c>
      <c r="BK441" s="27">
        <v>11</v>
      </c>
      <c r="BL441" s="27">
        <v>97</v>
      </c>
    </row>
    <row r="442" customHeight="1" spans="1:64">
      <c r="A442" s="27" t="s">
        <v>1485</v>
      </c>
      <c r="B442" s="27" t="s">
        <v>704</v>
      </c>
      <c r="E442" s="27" t="s">
        <v>131</v>
      </c>
      <c r="F442" s="27" t="s">
        <v>132</v>
      </c>
      <c r="G442" s="27" t="s">
        <v>83</v>
      </c>
      <c r="H442" s="27" t="s">
        <v>84</v>
      </c>
      <c r="I442" s="27" t="s">
        <v>85</v>
      </c>
      <c r="J442" s="27">
        <v>5</v>
      </c>
      <c r="K442" s="27">
        <v>6.75</v>
      </c>
      <c r="M442" s="27">
        <v>0</v>
      </c>
      <c r="N442" s="27">
        <v>0</v>
      </c>
      <c r="O442" s="27">
        <v>0</v>
      </c>
      <c r="P442" s="27" t="s">
        <v>133</v>
      </c>
      <c r="Q442" s="27">
        <v>2.047693</v>
      </c>
      <c r="S442" s="27">
        <v>18</v>
      </c>
      <c r="T442" s="27">
        <v>10</v>
      </c>
      <c r="U442" s="27">
        <v>0.6429</v>
      </c>
      <c r="V442" s="27" t="s">
        <v>72</v>
      </c>
      <c r="W442" s="27">
        <v>121.5</v>
      </c>
      <c r="X442" s="27">
        <v>2.944439</v>
      </c>
      <c r="Y442" s="27">
        <v>4.808111</v>
      </c>
      <c r="Z442" s="27">
        <v>3.1623</v>
      </c>
      <c r="AA442" s="27" t="s">
        <v>125</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v>0</v>
      </c>
      <c r="AS442" s="27">
        <v>0</v>
      </c>
      <c r="AT442" s="27">
        <v>0</v>
      </c>
      <c r="AU442" s="27">
        <v>0</v>
      </c>
      <c r="AV442" s="27">
        <v>0</v>
      </c>
      <c r="AW442" s="27">
        <v>0</v>
      </c>
      <c r="AX442" s="27">
        <v>0</v>
      </c>
      <c r="AZ442" s="27">
        <v>1</v>
      </c>
      <c r="BA442" s="27">
        <v>0</v>
      </c>
      <c r="BB442" s="27">
        <v>41.26</v>
      </c>
      <c r="BC442" s="27" t="s">
        <v>706</v>
      </c>
      <c r="BD442" s="27" t="s">
        <v>135</v>
      </c>
      <c r="BE442" s="27" t="s">
        <v>150</v>
      </c>
      <c r="BF442" s="27" t="s">
        <v>77</v>
      </c>
      <c r="BG442" s="27">
        <v>168</v>
      </c>
      <c r="BH442" s="27">
        <v>11</v>
      </c>
      <c r="BI442" s="27">
        <v>0.9385</v>
      </c>
      <c r="BJ442" s="27">
        <v>0</v>
      </c>
      <c r="BK442" s="27">
        <v>176</v>
      </c>
      <c r="BL442" s="27">
        <v>51.8</v>
      </c>
    </row>
    <row r="443" customHeight="1" spans="1:64">
      <c r="A443" s="27" t="s">
        <v>1486</v>
      </c>
      <c r="B443" s="27" t="s">
        <v>125</v>
      </c>
      <c r="E443" s="27" t="s">
        <v>438</v>
      </c>
      <c r="F443" s="27" t="s">
        <v>82</v>
      </c>
      <c r="G443" s="27" t="s">
        <v>83</v>
      </c>
      <c r="H443" s="27" t="s">
        <v>138</v>
      </c>
      <c r="I443" s="27" t="s">
        <v>85</v>
      </c>
      <c r="J443" s="27">
        <v>5</v>
      </c>
      <c r="K443" s="27">
        <v>37.5</v>
      </c>
      <c r="M443" s="27">
        <v>0</v>
      </c>
      <c r="N443" s="27">
        <v>0</v>
      </c>
      <c r="O443" s="27">
        <v>0</v>
      </c>
      <c r="P443" s="27" t="s">
        <v>86</v>
      </c>
      <c r="Q443" s="27">
        <v>3.650658</v>
      </c>
      <c r="S443" s="27">
        <v>60</v>
      </c>
      <c r="T443" s="27">
        <v>10</v>
      </c>
      <c r="U443" s="27">
        <v>0.8571</v>
      </c>
      <c r="V443" s="27" t="s">
        <v>72</v>
      </c>
      <c r="W443" s="27">
        <v>2250</v>
      </c>
      <c r="X443" s="27">
        <v>4.110874</v>
      </c>
      <c r="Y443" s="27">
        <v>7.71913</v>
      </c>
      <c r="Z443" s="27">
        <v>3.1623</v>
      </c>
      <c r="AA443" s="27" t="s">
        <v>125</v>
      </c>
      <c r="AB443" s="27">
        <v>0</v>
      </c>
      <c r="AC443" s="27">
        <v>0</v>
      </c>
      <c r="AD443" s="27">
        <v>0</v>
      </c>
      <c r="AE443" s="27">
        <v>0</v>
      </c>
      <c r="AF443" s="27">
        <v>0</v>
      </c>
      <c r="AG443" s="27">
        <v>0</v>
      </c>
      <c r="AH443" s="27">
        <v>0</v>
      </c>
      <c r="AI443" s="27">
        <v>0</v>
      </c>
      <c r="AJ443" s="27">
        <v>0</v>
      </c>
      <c r="AK443" s="27">
        <v>0</v>
      </c>
      <c r="AL443" s="27">
        <v>0</v>
      </c>
      <c r="AM443" s="27">
        <v>0</v>
      </c>
      <c r="AN443" s="27">
        <v>0</v>
      </c>
      <c r="AO443" s="27">
        <v>0</v>
      </c>
      <c r="AP443" s="27">
        <v>0</v>
      </c>
      <c r="AQ443" s="27">
        <v>0</v>
      </c>
      <c r="AR443" s="27">
        <v>0</v>
      </c>
      <c r="AS443" s="27">
        <v>0</v>
      </c>
      <c r="AT443" s="27">
        <v>0</v>
      </c>
      <c r="AU443" s="27">
        <v>0</v>
      </c>
      <c r="AV443" s="27">
        <v>0</v>
      </c>
      <c r="AW443" s="27">
        <v>0</v>
      </c>
      <c r="AX443" s="27">
        <v>0</v>
      </c>
      <c r="AZ443" s="27">
        <v>1</v>
      </c>
      <c r="BA443" s="27">
        <v>0</v>
      </c>
      <c r="BB443" s="27">
        <v>63.71</v>
      </c>
      <c r="BC443" s="27" t="s">
        <v>1487</v>
      </c>
      <c r="BD443" s="27" t="s">
        <v>1488</v>
      </c>
      <c r="BE443" s="27" t="s">
        <v>393</v>
      </c>
      <c r="BF443" s="27" t="s">
        <v>77</v>
      </c>
      <c r="BG443" s="27">
        <v>1</v>
      </c>
      <c r="BH443" s="27">
        <v>76</v>
      </c>
      <c r="BI443" s="27">
        <v>0.013</v>
      </c>
      <c r="BJ443" s="27">
        <v>1</v>
      </c>
      <c r="BK443" s="27">
        <v>7</v>
      </c>
      <c r="BL443" s="27">
        <v>98.1</v>
      </c>
    </row>
    <row r="444" customHeight="1" spans="1:64">
      <c r="A444" s="27" t="s">
        <v>1489</v>
      </c>
      <c r="B444" s="27" t="s">
        <v>344</v>
      </c>
      <c r="C444" s="27" t="s">
        <v>1490</v>
      </c>
      <c r="E444" s="27" t="s">
        <v>163</v>
      </c>
      <c r="F444" s="27" t="s">
        <v>82</v>
      </c>
      <c r="G444" s="27" t="s">
        <v>346</v>
      </c>
      <c r="H444" s="27" t="s">
        <v>107</v>
      </c>
      <c r="I444" s="27" t="s">
        <v>85</v>
      </c>
      <c r="J444" s="27">
        <v>5</v>
      </c>
      <c r="K444" s="27">
        <v>31.99</v>
      </c>
      <c r="M444" s="27">
        <v>0</v>
      </c>
      <c r="N444" s="27">
        <v>0</v>
      </c>
      <c r="O444" s="27">
        <v>0</v>
      </c>
      <c r="P444" s="27" t="s">
        <v>86</v>
      </c>
      <c r="Q444" s="27">
        <v>3.496204</v>
      </c>
      <c r="S444" s="27">
        <v>7</v>
      </c>
      <c r="T444" s="27">
        <v>3</v>
      </c>
      <c r="U444" s="27">
        <v>0.7</v>
      </c>
      <c r="V444" s="27" t="s">
        <v>87</v>
      </c>
      <c r="W444" s="27">
        <v>223.93</v>
      </c>
      <c r="X444" s="27">
        <v>2.079442</v>
      </c>
      <c r="Y444" s="27">
        <v>5.415789</v>
      </c>
      <c r="Z444" s="27">
        <v>1.7321</v>
      </c>
      <c r="AA444" s="27" t="s">
        <v>125</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v>0</v>
      </c>
      <c r="AS444" s="27">
        <v>0</v>
      </c>
      <c r="AT444" s="27">
        <v>0</v>
      </c>
      <c r="AU444" s="27">
        <v>0</v>
      </c>
      <c r="AV444" s="27">
        <v>0</v>
      </c>
      <c r="AW444" s="27">
        <v>0</v>
      </c>
      <c r="AX444" s="27">
        <v>0</v>
      </c>
      <c r="AZ444" s="27">
        <v>1</v>
      </c>
      <c r="BA444" s="27">
        <v>0</v>
      </c>
      <c r="BB444" s="27">
        <v>56.68</v>
      </c>
      <c r="BC444" s="27" t="s">
        <v>1491</v>
      </c>
      <c r="BD444" s="27" t="s">
        <v>1492</v>
      </c>
      <c r="BE444" s="27" t="s">
        <v>557</v>
      </c>
      <c r="BF444" s="27" t="s">
        <v>77</v>
      </c>
      <c r="BG444" s="27">
        <v>168</v>
      </c>
      <c r="BH444" s="27">
        <v>11</v>
      </c>
      <c r="BI444" s="27">
        <v>0.9385</v>
      </c>
      <c r="BJ444" s="27">
        <v>0</v>
      </c>
      <c r="BK444" s="27">
        <v>16</v>
      </c>
      <c r="BL444" s="27">
        <v>95.6</v>
      </c>
    </row>
    <row r="445" customHeight="1" spans="1:64">
      <c r="A445" s="27" t="s">
        <v>1493</v>
      </c>
      <c r="B445" s="27" t="s">
        <v>144</v>
      </c>
      <c r="E445" s="27" t="s">
        <v>1494</v>
      </c>
      <c r="F445" s="27" t="s">
        <v>1224</v>
      </c>
      <c r="G445" s="27" t="s">
        <v>83</v>
      </c>
      <c r="H445" s="27" t="s">
        <v>84</v>
      </c>
      <c r="I445" s="27" t="s">
        <v>85</v>
      </c>
      <c r="J445" s="27">
        <v>5</v>
      </c>
      <c r="K445" s="27">
        <v>14.99</v>
      </c>
      <c r="M445" s="27">
        <v>0</v>
      </c>
      <c r="N445" s="27">
        <v>0</v>
      </c>
      <c r="O445" s="27">
        <v>0</v>
      </c>
      <c r="P445" s="27" t="s">
        <v>133</v>
      </c>
      <c r="Q445" s="27">
        <v>2.771964</v>
      </c>
      <c r="S445" s="27">
        <v>43</v>
      </c>
      <c r="T445" s="27">
        <v>7</v>
      </c>
      <c r="U445" s="27">
        <v>0.86</v>
      </c>
      <c r="V445" s="27" t="s">
        <v>72</v>
      </c>
      <c r="W445" s="27">
        <v>644.57</v>
      </c>
      <c r="X445" s="27">
        <v>3.78419</v>
      </c>
      <c r="Y445" s="27">
        <v>6.470134</v>
      </c>
      <c r="Z445" s="27">
        <v>2.6458</v>
      </c>
      <c r="AA445" s="27" t="s">
        <v>125</v>
      </c>
      <c r="AB445" s="27">
        <v>1</v>
      </c>
      <c r="AC445" s="27">
        <v>0</v>
      </c>
      <c r="AD445" s="27">
        <v>0</v>
      </c>
      <c r="AE445" s="27">
        <v>0</v>
      </c>
      <c r="AF445" s="27">
        <v>0</v>
      </c>
      <c r="AG445" s="27">
        <v>0</v>
      </c>
      <c r="AH445" s="27">
        <v>0</v>
      </c>
      <c r="AI445" s="27">
        <v>0</v>
      </c>
      <c r="AJ445" s="27">
        <v>0</v>
      </c>
      <c r="AK445" s="27">
        <v>0</v>
      </c>
      <c r="AL445" s="27">
        <v>0</v>
      </c>
      <c r="AM445" s="27">
        <v>0</v>
      </c>
      <c r="AN445" s="27">
        <v>0</v>
      </c>
      <c r="AO445" s="27">
        <v>0</v>
      </c>
      <c r="AP445" s="27">
        <v>0</v>
      </c>
      <c r="AQ445" s="27">
        <v>0</v>
      </c>
      <c r="AR445" s="27">
        <v>0</v>
      </c>
      <c r="AS445" s="27">
        <v>0</v>
      </c>
      <c r="AT445" s="27">
        <v>0</v>
      </c>
      <c r="AU445" s="27">
        <v>0</v>
      </c>
      <c r="AV445" s="27">
        <v>0</v>
      </c>
      <c r="AW445" s="27">
        <v>0</v>
      </c>
      <c r="AX445" s="27">
        <v>0</v>
      </c>
      <c r="AZ445" s="27">
        <v>1</v>
      </c>
      <c r="BA445" s="27">
        <v>1</v>
      </c>
      <c r="BB445" s="27">
        <v>34.4</v>
      </c>
      <c r="BC445" s="27" t="s">
        <v>1495</v>
      </c>
      <c r="BD445" s="27" t="s">
        <v>1496</v>
      </c>
      <c r="BE445" s="27" t="s">
        <v>128</v>
      </c>
      <c r="BF445" s="27" t="s">
        <v>77</v>
      </c>
      <c r="BG445" s="27">
        <v>168</v>
      </c>
      <c r="BH445" s="27">
        <v>11</v>
      </c>
      <c r="BI445" s="27">
        <v>0.9385</v>
      </c>
      <c r="BJ445" s="27">
        <v>0</v>
      </c>
    </row>
    <row r="446" customHeight="1" spans="1:64">
      <c r="A446" s="27" t="s">
        <v>1497</v>
      </c>
      <c r="B446" s="27" t="s">
        <v>171</v>
      </c>
      <c r="C446" s="27" t="s">
        <v>1498</v>
      </c>
      <c r="E446" s="27" t="s">
        <v>1499</v>
      </c>
      <c r="F446" s="27" t="s">
        <v>82</v>
      </c>
      <c r="G446" s="27" t="s">
        <v>83</v>
      </c>
      <c r="H446" s="27" t="s">
        <v>84</v>
      </c>
      <c r="I446" s="27" t="s">
        <v>85</v>
      </c>
      <c r="J446" s="27">
        <v>5</v>
      </c>
      <c r="K446" s="27">
        <v>125.79</v>
      </c>
      <c r="M446" s="27">
        <v>0</v>
      </c>
      <c r="N446" s="27">
        <v>0</v>
      </c>
      <c r="O446" s="27">
        <v>0</v>
      </c>
      <c r="P446" s="27" t="s">
        <v>95</v>
      </c>
      <c r="Q446" s="27">
        <v>4.842532</v>
      </c>
      <c r="S446" s="27">
        <v>40</v>
      </c>
      <c r="T446" s="27">
        <v>10</v>
      </c>
      <c r="U446" s="27">
        <v>0.8</v>
      </c>
      <c r="V446" s="27" t="s">
        <v>72</v>
      </c>
      <c r="W446" s="27">
        <v>5031.6</v>
      </c>
      <c r="X446" s="27">
        <v>3.713572</v>
      </c>
      <c r="Y446" s="27">
        <v>8.523692</v>
      </c>
      <c r="Z446" s="27">
        <v>3.1623</v>
      </c>
      <c r="AA446" s="27" t="s">
        <v>73</v>
      </c>
      <c r="AB446" s="27">
        <v>1</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1</v>
      </c>
      <c r="AR446" s="27">
        <v>0</v>
      </c>
      <c r="AS446" s="27">
        <v>0</v>
      </c>
      <c r="AT446" s="27">
        <v>1</v>
      </c>
      <c r="AU446" s="27">
        <v>0</v>
      </c>
      <c r="AV446" s="27">
        <v>1</v>
      </c>
      <c r="AW446" s="27">
        <v>1</v>
      </c>
      <c r="AX446" s="27">
        <v>0</v>
      </c>
      <c r="AZ446" s="27">
        <v>1</v>
      </c>
      <c r="BA446" s="27">
        <v>2</v>
      </c>
      <c r="BB446" s="27">
        <v>58.97</v>
      </c>
      <c r="BC446" s="27" t="s">
        <v>506</v>
      </c>
      <c r="BD446" s="27" t="s">
        <v>356</v>
      </c>
      <c r="BE446" s="27" t="s">
        <v>287</v>
      </c>
      <c r="BF446" s="27" t="s">
        <v>77</v>
      </c>
      <c r="BG446" s="27">
        <v>162</v>
      </c>
      <c r="BH446" s="27">
        <v>60</v>
      </c>
      <c r="BI446" s="27">
        <v>0.7297</v>
      </c>
      <c r="BJ446" s="27">
        <v>0</v>
      </c>
      <c r="BK446" s="27">
        <v>37</v>
      </c>
      <c r="BL446" s="27">
        <v>89.9</v>
      </c>
    </row>
    <row r="447" customHeight="1" spans="1:64">
      <c r="A447" s="27" t="s">
        <v>1500</v>
      </c>
      <c r="B447" s="27" t="s">
        <v>171</v>
      </c>
      <c r="C447" s="27" t="s">
        <v>1501</v>
      </c>
      <c r="E447" s="27" t="s">
        <v>559</v>
      </c>
      <c r="F447" s="27" t="s">
        <v>160</v>
      </c>
      <c r="G447" s="27" t="s">
        <v>83</v>
      </c>
      <c r="H447" s="27" t="s">
        <v>84</v>
      </c>
      <c r="I447" s="27" t="s">
        <v>85</v>
      </c>
      <c r="J447" s="27">
        <v>5</v>
      </c>
      <c r="K447" s="27">
        <v>103.41</v>
      </c>
      <c r="L447" s="27">
        <v>129.99</v>
      </c>
      <c r="M447" s="27">
        <v>20.45</v>
      </c>
      <c r="N447" s="27">
        <v>26.58</v>
      </c>
      <c r="O447" s="27">
        <v>1</v>
      </c>
      <c r="P447" s="27" t="s">
        <v>95</v>
      </c>
      <c r="Q447" s="27">
        <v>4.648325</v>
      </c>
      <c r="R447" s="27">
        <v>12.93</v>
      </c>
      <c r="S447" s="27">
        <v>49</v>
      </c>
      <c r="T447" s="27">
        <v>10</v>
      </c>
      <c r="U447" s="27">
        <v>0.8305</v>
      </c>
      <c r="V447" s="27" t="s">
        <v>72</v>
      </c>
      <c r="W447" s="27">
        <v>5067.09</v>
      </c>
      <c r="X447" s="27">
        <v>3.912023</v>
      </c>
      <c r="Y447" s="27">
        <v>8.530719</v>
      </c>
      <c r="Z447" s="27">
        <v>3.1623</v>
      </c>
      <c r="AA447" s="27" t="s">
        <v>187</v>
      </c>
      <c r="AB447" s="27">
        <v>0</v>
      </c>
      <c r="AC447" s="27">
        <v>0</v>
      </c>
      <c r="AD447" s="27">
        <v>0</v>
      </c>
      <c r="AE447" s="27">
        <v>0</v>
      </c>
      <c r="AF447" s="27">
        <v>0</v>
      </c>
      <c r="AG447" s="27">
        <v>1</v>
      </c>
      <c r="AH447" s="27">
        <v>0</v>
      </c>
      <c r="AI447" s="27">
        <v>1</v>
      </c>
      <c r="AJ447" s="27">
        <v>0</v>
      </c>
      <c r="AK447" s="27">
        <v>0</v>
      </c>
      <c r="AL447" s="27">
        <v>0</v>
      </c>
      <c r="AM447" s="27">
        <v>0</v>
      </c>
      <c r="AN447" s="27">
        <v>0</v>
      </c>
      <c r="AO447" s="27">
        <v>0</v>
      </c>
      <c r="AP447" s="27">
        <v>0</v>
      </c>
      <c r="AQ447" s="27">
        <v>1</v>
      </c>
      <c r="AR447" s="27">
        <v>0</v>
      </c>
      <c r="AS447" s="27">
        <v>0</v>
      </c>
      <c r="AT447" s="27">
        <v>0</v>
      </c>
      <c r="AU447" s="27">
        <v>0</v>
      </c>
      <c r="AV447" s="27">
        <v>1</v>
      </c>
      <c r="AW447" s="27">
        <v>0</v>
      </c>
      <c r="AX447" s="27">
        <v>0</v>
      </c>
      <c r="AY447" s="27">
        <v>8</v>
      </c>
      <c r="AZ447" s="27">
        <v>1</v>
      </c>
      <c r="BA447" s="27">
        <v>1</v>
      </c>
      <c r="BB447" s="27">
        <v>68.46</v>
      </c>
      <c r="BC447" s="27" t="s">
        <v>732</v>
      </c>
      <c r="BD447" s="27" t="s">
        <v>175</v>
      </c>
      <c r="BE447" s="27" t="s">
        <v>226</v>
      </c>
      <c r="BF447" s="27" t="s">
        <v>77</v>
      </c>
      <c r="BG447" s="27">
        <v>161</v>
      </c>
      <c r="BH447" s="27">
        <v>61</v>
      </c>
      <c r="BI447" s="27">
        <v>0.7252</v>
      </c>
      <c r="BJ447" s="27">
        <v>0</v>
      </c>
      <c r="BK447" s="27">
        <v>11</v>
      </c>
      <c r="BL447" s="27">
        <v>97</v>
      </c>
    </row>
    <row r="448" customHeight="1" spans="1:64">
      <c r="A448" s="27" t="s">
        <v>1502</v>
      </c>
      <c r="B448" s="27" t="s">
        <v>1503</v>
      </c>
      <c r="E448" s="27" t="s">
        <v>1504</v>
      </c>
      <c r="F448" s="27" t="s">
        <v>198</v>
      </c>
      <c r="G448" s="27" t="s">
        <v>83</v>
      </c>
      <c r="H448" s="27" t="s">
        <v>84</v>
      </c>
      <c r="I448" s="27" t="s">
        <v>85</v>
      </c>
      <c r="J448" s="27">
        <v>5</v>
      </c>
      <c r="K448" s="27">
        <v>9.99</v>
      </c>
      <c r="L448" s="27">
        <v>14.99</v>
      </c>
      <c r="M448" s="27">
        <v>33.36</v>
      </c>
      <c r="N448" s="27">
        <v>5</v>
      </c>
      <c r="O448" s="27">
        <v>1</v>
      </c>
      <c r="P448" s="27" t="s">
        <v>133</v>
      </c>
      <c r="Q448" s="27">
        <v>2.396986</v>
      </c>
      <c r="S448" s="27">
        <v>84</v>
      </c>
      <c r="T448" s="27">
        <v>10</v>
      </c>
      <c r="U448" s="27">
        <v>0.8936</v>
      </c>
      <c r="V448" s="27" t="s">
        <v>72</v>
      </c>
      <c r="W448" s="27">
        <v>839.16</v>
      </c>
      <c r="X448" s="27">
        <v>4.442651</v>
      </c>
      <c r="Y448" s="27">
        <v>6.733592</v>
      </c>
      <c r="Z448" s="27">
        <v>3.1623</v>
      </c>
      <c r="AA448" s="27" t="s">
        <v>125</v>
      </c>
      <c r="AB448" s="27">
        <v>0</v>
      </c>
      <c r="AC448" s="27">
        <v>0</v>
      </c>
      <c r="AD448" s="27">
        <v>0</v>
      </c>
      <c r="AE448" s="27">
        <v>0</v>
      </c>
      <c r="AF448" s="27">
        <v>0</v>
      </c>
      <c r="AG448" s="27">
        <v>0</v>
      </c>
      <c r="AH448" s="27">
        <v>0</v>
      </c>
      <c r="AI448" s="27">
        <v>0</v>
      </c>
      <c r="AJ448" s="27">
        <v>0</v>
      </c>
      <c r="AK448" s="27">
        <v>0</v>
      </c>
      <c r="AL448" s="27">
        <v>0</v>
      </c>
      <c r="AM448" s="27">
        <v>0</v>
      </c>
      <c r="AN448" s="27">
        <v>0</v>
      </c>
      <c r="AO448" s="27">
        <v>0</v>
      </c>
      <c r="AP448" s="27">
        <v>0</v>
      </c>
      <c r="AQ448" s="27">
        <v>0</v>
      </c>
      <c r="AR448" s="27">
        <v>0</v>
      </c>
      <c r="AS448" s="27">
        <v>0</v>
      </c>
      <c r="AT448" s="27">
        <v>1</v>
      </c>
      <c r="AU448" s="27">
        <v>0</v>
      </c>
      <c r="AV448" s="27">
        <v>0</v>
      </c>
      <c r="AW448" s="27">
        <v>0</v>
      </c>
      <c r="AX448" s="27">
        <v>0</v>
      </c>
      <c r="AZ448" s="27">
        <v>1</v>
      </c>
      <c r="BA448" s="27">
        <v>0</v>
      </c>
      <c r="BB448" s="27">
        <v>74.85</v>
      </c>
      <c r="BC448" s="27" t="s">
        <v>1505</v>
      </c>
      <c r="BD448" s="27" t="s">
        <v>1506</v>
      </c>
      <c r="BE448" s="27" t="s">
        <v>226</v>
      </c>
      <c r="BF448" s="27" t="s">
        <v>77</v>
      </c>
      <c r="BG448" s="27">
        <v>1</v>
      </c>
      <c r="BH448" s="27">
        <v>30</v>
      </c>
      <c r="BI448" s="27">
        <v>0.0323</v>
      </c>
      <c r="BJ448" s="27">
        <v>1</v>
      </c>
      <c r="BK448" s="27">
        <v>11</v>
      </c>
      <c r="BL448" s="27">
        <v>97</v>
      </c>
    </row>
    <row r="449" customHeight="1" spans="1:64">
      <c r="A449" s="27" t="s">
        <v>1507</v>
      </c>
      <c r="B449" s="27" t="s">
        <v>215</v>
      </c>
      <c r="C449" s="27" t="s">
        <v>1508</v>
      </c>
      <c r="E449" s="27" t="s">
        <v>1509</v>
      </c>
      <c r="F449" s="27" t="s">
        <v>132</v>
      </c>
      <c r="G449" s="27" t="s">
        <v>83</v>
      </c>
      <c r="H449" s="27" t="s">
        <v>84</v>
      </c>
      <c r="I449" s="27" t="s">
        <v>85</v>
      </c>
      <c r="J449" s="27">
        <v>5</v>
      </c>
      <c r="K449" s="27">
        <v>11.99</v>
      </c>
      <c r="M449" s="27">
        <v>0</v>
      </c>
      <c r="N449" s="27">
        <v>0</v>
      </c>
      <c r="O449" s="27">
        <v>0</v>
      </c>
      <c r="P449" s="27" t="s">
        <v>133</v>
      </c>
      <c r="Q449" s="27">
        <v>2.56418</v>
      </c>
      <c r="S449" s="27">
        <v>1231</v>
      </c>
      <c r="T449" s="27">
        <v>10</v>
      </c>
      <c r="U449" s="27">
        <v>0.9919</v>
      </c>
      <c r="V449" s="27" t="s">
        <v>109</v>
      </c>
      <c r="W449" s="27">
        <v>14759.69</v>
      </c>
      <c r="X449" s="27">
        <v>7.116394</v>
      </c>
      <c r="Y449" s="27">
        <v>9.599723</v>
      </c>
      <c r="Z449" s="27">
        <v>3.1623</v>
      </c>
      <c r="AA449" s="27" t="s">
        <v>125</v>
      </c>
      <c r="AB449" s="27">
        <v>0</v>
      </c>
      <c r="AC449" s="27">
        <v>0</v>
      </c>
      <c r="AD449" s="27">
        <v>0</v>
      </c>
      <c r="AE449" s="27">
        <v>0</v>
      </c>
      <c r="AF449" s="27">
        <v>0</v>
      </c>
      <c r="AG449" s="27">
        <v>0</v>
      </c>
      <c r="AH449" s="27">
        <v>0</v>
      </c>
      <c r="AI449" s="27">
        <v>0</v>
      </c>
      <c r="AJ449" s="27">
        <v>0</v>
      </c>
      <c r="AK449" s="27">
        <v>0</v>
      </c>
      <c r="AL449" s="27">
        <v>0</v>
      </c>
      <c r="AM449" s="27">
        <v>0</v>
      </c>
      <c r="AN449" s="27">
        <v>0</v>
      </c>
      <c r="AO449" s="27">
        <v>0</v>
      </c>
      <c r="AP449" s="27">
        <v>0</v>
      </c>
      <c r="AQ449" s="27">
        <v>0</v>
      </c>
      <c r="AR449" s="27">
        <v>0</v>
      </c>
      <c r="AS449" s="27">
        <v>0</v>
      </c>
      <c r="AT449" s="27">
        <v>0</v>
      </c>
      <c r="AU449" s="27">
        <v>0</v>
      </c>
      <c r="AV449" s="27">
        <v>0</v>
      </c>
      <c r="AW449" s="27">
        <v>0</v>
      </c>
      <c r="AX449" s="27">
        <v>0</v>
      </c>
      <c r="AZ449" s="27">
        <v>1</v>
      </c>
      <c r="BA449" s="27">
        <v>0</v>
      </c>
      <c r="BB449" s="27">
        <v>69.53</v>
      </c>
      <c r="BC449" s="27" t="s">
        <v>218</v>
      </c>
      <c r="BD449" s="27" t="s">
        <v>219</v>
      </c>
      <c r="BE449" s="27" t="s">
        <v>220</v>
      </c>
      <c r="BF449" s="27" t="s">
        <v>77</v>
      </c>
      <c r="BG449" s="27">
        <v>168</v>
      </c>
      <c r="BH449" s="27">
        <v>11</v>
      </c>
      <c r="BI449" s="27">
        <v>0.9385</v>
      </c>
      <c r="BJ449" s="27">
        <v>0</v>
      </c>
      <c r="BK449" s="27">
        <v>2</v>
      </c>
      <c r="BL449" s="27">
        <v>99.5</v>
      </c>
    </row>
    <row r="450" customHeight="1" spans="1:64">
      <c r="A450" s="27" t="s">
        <v>1510</v>
      </c>
      <c r="B450" s="27" t="s">
        <v>1511</v>
      </c>
      <c r="E450" s="27" t="s">
        <v>1512</v>
      </c>
      <c r="F450" s="27" t="s">
        <v>1337</v>
      </c>
      <c r="G450" s="27" t="s">
        <v>117</v>
      </c>
      <c r="H450" s="27" t="s">
        <v>84</v>
      </c>
      <c r="I450" s="27" t="s">
        <v>85</v>
      </c>
      <c r="J450" s="27">
        <v>5</v>
      </c>
      <c r="K450" s="27">
        <v>20.49</v>
      </c>
      <c r="M450" s="27">
        <v>0</v>
      </c>
      <c r="N450" s="27">
        <v>0</v>
      </c>
      <c r="O450" s="27">
        <v>0</v>
      </c>
      <c r="P450" s="27" t="s">
        <v>133</v>
      </c>
      <c r="Q450" s="27">
        <v>3.067588</v>
      </c>
      <c r="S450" s="27">
        <v>427</v>
      </c>
      <c r="T450" s="27">
        <v>10</v>
      </c>
      <c r="U450" s="27">
        <v>0.9771</v>
      </c>
      <c r="V450" s="27" t="s">
        <v>154</v>
      </c>
      <c r="W450" s="27">
        <v>8749.23</v>
      </c>
      <c r="X450" s="27">
        <v>6.059123</v>
      </c>
      <c r="Y450" s="27">
        <v>9.076835</v>
      </c>
      <c r="Z450" s="27">
        <v>3.1623</v>
      </c>
      <c r="AA450" s="27" t="s">
        <v>125</v>
      </c>
      <c r="AB450" s="27">
        <v>0</v>
      </c>
      <c r="AC450" s="27">
        <v>0</v>
      </c>
      <c r="AD450" s="27">
        <v>0</v>
      </c>
      <c r="AE450" s="27">
        <v>0</v>
      </c>
      <c r="AF450" s="27">
        <v>0</v>
      </c>
      <c r="AG450" s="27">
        <v>0</v>
      </c>
      <c r="AH450" s="27">
        <v>0</v>
      </c>
      <c r="AI450" s="27">
        <v>0</v>
      </c>
      <c r="AJ450" s="27">
        <v>0</v>
      </c>
      <c r="AK450" s="27">
        <v>0</v>
      </c>
      <c r="AL450" s="27">
        <v>0</v>
      </c>
      <c r="AM450" s="27">
        <v>0</v>
      </c>
      <c r="AN450" s="27">
        <v>0</v>
      </c>
      <c r="AO450" s="27">
        <v>0</v>
      </c>
      <c r="AP450" s="27">
        <v>0</v>
      </c>
      <c r="AQ450" s="27">
        <v>0</v>
      </c>
      <c r="AR450" s="27">
        <v>0</v>
      </c>
      <c r="AS450" s="27">
        <v>0</v>
      </c>
      <c r="AT450" s="27">
        <v>0</v>
      </c>
      <c r="AU450" s="27">
        <v>1</v>
      </c>
      <c r="AV450" s="27">
        <v>0</v>
      </c>
      <c r="AW450" s="27">
        <v>0</v>
      </c>
      <c r="AX450" s="27">
        <v>0</v>
      </c>
      <c r="AZ450" s="27">
        <v>1</v>
      </c>
      <c r="BA450" s="27">
        <v>0</v>
      </c>
      <c r="BB450" s="27">
        <v>60.29</v>
      </c>
      <c r="BC450" s="27" t="s">
        <v>1513</v>
      </c>
      <c r="BD450" s="27" t="s">
        <v>1514</v>
      </c>
      <c r="BE450" s="27" t="s">
        <v>142</v>
      </c>
      <c r="BF450" s="27" t="s">
        <v>77</v>
      </c>
      <c r="BG450" s="27">
        <v>169</v>
      </c>
      <c r="BH450" s="27">
        <v>11</v>
      </c>
      <c r="BI450" s="27">
        <v>0.9389</v>
      </c>
      <c r="BJ450" s="27">
        <v>0</v>
      </c>
      <c r="BK450" s="27">
        <v>107</v>
      </c>
      <c r="BL450" s="27">
        <v>70.7</v>
      </c>
    </row>
    <row r="451" customHeight="1" spans="1:64">
      <c r="A451" s="27" t="s">
        <v>1515</v>
      </c>
      <c r="B451" s="27" t="s">
        <v>384</v>
      </c>
      <c r="E451" s="27" t="s">
        <v>81</v>
      </c>
      <c r="F451" s="27" t="s">
        <v>82</v>
      </c>
      <c r="G451" s="27" t="s">
        <v>83</v>
      </c>
      <c r="H451" s="27" t="s">
        <v>84</v>
      </c>
      <c r="I451" s="27" t="s">
        <v>85</v>
      </c>
      <c r="J451" s="27">
        <v>5</v>
      </c>
      <c r="K451" s="27">
        <v>36.99</v>
      </c>
      <c r="L451" s="27">
        <v>41.1</v>
      </c>
      <c r="M451" s="27">
        <v>10</v>
      </c>
      <c r="N451" s="27">
        <v>4.11</v>
      </c>
      <c r="O451" s="27">
        <v>1</v>
      </c>
      <c r="P451" s="27" t="s">
        <v>86</v>
      </c>
      <c r="Q451" s="27">
        <v>3.637323</v>
      </c>
      <c r="S451" s="27">
        <v>669</v>
      </c>
      <c r="T451" s="27">
        <v>10</v>
      </c>
      <c r="U451" s="27">
        <v>0.9853</v>
      </c>
      <c r="V451" s="27" t="s">
        <v>154</v>
      </c>
      <c r="W451" s="27">
        <v>24746.31</v>
      </c>
      <c r="X451" s="27">
        <v>6.507278</v>
      </c>
      <c r="Y451" s="27">
        <v>10.116472</v>
      </c>
      <c r="Z451" s="27">
        <v>3.1623</v>
      </c>
      <c r="AA451" s="27" t="s">
        <v>88</v>
      </c>
      <c r="AB451" s="27">
        <v>0</v>
      </c>
      <c r="AC451" s="27">
        <v>0</v>
      </c>
      <c r="AD451" s="27">
        <v>0</v>
      </c>
      <c r="AE451" s="27">
        <v>1</v>
      </c>
      <c r="AF451" s="27">
        <v>1</v>
      </c>
      <c r="AG451" s="27">
        <v>0</v>
      </c>
      <c r="AH451" s="27">
        <v>1</v>
      </c>
      <c r="AI451" s="27">
        <v>0</v>
      </c>
      <c r="AJ451" s="27">
        <v>0</v>
      </c>
      <c r="AK451" s="27">
        <v>0</v>
      </c>
      <c r="AL451" s="27">
        <v>0</v>
      </c>
      <c r="AM451" s="27">
        <v>0</v>
      </c>
      <c r="AN451" s="27">
        <v>0</v>
      </c>
      <c r="AO451" s="27">
        <v>0</v>
      </c>
      <c r="AP451" s="27">
        <v>0</v>
      </c>
      <c r="AQ451" s="27">
        <v>0</v>
      </c>
      <c r="AR451" s="27">
        <v>0</v>
      </c>
      <c r="AS451" s="27">
        <v>0</v>
      </c>
      <c r="AT451" s="27">
        <v>1</v>
      </c>
      <c r="AU451" s="27">
        <v>0</v>
      </c>
      <c r="AV451" s="27">
        <v>0</v>
      </c>
      <c r="AW451" s="27">
        <v>0</v>
      </c>
      <c r="AX451" s="27">
        <v>0</v>
      </c>
      <c r="AZ451" s="27">
        <v>1</v>
      </c>
      <c r="BA451" s="27">
        <v>2</v>
      </c>
      <c r="BB451" s="27">
        <v>72.08</v>
      </c>
      <c r="BC451" s="27" t="s">
        <v>309</v>
      </c>
      <c r="BD451" s="27" t="s">
        <v>773</v>
      </c>
      <c r="BE451" s="27" t="s">
        <v>774</v>
      </c>
      <c r="BF451" s="27" t="s">
        <v>77</v>
      </c>
      <c r="BG451" s="27">
        <v>1</v>
      </c>
      <c r="BH451" s="27">
        <v>28</v>
      </c>
      <c r="BI451" s="27">
        <v>0.0345</v>
      </c>
      <c r="BJ451" s="27">
        <v>1</v>
      </c>
      <c r="BK451" s="27">
        <v>4</v>
      </c>
      <c r="BL451" s="27">
        <v>98.9</v>
      </c>
    </row>
    <row r="452" customHeight="1" spans="1:64">
      <c r="A452" s="27" t="s">
        <v>1516</v>
      </c>
      <c r="B452" s="27" t="s">
        <v>65</v>
      </c>
      <c r="C452" s="27" t="s">
        <v>1517</v>
      </c>
      <c r="E452" s="27" t="s">
        <v>163</v>
      </c>
      <c r="F452" s="27" t="s">
        <v>82</v>
      </c>
      <c r="G452" s="27" t="s">
        <v>65</v>
      </c>
      <c r="H452" s="27" t="s">
        <v>69</v>
      </c>
      <c r="I452" s="27" t="s">
        <v>153</v>
      </c>
      <c r="J452" s="27">
        <v>2</v>
      </c>
      <c r="K452" s="27">
        <v>79.99</v>
      </c>
      <c r="M452" s="27">
        <v>0</v>
      </c>
      <c r="N452" s="27">
        <v>0</v>
      </c>
      <c r="O452" s="27">
        <v>0</v>
      </c>
      <c r="P452" s="27" t="s">
        <v>95</v>
      </c>
      <c r="Q452" s="27">
        <v>4.394326</v>
      </c>
      <c r="S452" s="27">
        <v>31</v>
      </c>
      <c r="T452" s="27">
        <v>10</v>
      </c>
      <c r="U452" s="27">
        <v>0.7561</v>
      </c>
      <c r="V452" s="27" t="s">
        <v>72</v>
      </c>
      <c r="W452" s="27">
        <v>2479.69</v>
      </c>
      <c r="X452" s="27">
        <v>3.465736</v>
      </c>
      <c r="Y452" s="27">
        <v>7.816292</v>
      </c>
      <c r="Z452" s="27">
        <v>3.1623</v>
      </c>
      <c r="AA452" s="27" t="s">
        <v>187</v>
      </c>
      <c r="AB452" s="27">
        <v>0</v>
      </c>
      <c r="AC452" s="27">
        <v>0</v>
      </c>
      <c r="AD452" s="27">
        <v>0</v>
      </c>
      <c r="AE452" s="27">
        <v>0</v>
      </c>
      <c r="AF452" s="27">
        <v>0</v>
      </c>
      <c r="AG452" s="27">
        <v>1</v>
      </c>
      <c r="AH452" s="27">
        <v>1</v>
      </c>
      <c r="AI452" s="27">
        <v>0</v>
      </c>
      <c r="AJ452" s="27">
        <v>0</v>
      </c>
      <c r="AK452" s="27">
        <v>0</v>
      </c>
      <c r="AL452" s="27">
        <v>0</v>
      </c>
      <c r="AM452" s="27">
        <v>0</v>
      </c>
      <c r="AN452" s="27">
        <v>0</v>
      </c>
      <c r="AO452" s="27">
        <v>0</v>
      </c>
      <c r="AP452" s="27">
        <v>0</v>
      </c>
      <c r="AQ452" s="27">
        <v>0</v>
      </c>
      <c r="AR452" s="27">
        <v>0</v>
      </c>
      <c r="AS452" s="27">
        <v>1</v>
      </c>
      <c r="AT452" s="27">
        <v>0</v>
      </c>
      <c r="AU452" s="27">
        <v>0</v>
      </c>
      <c r="AV452" s="27">
        <v>0</v>
      </c>
      <c r="AW452" s="27">
        <v>0</v>
      </c>
      <c r="AX452" s="27">
        <v>1</v>
      </c>
      <c r="AZ452" s="27">
        <v>1</v>
      </c>
      <c r="BA452" s="27">
        <v>1</v>
      </c>
      <c r="BB452" s="27">
        <v>60.09</v>
      </c>
      <c r="BC452" s="27" t="s">
        <v>784</v>
      </c>
      <c r="BD452" s="27" t="s">
        <v>785</v>
      </c>
      <c r="BE452" s="27" t="s">
        <v>774</v>
      </c>
      <c r="BF452" s="27" t="s">
        <v>77</v>
      </c>
      <c r="BG452" s="27">
        <v>1</v>
      </c>
      <c r="BH452" s="27">
        <v>27</v>
      </c>
      <c r="BI452" s="27">
        <v>0.0357</v>
      </c>
      <c r="BJ452" s="27">
        <v>1</v>
      </c>
      <c r="BK452" s="27">
        <v>2</v>
      </c>
      <c r="BL452" s="27">
        <v>99.5</v>
      </c>
    </row>
    <row r="453" customHeight="1" spans="1:64">
      <c r="A453" s="27" t="s">
        <v>1518</v>
      </c>
      <c r="B453" s="27" t="s">
        <v>282</v>
      </c>
      <c r="E453" s="27" t="s">
        <v>255</v>
      </c>
      <c r="F453" s="27" t="s">
        <v>82</v>
      </c>
      <c r="G453" s="27" t="s">
        <v>83</v>
      </c>
      <c r="H453" s="27" t="s">
        <v>84</v>
      </c>
      <c r="I453" s="27" t="s">
        <v>85</v>
      </c>
      <c r="J453" s="27">
        <v>5</v>
      </c>
      <c r="K453" s="27">
        <v>119.99</v>
      </c>
      <c r="M453" s="27">
        <v>0</v>
      </c>
      <c r="N453" s="27">
        <v>0</v>
      </c>
      <c r="O453" s="27">
        <v>0</v>
      </c>
      <c r="P453" s="27" t="s">
        <v>95</v>
      </c>
      <c r="Q453" s="27">
        <v>4.795708</v>
      </c>
      <c r="S453" s="27">
        <v>96</v>
      </c>
      <c r="T453" s="27">
        <v>10</v>
      </c>
      <c r="U453" s="27">
        <v>0.9057</v>
      </c>
      <c r="V453" s="27" t="s">
        <v>72</v>
      </c>
      <c r="W453" s="27">
        <v>11519.04</v>
      </c>
      <c r="X453" s="27">
        <v>4.574711</v>
      </c>
      <c r="Y453" s="27">
        <v>9.351843</v>
      </c>
      <c r="Z453" s="27">
        <v>3.1623</v>
      </c>
      <c r="AA453" s="27" t="s">
        <v>73</v>
      </c>
      <c r="AB453" s="27">
        <v>0</v>
      </c>
      <c r="AC453" s="27">
        <v>0</v>
      </c>
      <c r="AD453" s="27">
        <v>0</v>
      </c>
      <c r="AE453" s="27">
        <v>0</v>
      </c>
      <c r="AF453" s="27">
        <v>0</v>
      </c>
      <c r="AG453" s="27">
        <v>1</v>
      </c>
      <c r="AH453" s="27">
        <v>0</v>
      </c>
      <c r="AI453" s="27">
        <v>1</v>
      </c>
      <c r="AJ453" s="27">
        <v>0</v>
      </c>
      <c r="AK453" s="27">
        <v>1</v>
      </c>
      <c r="AL453" s="27">
        <v>0</v>
      </c>
      <c r="AM453" s="27">
        <v>0</v>
      </c>
      <c r="AN453" s="27">
        <v>0</v>
      </c>
      <c r="AO453" s="27">
        <v>0</v>
      </c>
      <c r="AP453" s="27">
        <v>0</v>
      </c>
      <c r="AQ453" s="27">
        <v>0</v>
      </c>
      <c r="AR453" s="27">
        <v>0</v>
      </c>
      <c r="AS453" s="27">
        <v>0</v>
      </c>
      <c r="AT453" s="27">
        <v>1</v>
      </c>
      <c r="AU453" s="27">
        <v>0</v>
      </c>
      <c r="AV453" s="27">
        <v>0</v>
      </c>
      <c r="AW453" s="27">
        <v>1</v>
      </c>
      <c r="AX453" s="27">
        <v>0</v>
      </c>
      <c r="AZ453" s="27">
        <v>2</v>
      </c>
      <c r="BA453" s="27">
        <v>1</v>
      </c>
      <c r="BB453" s="27">
        <v>63.53</v>
      </c>
      <c r="BC453" s="27" t="s">
        <v>285</v>
      </c>
      <c r="BD453" s="27" t="s">
        <v>1519</v>
      </c>
      <c r="BE453" s="27" t="s">
        <v>113</v>
      </c>
      <c r="BF453" s="27" t="s">
        <v>77</v>
      </c>
      <c r="BG453" s="27">
        <v>1</v>
      </c>
      <c r="BH453" s="27">
        <v>20</v>
      </c>
      <c r="BI453" s="27">
        <v>0.0476</v>
      </c>
      <c r="BJ453" s="27">
        <v>1</v>
      </c>
      <c r="BK453" s="27">
        <v>33</v>
      </c>
      <c r="BL453" s="27">
        <v>91</v>
      </c>
    </row>
    <row r="454" customHeight="1" spans="1:64">
      <c r="A454" s="27" t="s">
        <v>1520</v>
      </c>
      <c r="B454" s="27" t="s">
        <v>725</v>
      </c>
      <c r="E454" s="27" t="s">
        <v>726</v>
      </c>
      <c r="F454" s="27" t="s">
        <v>727</v>
      </c>
      <c r="G454" s="27" t="s">
        <v>83</v>
      </c>
      <c r="H454" s="27" t="s">
        <v>84</v>
      </c>
      <c r="I454" s="27" t="s">
        <v>85</v>
      </c>
      <c r="J454" s="27">
        <v>5</v>
      </c>
      <c r="K454" s="27">
        <v>44.99</v>
      </c>
      <c r="M454" s="27">
        <v>0</v>
      </c>
      <c r="N454" s="27">
        <v>0</v>
      </c>
      <c r="O454" s="27">
        <v>0</v>
      </c>
      <c r="P454" s="27" t="s">
        <v>86</v>
      </c>
      <c r="Q454" s="27">
        <v>3.828424</v>
      </c>
      <c r="S454" s="27">
        <v>291</v>
      </c>
      <c r="T454" s="27">
        <v>4</v>
      </c>
      <c r="U454" s="27">
        <v>0.9864</v>
      </c>
      <c r="V454" s="27" t="s">
        <v>154</v>
      </c>
      <c r="W454" s="27">
        <v>13092.09</v>
      </c>
      <c r="X454" s="27">
        <v>5.676754</v>
      </c>
      <c r="Y454" s="27">
        <v>9.47984</v>
      </c>
      <c r="Z454" s="27">
        <v>2</v>
      </c>
      <c r="AA454" s="27" t="s">
        <v>125</v>
      </c>
      <c r="AB454" s="27">
        <v>0</v>
      </c>
      <c r="AC454" s="27">
        <v>0</v>
      </c>
      <c r="AD454" s="27">
        <v>0</v>
      </c>
      <c r="AE454" s="27">
        <v>1</v>
      </c>
      <c r="AF454" s="27">
        <v>0</v>
      </c>
      <c r="AG454" s="27">
        <v>0</v>
      </c>
      <c r="AH454" s="27">
        <v>1</v>
      </c>
      <c r="AI454" s="27">
        <v>0</v>
      </c>
      <c r="AJ454" s="27">
        <v>0</v>
      </c>
      <c r="AK454" s="27">
        <v>0</v>
      </c>
      <c r="AL454" s="27">
        <v>0</v>
      </c>
      <c r="AM454" s="27">
        <v>0</v>
      </c>
      <c r="AN454" s="27">
        <v>0</v>
      </c>
      <c r="AO454" s="27">
        <v>0</v>
      </c>
      <c r="AP454" s="27">
        <v>0</v>
      </c>
      <c r="AQ454" s="27">
        <v>0</v>
      </c>
      <c r="AR454" s="27">
        <v>0</v>
      </c>
      <c r="AS454" s="27">
        <v>0</v>
      </c>
      <c r="AT454" s="27">
        <v>0</v>
      </c>
      <c r="AU454" s="27">
        <v>0</v>
      </c>
      <c r="AV454" s="27">
        <v>0</v>
      </c>
      <c r="AW454" s="27">
        <v>0</v>
      </c>
      <c r="AX454" s="27">
        <v>0</v>
      </c>
      <c r="AZ454" s="27">
        <v>1</v>
      </c>
      <c r="BA454" s="27">
        <v>2</v>
      </c>
      <c r="BB454" s="27">
        <v>68.98</v>
      </c>
      <c r="BC454" s="27" t="s">
        <v>728</v>
      </c>
      <c r="BD454" s="27" t="s">
        <v>356</v>
      </c>
      <c r="BE454" s="27" t="s">
        <v>287</v>
      </c>
      <c r="BF454" s="27" t="s">
        <v>77</v>
      </c>
      <c r="BG454" s="27">
        <v>168</v>
      </c>
      <c r="BH454" s="27">
        <v>53</v>
      </c>
      <c r="BI454" s="27">
        <v>0.7602</v>
      </c>
      <c r="BJ454" s="27">
        <v>0</v>
      </c>
      <c r="BK454" s="27">
        <v>6</v>
      </c>
      <c r="BL454" s="27">
        <v>98.4</v>
      </c>
    </row>
    <row r="455" customHeight="1" spans="1:64">
      <c r="A455" s="27" t="s">
        <v>1521</v>
      </c>
      <c r="B455" s="27" t="s">
        <v>1522</v>
      </c>
      <c r="D455" s="27">
        <v>705353045271</v>
      </c>
      <c r="E455" s="27" t="s">
        <v>163</v>
      </c>
      <c r="F455" s="27" t="s">
        <v>160</v>
      </c>
      <c r="G455" s="27" t="s">
        <v>83</v>
      </c>
      <c r="H455" s="27" t="s">
        <v>84</v>
      </c>
      <c r="I455" s="27" t="s">
        <v>85</v>
      </c>
      <c r="J455" s="27">
        <v>5</v>
      </c>
      <c r="K455" s="27">
        <v>172.95</v>
      </c>
      <c r="M455" s="27">
        <v>0</v>
      </c>
      <c r="N455" s="27">
        <v>0</v>
      </c>
      <c r="O455" s="27">
        <v>0</v>
      </c>
      <c r="P455" s="27" t="s">
        <v>95</v>
      </c>
      <c r="Q455" s="27">
        <v>5.158768</v>
      </c>
      <c r="R455" s="27">
        <v>21.62</v>
      </c>
      <c r="S455" s="27">
        <v>1</v>
      </c>
      <c r="T455" s="27">
        <v>1</v>
      </c>
      <c r="U455" s="27">
        <v>0.5</v>
      </c>
      <c r="V455" s="27" t="s">
        <v>87</v>
      </c>
      <c r="W455" s="27">
        <v>172.95</v>
      </c>
      <c r="X455" s="27">
        <v>0.693147</v>
      </c>
      <c r="Y455" s="27">
        <v>5.158768</v>
      </c>
      <c r="Z455" s="27">
        <v>1</v>
      </c>
      <c r="AA455" s="27" t="s">
        <v>313</v>
      </c>
      <c r="AB455" s="27">
        <v>0</v>
      </c>
      <c r="AC455" s="27">
        <v>0</v>
      </c>
      <c r="AD455" s="27">
        <v>0</v>
      </c>
      <c r="AE455" s="27">
        <v>0</v>
      </c>
      <c r="AF455" s="27">
        <v>0</v>
      </c>
      <c r="AG455" s="27">
        <v>0</v>
      </c>
      <c r="AH455" s="27">
        <v>0</v>
      </c>
      <c r="AI455" s="27">
        <v>0</v>
      </c>
      <c r="AJ455" s="27">
        <v>0</v>
      </c>
      <c r="AK455" s="27">
        <v>0</v>
      </c>
      <c r="AL455" s="27">
        <v>0</v>
      </c>
      <c r="AM455" s="27">
        <v>0</v>
      </c>
      <c r="AN455" s="27">
        <v>0</v>
      </c>
      <c r="AO455" s="27">
        <v>0</v>
      </c>
      <c r="AP455" s="27">
        <v>0</v>
      </c>
      <c r="AQ455" s="27">
        <v>1</v>
      </c>
      <c r="AR455" s="27">
        <v>0</v>
      </c>
      <c r="AS455" s="27">
        <v>0</v>
      </c>
      <c r="AT455" s="27">
        <v>1</v>
      </c>
      <c r="AU455" s="27">
        <v>1</v>
      </c>
      <c r="AV455" s="27">
        <v>1</v>
      </c>
      <c r="AW455" s="27">
        <v>1</v>
      </c>
      <c r="AX455" s="27">
        <v>0</v>
      </c>
      <c r="AY455" s="27">
        <v>8</v>
      </c>
      <c r="AZ455" s="27">
        <v>1</v>
      </c>
      <c r="BA455" s="27">
        <v>1</v>
      </c>
      <c r="BB455" s="27">
        <v>49.85</v>
      </c>
      <c r="BC455" s="27" t="s">
        <v>1523</v>
      </c>
      <c r="BD455" s="27" t="s">
        <v>940</v>
      </c>
      <c r="BE455" s="27" t="s">
        <v>1308</v>
      </c>
      <c r="BF455" s="27" t="s">
        <v>77</v>
      </c>
      <c r="BG455" s="27">
        <v>1</v>
      </c>
      <c r="BH455" s="27">
        <v>15</v>
      </c>
      <c r="BI455" s="27">
        <v>0.0625</v>
      </c>
      <c r="BJ455" s="27">
        <v>1</v>
      </c>
      <c r="BK455" s="27">
        <v>2</v>
      </c>
      <c r="BL455" s="27">
        <v>99.5</v>
      </c>
    </row>
    <row r="456" customHeight="1" spans="1:64">
      <c r="A456" s="27" t="s">
        <v>1524</v>
      </c>
      <c r="B456" s="27" t="s">
        <v>195</v>
      </c>
      <c r="C456" s="27" t="s">
        <v>1525</v>
      </c>
      <c r="E456" s="27" t="s">
        <v>81</v>
      </c>
      <c r="F456" s="27" t="s">
        <v>160</v>
      </c>
      <c r="G456" s="27" t="s">
        <v>83</v>
      </c>
      <c r="H456" s="27" t="s">
        <v>84</v>
      </c>
      <c r="I456" s="27" t="s">
        <v>85</v>
      </c>
      <c r="J456" s="27">
        <v>5</v>
      </c>
      <c r="K456" s="27">
        <v>129.95</v>
      </c>
      <c r="M456" s="27">
        <v>0</v>
      </c>
      <c r="N456" s="27">
        <v>0</v>
      </c>
      <c r="O456" s="27">
        <v>0</v>
      </c>
      <c r="P456" s="27" t="s">
        <v>95</v>
      </c>
      <c r="Q456" s="27">
        <v>4.874816</v>
      </c>
      <c r="S456" s="27">
        <v>1</v>
      </c>
      <c r="T456" s="27">
        <v>1</v>
      </c>
      <c r="U456" s="27">
        <v>0.5</v>
      </c>
      <c r="V456" s="27" t="s">
        <v>87</v>
      </c>
      <c r="W456" s="27">
        <v>129.95</v>
      </c>
      <c r="X456" s="27">
        <v>0.693147</v>
      </c>
      <c r="Y456" s="27">
        <v>4.874816</v>
      </c>
      <c r="Z456" s="27">
        <v>1</v>
      </c>
      <c r="AA456" s="27" t="s">
        <v>125</v>
      </c>
      <c r="AB456" s="27">
        <v>0</v>
      </c>
      <c r="AC456" s="27">
        <v>0</v>
      </c>
      <c r="AD456" s="27">
        <v>0</v>
      </c>
      <c r="AE456" s="27">
        <v>0</v>
      </c>
      <c r="AF456" s="27">
        <v>0</v>
      </c>
      <c r="AG456" s="27">
        <v>0</v>
      </c>
      <c r="AH456" s="27">
        <v>0</v>
      </c>
      <c r="AI456" s="27">
        <v>0</v>
      </c>
      <c r="AJ456" s="27">
        <v>0</v>
      </c>
      <c r="AK456" s="27">
        <v>0</v>
      </c>
      <c r="AL456" s="27">
        <v>0</v>
      </c>
      <c r="AM456" s="27">
        <v>0</v>
      </c>
      <c r="AN456" s="27">
        <v>0</v>
      </c>
      <c r="AO456" s="27">
        <v>0</v>
      </c>
      <c r="AP456" s="27">
        <v>0</v>
      </c>
      <c r="AQ456" s="27">
        <v>0</v>
      </c>
      <c r="AR456" s="27">
        <v>0</v>
      </c>
      <c r="AS456" s="27">
        <v>0</v>
      </c>
      <c r="AT456" s="27">
        <v>1</v>
      </c>
      <c r="AU456" s="27">
        <v>0</v>
      </c>
      <c r="AV456" s="27">
        <v>0</v>
      </c>
      <c r="AW456" s="27">
        <v>0</v>
      </c>
      <c r="AX456" s="27">
        <v>0</v>
      </c>
      <c r="AZ456" s="27">
        <v>1</v>
      </c>
      <c r="BA456" s="27">
        <v>0</v>
      </c>
      <c r="BB456" s="27">
        <v>20</v>
      </c>
      <c r="BC456" s="27" t="s">
        <v>1526</v>
      </c>
      <c r="BD456" s="27" t="s">
        <v>1527</v>
      </c>
      <c r="BE456" s="27" t="s">
        <v>1528</v>
      </c>
      <c r="BF456" s="27" t="s">
        <v>77</v>
      </c>
      <c r="BG456" s="27">
        <v>168</v>
      </c>
      <c r="BH456" s="27">
        <v>11</v>
      </c>
      <c r="BI456" s="27">
        <v>0.9385</v>
      </c>
      <c r="BJ456" s="27">
        <v>0</v>
      </c>
    </row>
    <row r="457" customHeight="1" spans="1:64">
      <c r="A457" s="27" t="s">
        <v>1529</v>
      </c>
      <c r="B457" s="27" t="s">
        <v>115</v>
      </c>
      <c r="E457" s="27" t="s">
        <v>116</v>
      </c>
      <c r="F457" s="27" t="s">
        <v>82</v>
      </c>
      <c r="G457" s="27" t="s">
        <v>117</v>
      </c>
      <c r="H457" s="27" t="s">
        <v>107</v>
      </c>
      <c r="I457" s="27" t="s">
        <v>85</v>
      </c>
      <c r="J457" s="27">
        <v>5</v>
      </c>
      <c r="K457" s="27">
        <v>151</v>
      </c>
      <c r="M457" s="27">
        <v>0</v>
      </c>
      <c r="N457" s="27">
        <v>0</v>
      </c>
      <c r="O457" s="27">
        <v>0</v>
      </c>
      <c r="P457" s="27" t="s">
        <v>95</v>
      </c>
      <c r="Q457" s="27">
        <v>5.023881</v>
      </c>
      <c r="S457" s="27">
        <v>18</v>
      </c>
      <c r="T457" s="27">
        <v>33</v>
      </c>
      <c r="U457" s="27">
        <v>0.3529</v>
      </c>
      <c r="V457" s="27" t="s">
        <v>72</v>
      </c>
      <c r="W457" s="27">
        <v>2718</v>
      </c>
      <c r="X457" s="27">
        <v>2.944439</v>
      </c>
      <c r="Y457" s="27">
        <v>7.908019</v>
      </c>
      <c r="Z457" s="27">
        <v>5.7446</v>
      </c>
      <c r="AA457" s="27" t="s">
        <v>73</v>
      </c>
      <c r="AB457" s="27">
        <v>0</v>
      </c>
      <c r="AC457" s="27">
        <v>0</v>
      </c>
      <c r="AD457" s="27">
        <v>0</v>
      </c>
      <c r="AE457" s="27">
        <v>0</v>
      </c>
      <c r="AF457" s="27">
        <v>0</v>
      </c>
      <c r="AG457" s="27">
        <v>1</v>
      </c>
      <c r="AH457" s="27">
        <v>0</v>
      </c>
      <c r="AI457" s="27">
        <v>0</v>
      </c>
      <c r="AJ457" s="27">
        <v>0</v>
      </c>
      <c r="AK457" s="27">
        <v>0</v>
      </c>
      <c r="AL457" s="27">
        <v>0</v>
      </c>
      <c r="AM457" s="27">
        <v>0</v>
      </c>
      <c r="AN457" s="27">
        <v>0</v>
      </c>
      <c r="AO457" s="27">
        <v>0</v>
      </c>
      <c r="AP457" s="27">
        <v>1</v>
      </c>
      <c r="AQ457" s="27">
        <v>0</v>
      </c>
      <c r="AR457" s="27">
        <v>0</v>
      </c>
      <c r="AS457" s="27">
        <v>0</v>
      </c>
      <c r="AT457" s="27">
        <v>0</v>
      </c>
      <c r="AU457" s="27">
        <v>0</v>
      </c>
      <c r="AV457" s="27">
        <v>0</v>
      </c>
      <c r="AW457" s="27">
        <v>0</v>
      </c>
      <c r="AX457" s="27">
        <v>0</v>
      </c>
      <c r="AZ457" s="27">
        <v>1</v>
      </c>
      <c r="BA457" s="27">
        <v>0</v>
      </c>
      <c r="BB457" s="27">
        <v>43.79</v>
      </c>
      <c r="BC457" s="27" t="s">
        <v>164</v>
      </c>
      <c r="BD457" s="27" t="s">
        <v>165</v>
      </c>
      <c r="BE457" s="27" t="s">
        <v>627</v>
      </c>
      <c r="BF457" s="27" t="s">
        <v>77</v>
      </c>
      <c r="BG457" s="27">
        <v>168</v>
      </c>
      <c r="BH457" s="27">
        <v>11</v>
      </c>
      <c r="BI457" s="27">
        <v>0.9385</v>
      </c>
      <c r="BJ457" s="27">
        <v>0</v>
      </c>
      <c r="BK457" s="27">
        <v>4</v>
      </c>
      <c r="BL457" s="27">
        <v>98.9</v>
      </c>
    </row>
    <row r="458" customHeight="1" spans="1:64">
      <c r="A458" s="27" t="s">
        <v>1530</v>
      </c>
      <c r="B458" s="27" t="s">
        <v>1531</v>
      </c>
      <c r="C458" s="27" t="s">
        <v>1532</v>
      </c>
      <c r="E458" s="27" t="s">
        <v>250</v>
      </c>
      <c r="F458" s="27" t="s">
        <v>82</v>
      </c>
      <c r="G458" s="27" t="s">
        <v>83</v>
      </c>
      <c r="H458" s="27" t="s">
        <v>84</v>
      </c>
      <c r="I458" s="27" t="s">
        <v>85</v>
      </c>
      <c r="J458" s="27">
        <v>5</v>
      </c>
      <c r="K458" s="27">
        <v>142.49</v>
      </c>
      <c r="L458" s="27">
        <v>149.99</v>
      </c>
      <c r="M458" s="27">
        <v>5</v>
      </c>
      <c r="N458" s="27">
        <v>7.5</v>
      </c>
      <c r="O458" s="27">
        <v>1</v>
      </c>
      <c r="P458" s="27" t="s">
        <v>95</v>
      </c>
      <c r="Q458" s="27">
        <v>4.966265</v>
      </c>
      <c r="S458" s="27">
        <v>8</v>
      </c>
      <c r="T458" s="27">
        <v>2</v>
      </c>
      <c r="U458" s="27">
        <v>0.8</v>
      </c>
      <c r="V458" s="27" t="s">
        <v>87</v>
      </c>
      <c r="W458" s="27">
        <v>1139.92</v>
      </c>
      <c r="X458" s="27">
        <v>2.197225</v>
      </c>
      <c r="Y458" s="27">
        <v>7.03959</v>
      </c>
      <c r="Z458" s="27">
        <v>1.4142</v>
      </c>
      <c r="AA458" s="27" t="s">
        <v>88</v>
      </c>
      <c r="AB458" s="27">
        <v>1</v>
      </c>
      <c r="AC458" s="27">
        <v>0</v>
      </c>
      <c r="AD458" s="27">
        <v>0</v>
      </c>
      <c r="AE458" s="27">
        <v>0</v>
      </c>
      <c r="AF458" s="27">
        <v>0</v>
      </c>
      <c r="AG458" s="27">
        <v>0</v>
      </c>
      <c r="AH458" s="27">
        <v>0</v>
      </c>
      <c r="AI458" s="27">
        <v>0</v>
      </c>
      <c r="AJ458" s="27">
        <v>0</v>
      </c>
      <c r="AK458" s="27">
        <v>0</v>
      </c>
      <c r="AL458" s="27">
        <v>0</v>
      </c>
      <c r="AM458" s="27">
        <v>0</v>
      </c>
      <c r="AN458" s="27">
        <v>0</v>
      </c>
      <c r="AO458" s="27">
        <v>0</v>
      </c>
      <c r="AP458" s="27">
        <v>0</v>
      </c>
      <c r="AQ458" s="27">
        <v>0</v>
      </c>
      <c r="AR458" s="27">
        <v>0</v>
      </c>
      <c r="AS458" s="27">
        <v>0</v>
      </c>
      <c r="AT458" s="27">
        <v>1</v>
      </c>
      <c r="AU458" s="27">
        <v>0</v>
      </c>
      <c r="AV458" s="27">
        <v>0</v>
      </c>
      <c r="AW458" s="27">
        <v>0</v>
      </c>
      <c r="AX458" s="27">
        <v>0</v>
      </c>
      <c r="AZ458" s="27">
        <v>1</v>
      </c>
      <c r="BA458" s="27">
        <v>1</v>
      </c>
      <c r="BB458" s="27">
        <v>33.5</v>
      </c>
      <c r="BC458" s="27" t="s">
        <v>795</v>
      </c>
      <c r="BD458" s="27" t="s">
        <v>841</v>
      </c>
      <c r="BE458" s="27" t="s">
        <v>557</v>
      </c>
      <c r="BF458" s="27" t="s">
        <v>77</v>
      </c>
      <c r="BG458" s="27">
        <v>168</v>
      </c>
      <c r="BH458" s="27">
        <v>11</v>
      </c>
      <c r="BI458" s="27">
        <v>0.9385</v>
      </c>
      <c r="BJ458" s="27">
        <v>0</v>
      </c>
    </row>
    <row r="459" customHeight="1" spans="1:64">
      <c r="A459" s="27" t="s">
        <v>1533</v>
      </c>
      <c r="B459" s="27" t="s">
        <v>104</v>
      </c>
      <c r="C459" s="27" t="s">
        <v>1534</v>
      </c>
      <c r="D459" s="27">
        <v>194644322960</v>
      </c>
      <c r="E459" s="27" t="s">
        <v>81</v>
      </c>
      <c r="F459" s="27" t="s">
        <v>82</v>
      </c>
      <c r="G459" s="27" t="s">
        <v>106</v>
      </c>
      <c r="H459" s="27" t="s">
        <v>107</v>
      </c>
      <c r="I459" s="27" t="s">
        <v>108</v>
      </c>
      <c r="J459" s="27">
        <v>3</v>
      </c>
      <c r="K459" s="27">
        <v>49.99</v>
      </c>
      <c r="L459" s="27">
        <v>59.99</v>
      </c>
      <c r="M459" s="27">
        <v>16.67</v>
      </c>
      <c r="N459" s="27">
        <v>10</v>
      </c>
      <c r="O459" s="27">
        <v>1</v>
      </c>
      <c r="P459" s="27" t="s">
        <v>86</v>
      </c>
      <c r="Q459" s="27">
        <v>3.93163</v>
      </c>
      <c r="S459" s="27">
        <v>72</v>
      </c>
      <c r="U459" s="27">
        <v>1</v>
      </c>
      <c r="V459" s="27" t="s">
        <v>72</v>
      </c>
      <c r="W459" s="27">
        <v>3599.28</v>
      </c>
      <c r="X459" s="27">
        <v>4.290459</v>
      </c>
      <c r="Y459" s="27">
        <v>8.188767</v>
      </c>
      <c r="Z459" s="27">
        <v>0</v>
      </c>
      <c r="AA459" s="27" t="s">
        <v>187</v>
      </c>
      <c r="AB459" s="27">
        <v>0</v>
      </c>
      <c r="AC459" s="27">
        <v>0</v>
      </c>
      <c r="AD459" s="27">
        <v>0</v>
      </c>
      <c r="AE459" s="27">
        <v>1</v>
      </c>
      <c r="AF459" s="27">
        <v>0</v>
      </c>
      <c r="AG459" s="27">
        <v>0</v>
      </c>
      <c r="AH459" s="27">
        <v>1</v>
      </c>
      <c r="AI459" s="27">
        <v>0</v>
      </c>
      <c r="AJ459" s="27">
        <v>0</v>
      </c>
      <c r="AK459" s="27">
        <v>0</v>
      </c>
      <c r="AL459" s="27">
        <v>0</v>
      </c>
      <c r="AM459" s="27">
        <v>0</v>
      </c>
      <c r="AN459" s="27">
        <v>0</v>
      </c>
      <c r="AO459" s="27">
        <v>0</v>
      </c>
      <c r="AP459" s="27">
        <v>0</v>
      </c>
      <c r="AQ459" s="27">
        <v>0</v>
      </c>
      <c r="AR459" s="27">
        <v>0</v>
      </c>
      <c r="AS459" s="27">
        <v>0</v>
      </c>
      <c r="AT459" s="27">
        <v>1</v>
      </c>
      <c r="AU459" s="27">
        <v>0</v>
      </c>
      <c r="AV459" s="27">
        <v>0</v>
      </c>
      <c r="AW459" s="27">
        <v>0</v>
      </c>
      <c r="AX459" s="27">
        <v>1</v>
      </c>
      <c r="AZ459" s="27">
        <v>1</v>
      </c>
      <c r="BA459" s="27">
        <v>2</v>
      </c>
      <c r="BB459" s="27">
        <v>74.85</v>
      </c>
      <c r="BC459" s="27" t="s">
        <v>111</v>
      </c>
      <c r="BD459" s="27" t="s">
        <v>112</v>
      </c>
      <c r="BE459" s="27" t="s">
        <v>128</v>
      </c>
      <c r="BF459" s="27" t="s">
        <v>77</v>
      </c>
      <c r="BG459" s="27">
        <v>162</v>
      </c>
      <c r="BH459" s="27">
        <v>24</v>
      </c>
      <c r="BI459" s="27">
        <v>0.871</v>
      </c>
      <c r="BJ459" s="27">
        <v>0</v>
      </c>
      <c r="BK459" s="27">
        <v>2</v>
      </c>
      <c r="BL459" s="27">
        <v>99.5</v>
      </c>
    </row>
    <row r="460" customHeight="1" spans="1:64">
      <c r="A460" s="27" t="s">
        <v>1535</v>
      </c>
      <c r="B460" s="27" t="s">
        <v>171</v>
      </c>
      <c r="C460" s="27" t="s">
        <v>1536</v>
      </c>
      <c r="E460" s="27" t="s">
        <v>255</v>
      </c>
      <c r="F460" s="27" t="s">
        <v>160</v>
      </c>
      <c r="G460" s="27" t="s">
        <v>83</v>
      </c>
      <c r="H460" s="27" t="s">
        <v>84</v>
      </c>
      <c r="I460" s="27" t="s">
        <v>85</v>
      </c>
      <c r="J460" s="27">
        <v>5</v>
      </c>
      <c r="K460" s="27">
        <v>26.59</v>
      </c>
      <c r="M460" s="27">
        <v>0</v>
      </c>
      <c r="N460" s="27">
        <v>0</v>
      </c>
      <c r="O460" s="27">
        <v>0</v>
      </c>
      <c r="P460" s="27" t="s">
        <v>86</v>
      </c>
      <c r="Q460" s="27">
        <v>3.317453</v>
      </c>
      <c r="S460" s="27">
        <v>749</v>
      </c>
      <c r="T460" s="27">
        <v>10</v>
      </c>
      <c r="U460" s="27">
        <v>0.9868</v>
      </c>
      <c r="V460" s="27" t="s">
        <v>154</v>
      </c>
      <c r="W460" s="27">
        <v>19915.91</v>
      </c>
      <c r="X460" s="27">
        <v>6.620073</v>
      </c>
      <c r="Y460" s="27">
        <v>9.899324</v>
      </c>
      <c r="Z460" s="27">
        <v>3.1623</v>
      </c>
      <c r="AA460" s="27" t="s">
        <v>313</v>
      </c>
      <c r="AB460" s="27">
        <v>1</v>
      </c>
      <c r="AC460" s="27">
        <v>1</v>
      </c>
      <c r="AD460" s="27">
        <v>0</v>
      </c>
      <c r="AE460" s="27">
        <v>0</v>
      </c>
      <c r="AF460" s="27">
        <v>0</v>
      </c>
      <c r="AG460" s="27">
        <v>0</v>
      </c>
      <c r="AH460" s="27">
        <v>0</v>
      </c>
      <c r="AI460" s="27">
        <v>0</v>
      </c>
      <c r="AJ460" s="27">
        <v>0</v>
      </c>
      <c r="AK460" s="27">
        <v>0</v>
      </c>
      <c r="AL460" s="27">
        <v>0</v>
      </c>
      <c r="AM460" s="27">
        <v>0</v>
      </c>
      <c r="AN460" s="27">
        <v>0</v>
      </c>
      <c r="AO460" s="27">
        <v>0</v>
      </c>
      <c r="AP460" s="27">
        <v>0</v>
      </c>
      <c r="AQ460" s="27">
        <v>0</v>
      </c>
      <c r="AR460" s="27">
        <v>0</v>
      </c>
      <c r="AS460" s="27">
        <v>0</v>
      </c>
      <c r="AT460" s="27">
        <v>1</v>
      </c>
      <c r="AU460" s="27">
        <v>0</v>
      </c>
      <c r="AV460" s="27">
        <v>0</v>
      </c>
      <c r="AW460" s="27">
        <v>0</v>
      </c>
      <c r="AX460" s="27">
        <v>0</v>
      </c>
      <c r="AZ460" s="27">
        <v>1</v>
      </c>
      <c r="BA460" s="27">
        <v>2</v>
      </c>
      <c r="BB460" s="27">
        <v>68.66</v>
      </c>
      <c r="BC460" s="27" t="s">
        <v>174</v>
      </c>
      <c r="BD460" s="27" t="s">
        <v>1216</v>
      </c>
      <c r="BE460" s="27" t="s">
        <v>128</v>
      </c>
      <c r="BF460" s="27" t="s">
        <v>77</v>
      </c>
      <c r="BG460" s="27">
        <v>162</v>
      </c>
      <c r="BH460" s="27">
        <v>60</v>
      </c>
      <c r="BI460" s="27">
        <v>0.7297</v>
      </c>
      <c r="BJ460" s="27">
        <v>0</v>
      </c>
      <c r="BK460" s="27">
        <v>10</v>
      </c>
      <c r="BL460" s="27">
        <v>97.3</v>
      </c>
    </row>
    <row r="461" customHeight="1" spans="1:64">
      <c r="A461" s="27" t="s">
        <v>1537</v>
      </c>
      <c r="B461" s="27" t="s">
        <v>344</v>
      </c>
      <c r="E461" s="27" t="s">
        <v>81</v>
      </c>
      <c r="F461" s="27" t="s">
        <v>82</v>
      </c>
      <c r="G461" s="27" t="s">
        <v>346</v>
      </c>
      <c r="H461" s="27" t="s">
        <v>107</v>
      </c>
      <c r="I461" s="27" t="s">
        <v>203</v>
      </c>
      <c r="J461" s="27">
        <v>4</v>
      </c>
      <c r="K461" s="27">
        <v>31.99</v>
      </c>
      <c r="M461" s="27">
        <v>0</v>
      </c>
      <c r="N461" s="27">
        <v>0</v>
      </c>
      <c r="O461" s="27">
        <v>0</v>
      </c>
      <c r="P461" s="27" t="s">
        <v>86</v>
      </c>
      <c r="Q461" s="27">
        <v>3.496204</v>
      </c>
      <c r="S461" s="27">
        <v>771</v>
      </c>
      <c r="T461" s="27">
        <v>2</v>
      </c>
      <c r="U461" s="27">
        <v>0.9974</v>
      </c>
      <c r="V461" s="27" t="s">
        <v>154</v>
      </c>
      <c r="W461" s="27">
        <v>24664.29</v>
      </c>
      <c r="X461" s="27">
        <v>6.648985</v>
      </c>
      <c r="Y461" s="27">
        <v>10.113152</v>
      </c>
      <c r="Z461" s="27">
        <v>1.4142</v>
      </c>
      <c r="AA461" s="27" t="s">
        <v>125</v>
      </c>
      <c r="AB461" s="27">
        <v>0</v>
      </c>
      <c r="AC461" s="27">
        <v>0</v>
      </c>
      <c r="AD461" s="27">
        <v>0</v>
      </c>
      <c r="AE461" s="27">
        <v>0</v>
      </c>
      <c r="AF461" s="27">
        <v>0</v>
      </c>
      <c r="AG461" s="27">
        <v>0</v>
      </c>
      <c r="AH461" s="27">
        <v>0</v>
      </c>
      <c r="AI461" s="27">
        <v>0</v>
      </c>
      <c r="AJ461" s="27">
        <v>0</v>
      </c>
      <c r="AK461" s="27">
        <v>0</v>
      </c>
      <c r="AL461" s="27">
        <v>0</v>
      </c>
      <c r="AM461" s="27">
        <v>0</v>
      </c>
      <c r="AN461" s="27">
        <v>0</v>
      </c>
      <c r="AO461" s="27">
        <v>0</v>
      </c>
      <c r="AP461" s="27">
        <v>0</v>
      </c>
      <c r="AQ461" s="27">
        <v>0</v>
      </c>
      <c r="AR461" s="27">
        <v>0</v>
      </c>
      <c r="AS461" s="27">
        <v>0</v>
      </c>
      <c r="AT461" s="27">
        <v>1</v>
      </c>
      <c r="AU461" s="27">
        <v>0</v>
      </c>
      <c r="AV461" s="27">
        <v>0</v>
      </c>
      <c r="AW461" s="27">
        <v>1</v>
      </c>
      <c r="AX461" s="27">
        <v>0</v>
      </c>
      <c r="AZ461" s="27">
        <v>1</v>
      </c>
      <c r="BA461" s="27">
        <v>0</v>
      </c>
      <c r="BB461" s="27">
        <v>67.59</v>
      </c>
      <c r="BC461" s="27" t="s">
        <v>676</v>
      </c>
      <c r="BD461" s="27" t="s">
        <v>677</v>
      </c>
      <c r="BE461" s="27" t="s">
        <v>678</v>
      </c>
      <c r="BF461" s="27" t="s">
        <v>77</v>
      </c>
      <c r="BG461" s="27">
        <v>48</v>
      </c>
      <c r="BH461" s="27">
        <v>164</v>
      </c>
      <c r="BI461" s="27">
        <v>0.2264</v>
      </c>
      <c r="BJ461" s="27">
        <v>0</v>
      </c>
      <c r="BK461" s="27">
        <v>28</v>
      </c>
      <c r="BL461" s="27">
        <v>92.3</v>
      </c>
    </row>
    <row r="462" customHeight="1" spans="1:64">
      <c r="A462" s="27" t="s">
        <v>1538</v>
      </c>
      <c r="B462" s="27" t="s">
        <v>104</v>
      </c>
      <c r="C462" s="27" t="s">
        <v>1539</v>
      </c>
      <c r="E462" s="27" t="s">
        <v>81</v>
      </c>
      <c r="F462" s="27" t="s">
        <v>82</v>
      </c>
      <c r="G462" s="27" t="s">
        <v>106</v>
      </c>
      <c r="H462" s="27" t="s">
        <v>107</v>
      </c>
      <c r="I462" s="27" t="s">
        <v>85</v>
      </c>
      <c r="J462" s="27">
        <v>5</v>
      </c>
      <c r="K462" s="27">
        <v>279.95</v>
      </c>
      <c r="M462" s="27">
        <v>0</v>
      </c>
      <c r="N462" s="27">
        <v>0</v>
      </c>
      <c r="O462" s="27">
        <v>0</v>
      </c>
      <c r="P462" s="27" t="s">
        <v>71</v>
      </c>
      <c r="Q462" s="27">
        <v>5.638177</v>
      </c>
      <c r="S462" s="27">
        <v>15</v>
      </c>
      <c r="T462" s="27">
        <v>10</v>
      </c>
      <c r="U462" s="27">
        <v>0.6</v>
      </c>
      <c r="V462" s="27" t="s">
        <v>72</v>
      </c>
      <c r="W462" s="27">
        <v>4199.25</v>
      </c>
      <c r="X462" s="27">
        <v>2.772589</v>
      </c>
      <c r="Y462" s="27">
        <v>8.342899</v>
      </c>
      <c r="Z462" s="27">
        <v>3.1623</v>
      </c>
      <c r="AA462" s="27" t="s">
        <v>73</v>
      </c>
      <c r="AB462" s="27">
        <v>0</v>
      </c>
      <c r="AC462" s="27">
        <v>0</v>
      </c>
      <c r="AD462" s="27">
        <v>0</v>
      </c>
      <c r="AE462" s="27">
        <v>0</v>
      </c>
      <c r="AF462" s="27">
        <v>0</v>
      </c>
      <c r="AG462" s="27">
        <v>0</v>
      </c>
      <c r="AH462" s="27">
        <v>1</v>
      </c>
      <c r="AI462" s="27">
        <v>0</v>
      </c>
      <c r="AJ462" s="27">
        <v>0</v>
      </c>
      <c r="AK462" s="27">
        <v>0</v>
      </c>
      <c r="AL462" s="27">
        <v>0</v>
      </c>
      <c r="AM462" s="27">
        <v>0</v>
      </c>
      <c r="AN462" s="27">
        <v>0</v>
      </c>
      <c r="AO462" s="27">
        <v>0</v>
      </c>
      <c r="AP462" s="27">
        <v>1</v>
      </c>
      <c r="AQ462" s="27">
        <v>0</v>
      </c>
      <c r="AR462" s="27">
        <v>0</v>
      </c>
      <c r="AS462" s="27">
        <v>0</v>
      </c>
      <c r="AT462" s="27">
        <v>1</v>
      </c>
      <c r="AU462" s="27">
        <v>0</v>
      </c>
      <c r="AV462" s="27">
        <v>0</v>
      </c>
      <c r="AW462" s="27">
        <v>1</v>
      </c>
      <c r="AX462" s="27">
        <v>0</v>
      </c>
      <c r="AZ462" s="27">
        <v>1</v>
      </c>
      <c r="BA462" s="27">
        <v>1</v>
      </c>
      <c r="BB462" s="27">
        <v>53.85</v>
      </c>
      <c r="BC462" s="27" t="s">
        <v>1540</v>
      </c>
      <c r="BG462" s="27">
        <v>0</v>
      </c>
      <c r="BH462" s="27">
        <v>0</v>
      </c>
      <c r="BJ462" s="27">
        <v>0</v>
      </c>
      <c r="BK462" s="27">
        <v>2</v>
      </c>
      <c r="BL462" s="27">
        <v>99.5</v>
      </c>
    </row>
    <row r="463" customHeight="1" spans="1:64">
      <c r="A463" s="27" t="s">
        <v>1541</v>
      </c>
      <c r="B463" s="27" t="s">
        <v>195</v>
      </c>
      <c r="D463" s="27">
        <v>843261112729</v>
      </c>
      <c r="E463" s="27" t="s">
        <v>1542</v>
      </c>
      <c r="F463" s="27" t="s">
        <v>160</v>
      </c>
      <c r="G463" s="27" t="s">
        <v>83</v>
      </c>
      <c r="H463" s="27" t="s">
        <v>84</v>
      </c>
      <c r="I463" s="27" t="s">
        <v>85</v>
      </c>
      <c r="J463" s="27">
        <v>5</v>
      </c>
      <c r="K463" s="27">
        <v>27.95</v>
      </c>
      <c r="M463" s="27">
        <v>0</v>
      </c>
      <c r="N463" s="27">
        <v>0</v>
      </c>
      <c r="O463" s="27">
        <v>0</v>
      </c>
      <c r="P463" s="27" t="s">
        <v>86</v>
      </c>
      <c r="Q463" s="27">
        <v>3.36557</v>
      </c>
      <c r="S463" s="27">
        <v>386</v>
      </c>
      <c r="T463" s="27">
        <v>8</v>
      </c>
      <c r="U463" s="27">
        <v>0.9797</v>
      </c>
      <c r="V463" s="27" t="s">
        <v>154</v>
      </c>
      <c r="W463" s="27">
        <v>10788.7</v>
      </c>
      <c r="X463" s="27">
        <v>5.958425</v>
      </c>
      <c r="Y463" s="27">
        <v>9.286347</v>
      </c>
      <c r="Z463" s="27">
        <v>2.8284</v>
      </c>
      <c r="AA463" s="27" t="s">
        <v>125</v>
      </c>
      <c r="AB463" s="27">
        <v>0</v>
      </c>
      <c r="AC463" s="27">
        <v>0</v>
      </c>
      <c r="AD463" s="27">
        <v>0</v>
      </c>
      <c r="AE463" s="27">
        <v>0</v>
      </c>
      <c r="AF463" s="27">
        <v>0</v>
      </c>
      <c r="AG463" s="27">
        <v>0</v>
      </c>
      <c r="AH463" s="27">
        <v>0</v>
      </c>
      <c r="AI463" s="27">
        <v>0</v>
      </c>
      <c r="AJ463" s="27">
        <v>0</v>
      </c>
      <c r="AK463" s="27">
        <v>0</v>
      </c>
      <c r="AL463" s="27">
        <v>0</v>
      </c>
      <c r="AM463" s="27">
        <v>0</v>
      </c>
      <c r="AN463" s="27">
        <v>0</v>
      </c>
      <c r="AO463" s="27">
        <v>0</v>
      </c>
      <c r="AP463" s="27">
        <v>0</v>
      </c>
      <c r="AQ463" s="27">
        <v>0</v>
      </c>
      <c r="AR463" s="27">
        <v>0</v>
      </c>
      <c r="AS463" s="27">
        <v>0</v>
      </c>
      <c r="AT463" s="27">
        <v>0</v>
      </c>
      <c r="AU463" s="27">
        <v>0</v>
      </c>
      <c r="AV463" s="27">
        <v>0</v>
      </c>
      <c r="AW463" s="27">
        <v>0</v>
      </c>
      <c r="AX463" s="27">
        <v>0</v>
      </c>
      <c r="AZ463" s="27">
        <v>1</v>
      </c>
      <c r="BA463" s="27">
        <v>0</v>
      </c>
      <c r="BB463" s="27">
        <v>68.77</v>
      </c>
      <c r="BC463" s="27" t="s">
        <v>642</v>
      </c>
      <c r="BD463" s="27" t="s">
        <v>643</v>
      </c>
      <c r="BE463" s="27" t="s">
        <v>226</v>
      </c>
      <c r="BF463" s="27" t="s">
        <v>77</v>
      </c>
      <c r="BG463" s="27">
        <v>168</v>
      </c>
      <c r="BH463" s="27">
        <v>11</v>
      </c>
      <c r="BI463" s="27">
        <v>0.9385</v>
      </c>
      <c r="BJ463" s="27">
        <v>0</v>
      </c>
      <c r="BK463" s="27">
        <v>5</v>
      </c>
      <c r="BL463" s="27">
        <v>98.6</v>
      </c>
    </row>
    <row r="464" customHeight="1" spans="1:64">
      <c r="A464" s="27" t="s">
        <v>1543</v>
      </c>
      <c r="B464" s="27" t="s">
        <v>1544</v>
      </c>
      <c r="E464" s="27" t="s">
        <v>1402</v>
      </c>
      <c r="F464" s="27" t="s">
        <v>82</v>
      </c>
      <c r="G464" s="27" t="s">
        <v>83</v>
      </c>
      <c r="H464" s="27" t="s">
        <v>84</v>
      </c>
      <c r="I464" s="27" t="s">
        <v>85</v>
      </c>
      <c r="J464" s="27">
        <v>5</v>
      </c>
      <c r="K464" s="27">
        <v>44.99</v>
      </c>
      <c r="M464" s="27">
        <v>0</v>
      </c>
      <c r="N464" s="27">
        <v>0</v>
      </c>
      <c r="O464" s="27">
        <v>0</v>
      </c>
      <c r="P464" s="27" t="s">
        <v>86</v>
      </c>
      <c r="Q464" s="27">
        <v>3.828424</v>
      </c>
      <c r="S464" s="27">
        <v>78</v>
      </c>
      <c r="T464" s="27">
        <v>10</v>
      </c>
      <c r="U464" s="27">
        <v>0.8864</v>
      </c>
      <c r="V464" s="27" t="s">
        <v>72</v>
      </c>
      <c r="W464" s="27">
        <v>3509.22</v>
      </c>
      <c r="X464" s="27">
        <v>4.369448</v>
      </c>
      <c r="Y464" s="27">
        <v>8.163434</v>
      </c>
      <c r="Z464" s="27">
        <v>3.1623</v>
      </c>
      <c r="AA464" s="27" t="s">
        <v>187</v>
      </c>
      <c r="AB464" s="27">
        <v>1</v>
      </c>
      <c r="AC464" s="27">
        <v>0</v>
      </c>
      <c r="AD464" s="27">
        <v>0</v>
      </c>
      <c r="AE464" s="27">
        <v>0</v>
      </c>
      <c r="AF464" s="27">
        <v>0</v>
      </c>
      <c r="AG464" s="27">
        <v>0</v>
      </c>
      <c r="AH464" s="27">
        <v>1</v>
      </c>
      <c r="AI464" s="27">
        <v>0</v>
      </c>
      <c r="AJ464" s="27">
        <v>0</v>
      </c>
      <c r="AK464" s="27">
        <v>0</v>
      </c>
      <c r="AL464" s="27">
        <v>0</v>
      </c>
      <c r="AM464" s="27">
        <v>0</v>
      </c>
      <c r="AN464" s="27">
        <v>0</v>
      </c>
      <c r="AO464" s="27">
        <v>0</v>
      </c>
      <c r="AP464" s="27">
        <v>0</v>
      </c>
      <c r="AQ464" s="27">
        <v>0</v>
      </c>
      <c r="AR464" s="27">
        <v>0</v>
      </c>
      <c r="AS464" s="27">
        <v>0</v>
      </c>
      <c r="AT464" s="27">
        <v>0</v>
      </c>
      <c r="AU464" s="27">
        <v>1</v>
      </c>
      <c r="AV464" s="27">
        <v>0</v>
      </c>
      <c r="AW464" s="27">
        <v>0</v>
      </c>
      <c r="AX464" s="27">
        <v>0</v>
      </c>
      <c r="AZ464" s="27">
        <v>1</v>
      </c>
      <c r="BA464" s="27">
        <v>2</v>
      </c>
      <c r="BB464" s="27">
        <v>65.31</v>
      </c>
      <c r="BC464" s="27" t="s">
        <v>1545</v>
      </c>
      <c r="BD464" s="27" t="s">
        <v>112</v>
      </c>
      <c r="BE464" s="27" t="s">
        <v>128</v>
      </c>
      <c r="BF464" s="27" t="s">
        <v>77</v>
      </c>
      <c r="BG464" s="27">
        <v>1</v>
      </c>
      <c r="BH464" s="27">
        <v>28</v>
      </c>
      <c r="BI464" s="27">
        <v>0.0345</v>
      </c>
      <c r="BJ464" s="27">
        <v>1</v>
      </c>
      <c r="BK464" s="27">
        <v>2</v>
      </c>
      <c r="BL464" s="27">
        <v>99.5</v>
      </c>
    </row>
    <row r="465" customHeight="1" spans="1:64">
      <c r="A465" s="27" t="s">
        <v>1546</v>
      </c>
      <c r="B465" s="27" t="s">
        <v>104</v>
      </c>
      <c r="C465" s="27" t="s">
        <v>1547</v>
      </c>
      <c r="D465" s="27">
        <v>786513667403</v>
      </c>
      <c r="E465" s="27" t="s">
        <v>81</v>
      </c>
      <c r="F465" s="27" t="s">
        <v>82</v>
      </c>
      <c r="G465" s="27" t="s">
        <v>106</v>
      </c>
      <c r="H465" s="27" t="s">
        <v>107</v>
      </c>
      <c r="I465" s="27" t="s">
        <v>108</v>
      </c>
      <c r="J465" s="27">
        <v>3</v>
      </c>
      <c r="K465" s="27">
        <v>28.49</v>
      </c>
      <c r="L465" s="27">
        <v>54.99</v>
      </c>
      <c r="M465" s="27">
        <v>48.19</v>
      </c>
      <c r="N465" s="27">
        <v>26.5</v>
      </c>
      <c r="O465" s="27">
        <v>1</v>
      </c>
      <c r="P465" s="27" t="s">
        <v>86</v>
      </c>
      <c r="Q465" s="27">
        <v>3.384051</v>
      </c>
      <c r="S465" s="27">
        <v>1409</v>
      </c>
      <c r="T465" s="27">
        <v>400</v>
      </c>
      <c r="U465" s="27">
        <v>0.7789</v>
      </c>
      <c r="V465" s="27" t="s">
        <v>109</v>
      </c>
      <c r="W465" s="27">
        <v>40142.41</v>
      </c>
      <c r="X465" s="27">
        <v>7.251345</v>
      </c>
      <c r="Y465" s="27">
        <v>10.600214</v>
      </c>
      <c r="Z465" s="27">
        <v>20</v>
      </c>
      <c r="AA465" s="27" t="s">
        <v>110</v>
      </c>
      <c r="AB465" s="27">
        <v>1</v>
      </c>
      <c r="AC465" s="27">
        <v>0</v>
      </c>
      <c r="AD465" s="27">
        <v>0</v>
      </c>
      <c r="AE465" s="27">
        <v>0</v>
      </c>
      <c r="AF465" s="27">
        <v>0</v>
      </c>
      <c r="AG465" s="27">
        <v>0</v>
      </c>
      <c r="AH465" s="27">
        <v>1</v>
      </c>
      <c r="AI465" s="27">
        <v>0</v>
      </c>
      <c r="AJ465" s="27">
        <v>0</v>
      </c>
      <c r="AK465" s="27">
        <v>0</v>
      </c>
      <c r="AL465" s="27">
        <v>0</v>
      </c>
      <c r="AM465" s="27">
        <v>0</v>
      </c>
      <c r="AN465" s="27">
        <v>0</v>
      </c>
      <c r="AO465" s="27">
        <v>0</v>
      </c>
      <c r="AP465" s="27">
        <v>0</v>
      </c>
      <c r="AQ465" s="27">
        <v>0</v>
      </c>
      <c r="AR465" s="27">
        <v>0</v>
      </c>
      <c r="AS465" s="27">
        <v>0</v>
      </c>
      <c r="AT465" s="27">
        <v>0</v>
      </c>
      <c r="AU465" s="27">
        <v>1</v>
      </c>
      <c r="AV465" s="27">
        <v>0</v>
      </c>
      <c r="AW465" s="27">
        <v>0</v>
      </c>
      <c r="AX465" s="27">
        <v>1</v>
      </c>
      <c r="AZ465" s="27">
        <v>1</v>
      </c>
      <c r="BA465" s="27">
        <v>2</v>
      </c>
      <c r="BB465" s="27">
        <v>75.46</v>
      </c>
      <c r="BC465" s="27" t="s">
        <v>111</v>
      </c>
      <c r="BD465" s="27" t="s">
        <v>112</v>
      </c>
      <c r="BE465" s="27" t="s">
        <v>128</v>
      </c>
      <c r="BF465" s="27" t="s">
        <v>77</v>
      </c>
      <c r="BG465" s="27">
        <v>162</v>
      </c>
      <c r="BH465" s="27">
        <v>24</v>
      </c>
      <c r="BI465" s="27">
        <v>0.871</v>
      </c>
      <c r="BJ465" s="27">
        <v>0</v>
      </c>
      <c r="BK465" s="27">
        <v>2</v>
      </c>
      <c r="BL465" s="27">
        <v>99.5</v>
      </c>
    </row>
    <row r="466" customHeight="1" spans="1:64">
      <c r="A466" s="27" t="s">
        <v>1548</v>
      </c>
      <c r="B466" s="27" t="s">
        <v>1135</v>
      </c>
      <c r="C466" s="27" t="s">
        <v>1549</v>
      </c>
      <c r="E466" s="27" t="s">
        <v>81</v>
      </c>
      <c r="F466" s="27" t="s">
        <v>160</v>
      </c>
      <c r="G466" s="27" t="s">
        <v>83</v>
      </c>
      <c r="H466" s="27" t="s">
        <v>84</v>
      </c>
      <c r="I466" s="27" t="s">
        <v>85</v>
      </c>
      <c r="J466" s="27">
        <v>5</v>
      </c>
      <c r="K466" s="27">
        <v>209.99</v>
      </c>
      <c r="L466" s="27">
        <v>329.99</v>
      </c>
      <c r="M466" s="27">
        <v>36.36</v>
      </c>
      <c r="N466" s="27">
        <v>120</v>
      </c>
      <c r="O466" s="27">
        <v>1</v>
      </c>
      <c r="P466" s="27" t="s">
        <v>71</v>
      </c>
      <c r="Q466" s="27">
        <v>5.351811</v>
      </c>
      <c r="S466" s="27">
        <v>1387</v>
      </c>
      <c r="T466" s="27">
        <v>10</v>
      </c>
      <c r="U466" s="27">
        <v>0.9928</v>
      </c>
      <c r="V466" s="27" t="s">
        <v>109</v>
      </c>
      <c r="W466" s="27">
        <v>291256.13</v>
      </c>
      <c r="X466" s="27">
        <v>7.235619</v>
      </c>
      <c r="Y466" s="27">
        <v>12.581962</v>
      </c>
      <c r="Z466" s="27">
        <v>3.1623</v>
      </c>
      <c r="AA466" s="27" t="s">
        <v>125</v>
      </c>
      <c r="AB466" s="27">
        <v>0</v>
      </c>
      <c r="AC466" s="27">
        <v>0</v>
      </c>
      <c r="AD466" s="27">
        <v>0</v>
      </c>
      <c r="AE466" s="27">
        <v>1</v>
      </c>
      <c r="AF466" s="27">
        <v>1</v>
      </c>
      <c r="AG466" s="27">
        <v>0</v>
      </c>
      <c r="AH466" s="27">
        <v>1</v>
      </c>
      <c r="AI466" s="27">
        <v>0</v>
      </c>
      <c r="AJ466" s="27">
        <v>0</v>
      </c>
      <c r="AK466" s="27">
        <v>0</v>
      </c>
      <c r="AL466" s="27">
        <v>0</v>
      </c>
      <c r="AM466" s="27">
        <v>0</v>
      </c>
      <c r="AN466" s="27">
        <v>0</v>
      </c>
      <c r="AO466" s="27">
        <v>0</v>
      </c>
      <c r="AP466" s="27">
        <v>0</v>
      </c>
      <c r="AQ466" s="27">
        <v>0</v>
      </c>
      <c r="AR466" s="27">
        <v>0</v>
      </c>
      <c r="AS466" s="27">
        <v>0</v>
      </c>
      <c r="AT466" s="27">
        <v>1</v>
      </c>
      <c r="AU466" s="27">
        <v>0</v>
      </c>
      <c r="AV466" s="27">
        <v>0</v>
      </c>
      <c r="AW466" s="27">
        <v>1</v>
      </c>
      <c r="AX466" s="27">
        <v>0</v>
      </c>
      <c r="AZ466" s="27">
        <v>1</v>
      </c>
      <c r="BA466" s="27">
        <v>2</v>
      </c>
      <c r="BB466" s="27">
        <v>80.14</v>
      </c>
      <c r="BC466" s="27" t="s">
        <v>567</v>
      </c>
      <c r="BD466" s="27" t="s">
        <v>225</v>
      </c>
      <c r="BE466" s="27" t="s">
        <v>226</v>
      </c>
      <c r="BF466" s="27" t="s">
        <v>77</v>
      </c>
      <c r="BG466" s="27">
        <v>1</v>
      </c>
      <c r="BH466" s="27">
        <v>151</v>
      </c>
      <c r="BI466" s="27">
        <v>0.0066</v>
      </c>
      <c r="BJ466" s="27">
        <v>1</v>
      </c>
      <c r="BK466" s="27">
        <v>6</v>
      </c>
      <c r="BL466" s="27">
        <v>98.4</v>
      </c>
    </row>
    <row r="467" customHeight="1" spans="1:64">
      <c r="A467" s="27" t="s">
        <v>1550</v>
      </c>
      <c r="B467" s="27" t="s">
        <v>624</v>
      </c>
      <c r="D467" s="27">
        <v>698596305991</v>
      </c>
      <c r="E467" s="27" t="s">
        <v>81</v>
      </c>
      <c r="F467" s="27" t="s">
        <v>82</v>
      </c>
      <c r="G467" s="27" t="s">
        <v>83</v>
      </c>
      <c r="H467" s="27" t="s">
        <v>84</v>
      </c>
      <c r="I467" s="27" t="s">
        <v>85</v>
      </c>
      <c r="J467" s="27">
        <v>5</v>
      </c>
      <c r="K467" s="27">
        <v>16.99</v>
      </c>
      <c r="M467" s="27">
        <v>0</v>
      </c>
      <c r="N467" s="27">
        <v>0</v>
      </c>
      <c r="O467" s="27">
        <v>0</v>
      </c>
      <c r="P467" s="27" t="s">
        <v>133</v>
      </c>
      <c r="Q467" s="27">
        <v>2.889816</v>
      </c>
      <c r="S467" s="27">
        <v>5304</v>
      </c>
      <c r="T467" s="27">
        <v>10</v>
      </c>
      <c r="U467" s="27">
        <v>0.9981</v>
      </c>
      <c r="V467" s="27" t="s">
        <v>109</v>
      </c>
      <c r="W467" s="27">
        <v>90114.96</v>
      </c>
      <c r="X467" s="27">
        <v>8.576405</v>
      </c>
      <c r="Y467" s="27">
        <v>11.408853</v>
      </c>
      <c r="Z467" s="27">
        <v>3.1623</v>
      </c>
      <c r="AA467" s="27" t="s">
        <v>139</v>
      </c>
      <c r="AB467" s="27">
        <v>1</v>
      </c>
      <c r="AC467" s="27">
        <v>0</v>
      </c>
      <c r="AD467" s="27">
        <v>0</v>
      </c>
      <c r="AE467" s="27">
        <v>0</v>
      </c>
      <c r="AF467" s="27">
        <v>0</v>
      </c>
      <c r="AG467" s="27">
        <v>0</v>
      </c>
      <c r="AH467" s="27">
        <v>1</v>
      </c>
      <c r="AI467" s="27">
        <v>0</v>
      </c>
      <c r="AJ467" s="27">
        <v>0</v>
      </c>
      <c r="AK467" s="27">
        <v>1</v>
      </c>
      <c r="AL467" s="27">
        <v>0</v>
      </c>
      <c r="AM467" s="27">
        <v>0</v>
      </c>
      <c r="AN467" s="27">
        <v>0</v>
      </c>
      <c r="AO467" s="27">
        <v>0</v>
      </c>
      <c r="AP467" s="27">
        <v>0</v>
      </c>
      <c r="AQ467" s="27">
        <v>0</v>
      </c>
      <c r="AR467" s="27">
        <v>0</v>
      </c>
      <c r="AS467" s="27">
        <v>0</v>
      </c>
      <c r="AT467" s="27">
        <v>0</v>
      </c>
      <c r="AU467" s="27">
        <v>0</v>
      </c>
      <c r="AV467" s="27">
        <v>0</v>
      </c>
      <c r="AW467" s="27">
        <v>0</v>
      </c>
      <c r="AX467" s="27">
        <v>0</v>
      </c>
      <c r="AZ467" s="27">
        <v>1</v>
      </c>
      <c r="BA467" s="27">
        <v>3</v>
      </c>
      <c r="BB467" s="27">
        <v>69.77</v>
      </c>
      <c r="BC467" s="27" t="s">
        <v>1127</v>
      </c>
      <c r="BD467" s="27" t="s">
        <v>626</v>
      </c>
      <c r="BE467" s="27" t="s">
        <v>627</v>
      </c>
      <c r="BF467" s="27" t="s">
        <v>77</v>
      </c>
      <c r="BG467" s="27">
        <v>1</v>
      </c>
      <c r="BH467" s="27">
        <v>107</v>
      </c>
      <c r="BI467" s="27">
        <v>0.0093</v>
      </c>
      <c r="BJ467" s="27">
        <v>1</v>
      </c>
      <c r="BK467" s="27">
        <v>2</v>
      </c>
      <c r="BL467" s="27">
        <v>99.5</v>
      </c>
    </row>
    <row r="468" customHeight="1" spans="1:64">
      <c r="A468" s="27" t="s">
        <v>1551</v>
      </c>
      <c r="B468" s="27" t="s">
        <v>1552</v>
      </c>
      <c r="C468" s="27" t="s">
        <v>1553</v>
      </c>
      <c r="D468" s="27">
        <v>4893993199266</v>
      </c>
      <c r="E468" s="27" t="s">
        <v>1554</v>
      </c>
      <c r="F468" s="27" t="s">
        <v>198</v>
      </c>
      <c r="G468" s="27" t="s">
        <v>83</v>
      </c>
      <c r="H468" s="27" t="s">
        <v>84</v>
      </c>
      <c r="I468" s="27" t="s">
        <v>85</v>
      </c>
      <c r="J468" s="27">
        <v>5</v>
      </c>
      <c r="K468" s="27">
        <v>199.95</v>
      </c>
      <c r="M468" s="27">
        <v>0</v>
      </c>
      <c r="N468" s="27">
        <v>0</v>
      </c>
      <c r="O468" s="27">
        <v>0</v>
      </c>
      <c r="P468" s="27" t="s">
        <v>95</v>
      </c>
      <c r="Q468" s="27">
        <v>5.303056</v>
      </c>
      <c r="S468" s="27">
        <v>50</v>
      </c>
      <c r="T468" s="27">
        <v>6</v>
      </c>
      <c r="U468" s="27">
        <v>0.8929</v>
      </c>
      <c r="V468" s="27" t="s">
        <v>72</v>
      </c>
      <c r="W468" s="27">
        <v>9997.5</v>
      </c>
      <c r="X468" s="27">
        <v>3.931826</v>
      </c>
      <c r="Y468" s="27">
        <v>9.21019</v>
      </c>
      <c r="Z468" s="27">
        <v>2.4495</v>
      </c>
      <c r="AA468" s="27" t="s">
        <v>125</v>
      </c>
      <c r="AB468" s="27">
        <v>0</v>
      </c>
      <c r="AC468" s="27">
        <v>0</v>
      </c>
      <c r="AD468" s="27">
        <v>0</v>
      </c>
      <c r="AE468" s="27">
        <v>0</v>
      </c>
      <c r="AF468" s="27">
        <v>0</v>
      </c>
      <c r="AG468" s="27">
        <v>0</v>
      </c>
      <c r="AH468" s="27">
        <v>0</v>
      </c>
      <c r="AI468" s="27">
        <v>0</v>
      </c>
      <c r="AJ468" s="27">
        <v>0</v>
      </c>
      <c r="AK468" s="27">
        <v>0</v>
      </c>
      <c r="AL468" s="27">
        <v>0</v>
      </c>
      <c r="AM468" s="27">
        <v>1</v>
      </c>
      <c r="AN468" s="27">
        <v>0</v>
      </c>
      <c r="AO468" s="27">
        <v>0</v>
      </c>
      <c r="AP468" s="27">
        <v>0</v>
      </c>
      <c r="AQ468" s="27">
        <v>0</v>
      </c>
      <c r="AR468" s="27">
        <v>0</v>
      </c>
      <c r="AS468" s="27">
        <v>0</v>
      </c>
      <c r="AT468" s="27">
        <v>0</v>
      </c>
      <c r="AU468" s="27">
        <v>0</v>
      </c>
      <c r="AV468" s="27">
        <v>0</v>
      </c>
      <c r="AW468" s="27">
        <v>1</v>
      </c>
      <c r="AX468" s="27">
        <v>0</v>
      </c>
      <c r="AZ468" s="27">
        <v>1</v>
      </c>
      <c r="BA468" s="27">
        <v>1</v>
      </c>
      <c r="BB468" s="27">
        <v>62.75</v>
      </c>
      <c r="BC468" s="27" t="s">
        <v>1555</v>
      </c>
      <c r="BD468" s="27" t="s">
        <v>1556</v>
      </c>
      <c r="BE468" s="27" t="s">
        <v>627</v>
      </c>
      <c r="BF468" s="27" t="s">
        <v>77</v>
      </c>
      <c r="BG468" s="27">
        <v>168</v>
      </c>
      <c r="BH468" s="27">
        <v>11</v>
      </c>
      <c r="BI468" s="27">
        <v>0.9385</v>
      </c>
      <c r="BJ468" s="27">
        <v>0</v>
      </c>
      <c r="BK468" s="27">
        <v>36</v>
      </c>
      <c r="BL468" s="27">
        <v>90.1</v>
      </c>
    </row>
    <row r="469" customHeight="1" spans="1:64">
      <c r="A469" s="27" t="s">
        <v>1557</v>
      </c>
      <c r="B469" s="27" t="s">
        <v>282</v>
      </c>
      <c r="E469" s="27" t="s">
        <v>255</v>
      </c>
      <c r="F469" s="27" t="s">
        <v>160</v>
      </c>
      <c r="G469" s="27" t="s">
        <v>83</v>
      </c>
      <c r="H469" s="27" t="s">
        <v>84</v>
      </c>
      <c r="I469" s="27" t="s">
        <v>85</v>
      </c>
      <c r="J469" s="27">
        <v>5</v>
      </c>
      <c r="K469" s="27">
        <v>316.34</v>
      </c>
      <c r="M469" s="27">
        <v>0</v>
      </c>
      <c r="N469" s="27">
        <v>0</v>
      </c>
      <c r="O469" s="27">
        <v>0</v>
      </c>
      <c r="P469" s="27" t="s">
        <v>71</v>
      </c>
      <c r="Q469" s="27">
        <v>5.759974</v>
      </c>
      <c r="R469" s="27">
        <v>19.77</v>
      </c>
      <c r="S469" s="27">
        <v>68</v>
      </c>
      <c r="T469" s="27">
        <v>9</v>
      </c>
      <c r="U469" s="27">
        <v>0.8831</v>
      </c>
      <c r="V469" s="27" t="s">
        <v>72</v>
      </c>
      <c r="W469" s="27">
        <v>21511.12</v>
      </c>
      <c r="X469" s="27">
        <v>4.234107</v>
      </c>
      <c r="Y469" s="27">
        <v>9.976372</v>
      </c>
      <c r="Z469" s="27">
        <v>3</v>
      </c>
      <c r="AA469" s="27" t="s">
        <v>73</v>
      </c>
      <c r="AB469" s="27">
        <v>0</v>
      </c>
      <c r="AC469" s="27">
        <v>0</v>
      </c>
      <c r="AD469" s="27">
        <v>0</v>
      </c>
      <c r="AE469" s="27">
        <v>0</v>
      </c>
      <c r="AF469" s="27">
        <v>0</v>
      </c>
      <c r="AG469" s="27">
        <v>0</v>
      </c>
      <c r="AH469" s="27">
        <v>0</v>
      </c>
      <c r="AI469" s="27">
        <v>0</v>
      </c>
      <c r="AJ469" s="27">
        <v>0</v>
      </c>
      <c r="AK469" s="27">
        <v>0</v>
      </c>
      <c r="AL469" s="27">
        <v>1</v>
      </c>
      <c r="AM469" s="27">
        <v>1</v>
      </c>
      <c r="AN469" s="27">
        <v>0</v>
      </c>
      <c r="AO469" s="27">
        <v>0</v>
      </c>
      <c r="AP469" s="27">
        <v>0</v>
      </c>
      <c r="AQ469" s="27">
        <v>1</v>
      </c>
      <c r="AR469" s="27">
        <v>0</v>
      </c>
      <c r="AS469" s="27">
        <v>0</v>
      </c>
      <c r="AT469" s="27">
        <v>1</v>
      </c>
      <c r="AU469" s="27">
        <v>0</v>
      </c>
      <c r="AV469" s="27">
        <v>1</v>
      </c>
      <c r="AW469" s="27">
        <v>1</v>
      </c>
      <c r="AX469" s="27">
        <v>0</v>
      </c>
      <c r="AY469" s="27">
        <v>16</v>
      </c>
      <c r="AZ469" s="27">
        <v>1</v>
      </c>
      <c r="BA469" s="27">
        <v>2</v>
      </c>
      <c r="BB469" s="27">
        <v>64.42</v>
      </c>
      <c r="BC469" s="27" t="s">
        <v>285</v>
      </c>
      <c r="BD469" s="27" t="s">
        <v>356</v>
      </c>
      <c r="BE469" s="27" t="s">
        <v>287</v>
      </c>
      <c r="BF469" s="27" t="s">
        <v>77</v>
      </c>
      <c r="BG469" s="27">
        <v>1</v>
      </c>
      <c r="BH469" s="27">
        <v>20</v>
      </c>
      <c r="BI469" s="27">
        <v>0.0476</v>
      </c>
      <c r="BJ469" s="27">
        <v>1</v>
      </c>
      <c r="BK469" s="27">
        <v>11</v>
      </c>
      <c r="BL469" s="27">
        <v>97</v>
      </c>
    </row>
    <row r="470" customHeight="1" spans="1:64">
      <c r="A470" s="27" t="s">
        <v>1558</v>
      </c>
      <c r="B470" s="27" t="s">
        <v>335</v>
      </c>
      <c r="E470" s="27" t="s">
        <v>81</v>
      </c>
      <c r="F470" s="27" t="s">
        <v>160</v>
      </c>
      <c r="G470" s="27" t="s">
        <v>83</v>
      </c>
      <c r="H470" s="27" t="s">
        <v>84</v>
      </c>
      <c r="I470" s="27" t="s">
        <v>85</v>
      </c>
      <c r="J470" s="27">
        <v>5</v>
      </c>
      <c r="K470" s="27">
        <v>409.99</v>
      </c>
      <c r="M470" s="27">
        <v>0</v>
      </c>
      <c r="N470" s="27">
        <v>0</v>
      </c>
      <c r="O470" s="27">
        <v>0</v>
      </c>
      <c r="P470" s="27" t="s">
        <v>71</v>
      </c>
      <c r="Q470" s="27">
        <v>6.018569</v>
      </c>
      <c r="R470" s="27">
        <v>41</v>
      </c>
      <c r="S470" s="27">
        <v>8</v>
      </c>
      <c r="T470" s="27">
        <v>10</v>
      </c>
      <c r="U470" s="27">
        <v>0.4444</v>
      </c>
      <c r="V470" s="27" t="s">
        <v>87</v>
      </c>
      <c r="W470" s="27">
        <v>3279.92</v>
      </c>
      <c r="X470" s="27">
        <v>2.197225</v>
      </c>
      <c r="Y470" s="27">
        <v>8.095879</v>
      </c>
      <c r="Z470" s="27">
        <v>3.1623</v>
      </c>
      <c r="AA470" s="27" t="s">
        <v>313</v>
      </c>
      <c r="AB470" s="27">
        <v>0</v>
      </c>
      <c r="AC470" s="27">
        <v>0</v>
      </c>
      <c r="AD470" s="27">
        <v>0</v>
      </c>
      <c r="AE470" s="27">
        <v>0</v>
      </c>
      <c r="AF470" s="27">
        <v>0</v>
      </c>
      <c r="AG470" s="27">
        <v>0</v>
      </c>
      <c r="AH470" s="27">
        <v>1</v>
      </c>
      <c r="AI470" s="27">
        <v>0</v>
      </c>
      <c r="AJ470" s="27">
        <v>0</v>
      </c>
      <c r="AK470" s="27">
        <v>0</v>
      </c>
      <c r="AL470" s="27">
        <v>0</v>
      </c>
      <c r="AM470" s="27">
        <v>0</v>
      </c>
      <c r="AN470" s="27">
        <v>0</v>
      </c>
      <c r="AO470" s="27">
        <v>0</v>
      </c>
      <c r="AP470" s="27">
        <v>0</v>
      </c>
      <c r="AQ470" s="27">
        <v>1</v>
      </c>
      <c r="AR470" s="27">
        <v>0</v>
      </c>
      <c r="AS470" s="27">
        <v>0</v>
      </c>
      <c r="AT470" s="27">
        <v>1</v>
      </c>
      <c r="AU470" s="27">
        <v>0</v>
      </c>
      <c r="AV470" s="27">
        <v>1</v>
      </c>
      <c r="AW470" s="27">
        <v>1</v>
      </c>
      <c r="AX470" s="27">
        <v>0</v>
      </c>
      <c r="AY470" s="27">
        <v>10</v>
      </c>
      <c r="AZ470" s="27">
        <v>1</v>
      </c>
      <c r="BA470" s="27">
        <v>2</v>
      </c>
      <c r="BB470" s="27">
        <v>47.36</v>
      </c>
      <c r="BC470" s="27" t="s">
        <v>1559</v>
      </c>
      <c r="BD470" s="27" t="s">
        <v>337</v>
      </c>
      <c r="BE470" s="27" t="s">
        <v>98</v>
      </c>
      <c r="BF470" s="27" t="s">
        <v>77</v>
      </c>
      <c r="BG470" s="27">
        <v>167</v>
      </c>
      <c r="BH470" s="27">
        <v>12</v>
      </c>
      <c r="BI470" s="27">
        <v>0.933</v>
      </c>
      <c r="BJ470" s="27">
        <v>0</v>
      </c>
      <c r="BK470" s="27">
        <v>5</v>
      </c>
      <c r="BL470" s="27">
        <v>98.6</v>
      </c>
    </row>
    <row r="471" customHeight="1" spans="1:64">
      <c r="A471" s="27" t="s">
        <v>1560</v>
      </c>
      <c r="B471" s="27" t="s">
        <v>104</v>
      </c>
      <c r="C471" s="27" t="s">
        <v>640</v>
      </c>
      <c r="D471" s="27">
        <v>194644396848</v>
      </c>
      <c r="E471" s="27" t="s">
        <v>81</v>
      </c>
      <c r="F471" s="27" t="s">
        <v>82</v>
      </c>
      <c r="G471" s="27" t="s">
        <v>106</v>
      </c>
      <c r="H471" s="27" t="s">
        <v>107</v>
      </c>
      <c r="I471" s="27" t="s">
        <v>108</v>
      </c>
      <c r="J471" s="27">
        <v>3</v>
      </c>
      <c r="K471" s="27">
        <v>380</v>
      </c>
      <c r="L471" s="27">
        <v>599.99</v>
      </c>
      <c r="M471" s="27">
        <v>36.67</v>
      </c>
      <c r="N471" s="27">
        <v>219.99</v>
      </c>
      <c r="O471" s="27">
        <v>1</v>
      </c>
      <c r="P471" s="27" t="s">
        <v>71</v>
      </c>
      <c r="Q471" s="27">
        <v>5.942799</v>
      </c>
      <c r="S471" s="27">
        <v>136</v>
      </c>
      <c r="T471" s="27">
        <v>20</v>
      </c>
      <c r="U471" s="27">
        <v>0.8718</v>
      </c>
      <c r="V471" s="27" t="s">
        <v>72</v>
      </c>
      <c r="W471" s="27">
        <v>51680</v>
      </c>
      <c r="X471" s="27">
        <v>4.919981</v>
      </c>
      <c r="Y471" s="27">
        <v>10.852845</v>
      </c>
      <c r="Z471" s="27">
        <v>4.4721</v>
      </c>
      <c r="AA471" s="27" t="s">
        <v>73</v>
      </c>
      <c r="AB471" s="27">
        <v>0</v>
      </c>
      <c r="AC471" s="27">
        <v>0</v>
      </c>
      <c r="AD471" s="27">
        <v>0</v>
      </c>
      <c r="AE471" s="27">
        <v>1</v>
      </c>
      <c r="AF471" s="27">
        <v>0</v>
      </c>
      <c r="AG471" s="27">
        <v>0</v>
      </c>
      <c r="AH471" s="27">
        <v>1</v>
      </c>
      <c r="AI471" s="27">
        <v>0</v>
      </c>
      <c r="AJ471" s="27">
        <v>0</v>
      </c>
      <c r="AK471" s="27">
        <v>0</v>
      </c>
      <c r="AL471" s="27">
        <v>0</v>
      </c>
      <c r="AM471" s="27">
        <v>0</v>
      </c>
      <c r="AN471" s="27">
        <v>0</v>
      </c>
      <c r="AO471" s="27">
        <v>0</v>
      </c>
      <c r="AP471" s="27">
        <v>0</v>
      </c>
      <c r="AQ471" s="27">
        <v>0</v>
      </c>
      <c r="AR471" s="27">
        <v>0</v>
      </c>
      <c r="AS471" s="27">
        <v>0</v>
      </c>
      <c r="AT471" s="27">
        <v>1</v>
      </c>
      <c r="AU471" s="27">
        <v>0</v>
      </c>
      <c r="AV471" s="27">
        <v>0</v>
      </c>
      <c r="AW471" s="27">
        <v>0</v>
      </c>
      <c r="AX471" s="27">
        <v>0</v>
      </c>
      <c r="AZ471" s="27">
        <v>1</v>
      </c>
      <c r="BA471" s="27">
        <v>2</v>
      </c>
      <c r="BB471" s="27">
        <v>75.72</v>
      </c>
      <c r="BC471" s="27" t="s">
        <v>111</v>
      </c>
      <c r="BD471" s="27" t="s">
        <v>112</v>
      </c>
      <c r="BE471" s="27" t="s">
        <v>128</v>
      </c>
      <c r="BF471" s="27" t="s">
        <v>77</v>
      </c>
      <c r="BG471" s="27">
        <v>162</v>
      </c>
      <c r="BH471" s="27">
        <v>24</v>
      </c>
      <c r="BI471" s="27">
        <v>0.871</v>
      </c>
      <c r="BJ471" s="27">
        <v>0</v>
      </c>
      <c r="BK471" s="27">
        <v>2</v>
      </c>
      <c r="BL471" s="27">
        <v>99.5</v>
      </c>
    </row>
    <row r="472" customHeight="1" spans="1:64">
      <c r="A472" s="27" t="s">
        <v>1561</v>
      </c>
      <c r="B472" s="27" t="s">
        <v>104</v>
      </c>
      <c r="C472" s="27" t="s">
        <v>594</v>
      </c>
      <c r="D472" s="27">
        <v>194644178727</v>
      </c>
      <c r="E472" s="27" t="s">
        <v>81</v>
      </c>
      <c r="F472" s="27" t="s">
        <v>82</v>
      </c>
      <c r="G472" s="27" t="s">
        <v>106</v>
      </c>
      <c r="H472" s="27" t="s">
        <v>107</v>
      </c>
      <c r="I472" s="27" t="s">
        <v>108</v>
      </c>
      <c r="J472" s="27">
        <v>3</v>
      </c>
      <c r="K472" s="27">
        <v>99.99</v>
      </c>
      <c r="L472" s="27">
        <v>199.99</v>
      </c>
      <c r="M472" s="27">
        <v>50</v>
      </c>
      <c r="N472" s="27">
        <v>100</v>
      </c>
      <c r="O472" s="27">
        <v>1</v>
      </c>
      <c r="P472" s="27" t="s">
        <v>95</v>
      </c>
      <c r="Q472" s="27">
        <v>4.615022</v>
      </c>
      <c r="S472" s="27">
        <v>5648</v>
      </c>
      <c r="U472" s="27">
        <v>1</v>
      </c>
      <c r="V472" s="27" t="s">
        <v>109</v>
      </c>
      <c r="W472" s="27">
        <v>564743.52</v>
      </c>
      <c r="X472" s="27">
        <v>8.639234</v>
      </c>
      <c r="Y472" s="27">
        <v>13.244129</v>
      </c>
      <c r="Z472" s="27">
        <v>0</v>
      </c>
      <c r="AA472" s="27" t="s">
        <v>110</v>
      </c>
      <c r="AB472" s="27">
        <v>1</v>
      </c>
      <c r="AC472" s="27">
        <v>0</v>
      </c>
      <c r="AD472" s="27">
        <v>0</v>
      </c>
      <c r="AE472" s="27">
        <v>1</v>
      </c>
      <c r="AF472" s="27">
        <v>0</v>
      </c>
      <c r="AG472" s="27">
        <v>0</v>
      </c>
      <c r="AH472" s="27">
        <v>1</v>
      </c>
      <c r="AI472" s="27">
        <v>0</v>
      </c>
      <c r="AJ472" s="27">
        <v>0</v>
      </c>
      <c r="AK472" s="27">
        <v>1</v>
      </c>
      <c r="AL472" s="27">
        <v>0</v>
      </c>
      <c r="AM472" s="27">
        <v>0</v>
      </c>
      <c r="AN472" s="27">
        <v>0</v>
      </c>
      <c r="AO472" s="27">
        <v>0</v>
      </c>
      <c r="AP472" s="27">
        <v>0</v>
      </c>
      <c r="AQ472" s="27">
        <v>0</v>
      </c>
      <c r="AR472" s="27">
        <v>0</v>
      </c>
      <c r="AS472" s="27">
        <v>0</v>
      </c>
      <c r="AT472" s="27">
        <v>0</v>
      </c>
      <c r="AU472" s="27">
        <v>0</v>
      </c>
      <c r="AV472" s="27">
        <v>0</v>
      </c>
      <c r="AW472" s="27">
        <v>0</v>
      </c>
      <c r="AX472" s="27">
        <v>0</v>
      </c>
      <c r="AZ472" s="27">
        <v>1</v>
      </c>
      <c r="BA472" s="27">
        <v>4</v>
      </c>
      <c r="BB472" s="27">
        <v>84.85</v>
      </c>
      <c r="BC472" s="27" t="s">
        <v>111</v>
      </c>
      <c r="BD472" s="27" t="s">
        <v>112</v>
      </c>
      <c r="BE472" s="27" t="s">
        <v>128</v>
      </c>
      <c r="BF472" s="27" t="s">
        <v>77</v>
      </c>
      <c r="BG472" s="27">
        <v>162</v>
      </c>
      <c r="BH472" s="27">
        <v>24</v>
      </c>
      <c r="BI472" s="27">
        <v>0.871</v>
      </c>
      <c r="BJ472" s="27">
        <v>0</v>
      </c>
      <c r="BK472" s="27">
        <v>2</v>
      </c>
      <c r="BL472" s="27">
        <v>99.5</v>
      </c>
    </row>
    <row r="473" customHeight="1" spans="1:64">
      <c r="A473" s="27" t="s">
        <v>1562</v>
      </c>
      <c r="B473" s="27" t="s">
        <v>280</v>
      </c>
      <c r="C473" s="27" t="s">
        <v>1563</v>
      </c>
      <c r="E473" s="27" t="s">
        <v>217</v>
      </c>
      <c r="F473" s="27" t="s">
        <v>132</v>
      </c>
      <c r="G473" s="27" t="s">
        <v>83</v>
      </c>
      <c r="H473" s="27" t="s">
        <v>84</v>
      </c>
      <c r="I473" s="27" t="s">
        <v>85</v>
      </c>
      <c r="J473" s="27">
        <v>5</v>
      </c>
      <c r="K473" s="27">
        <v>55.99</v>
      </c>
      <c r="M473" s="27">
        <v>0</v>
      </c>
      <c r="N473" s="27">
        <v>0</v>
      </c>
      <c r="O473" s="27">
        <v>0</v>
      </c>
      <c r="P473" s="27" t="s">
        <v>86</v>
      </c>
      <c r="Q473" s="27">
        <v>4.042876</v>
      </c>
      <c r="S473" s="27">
        <v>670</v>
      </c>
      <c r="T473" s="27">
        <v>10</v>
      </c>
      <c r="U473" s="27">
        <v>0.9853</v>
      </c>
      <c r="V473" s="27" t="s">
        <v>154</v>
      </c>
      <c r="W473" s="27">
        <v>37513.3</v>
      </c>
      <c r="X473" s="27">
        <v>6.508769</v>
      </c>
      <c r="Y473" s="27">
        <v>10.532477</v>
      </c>
      <c r="Z473" s="27">
        <v>3.1623</v>
      </c>
      <c r="AA473" s="27" t="s">
        <v>125</v>
      </c>
      <c r="AB473" s="27">
        <v>0</v>
      </c>
      <c r="AC473" s="27">
        <v>0</v>
      </c>
      <c r="AD473" s="27">
        <v>0</v>
      </c>
      <c r="AE473" s="27">
        <v>0</v>
      </c>
      <c r="AF473" s="27">
        <v>0</v>
      </c>
      <c r="AG473" s="27">
        <v>0</v>
      </c>
      <c r="AH473" s="27">
        <v>0</v>
      </c>
      <c r="AI473" s="27">
        <v>0</v>
      </c>
      <c r="AJ473" s="27">
        <v>0</v>
      </c>
      <c r="AK473" s="27">
        <v>0</v>
      </c>
      <c r="AL473" s="27">
        <v>0</v>
      </c>
      <c r="AM473" s="27">
        <v>0</v>
      </c>
      <c r="AN473" s="27">
        <v>0</v>
      </c>
      <c r="AO473" s="27">
        <v>0</v>
      </c>
      <c r="AP473" s="27">
        <v>0</v>
      </c>
      <c r="AQ473" s="27">
        <v>0</v>
      </c>
      <c r="AR473" s="27">
        <v>0</v>
      </c>
      <c r="AS473" s="27">
        <v>0</v>
      </c>
      <c r="AT473" s="27">
        <v>0</v>
      </c>
      <c r="AU473" s="27">
        <v>0</v>
      </c>
      <c r="AV473" s="27">
        <v>0</v>
      </c>
      <c r="AW473" s="27">
        <v>1</v>
      </c>
      <c r="AX473" s="27">
        <v>0</v>
      </c>
      <c r="AZ473" s="27">
        <v>1</v>
      </c>
      <c r="BA473" s="27">
        <v>0</v>
      </c>
      <c r="BB473" s="27">
        <v>57.89</v>
      </c>
      <c r="BC473" s="27" t="s">
        <v>134</v>
      </c>
      <c r="BD473" s="27" t="s">
        <v>135</v>
      </c>
      <c r="BE473" s="27" t="s">
        <v>150</v>
      </c>
      <c r="BF473" s="27" t="s">
        <v>77</v>
      </c>
      <c r="BG473" s="27">
        <v>208</v>
      </c>
      <c r="BH473" s="27">
        <v>11</v>
      </c>
      <c r="BI473" s="27">
        <v>0.9498</v>
      </c>
      <c r="BJ473" s="27">
        <v>0</v>
      </c>
      <c r="BK473" s="27">
        <v>140</v>
      </c>
      <c r="BL473" s="27">
        <v>61.6</v>
      </c>
    </row>
    <row r="474" customHeight="1" spans="1:64">
      <c r="A474" s="27" t="s">
        <v>1564</v>
      </c>
      <c r="B474" s="27" t="s">
        <v>1197</v>
      </c>
      <c r="D474" s="27">
        <v>6901425847949</v>
      </c>
      <c r="E474" s="27" t="s">
        <v>1565</v>
      </c>
      <c r="F474" s="27" t="s">
        <v>160</v>
      </c>
      <c r="G474" s="27" t="s">
        <v>1197</v>
      </c>
      <c r="H474" s="27" t="s">
        <v>69</v>
      </c>
      <c r="I474" s="27" t="s">
        <v>85</v>
      </c>
      <c r="J474" s="27">
        <v>5</v>
      </c>
      <c r="K474" s="27">
        <v>134.99</v>
      </c>
      <c r="M474" s="27">
        <v>0</v>
      </c>
      <c r="N474" s="27">
        <v>0</v>
      </c>
      <c r="O474" s="27">
        <v>0</v>
      </c>
      <c r="P474" s="27" t="s">
        <v>95</v>
      </c>
      <c r="Q474" s="27">
        <v>4.912581</v>
      </c>
      <c r="R474" s="27">
        <v>16.87</v>
      </c>
      <c r="S474" s="27">
        <v>2</v>
      </c>
      <c r="T474" s="27">
        <v>8</v>
      </c>
      <c r="U474" s="27">
        <v>0.2</v>
      </c>
      <c r="V474" s="27" t="s">
        <v>87</v>
      </c>
      <c r="W474" s="27">
        <v>269.98</v>
      </c>
      <c r="X474" s="27">
        <v>1.098612</v>
      </c>
      <c r="Y474" s="27">
        <v>5.602045</v>
      </c>
      <c r="Z474" s="27">
        <v>2.8284</v>
      </c>
      <c r="AA474" s="27" t="s">
        <v>187</v>
      </c>
      <c r="AB474" s="27">
        <v>0</v>
      </c>
      <c r="AC474" s="27">
        <v>0</v>
      </c>
      <c r="AD474" s="27">
        <v>0</v>
      </c>
      <c r="AE474" s="27">
        <v>0</v>
      </c>
      <c r="AF474" s="27">
        <v>1</v>
      </c>
      <c r="AG474" s="27">
        <v>0</v>
      </c>
      <c r="AH474" s="27">
        <v>1</v>
      </c>
      <c r="AI474" s="27">
        <v>0</v>
      </c>
      <c r="AJ474" s="27">
        <v>0</v>
      </c>
      <c r="AK474" s="27">
        <v>0</v>
      </c>
      <c r="AL474" s="27">
        <v>0</v>
      </c>
      <c r="AM474" s="27">
        <v>0</v>
      </c>
      <c r="AN474" s="27">
        <v>0</v>
      </c>
      <c r="AO474" s="27">
        <v>0</v>
      </c>
      <c r="AP474" s="27">
        <v>0</v>
      </c>
      <c r="AQ474" s="27">
        <v>0</v>
      </c>
      <c r="AR474" s="27">
        <v>0</v>
      </c>
      <c r="AS474" s="27">
        <v>0</v>
      </c>
      <c r="AT474" s="27">
        <v>0</v>
      </c>
      <c r="AU474" s="27">
        <v>0</v>
      </c>
      <c r="AV474" s="27">
        <v>0</v>
      </c>
      <c r="AW474" s="27">
        <v>1</v>
      </c>
      <c r="AX474" s="27">
        <v>0</v>
      </c>
      <c r="AY474" s="27">
        <v>8</v>
      </c>
      <c r="AZ474" s="27">
        <v>1</v>
      </c>
      <c r="BA474" s="27">
        <v>1</v>
      </c>
      <c r="BB474" s="27">
        <v>35.45</v>
      </c>
      <c r="BC474" s="27" t="s">
        <v>1566</v>
      </c>
      <c r="BD474" s="27" t="s">
        <v>1506</v>
      </c>
      <c r="BE474" s="27" t="s">
        <v>226</v>
      </c>
      <c r="BF474" s="27" t="s">
        <v>77</v>
      </c>
      <c r="BG474" s="27">
        <v>162</v>
      </c>
      <c r="BH474" s="27">
        <v>20</v>
      </c>
      <c r="BI474" s="27">
        <v>0.8901</v>
      </c>
      <c r="BJ474" s="27">
        <v>0</v>
      </c>
      <c r="BK474" s="27">
        <v>31</v>
      </c>
      <c r="BL474" s="27">
        <v>91.5</v>
      </c>
    </row>
    <row r="475" customHeight="1" spans="1:64">
      <c r="A475" s="27" t="s">
        <v>1567</v>
      </c>
      <c r="B475" s="27" t="s">
        <v>448</v>
      </c>
      <c r="C475" s="27" t="s">
        <v>1568</v>
      </c>
      <c r="D475" s="27">
        <v>7331021065765</v>
      </c>
      <c r="E475" s="27" t="s">
        <v>255</v>
      </c>
      <c r="F475" s="27" t="s">
        <v>68</v>
      </c>
      <c r="G475" s="27" t="s">
        <v>83</v>
      </c>
      <c r="H475" s="27" t="s">
        <v>450</v>
      </c>
      <c r="I475" s="27" t="s">
        <v>203</v>
      </c>
      <c r="J475" s="27">
        <v>4</v>
      </c>
      <c r="K475" s="27">
        <v>97</v>
      </c>
      <c r="M475" s="27">
        <v>0</v>
      </c>
      <c r="N475" s="27">
        <v>0</v>
      </c>
      <c r="O475" s="27">
        <v>0</v>
      </c>
      <c r="P475" s="27" t="s">
        <v>95</v>
      </c>
      <c r="Q475" s="27">
        <v>4.584967</v>
      </c>
      <c r="S475" s="27">
        <v>1</v>
      </c>
      <c r="T475" s="27">
        <v>10</v>
      </c>
      <c r="U475" s="27">
        <v>0.0909</v>
      </c>
      <c r="V475" s="27" t="s">
        <v>87</v>
      </c>
      <c r="W475" s="27">
        <v>97</v>
      </c>
      <c r="X475" s="27">
        <v>0.693147</v>
      </c>
      <c r="Y475" s="27">
        <v>4.584967</v>
      </c>
      <c r="Z475" s="27">
        <v>3.1623</v>
      </c>
      <c r="AA475" s="27" t="s">
        <v>125</v>
      </c>
      <c r="AB475" s="27">
        <v>0</v>
      </c>
      <c r="AC475" s="27">
        <v>0</v>
      </c>
      <c r="AD475" s="27">
        <v>0</v>
      </c>
      <c r="AE475" s="27">
        <v>0</v>
      </c>
      <c r="AF475" s="27">
        <v>0</v>
      </c>
      <c r="AG475" s="27">
        <v>0</v>
      </c>
      <c r="AH475" s="27">
        <v>0</v>
      </c>
      <c r="AI475" s="27">
        <v>0</v>
      </c>
      <c r="AJ475" s="27">
        <v>0</v>
      </c>
      <c r="AK475" s="27">
        <v>0</v>
      </c>
      <c r="AL475" s="27">
        <v>0</v>
      </c>
      <c r="AM475" s="27">
        <v>0</v>
      </c>
      <c r="AN475" s="27">
        <v>0</v>
      </c>
      <c r="AO475" s="27">
        <v>0</v>
      </c>
      <c r="AP475" s="27">
        <v>0</v>
      </c>
      <c r="AQ475" s="27">
        <v>0</v>
      </c>
      <c r="AR475" s="27">
        <v>0</v>
      </c>
      <c r="AS475" s="27">
        <v>0</v>
      </c>
      <c r="AT475" s="27">
        <v>1</v>
      </c>
      <c r="AU475" s="27">
        <v>0</v>
      </c>
      <c r="AV475" s="27">
        <v>0</v>
      </c>
      <c r="AW475" s="27">
        <v>0</v>
      </c>
      <c r="AX475" s="27">
        <v>0</v>
      </c>
      <c r="AZ475" s="27">
        <v>1</v>
      </c>
      <c r="BA475" s="27">
        <v>0</v>
      </c>
      <c r="BB475" s="27">
        <v>3.64</v>
      </c>
      <c r="BC475" s="27" t="s">
        <v>1569</v>
      </c>
      <c r="BD475" s="27" t="s">
        <v>1570</v>
      </c>
      <c r="BE475" s="27" t="s">
        <v>627</v>
      </c>
      <c r="BF475" s="27" t="s">
        <v>77</v>
      </c>
      <c r="BG475" s="27">
        <v>168</v>
      </c>
      <c r="BH475" s="27">
        <v>11</v>
      </c>
      <c r="BI475" s="27">
        <v>0.9385</v>
      </c>
      <c r="BJ475" s="27">
        <v>0</v>
      </c>
    </row>
    <row r="476" customHeight="1" spans="1:64">
      <c r="A476" s="27" t="s">
        <v>1571</v>
      </c>
      <c r="B476" s="27" t="s">
        <v>1572</v>
      </c>
      <c r="C476" s="27" t="s">
        <v>1573</v>
      </c>
      <c r="E476" s="27" t="s">
        <v>894</v>
      </c>
      <c r="F476" s="27" t="s">
        <v>82</v>
      </c>
      <c r="G476" s="27" t="s">
        <v>117</v>
      </c>
      <c r="H476" s="27" t="s">
        <v>84</v>
      </c>
      <c r="I476" s="27" t="s">
        <v>85</v>
      </c>
      <c r="J476" s="27">
        <v>5</v>
      </c>
      <c r="K476" s="27">
        <v>32.9</v>
      </c>
      <c r="M476" s="27">
        <v>0</v>
      </c>
      <c r="N476" s="27">
        <v>0</v>
      </c>
      <c r="O476" s="27">
        <v>0</v>
      </c>
      <c r="P476" s="27" t="s">
        <v>86</v>
      </c>
      <c r="Q476" s="27">
        <v>3.523415</v>
      </c>
      <c r="S476" s="27">
        <v>165</v>
      </c>
      <c r="T476" s="27">
        <v>10</v>
      </c>
      <c r="U476" s="27">
        <v>0.9429</v>
      </c>
      <c r="V476" s="27" t="s">
        <v>154</v>
      </c>
      <c r="W476" s="27">
        <v>5428.5</v>
      </c>
      <c r="X476" s="27">
        <v>5.111988</v>
      </c>
      <c r="Y476" s="27">
        <v>8.599602</v>
      </c>
      <c r="Z476" s="27">
        <v>3.1623</v>
      </c>
      <c r="AA476" s="27" t="s">
        <v>125</v>
      </c>
      <c r="AB476" s="27">
        <v>0</v>
      </c>
      <c r="AC476" s="27">
        <v>0</v>
      </c>
      <c r="AD476" s="27">
        <v>0</v>
      </c>
      <c r="AE476" s="27">
        <v>0</v>
      </c>
      <c r="AF476" s="27">
        <v>1</v>
      </c>
      <c r="AG476" s="27">
        <v>0</v>
      </c>
      <c r="AH476" s="27">
        <v>0</v>
      </c>
      <c r="AI476" s="27">
        <v>0</v>
      </c>
      <c r="AJ476" s="27">
        <v>0</v>
      </c>
      <c r="AK476" s="27">
        <v>0</v>
      </c>
      <c r="AL476" s="27">
        <v>0</v>
      </c>
      <c r="AM476" s="27">
        <v>0</v>
      </c>
      <c r="AN476" s="27">
        <v>0</v>
      </c>
      <c r="AO476" s="27">
        <v>0</v>
      </c>
      <c r="AP476" s="27">
        <v>0</v>
      </c>
      <c r="AQ476" s="27">
        <v>0</v>
      </c>
      <c r="AR476" s="27">
        <v>0</v>
      </c>
      <c r="AS476" s="27">
        <v>1</v>
      </c>
      <c r="AT476" s="27">
        <v>0</v>
      </c>
      <c r="AU476" s="27">
        <v>0</v>
      </c>
      <c r="AV476" s="27">
        <v>0</v>
      </c>
      <c r="AW476" s="27">
        <v>0</v>
      </c>
      <c r="AX476" s="27">
        <v>0</v>
      </c>
      <c r="AZ476" s="27">
        <v>1</v>
      </c>
      <c r="BA476" s="27">
        <v>0</v>
      </c>
      <c r="BB476" s="27">
        <v>65.59</v>
      </c>
      <c r="BC476" s="27" t="s">
        <v>428</v>
      </c>
      <c r="BD476" s="27" t="s">
        <v>741</v>
      </c>
      <c r="BE476" s="27" t="s">
        <v>128</v>
      </c>
      <c r="BF476" s="27" t="s">
        <v>77</v>
      </c>
      <c r="BG476" s="27">
        <v>1</v>
      </c>
      <c r="BH476" s="27">
        <v>14</v>
      </c>
      <c r="BI476" s="27">
        <v>0.0667</v>
      </c>
      <c r="BJ476" s="27">
        <v>1</v>
      </c>
      <c r="BK476" s="27">
        <v>26</v>
      </c>
      <c r="BL476" s="27">
        <v>92.9</v>
      </c>
    </row>
    <row r="477" customHeight="1" spans="1:64">
      <c r="A477" s="27" t="s">
        <v>1574</v>
      </c>
      <c r="B477" s="27" t="s">
        <v>739</v>
      </c>
      <c r="C477" s="27" t="s">
        <v>1575</v>
      </c>
      <c r="E477" s="27" t="s">
        <v>122</v>
      </c>
      <c r="F477" s="27" t="s">
        <v>82</v>
      </c>
      <c r="G477" s="27" t="s">
        <v>83</v>
      </c>
      <c r="H477" s="27" t="s">
        <v>84</v>
      </c>
      <c r="I477" s="27" t="s">
        <v>203</v>
      </c>
      <c r="J477" s="27">
        <v>4</v>
      </c>
      <c r="K477" s="27">
        <v>39.9</v>
      </c>
      <c r="M477" s="27">
        <v>0</v>
      </c>
      <c r="N477" s="27">
        <v>0</v>
      </c>
      <c r="O477" s="27">
        <v>0</v>
      </c>
      <c r="P477" s="27" t="s">
        <v>86</v>
      </c>
      <c r="Q477" s="27">
        <v>3.71113</v>
      </c>
      <c r="S477" s="27">
        <v>33</v>
      </c>
      <c r="T477" s="27">
        <v>10</v>
      </c>
      <c r="U477" s="27">
        <v>0.7674</v>
      </c>
      <c r="V477" s="27" t="s">
        <v>72</v>
      </c>
      <c r="W477" s="27">
        <v>1316.7</v>
      </c>
      <c r="X477" s="27">
        <v>3.526361</v>
      </c>
      <c r="Y477" s="27">
        <v>7.183643</v>
      </c>
      <c r="Z477" s="27">
        <v>3.1623</v>
      </c>
      <c r="AA477" s="27" t="s">
        <v>125</v>
      </c>
      <c r="AB477" s="27">
        <v>0</v>
      </c>
      <c r="AC477" s="27">
        <v>0</v>
      </c>
      <c r="AD477" s="27">
        <v>0</v>
      </c>
      <c r="AE477" s="27">
        <v>0</v>
      </c>
      <c r="AF477" s="27">
        <v>0</v>
      </c>
      <c r="AG477" s="27">
        <v>0</v>
      </c>
      <c r="AH477" s="27">
        <v>1</v>
      </c>
      <c r="AI477" s="27">
        <v>0</v>
      </c>
      <c r="AJ477" s="27">
        <v>0</v>
      </c>
      <c r="AK477" s="27">
        <v>0</v>
      </c>
      <c r="AL477" s="27">
        <v>0</v>
      </c>
      <c r="AM477" s="27">
        <v>0</v>
      </c>
      <c r="AN477" s="27">
        <v>0</v>
      </c>
      <c r="AO477" s="27">
        <v>0</v>
      </c>
      <c r="AP477" s="27">
        <v>0</v>
      </c>
      <c r="AQ477" s="27">
        <v>0</v>
      </c>
      <c r="AR477" s="27">
        <v>0</v>
      </c>
      <c r="AS477" s="27">
        <v>1</v>
      </c>
      <c r="AT477" s="27">
        <v>0</v>
      </c>
      <c r="AU477" s="27">
        <v>0</v>
      </c>
      <c r="AV477" s="27">
        <v>0</v>
      </c>
      <c r="AW477" s="27">
        <v>0</v>
      </c>
      <c r="AX477" s="27">
        <v>1</v>
      </c>
      <c r="AZ477" s="27">
        <v>1</v>
      </c>
      <c r="BA477" s="27">
        <v>1</v>
      </c>
      <c r="BB477" s="27">
        <v>59.14</v>
      </c>
      <c r="BC477" s="27" t="s">
        <v>1037</v>
      </c>
      <c r="BD477" s="27" t="s">
        <v>1038</v>
      </c>
      <c r="BE477" s="27" t="s">
        <v>1576</v>
      </c>
      <c r="BF477" s="27" t="s">
        <v>77</v>
      </c>
      <c r="BG477" s="27">
        <v>168</v>
      </c>
      <c r="BH477" s="27">
        <v>11</v>
      </c>
      <c r="BI477" s="27">
        <v>0.9385</v>
      </c>
      <c r="BJ477" s="27">
        <v>0</v>
      </c>
      <c r="BK477" s="27">
        <v>19</v>
      </c>
      <c r="BL477" s="27">
        <v>94.8</v>
      </c>
    </row>
    <row r="478" customHeight="1" spans="1:64">
      <c r="A478" s="27" t="s">
        <v>1577</v>
      </c>
      <c r="B478" s="27" t="s">
        <v>384</v>
      </c>
      <c r="E478" s="27" t="s">
        <v>81</v>
      </c>
      <c r="F478" s="27" t="s">
        <v>160</v>
      </c>
      <c r="G478" s="27" t="s">
        <v>83</v>
      </c>
      <c r="H478" s="27" t="s">
        <v>84</v>
      </c>
      <c r="I478" s="27" t="s">
        <v>85</v>
      </c>
      <c r="J478" s="27">
        <v>5</v>
      </c>
      <c r="K478" s="27">
        <v>39.99</v>
      </c>
      <c r="M478" s="27">
        <v>0</v>
      </c>
      <c r="N478" s="27">
        <v>0</v>
      </c>
      <c r="O478" s="27">
        <v>0</v>
      </c>
      <c r="P478" s="27" t="s">
        <v>86</v>
      </c>
      <c r="Q478" s="27">
        <v>3.713328</v>
      </c>
      <c r="R478" s="27">
        <v>4</v>
      </c>
      <c r="S478" s="27">
        <v>239</v>
      </c>
      <c r="T478" s="27">
        <v>8</v>
      </c>
      <c r="U478" s="27">
        <v>0.9676</v>
      </c>
      <c r="V478" s="27" t="s">
        <v>154</v>
      </c>
      <c r="W478" s="27">
        <v>9557.61</v>
      </c>
      <c r="X478" s="27">
        <v>5.480639</v>
      </c>
      <c r="Y478" s="27">
        <v>9.165198</v>
      </c>
      <c r="Z478" s="27">
        <v>2.8284</v>
      </c>
      <c r="AA478" s="27" t="s">
        <v>313</v>
      </c>
      <c r="AB478" s="27">
        <v>0</v>
      </c>
      <c r="AC478" s="27">
        <v>0</v>
      </c>
      <c r="AD478" s="27">
        <v>0</v>
      </c>
      <c r="AE478" s="27">
        <v>0</v>
      </c>
      <c r="AF478" s="27">
        <v>0</v>
      </c>
      <c r="AG478" s="27">
        <v>0</v>
      </c>
      <c r="AH478" s="27">
        <v>1</v>
      </c>
      <c r="AI478" s="27">
        <v>0</v>
      </c>
      <c r="AJ478" s="27">
        <v>0</v>
      </c>
      <c r="AK478" s="27">
        <v>0</v>
      </c>
      <c r="AL478" s="27">
        <v>0</v>
      </c>
      <c r="AM478" s="27">
        <v>0</v>
      </c>
      <c r="AN478" s="27">
        <v>0</v>
      </c>
      <c r="AO478" s="27">
        <v>0</v>
      </c>
      <c r="AP478" s="27">
        <v>0</v>
      </c>
      <c r="AQ478" s="27">
        <v>1</v>
      </c>
      <c r="AR478" s="27">
        <v>0</v>
      </c>
      <c r="AS478" s="27">
        <v>0</v>
      </c>
      <c r="AT478" s="27">
        <v>0</v>
      </c>
      <c r="AU478" s="27">
        <v>0</v>
      </c>
      <c r="AV478" s="27">
        <v>1</v>
      </c>
      <c r="AW478" s="27">
        <v>1</v>
      </c>
      <c r="AX478" s="27">
        <v>0</v>
      </c>
      <c r="AY478" s="27">
        <v>10</v>
      </c>
      <c r="AZ478" s="27">
        <v>1</v>
      </c>
      <c r="BA478" s="27">
        <v>2</v>
      </c>
      <c r="BB478" s="27">
        <v>68.22</v>
      </c>
      <c r="BC478" s="27" t="s">
        <v>309</v>
      </c>
      <c r="BD478" s="27" t="s">
        <v>386</v>
      </c>
      <c r="BE478" s="27" t="s">
        <v>226</v>
      </c>
      <c r="BF478" s="27" t="s">
        <v>77</v>
      </c>
      <c r="BG478" s="27">
        <v>1</v>
      </c>
      <c r="BH478" s="27">
        <v>28</v>
      </c>
      <c r="BI478" s="27">
        <v>0.0345</v>
      </c>
      <c r="BJ478" s="27">
        <v>1</v>
      </c>
      <c r="BK478" s="27">
        <v>6</v>
      </c>
      <c r="BL478" s="27">
        <v>98.4</v>
      </c>
    </row>
    <row r="479" customHeight="1" spans="1:64">
      <c r="A479" s="27" t="s">
        <v>1578</v>
      </c>
      <c r="B479" s="27" t="s">
        <v>125</v>
      </c>
      <c r="E479" s="27" t="s">
        <v>239</v>
      </c>
      <c r="F479" s="27" t="s">
        <v>240</v>
      </c>
      <c r="G479" s="27" t="s">
        <v>83</v>
      </c>
      <c r="H479" s="27" t="s">
        <v>138</v>
      </c>
      <c r="I479" s="27" t="s">
        <v>153</v>
      </c>
      <c r="J479" s="27">
        <v>2</v>
      </c>
      <c r="K479" s="27">
        <v>119.91</v>
      </c>
      <c r="L479" s="27">
        <v>157.77</v>
      </c>
      <c r="M479" s="27">
        <v>24</v>
      </c>
      <c r="N479" s="27">
        <v>37.86</v>
      </c>
      <c r="O479" s="27">
        <v>1</v>
      </c>
      <c r="P479" s="27" t="s">
        <v>95</v>
      </c>
      <c r="Q479" s="27">
        <v>4.795046</v>
      </c>
      <c r="R479" s="27">
        <v>14.99</v>
      </c>
      <c r="V479" s="27" t="s">
        <v>231</v>
      </c>
      <c r="W479" s="27">
        <v>0</v>
      </c>
      <c r="X479" s="27">
        <v>0</v>
      </c>
      <c r="Y479" s="27">
        <v>0</v>
      </c>
      <c r="Z479" s="27">
        <v>0</v>
      </c>
      <c r="AA479" s="27" t="s">
        <v>125</v>
      </c>
      <c r="AB479" s="27">
        <v>0</v>
      </c>
      <c r="AC479" s="27">
        <v>0</v>
      </c>
      <c r="AD479" s="27">
        <v>0</v>
      </c>
      <c r="AE479" s="27">
        <v>0</v>
      </c>
      <c r="AF479" s="27">
        <v>0</v>
      </c>
      <c r="AG479" s="27">
        <v>0</v>
      </c>
      <c r="AH479" s="27">
        <v>0</v>
      </c>
      <c r="AI479" s="27">
        <v>0</v>
      </c>
      <c r="AJ479" s="27">
        <v>0</v>
      </c>
      <c r="AK479" s="27">
        <v>0</v>
      </c>
      <c r="AL479" s="27">
        <v>0</v>
      </c>
      <c r="AM479" s="27">
        <v>0</v>
      </c>
      <c r="AN479" s="27">
        <v>0</v>
      </c>
      <c r="AO479" s="27">
        <v>0</v>
      </c>
      <c r="AP479" s="27">
        <v>0</v>
      </c>
      <c r="AQ479" s="27">
        <v>0</v>
      </c>
      <c r="AR479" s="27">
        <v>0</v>
      </c>
      <c r="AS479" s="27">
        <v>0</v>
      </c>
      <c r="AT479" s="27">
        <v>0</v>
      </c>
      <c r="AU479" s="27">
        <v>0</v>
      </c>
      <c r="AV479" s="27">
        <v>0</v>
      </c>
      <c r="AW479" s="27">
        <v>1</v>
      </c>
      <c r="AX479" s="27">
        <v>0</v>
      </c>
      <c r="AY479" s="27">
        <v>8</v>
      </c>
      <c r="AZ479" s="27">
        <v>1</v>
      </c>
      <c r="BA479" s="27">
        <v>0</v>
      </c>
      <c r="BB479" s="27">
        <v>7.2</v>
      </c>
      <c r="BC479" s="27" t="s">
        <v>1579</v>
      </c>
      <c r="BD479" s="27" t="s">
        <v>1580</v>
      </c>
      <c r="BE479" s="27" t="s">
        <v>576</v>
      </c>
      <c r="BF479" s="27" t="s">
        <v>77</v>
      </c>
      <c r="BG479" s="27">
        <v>162</v>
      </c>
      <c r="BH479" s="27">
        <v>59</v>
      </c>
      <c r="BI479" s="27">
        <v>0.733</v>
      </c>
      <c r="BJ479" s="27">
        <v>0</v>
      </c>
      <c r="BK479" s="27">
        <v>1738</v>
      </c>
      <c r="BL479" s="27">
        <v>0</v>
      </c>
    </row>
    <row r="480" customHeight="1" spans="1:64">
      <c r="A480" s="27" t="s">
        <v>1581</v>
      </c>
      <c r="B480" s="27" t="s">
        <v>1582</v>
      </c>
      <c r="E480" s="27" t="s">
        <v>559</v>
      </c>
      <c r="F480" s="27" t="s">
        <v>240</v>
      </c>
      <c r="G480" s="27" t="s">
        <v>83</v>
      </c>
      <c r="H480" s="27" t="s">
        <v>84</v>
      </c>
      <c r="I480" s="27" t="s">
        <v>153</v>
      </c>
      <c r="J480" s="27">
        <v>2</v>
      </c>
      <c r="K480" s="27">
        <v>270</v>
      </c>
      <c r="M480" s="27">
        <v>0</v>
      </c>
      <c r="N480" s="27">
        <v>0</v>
      </c>
      <c r="O480" s="27">
        <v>0</v>
      </c>
      <c r="P480" s="27" t="s">
        <v>71</v>
      </c>
      <c r="Q480" s="27">
        <v>5.602119</v>
      </c>
      <c r="V480" s="27" t="s">
        <v>231</v>
      </c>
      <c r="W480" s="27">
        <v>0</v>
      </c>
      <c r="X480" s="27">
        <v>0</v>
      </c>
      <c r="Y480" s="27">
        <v>0</v>
      </c>
      <c r="Z480" s="27">
        <v>0</v>
      </c>
      <c r="AA480" s="27" t="s">
        <v>125</v>
      </c>
      <c r="AB480" s="27">
        <v>0</v>
      </c>
      <c r="AC480" s="27">
        <v>0</v>
      </c>
      <c r="AD480" s="27">
        <v>0</v>
      </c>
      <c r="AE480" s="27">
        <v>0</v>
      </c>
      <c r="AF480" s="27">
        <v>0</v>
      </c>
      <c r="AG480" s="27">
        <v>0</v>
      </c>
      <c r="AH480" s="27">
        <v>0</v>
      </c>
      <c r="AI480" s="27">
        <v>0</v>
      </c>
      <c r="AJ480" s="27">
        <v>0</v>
      </c>
      <c r="AK480" s="27">
        <v>0</v>
      </c>
      <c r="AL480" s="27">
        <v>0</v>
      </c>
      <c r="AM480" s="27">
        <v>0</v>
      </c>
      <c r="AN480" s="27">
        <v>0</v>
      </c>
      <c r="AO480" s="27">
        <v>0</v>
      </c>
      <c r="AP480" s="27">
        <v>0</v>
      </c>
      <c r="AQ480" s="27">
        <v>0</v>
      </c>
      <c r="AR480" s="27">
        <v>0</v>
      </c>
      <c r="AS480" s="27">
        <v>0</v>
      </c>
      <c r="AT480" s="27">
        <v>0</v>
      </c>
      <c r="AU480" s="27">
        <v>0</v>
      </c>
      <c r="AV480" s="27">
        <v>1</v>
      </c>
      <c r="AW480" s="27">
        <v>0</v>
      </c>
      <c r="AX480" s="27">
        <v>0</v>
      </c>
      <c r="AZ480" s="27">
        <v>1</v>
      </c>
      <c r="BA480" s="27">
        <v>0</v>
      </c>
      <c r="BB480" s="27">
        <v>28.92</v>
      </c>
      <c r="BC480" s="27" t="s">
        <v>1583</v>
      </c>
      <c r="BD480" s="27" t="s">
        <v>1584</v>
      </c>
      <c r="BE480" s="27" t="s">
        <v>1585</v>
      </c>
      <c r="BF480" s="27" t="s">
        <v>77</v>
      </c>
      <c r="BG480" s="27">
        <v>14</v>
      </c>
      <c r="BH480" s="27">
        <v>11</v>
      </c>
      <c r="BI480" s="27">
        <v>0.56</v>
      </c>
      <c r="BJ480" s="27">
        <v>0</v>
      </c>
      <c r="BK480" s="27">
        <v>13</v>
      </c>
      <c r="BL480" s="27">
        <v>96.4</v>
      </c>
    </row>
    <row r="481" customHeight="1" spans="1:64">
      <c r="A481" s="27" t="s">
        <v>1586</v>
      </c>
      <c r="B481" s="27" t="s">
        <v>1587</v>
      </c>
      <c r="E481" s="27" t="s">
        <v>209</v>
      </c>
      <c r="F481" s="27" t="s">
        <v>240</v>
      </c>
      <c r="G481" s="27" t="s">
        <v>83</v>
      </c>
      <c r="H481" s="27" t="s">
        <v>84</v>
      </c>
      <c r="I481" s="27" t="s">
        <v>153</v>
      </c>
      <c r="J481" s="27">
        <v>2</v>
      </c>
      <c r="K481" s="27">
        <v>14.99</v>
      </c>
      <c r="M481" s="27">
        <v>0</v>
      </c>
      <c r="N481" s="27">
        <v>0</v>
      </c>
      <c r="O481" s="27">
        <v>0</v>
      </c>
      <c r="P481" s="27" t="s">
        <v>133</v>
      </c>
      <c r="Q481" s="27">
        <v>2.771964</v>
      </c>
      <c r="V481" s="27" t="s">
        <v>231</v>
      </c>
      <c r="W481" s="27">
        <v>0</v>
      </c>
      <c r="X481" s="27">
        <v>0</v>
      </c>
      <c r="Y481" s="27">
        <v>0</v>
      </c>
      <c r="Z481" s="27">
        <v>0</v>
      </c>
      <c r="AA481" s="27" t="s">
        <v>125</v>
      </c>
      <c r="AB481" s="27">
        <v>0</v>
      </c>
      <c r="AC481" s="27">
        <v>0</v>
      </c>
      <c r="AD481" s="27">
        <v>0</v>
      </c>
      <c r="AE481" s="27">
        <v>0</v>
      </c>
      <c r="AF481" s="27">
        <v>0</v>
      </c>
      <c r="AG481" s="27">
        <v>0</v>
      </c>
      <c r="AH481" s="27">
        <v>0</v>
      </c>
      <c r="AI481" s="27">
        <v>0</v>
      </c>
      <c r="AJ481" s="27">
        <v>0</v>
      </c>
      <c r="AK481" s="27">
        <v>0</v>
      </c>
      <c r="AL481" s="27">
        <v>0</v>
      </c>
      <c r="AM481" s="27">
        <v>0</v>
      </c>
      <c r="AN481" s="27">
        <v>0</v>
      </c>
      <c r="AO481" s="27">
        <v>0</v>
      </c>
      <c r="AP481" s="27">
        <v>0</v>
      </c>
      <c r="AQ481" s="27">
        <v>0</v>
      </c>
      <c r="AR481" s="27">
        <v>0</v>
      </c>
      <c r="AS481" s="27">
        <v>0</v>
      </c>
      <c r="AT481" s="27">
        <v>0</v>
      </c>
      <c r="AU481" s="27">
        <v>0</v>
      </c>
      <c r="AV481" s="27">
        <v>0</v>
      </c>
      <c r="AW481" s="27">
        <v>0</v>
      </c>
      <c r="AX481" s="27">
        <v>0</v>
      </c>
      <c r="AZ481" s="27">
        <v>1</v>
      </c>
      <c r="BA481" s="27">
        <v>0</v>
      </c>
      <c r="BB481" s="27">
        <v>17.91</v>
      </c>
      <c r="BC481" s="27" t="s">
        <v>1588</v>
      </c>
      <c r="BD481" s="27" t="s">
        <v>1589</v>
      </c>
      <c r="BE481" s="27" t="s">
        <v>1590</v>
      </c>
      <c r="BF481" s="27" t="s">
        <v>77</v>
      </c>
      <c r="BG481" s="27">
        <v>168</v>
      </c>
      <c r="BH481" s="27">
        <v>11</v>
      </c>
      <c r="BI481" s="27">
        <v>0.9385</v>
      </c>
      <c r="BJ481" s="27">
        <v>0</v>
      </c>
      <c r="BK481" s="27">
        <v>147</v>
      </c>
      <c r="BL481" s="27">
        <v>59.7</v>
      </c>
    </row>
    <row r="482" customHeight="1" spans="1:64">
      <c r="A482" s="27" t="s">
        <v>1591</v>
      </c>
      <c r="B482" s="27" t="s">
        <v>1592</v>
      </c>
      <c r="E482" s="27" t="s">
        <v>1593</v>
      </c>
      <c r="F482" s="27" t="s">
        <v>240</v>
      </c>
      <c r="G482" s="27" t="s">
        <v>83</v>
      </c>
      <c r="H482" s="27" t="s">
        <v>84</v>
      </c>
      <c r="I482" s="27" t="s">
        <v>85</v>
      </c>
      <c r="J482" s="27">
        <v>5</v>
      </c>
      <c r="K482" s="27">
        <v>40</v>
      </c>
      <c r="M482" s="27">
        <v>0</v>
      </c>
      <c r="N482" s="27">
        <v>0</v>
      </c>
      <c r="O482" s="27">
        <v>0</v>
      </c>
      <c r="P482" s="27" t="s">
        <v>86</v>
      </c>
      <c r="Q482" s="27">
        <v>3.713572</v>
      </c>
      <c r="T482" s="27">
        <v>3</v>
      </c>
      <c r="U482" s="27">
        <v>0</v>
      </c>
      <c r="V482" s="27" t="s">
        <v>231</v>
      </c>
      <c r="W482" s="27">
        <v>0</v>
      </c>
      <c r="X482" s="27">
        <v>0</v>
      </c>
      <c r="Y482" s="27">
        <v>0</v>
      </c>
      <c r="Z482" s="27">
        <v>1.7321</v>
      </c>
      <c r="AA482" s="27" t="s">
        <v>125</v>
      </c>
      <c r="AB482" s="27">
        <v>0</v>
      </c>
      <c r="AC482" s="27">
        <v>0</v>
      </c>
      <c r="AD482" s="27">
        <v>0</v>
      </c>
      <c r="AE482" s="27">
        <v>0</v>
      </c>
      <c r="AF482" s="27">
        <v>0</v>
      </c>
      <c r="AG482" s="27">
        <v>0</v>
      </c>
      <c r="AH482" s="27">
        <v>0</v>
      </c>
      <c r="AI482" s="27">
        <v>0</v>
      </c>
      <c r="AJ482" s="27">
        <v>0</v>
      </c>
      <c r="AK482" s="27">
        <v>0</v>
      </c>
      <c r="AL482" s="27">
        <v>0</v>
      </c>
      <c r="AM482" s="27">
        <v>0</v>
      </c>
      <c r="AN482" s="27">
        <v>0</v>
      </c>
      <c r="AO482" s="27">
        <v>0</v>
      </c>
      <c r="AP482" s="27">
        <v>0</v>
      </c>
      <c r="AQ482" s="27">
        <v>0</v>
      </c>
      <c r="AR482" s="27">
        <v>0</v>
      </c>
      <c r="AS482" s="27">
        <v>0</v>
      </c>
      <c r="AT482" s="27">
        <v>0</v>
      </c>
      <c r="AU482" s="27">
        <v>0</v>
      </c>
      <c r="AV482" s="27">
        <v>0</v>
      </c>
      <c r="AW482" s="27">
        <v>0</v>
      </c>
      <c r="AX482" s="27">
        <v>0</v>
      </c>
      <c r="AZ482" s="27">
        <v>1</v>
      </c>
      <c r="BA482" s="27">
        <v>0</v>
      </c>
      <c r="BB482" s="27">
        <v>0</v>
      </c>
      <c r="BC482" s="27" t="s">
        <v>1594</v>
      </c>
      <c r="BD482" s="27" t="s">
        <v>1595</v>
      </c>
      <c r="BE482" s="27" t="s">
        <v>128</v>
      </c>
      <c r="BF482" s="27" t="s">
        <v>77</v>
      </c>
      <c r="BG482" s="27">
        <v>162</v>
      </c>
      <c r="BH482" s="27">
        <v>58</v>
      </c>
      <c r="BI482" s="27">
        <v>0.7364</v>
      </c>
      <c r="BJ482" s="27">
        <v>0</v>
      </c>
    </row>
    <row r="483" customHeight="1" spans="1:64">
      <c r="A483" s="27" t="s">
        <v>1596</v>
      </c>
      <c r="B483" s="27" t="s">
        <v>125</v>
      </c>
      <c r="E483" s="27" t="s">
        <v>1597</v>
      </c>
      <c r="F483" s="27" t="s">
        <v>240</v>
      </c>
      <c r="G483" s="27" t="s">
        <v>83</v>
      </c>
      <c r="H483" s="27" t="s">
        <v>138</v>
      </c>
      <c r="I483" s="27" t="s">
        <v>85</v>
      </c>
      <c r="J483" s="27">
        <v>5</v>
      </c>
      <c r="K483" s="27">
        <v>140</v>
      </c>
      <c r="M483" s="27">
        <v>0</v>
      </c>
      <c r="N483" s="27">
        <v>0</v>
      </c>
      <c r="O483" s="27">
        <v>0</v>
      </c>
      <c r="P483" s="27" t="s">
        <v>95</v>
      </c>
      <c r="Q483" s="27">
        <v>4.94876</v>
      </c>
      <c r="R483" s="27">
        <v>17.5</v>
      </c>
      <c r="S483" s="27">
        <v>1</v>
      </c>
      <c r="T483" s="27">
        <v>4</v>
      </c>
      <c r="U483" s="27">
        <v>0.2</v>
      </c>
      <c r="V483" s="27" t="s">
        <v>87</v>
      </c>
      <c r="W483" s="27">
        <v>140</v>
      </c>
      <c r="X483" s="27">
        <v>0.693147</v>
      </c>
      <c r="Y483" s="27">
        <v>4.94876</v>
      </c>
      <c r="Z483" s="27">
        <v>2</v>
      </c>
      <c r="AA483" s="27" t="s">
        <v>125</v>
      </c>
      <c r="AB483" s="27">
        <v>0</v>
      </c>
      <c r="AC483" s="27">
        <v>0</v>
      </c>
      <c r="AD483" s="27">
        <v>0</v>
      </c>
      <c r="AE483" s="27">
        <v>0</v>
      </c>
      <c r="AF483" s="27">
        <v>0</v>
      </c>
      <c r="AG483" s="27">
        <v>0</v>
      </c>
      <c r="AH483" s="27">
        <v>0</v>
      </c>
      <c r="AI483" s="27">
        <v>0</v>
      </c>
      <c r="AJ483" s="27">
        <v>0</v>
      </c>
      <c r="AK483" s="27">
        <v>0</v>
      </c>
      <c r="AL483" s="27">
        <v>0</v>
      </c>
      <c r="AM483" s="27">
        <v>0</v>
      </c>
      <c r="AN483" s="27">
        <v>0</v>
      </c>
      <c r="AO483" s="27">
        <v>0</v>
      </c>
      <c r="AP483" s="27">
        <v>0</v>
      </c>
      <c r="AQ483" s="27">
        <v>1</v>
      </c>
      <c r="AR483" s="27">
        <v>0</v>
      </c>
      <c r="AS483" s="27">
        <v>0</v>
      </c>
      <c r="AT483" s="27">
        <v>0</v>
      </c>
      <c r="AU483" s="27">
        <v>0</v>
      </c>
      <c r="AV483" s="27">
        <v>1</v>
      </c>
      <c r="AW483" s="27">
        <v>0</v>
      </c>
      <c r="AX483" s="27">
        <v>0</v>
      </c>
      <c r="AY483" s="27">
        <v>8</v>
      </c>
      <c r="AZ483" s="27">
        <v>1</v>
      </c>
      <c r="BA483" s="27">
        <v>1</v>
      </c>
      <c r="BB483" s="27">
        <v>8</v>
      </c>
      <c r="BC483" s="27" t="s">
        <v>697</v>
      </c>
      <c r="BD483" s="27" t="s">
        <v>698</v>
      </c>
      <c r="BE483" s="27" t="s">
        <v>627</v>
      </c>
      <c r="BF483" s="27" t="s">
        <v>77</v>
      </c>
      <c r="BG483" s="27">
        <v>168</v>
      </c>
      <c r="BH483" s="27">
        <v>11</v>
      </c>
      <c r="BI483" s="27">
        <v>0.9385</v>
      </c>
      <c r="BJ483" s="27">
        <v>0</v>
      </c>
    </row>
    <row r="484" customHeight="1" spans="1:64">
      <c r="A484" s="27" t="s">
        <v>1598</v>
      </c>
      <c r="B484" s="27" t="s">
        <v>195</v>
      </c>
      <c r="D484" s="27">
        <v>843261113962</v>
      </c>
      <c r="E484" s="27" t="s">
        <v>209</v>
      </c>
      <c r="F484" s="27" t="s">
        <v>160</v>
      </c>
      <c r="G484" s="27" t="s">
        <v>83</v>
      </c>
      <c r="H484" s="27" t="s">
        <v>84</v>
      </c>
      <c r="I484" s="27" t="s">
        <v>85</v>
      </c>
      <c r="J484" s="27">
        <v>5</v>
      </c>
      <c r="K484" s="27">
        <v>98.99</v>
      </c>
      <c r="M484" s="27">
        <v>0</v>
      </c>
      <c r="N484" s="27">
        <v>0</v>
      </c>
      <c r="O484" s="27">
        <v>0</v>
      </c>
      <c r="P484" s="27" t="s">
        <v>95</v>
      </c>
      <c r="Q484" s="27">
        <v>4.60507</v>
      </c>
      <c r="S484" s="27">
        <v>8</v>
      </c>
      <c r="T484" s="27">
        <v>3</v>
      </c>
      <c r="U484" s="27">
        <v>0.7273</v>
      </c>
      <c r="V484" s="27" t="s">
        <v>87</v>
      </c>
      <c r="W484" s="27">
        <v>791.92</v>
      </c>
      <c r="X484" s="27">
        <v>2.197225</v>
      </c>
      <c r="Y484" s="27">
        <v>6.675722</v>
      </c>
      <c r="Z484" s="27">
        <v>1.7321</v>
      </c>
      <c r="AA484" s="27" t="s">
        <v>125</v>
      </c>
      <c r="AB484" s="27">
        <v>0</v>
      </c>
      <c r="AC484" s="27">
        <v>0</v>
      </c>
      <c r="AD484" s="27">
        <v>0</v>
      </c>
      <c r="AE484" s="27">
        <v>0</v>
      </c>
      <c r="AF484" s="27">
        <v>0</v>
      </c>
      <c r="AG484" s="27">
        <v>0</v>
      </c>
      <c r="AH484" s="27">
        <v>0</v>
      </c>
      <c r="AI484" s="27">
        <v>0</v>
      </c>
      <c r="AJ484" s="27">
        <v>0</v>
      </c>
      <c r="AK484" s="27">
        <v>0</v>
      </c>
      <c r="AL484" s="27">
        <v>0</v>
      </c>
      <c r="AM484" s="27">
        <v>0</v>
      </c>
      <c r="AN484" s="27">
        <v>0</v>
      </c>
      <c r="AO484" s="27">
        <v>0</v>
      </c>
      <c r="AP484" s="27">
        <v>0</v>
      </c>
      <c r="AQ484" s="27">
        <v>0</v>
      </c>
      <c r="AR484" s="27">
        <v>0</v>
      </c>
      <c r="AS484" s="27">
        <v>0</v>
      </c>
      <c r="AT484" s="27">
        <v>0</v>
      </c>
      <c r="AU484" s="27">
        <v>1</v>
      </c>
      <c r="AV484" s="27">
        <v>0</v>
      </c>
      <c r="AW484" s="27">
        <v>1</v>
      </c>
      <c r="AX484" s="27">
        <v>0</v>
      </c>
      <c r="AZ484" s="27">
        <v>1</v>
      </c>
      <c r="BA484" s="27">
        <v>0</v>
      </c>
      <c r="BB484" s="27">
        <v>58.19</v>
      </c>
      <c r="BC484" s="27" t="s">
        <v>1599</v>
      </c>
      <c r="BD484" s="27" t="s">
        <v>1600</v>
      </c>
      <c r="BE484" s="27" t="s">
        <v>262</v>
      </c>
      <c r="BF484" s="27" t="s">
        <v>77</v>
      </c>
      <c r="BG484" s="27">
        <v>168</v>
      </c>
      <c r="BH484" s="27">
        <v>11</v>
      </c>
      <c r="BI484" s="27">
        <v>0.9385</v>
      </c>
      <c r="BJ484" s="27">
        <v>0</v>
      </c>
      <c r="BK484" s="27">
        <v>11</v>
      </c>
      <c r="BL484" s="27">
        <v>97</v>
      </c>
    </row>
    <row r="485" customHeight="1" spans="1:64">
      <c r="A485" s="27" t="s">
        <v>1601</v>
      </c>
      <c r="B485" s="27" t="s">
        <v>202</v>
      </c>
      <c r="E485" s="27" t="s">
        <v>81</v>
      </c>
      <c r="F485" s="27" t="s">
        <v>82</v>
      </c>
      <c r="G485" s="27" t="s">
        <v>83</v>
      </c>
      <c r="H485" s="27" t="s">
        <v>84</v>
      </c>
      <c r="I485" s="27" t="s">
        <v>153</v>
      </c>
      <c r="J485" s="27">
        <v>2</v>
      </c>
      <c r="K485" s="27">
        <v>29.95</v>
      </c>
      <c r="M485" s="27">
        <v>0</v>
      </c>
      <c r="N485" s="27">
        <v>0</v>
      </c>
      <c r="O485" s="27">
        <v>0</v>
      </c>
      <c r="P485" s="27" t="s">
        <v>86</v>
      </c>
      <c r="Q485" s="27">
        <v>3.432373</v>
      </c>
      <c r="S485" s="27">
        <v>17</v>
      </c>
      <c r="T485" s="27">
        <v>2</v>
      </c>
      <c r="U485" s="27">
        <v>0.8947</v>
      </c>
      <c r="V485" s="27" t="s">
        <v>72</v>
      </c>
      <c r="W485" s="27">
        <v>509.15</v>
      </c>
      <c r="X485" s="27">
        <v>2.890372</v>
      </c>
      <c r="Y485" s="27">
        <v>6.234705</v>
      </c>
      <c r="Z485" s="27">
        <v>1.4142</v>
      </c>
      <c r="AA485" s="27" t="s">
        <v>139</v>
      </c>
      <c r="AB485" s="27">
        <v>0</v>
      </c>
      <c r="AC485" s="27">
        <v>0</v>
      </c>
      <c r="AD485" s="27">
        <v>0</v>
      </c>
      <c r="AE485" s="27">
        <v>0</v>
      </c>
      <c r="AF485" s="27">
        <v>1</v>
      </c>
      <c r="AG485" s="27">
        <v>0</v>
      </c>
      <c r="AH485" s="27">
        <v>1</v>
      </c>
      <c r="AI485" s="27">
        <v>0</v>
      </c>
      <c r="AJ485" s="27">
        <v>0</v>
      </c>
      <c r="AK485" s="27">
        <v>0</v>
      </c>
      <c r="AL485" s="27">
        <v>0</v>
      </c>
      <c r="AM485" s="27">
        <v>0</v>
      </c>
      <c r="AN485" s="27">
        <v>0</v>
      </c>
      <c r="AO485" s="27">
        <v>0</v>
      </c>
      <c r="AP485" s="27">
        <v>0</v>
      </c>
      <c r="AQ485" s="27">
        <v>0</v>
      </c>
      <c r="AR485" s="27">
        <v>0</v>
      </c>
      <c r="AS485" s="27">
        <v>0</v>
      </c>
      <c r="AT485" s="27">
        <v>0</v>
      </c>
      <c r="AU485" s="27">
        <v>0</v>
      </c>
      <c r="AV485" s="27">
        <v>0</v>
      </c>
      <c r="AW485" s="27">
        <v>0</v>
      </c>
      <c r="AX485" s="27">
        <v>0</v>
      </c>
      <c r="AZ485" s="27">
        <v>1</v>
      </c>
      <c r="BA485" s="27">
        <v>1</v>
      </c>
      <c r="BB485" s="27">
        <v>62.1</v>
      </c>
      <c r="BC485" s="27" t="s">
        <v>204</v>
      </c>
      <c r="BD485" s="27" t="s">
        <v>205</v>
      </c>
      <c r="BE485" s="27" t="s">
        <v>206</v>
      </c>
      <c r="BF485" s="27" t="s">
        <v>77</v>
      </c>
      <c r="BG485" s="27">
        <v>162</v>
      </c>
      <c r="BH485" s="27">
        <v>53</v>
      </c>
      <c r="BI485" s="27">
        <v>0.7535</v>
      </c>
      <c r="BJ485" s="27">
        <v>0</v>
      </c>
      <c r="BK485" s="27">
        <v>45</v>
      </c>
      <c r="BL485" s="27">
        <v>87.7</v>
      </c>
    </row>
    <row r="486" customHeight="1" spans="1:64">
      <c r="A486" s="27" t="s">
        <v>1602</v>
      </c>
      <c r="B486" s="27" t="s">
        <v>125</v>
      </c>
      <c r="E486" s="27" t="s">
        <v>1603</v>
      </c>
      <c r="F486" s="27" t="s">
        <v>132</v>
      </c>
      <c r="G486" s="27" t="s">
        <v>83</v>
      </c>
      <c r="H486" s="27" t="s">
        <v>138</v>
      </c>
      <c r="I486" s="27" t="s">
        <v>85</v>
      </c>
      <c r="J486" s="27">
        <v>5</v>
      </c>
      <c r="K486" s="27">
        <v>12.95</v>
      </c>
      <c r="M486" s="27">
        <v>0</v>
      </c>
      <c r="N486" s="27">
        <v>0</v>
      </c>
      <c r="O486" s="27">
        <v>0</v>
      </c>
      <c r="P486" s="27" t="s">
        <v>133</v>
      </c>
      <c r="Q486" s="27">
        <v>2.63548</v>
      </c>
      <c r="S486" s="27">
        <v>170</v>
      </c>
      <c r="T486" s="27">
        <v>13</v>
      </c>
      <c r="U486" s="27">
        <v>0.929</v>
      </c>
      <c r="V486" s="27" t="s">
        <v>154</v>
      </c>
      <c r="W486" s="27">
        <v>2201.5</v>
      </c>
      <c r="X486" s="27">
        <v>5.141664</v>
      </c>
      <c r="Y486" s="27">
        <v>7.697348</v>
      </c>
      <c r="Z486" s="27">
        <v>3.6056</v>
      </c>
      <c r="AA486" s="27" t="s">
        <v>125</v>
      </c>
      <c r="AB486" s="27">
        <v>0</v>
      </c>
      <c r="AC486" s="27">
        <v>0</v>
      </c>
      <c r="AD486" s="27">
        <v>0</v>
      </c>
      <c r="AE486" s="27">
        <v>0</v>
      </c>
      <c r="AF486" s="27">
        <v>0</v>
      </c>
      <c r="AG486" s="27">
        <v>0</v>
      </c>
      <c r="AH486" s="27">
        <v>1</v>
      </c>
      <c r="AI486" s="27">
        <v>0</v>
      </c>
      <c r="AJ486" s="27">
        <v>0</v>
      </c>
      <c r="AK486" s="27">
        <v>0</v>
      </c>
      <c r="AL486" s="27">
        <v>0</v>
      </c>
      <c r="AM486" s="27">
        <v>0</v>
      </c>
      <c r="AN486" s="27">
        <v>0</v>
      </c>
      <c r="AO486" s="27">
        <v>0</v>
      </c>
      <c r="AP486" s="27">
        <v>0</v>
      </c>
      <c r="AQ486" s="27">
        <v>0</v>
      </c>
      <c r="AR486" s="27">
        <v>0</v>
      </c>
      <c r="AS486" s="27">
        <v>0</v>
      </c>
      <c r="AT486" s="27">
        <v>0</v>
      </c>
      <c r="AU486" s="27">
        <v>0</v>
      </c>
      <c r="AV486" s="27">
        <v>0</v>
      </c>
      <c r="AW486" s="27">
        <v>0</v>
      </c>
      <c r="AX486" s="27">
        <v>0</v>
      </c>
      <c r="AZ486" s="27">
        <v>1</v>
      </c>
      <c r="BA486" s="27">
        <v>1</v>
      </c>
      <c r="BB486" s="27">
        <v>54.26</v>
      </c>
      <c r="BC486" s="27" t="s">
        <v>1604</v>
      </c>
      <c r="BD486" s="27" t="s">
        <v>1054</v>
      </c>
      <c r="BE486" s="27" t="s">
        <v>262</v>
      </c>
      <c r="BF486" s="27" t="s">
        <v>77</v>
      </c>
      <c r="BG486" s="27">
        <v>169</v>
      </c>
      <c r="BH486" s="27">
        <v>11</v>
      </c>
      <c r="BI486" s="27">
        <v>0.9389</v>
      </c>
      <c r="BJ486" s="27">
        <v>0</v>
      </c>
      <c r="BK486" s="27">
        <v>157</v>
      </c>
      <c r="BL486" s="27">
        <v>57</v>
      </c>
    </row>
    <row r="487" customHeight="1" spans="1:64">
      <c r="A487" s="27" t="s">
        <v>1605</v>
      </c>
      <c r="B487" s="27" t="s">
        <v>171</v>
      </c>
      <c r="C487" s="27" t="s">
        <v>1064</v>
      </c>
      <c r="E487" s="27" t="s">
        <v>239</v>
      </c>
      <c r="F487" s="27" t="s">
        <v>160</v>
      </c>
      <c r="G487" s="27" t="s">
        <v>83</v>
      </c>
      <c r="H487" s="27" t="s">
        <v>84</v>
      </c>
      <c r="I487" s="27" t="s">
        <v>153</v>
      </c>
      <c r="J487" s="27">
        <v>2</v>
      </c>
      <c r="K487" s="27">
        <v>79.79</v>
      </c>
      <c r="L487" s="27">
        <v>132.99</v>
      </c>
      <c r="M487" s="27">
        <v>40</v>
      </c>
      <c r="N487" s="27">
        <v>53.2</v>
      </c>
      <c r="O487" s="27">
        <v>1</v>
      </c>
      <c r="P487" s="27" t="s">
        <v>95</v>
      </c>
      <c r="Q487" s="27">
        <v>4.391853</v>
      </c>
      <c r="R487" s="27">
        <v>4.99</v>
      </c>
      <c r="S487" s="27">
        <v>146</v>
      </c>
      <c r="T487" s="27">
        <v>10</v>
      </c>
      <c r="U487" s="27">
        <v>0.9359</v>
      </c>
      <c r="V487" s="27" t="s">
        <v>72</v>
      </c>
      <c r="W487" s="27">
        <v>11649.34</v>
      </c>
      <c r="X487" s="27">
        <v>4.990433</v>
      </c>
      <c r="Y487" s="27">
        <v>9.363091</v>
      </c>
      <c r="Z487" s="27">
        <v>3.1623</v>
      </c>
      <c r="AA487" s="27" t="s">
        <v>187</v>
      </c>
      <c r="AB487" s="27">
        <v>0</v>
      </c>
      <c r="AC487" s="27">
        <v>0</v>
      </c>
      <c r="AD487" s="27">
        <v>0</v>
      </c>
      <c r="AE487" s="27">
        <v>0</v>
      </c>
      <c r="AF487" s="27">
        <v>0</v>
      </c>
      <c r="AG487" s="27">
        <v>0</v>
      </c>
      <c r="AH487" s="27">
        <v>0</v>
      </c>
      <c r="AI487" s="27">
        <v>0</v>
      </c>
      <c r="AJ487" s="27">
        <v>0</v>
      </c>
      <c r="AK487" s="27">
        <v>0</v>
      </c>
      <c r="AL487" s="27">
        <v>0</v>
      </c>
      <c r="AM487" s="27">
        <v>0</v>
      </c>
      <c r="AN487" s="27">
        <v>0</v>
      </c>
      <c r="AO487" s="27">
        <v>0</v>
      </c>
      <c r="AP487" s="27">
        <v>0</v>
      </c>
      <c r="AQ487" s="27">
        <v>1</v>
      </c>
      <c r="AR487" s="27">
        <v>0</v>
      </c>
      <c r="AS487" s="27">
        <v>0</v>
      </c>
      <c r="AT487" s="27">
        <v>0</v>
      </c>
      <c r="AU487" s="27">
        <v>0</v>
      </c>
      <c r="AV487" s="27">
        <v>1</v>
      </c>
      <c r="AW487" s="27">
        <v>1</v>
      </c>
      <c r="AX487" s="27">
        <v>0</v>
      </c>
      <c r="AY487" s="27">
        <v>16</v>
      </c>
      <c r="AZ487" s="27">
        <v>1</v>
      </c>
      <c r="BA487" s="27">
        <v>1</v>
      </c>
      <c r="BB487" s="27">
        <v>79.11</v>
      </c>
      <c r="BC487" s="27" t="s">
        <v>174</v>
      </c>
      <c r="BD487" s="27" t="s">
        <v>175</v>
      </c>
      <c r="BE487" s="27" t="s">
        <v>226</v>
      </c>
      <c r="BF487" s="27" t="s">
        <v>77</v>
      </c>
      <c r="BG487" s="27">
        <v>162</v>
      </c>
      <c r="BH487" s="27">
        <v>60</v>
      </c>
      <c r="BI487" s="27">
        <v>0.7297</v>
      </c>
      <c r="BJ487" s="27">
        <v>0</v>
      </c>
      <c r="BK487" s="27">
        <v>4</v>
      </c>
      <c r="BL487" s="27">
        <v>98.9</v>
      </c>
    </row>
    <row r="488" customHeight="1" spans="1:64">
      <c r="A488" s="27" t="s">
        <v>1606</v>
      </c>
      <c r="B488" s="27" t="s">
        <v>125</v>
      </c>
      <c r="C488" s="27" t="s">
        <v>1607</v>
      </c>
      <c r="E488" s="27" t="s">
        <v>1606</v>
      </c>
      <c r="F488" s="27" t="s">
        <v>132</v>
      </c>
      <c r="G488" s="27" t="s">
        <v>83</v>
      </c>
      <c r="H488" s="27" t="s">
        <v>138</v>
      </c>
      <c r="I488" s="27" t="s">
        <v>85</v>
      </c>
      <c r="J488" s="27">
        <v>5</v>
      </c>
      <c r="K488" s="27">
        <v>9.99</v>
      </c>
      <c r="M488" s="27">
        <v>0</v>
      </c>
      <c r="N488" s="27">
        <v>0</v>
      </c>
      <c r="O488" s="27">
        <v>0</v>
      </c>
      <c r="P488" s="27" t="s">
        <v>133</v>
      </c>
      <c r="Q488" s="27">
        <v>2.396986</v>
      </c>
      <c r="S488" s="27">
        <v>383</v>
      </c>
      <c r="T488" s="27">
        <v>10</v>
      </c>
      <c r="U488" s="27">
        <v>0.9746</v>
      </c>
      <c r="V488" s="27" t="s">
        <v>154</v>
      </c>
      <c r="W488" s="27">
        <v>3826.17</v>
      </c>
      <c r="X488" s="27">
        <v>5.950643</v>
      </c>
      <c r="Y488" s="27">
        <v>8.249881</v>
      </c>
      <c r="Z488" s="27">
        <v>3.1623</v>
      </c>
      <c r="AA488" s="27" t="s">
        <v>125</v>
      </c>
      <c r="AB488" s="27">
        <v>0</v>
      </c>
      <c r="AC488" s="27">
        <v>0</v>
      </c>
      <c r="AD488" s="27">
        <v>0</v>
      </c>
      <c r="AE488" s="27">
        <v>0</v>
      </c>
      <c r="AF488" s="27">
        <v>0</v>
      </c>
      <c r="AG488" s="27">
        <v>0</v>
      </c>
      <c r="AH488" s="27">
        <v>0</v>
      </c>
      <c r="AI488" s="27">
        <v>0</v>
      </c>
      <c r="AJ488" s="27">
        <v>0</v>
      </c>
      <c r="AK488" s="27">
        <v>0</v>
      </c>
      <c r="AL488" s="27">
        <v>0</v>
      </c>
      <c r="AM488" s="27">
        <v>0</v>
      </c>
      <c r="AN488" s="27">
        <v>0</v>
      </c>
      <c r="AO488" s="27">
        <v>0</v>
      </c>
      <c r="AP488" s="27">
        <v>0</v>
      </c>
      <c r="AQ488" s="27">
        <v>0</v>
      </c>
      <c r="AR488" s="27">
        <v>0</v>
      </c>
      <c r="AS488" s="27">
        <v>0</v>
      </c>
      <c r="AT488" s="27">
        <v>0</v>
      </c>
      <c r="AU488" s="27">
        <v>0</v>
      </c>
      <c r="AV488" s="27">
        <v>0</v>
      </c>
      <c r="AW488" s="27">
        <v>0</v>
      </c>
      <c r="AX488" s="27">
        <v>0</v>
      </c>
      <c r="AZ488" s="27">
        <v>1</v>
      </c>
      <c r="BA488" s="27">
        <v>0</v>
      </c>
      <c r="BB488" s="27">
        <v>56.32</v>
      </c>
      <c r="BC488" s="27" t="s">
        <v>1608</v>
      </c>
      <c r="BD488" s="27" t="s">
        <v>1609</v>
      </c>
      <c r="BE488" s="27" t="s">
        <v>150</v>
      </c>
      <c r="BF488" s="27" t="s">
        <v>77</v>
      </c>
      <c r="BG488" s="27">
        <v>169</v>
      </c>
      <c r="BH488" s="27">
        <v>11</v>
      </c>
      <c r="BI488" s="27">
        <v>0.9389</v>
      </c>
      <c r="BJ488" s="27">
        <v>0</v>
      </c>
      <c r="BK488" s="27">
        <v>154</v>
      </c>
      <c r="BL488" s="27">
        <v>57.8</v>
      </c>
    </row>
    <row r="489" customHeight="1" spans="1:64">
      <c r="A489" s="27" t="s">
        <v>1610</v>
      </c>
      <c r="B489" s="27" t="s">
        <v>125</v>
      </c>
      <c r="E489" s="27" t="s">
        <v>1611</v>
      </c>
      <c r="F489" s="27" t="s">
        <v>82</v>
      </c>
      <c r="G489" s="27" t="s">
        <v>83</v>
      </c>
      <c r="H489" s="27" t="s">
        <v>138</v>
      </c>
      <c r="I489" s="27" t="s">
        <v>85</v>
      </c>
      <c r="J489" s="27">
        <v>5</v>
      </c>
      <c r="K489" s="27">
        <v>7.5</v>
      </c>
      <c r="M489" s="27">
        <v>0</v>
      </c>
      <c r="N489" s="27">
        <v>0</v>
      </c>
      <c r="O489" s="27">
        <v>0</v>
      </c>
      <c r="P489" s="27" t="s">
        <v>133</v>
      </c>
      <c r="Q489" s="27">
        <v>2.140066</v>
      </c>
      <c r="S489" s="27">
        <v>23</v>
      </c>
      <c r="T489" s="27">
        <v>1</v>
      </c>
      <c r="U489" s="27">
        <v>0.9583</v>
      </c>
      <c r="V489" s="27" t="s">
        <v>72</v>
      </c>
      <c r="W489" s="27">
        <v>172.5</v>
      </c>
      <c r="X489" s="27">
        <v>3.178054</v>
      </c>
      <c r="Y489" s="27">
        <v>5.156178</v>
      </c>
      <c r="Z489" s="27">
        <v>1</v>
      </c>
      <c r="AA489" s="27" t="s">
        <v>125</v>
      </c>
      <c r="AB489" s="27">
        <v>0</v>
      </c>
      <c r="AC489" s="27">
        <v>0</v>
      </c>
      <c r="AD489" s="27">
        <v>0</v>
      </c>
      <c r="AE489" s="27">
        <v>0</v>
      </c>
      <c r="AF489" s="27">
        <v>0</v>
      </c>
      <c r="AG489" s="27">
        <v>0</v>
      </c>
      <c r="AH489" s="27">
        <v>0</v>
      </c>
      <c r="AI489" s="27">
        <v>0</v>
      </c>
      <c r="AJ489" s="27">
        <v>0</v>
      </c>
      <c r="AK489" s="27">
        <v>0</v>
      </c>
      <c r="AL489" s="27">
        <v>0</v>
      </c>
      <c r="AM489" s="27">
        <v>0</v>
      </c>
      <c r="AN489" s="27">
        <v>0</v>
      </c>
      <c r="AO489" s="27">
        <v>0</v>
      </c>
      <c r="AP489" s="27">
        <v>0</v>
      </c>
      <c r="AQ489" s="27">
        <v>0</v>
      </c>
      <c r="AR489" s="27">
        <v>0</v>
      </c>
      <c r="AS489" s="27">
        <v>0</v>
      </c>
      <c r="AT489" s="27">
        <v>0</v>
      </c>
      <c r="AU489" s="27">
        <v>0</v>
      </c>
      <c r="AV489" s="27">
        <v>0</v>
      </c>
      <c r="AW489" s="27">
        <v>0</v>
      </c>
      <c r="AX489" s="27">
        <v>0</v>
      </c>
      <c r="AZ489" s="27">
        <v>1</v>
      </c>
      <c r="BA489" s="27">
        <v>0</v>
      </c>
      <c r="BB489" s="27">
        <v>68.09</v>
      </c>
      <c r="BC489" s="27" t="s">
        <v>536</v>
      </c>
      <c r="BD489" s="27" t="s">
        <v>537</v>
      </c>
      <c r="BE489" s="27" t="s">
        <v>226</v>
      </c>
      <c r="BF489" s="27" t="s">
        <v>77</v>
      </c>
      <c r="BG489" s="27">
        <v>1</v>
      </c>
      <c r="BH489" s="27">
        <v>13</v>
      </c>
      <c r="BI489" s="27">
        <v>0.0714</v>
      </c>
      <c r="BJ489" s="27">
        <v>1</v>
      </c>
      <c r="BK489" s="27">
        <v>3</v>
      </c>
      <c r="BL489" s="27">
        <v>99.2</v>
      </c>
    </row>
    <row r="490" customHeight="1" spans="1:64">
      <c r="A490" s="27" t="s">
        <v>1612</v>
      </c>
      <c r="B490" s="27" t="s">
        <v>171</v>
      </c>
      <c r="C490" s="27" t="s">
        <v>1613</v>
      </c>
      <c r="E490" s="27" t="s">
        <v>81</v>
      </c>
      <c r="F490" s="27" t="s">
        <v>160</v>
      </c>
      <c r="G490" s="27" t="s">
        <v>83</v>
      </c>
      <c r="H490" s="27" t="s">
        <v>84</v>
      </c>
      <c r="I490" s="27" t="s">
        <v>85</v>
      </c>
      <c r="J490" s="27">
        <v>5</v>
      </c>
      <c r="K490" s="27">
        <v>188.49</v>
      </c>
      <c r="M490" s="27">
        <v>0</v>
      </c>
      <c r="N490" s="27">
        <v>0</v>
      </c>
      <c r="O490" s="27">
        <v>0</v>
      </c>
      <c r="P490" s="27" t="s">
        <v>95</v>
      </c>
      <c r="Q490" s="27">
        <v>5.244336</v>
      </c>
      <c r="R490" s="27">
        <v>23.56</v>
      </c>
      <c r="S490" s="27">
        <v>11</v>
      </c>
      <c r="T490" s="27">
        <v>19</v>
      </c>
      <c r="U490" s="27">
        <v>0.3667</v>
      </c>
      <c r="V490" s="27" t="s">
        <v>72</v>
      </c>
      <c r="W490" s="27">
        <v>2073.39</v>
      </c>
      <c r="X490" s="27">
        <v>2.484907</v>
      </c>
      <c r="Y490" s="27">
        <v>7.637422</v>
      </c>
      <c r="Z490" s="27">
        <v>4.3589</v>
      </c>
      <c r="AA490" s="27" t="s">
        <v>73</v>
      </c>
      <c r="AB490" s="27">
        <v>0</v>
      </c>
      <c r="AC490" s="27">
        <v>0</v>
      </c>
      <c r="AD490" s="27">
        <v>0</v>
      </c>
      <c r="AE490" s="27">
        <v>0</v>
      </c>
      <c r="AF490" s="27">
        <v>0</v>
      </c>
      <c r="AG490" s="27">
        <v>1</v>
      </c>
      <c r="AH490" s="27">
        <v>0</v>
      </c>
      <c r="AI490" s="27">
        <v>1</v>
      </c>
      <c r="AJ490" s="27">
        <v>0</v>
      </c>
      <c r="AK490" s="27">
        <v>0</v>
      </c>
      <c r="AL490" s="27">
        <v>0</v>
      </c>
      <c r="AM490" s="27">
        <v>0</v>
      </c>
      <c r="AN490" s="27">
        <v>1</v>
      </c>
      <c r="AO490" s="27">
        <v>0</v>
      </c>
      <c r="AP490" s="27">
        <v>0</v>
      </c>
      <c r="AQ490" s="27">
        <v>1</v>
      </c>
      <c r="AR490" s="27">
        <v>0</v>
      </c>
      <c r="AS490" s="27">
        <v>0</v>
      </c>
      <c r="AT490" s="27">
        <v>0</v>
      </c>
      <c r="AU490" s="27">
        <v>0</v>
      </c>
      <c r="AV490" s="27">
        <v>1</v>
      </c>
      <c r="AW490" s="27">
        <v>1</v>
      </c>
      <c r="AX490" s="27">
        <v>0</v>
      </c>
      <c r="AY490" s="27">
        <v>8</v>
      </c>
      <c r="AZ490" s="27">
        <v>1</v>
      </c>
      <c r="BA490" s="27">
        <v>2</v>
      </c>
      <c r="BB490" s="27">
        <v>28.56</v>
      </c>
      <c r="BC490" s="27" t="s">
        <v>251</v>
      </c>
      <c r="BG490" s="27">
        <v>0</v>
      </c>
      <c r="BH490" s="27">
        <v>0</v>
      </c>
      <c r="BJ490" s="27">
        <v>0</v>
      </c>
      <c r="BK490" s="27">
        <v>196</v>
      </c>
      <c r="BL490" s="27">
        <v>46.3</v>
      </c>
    </row>
    <row r="491" customHeight="1" spans="1:64">
      <c r="A491" s="27" t="s">
        <v>1614</v>
      </c>
      <c r="B491" s="27" t="s">
        <v>1615</v>
      </c>
      <c r="E491" s="27" t="s">
        <v>67</v>
      </c>
      <c r="F491" s="27" t="s">
        <v>240</v>
      </c>
      <c r="G491" s="27" t="s">
        <v>83</v>
      </c>
      <c r="H491" s="27" t="s">
        <v>84</v>
      </c>
      <c r="I491" s="27" t="s">
        <v>153</v>
      </c>
      <c r="J491" s="27">
        <v>2</v>
      </c>
      <c r="K491" s="27">
        <v>112.5</v>
      </c>
      <c r="M491" s="27">
        <v>0</v>
      </c>
      <c r="N491" s="27">
        <v>0</v>
      </c>
      <c r="O491" s="27">
        <v>0</v>
      </c>
      <c r="P491" s="27" t="s">
        <v>95</v>
      </c>
      <c r="Q491" s="27">
        <v>4.731803</v>
      </c>
      <c r="R491" s="27">
        <v>28.12</v>
      </c>
      <c r="V491" s="27" t="s">
        <v>231</v>
      </c>
      <c r="W491" s="27">
        <v>0</v>
      </c>
      <c r="X491" s="27">
        <v>0</v>
      </c>
      <c r="Y491" s="27">
        <v>0</v>
      </c>
      <c r="Z491" s="27">
        <v>0</v>
      </c>
      <c r="AA491" s="27" t="s">
        <v>125</v>
      </c>
      <c r="AB491" s="27">
        <v>0</v>
      </c>
      <c r="AC491" s="27">
        <v>0</v>
      </c>
      <c r="AD491" s="27">
        <v>0</v>
      </c>
      <c r="AE491" s="27">
        <v>0</v>
      </c>
      <c r="AF491" s="27">
        <v>0</v>
      </c>
      <c r="AG491" s="27">
        <v>0</v>
      </c>
      <c r="AH491" s="27">
        <v>0</v>
      </c>
      <c r="AI491" s="27">
        <v>0</v>
      </c>
      <c r="AJ491" s="27">
        <v>0</v>
      </c>
      <c r="AK491" s="27">
        <v>0</v>
      </c>
      <c r="AL491" s="27">
        <v>0</v>
      </c>
      <c r="AM491" s="27">
        <v>0</v>
      </c>
      <c r="AN491" s="27">
        <v>0</v>
      </c>
      <c r="AO491" s="27">
        <v>0</v>
      </c>
      <c r="AP491" s="27">
        <v>0</v>
      </c>
      <c r="AQ491" s="27">
        <v>1</v>
      </c>
      <c r="AR491" s="27">
        <v>0</v>
      </c>
      <c r="AS491" s="27">
        <v>0</v>
      </c>
      <c r="AT491" s="27">
        <v>0</v>
      </c>
      <c r="AU491" s="27">
        <v>0</v>
      </c>
      <c r="AV491" s="27">
        <v>1</v>
      </c>
      <c r="AW491" s="27">
        <v>1</v>
      </c>
      <c r="AX491" s="27">
        <v>0</v>
      </c>
      <c r="AY491" s="27">
        <v>4</v>
      </c>
      <c r="AZ491" s="27">
        <v>1</v>
      </c>
      <c r="BA491" s="27">
        <v>1</v>
      </c>
      <c r="BB491" s="27">
        <v>1.8</v>
      </c>
      <c r="BC491" s="27" t="s">
        <v>1616</v>
      </c>
      <c r="BD491" s="27" t="s">
        <v>698</v>
      </c>
      <c r="BE491" s="27" t="s">
        <v>166</v>
      </c>
      <c r="BF491" s="27" t="s">
        <v>77</v>
      </c>
      <c r="BG491" s="27">
        <v>168</v>
      </c>
      <c r="BH491" s="27">
        <v>11</v>
      </c>
      <c r="BI491" s="27">
        <v>0.9385</v>
      </c>
      <c r="BJ491" s="27">
        <v>0</v>
      </c>
      <c r="BK491" s="27">
        <v>343</v>
      </c>
      <c r="BL491" s="27">
        <v>6</v>
      </c>
    </row>
    <row r="492" customHeight="1" spans="1:64">
      <c r="A492" s="27" t="s">
        <v>1617</v>
      </c>
      <c r="B492" s="27" t="s">
        <v>65</v>
      </c>
      <c r="C492" s="27" t="s">
        <v>1618</v>
      </c>
      <c r="D492" s="27">
        <v>695529052168</v>
      </c>
      <c r="E492" s="27" t="s">
        <v>255</v>
      </c>
      <c r="F492" s="27" t="s">
        <v>82</v>
      </c>
      <c r="G492" s="27" t="s">
        <v>65</v>
      </c>
      <c r="H492" s="27" t="s">
        <v>69</v>
      </c>
      <c r="I492" s="27" t="s">
        <v>203</v>
      </c>
      <c r="J492" s="27">
        <v>4</v>
      </c>
      <c r="K492" s="27">
        <v>80</v>
      </c>
      <c r="M492" s="27">
        <v>0</v>
      </c>
      <c r="N492" s="27">
        <v>0</v>
      </c>
      <c r="O492" s="27">
        <v>0</v>
      </c>
      <c r="P492" s="27" t="s">
        <v>95</v>
      </c>
      <c r="Q492" s="27">
        <v>4.394449</v>
      </c>
      <c r="V492" s="27" t="s">
        <v>231</v>
      </c>
      <c r="W492" s="27">
        <v>0</v>
      </c>
      <c r="X492" s="27">
        <v>0</v>
      </c>
      <c r="Y492" s="27">
        <v>0</v>
      </c>
      <c r="Z492" s="27">
        <v>0</v>
      </c>
      <c r="AA492" s="27" t="s">
        <v>73</v>
      </c>
      <c r="AB492" s="27">
        <v>0</v>
      </c>
      <c r="AC492" s="27">
        <v>0</v>
      </c>
      <c r="AD492" s="27">
        <v>0</v>
      </c>
      <c r="AE492" s="27">
        <v>0</v>
      </c>
      <c r="AF492" s="27">
        <v>0</v>
      </c>
      <c r="AG492" s="27">
        <v>1</v>
      </c>
      <c r="AH492" s="27">
        <v>0</v>
      </c>
      <c r="AI492" s="27">
        <v>1</v>
      </c>
      <c r="AJ492" s="27">
        <v>0</v>
      </c>
      <c r="AK492" s="27">
        <v>0</v>
      </c>
      <c r="AL492" s="27">
        <v>0</v>
      </c>
      <c r="AM492" s="27">
        <v>0</v>
      </c>
      <c r="AN492" s="27">
        <v>0</v>
      </c>
      <c r="AO492" s="27">
        <v>0</v>
      </c>
      <c r="AP492" s="27">
        <v>0</v>
      </c>
      <c r="AQ492" s="27">
        <v>0</v>
      </c>
      <c r="AR492" s="27">
        <v>0</v>
      </c>
      <c r="AS492" s="27">
        <v>0</v>
      </c>
      <c r="AT492" s="27">
        <v>0</v>
      </c>
      <c r="AU492" s="27">
        <v>0</v>
      </c>
      <c r="AV492" s="27">
        <v>0</v>
      </c>
      <c r="AW492" s="27">
        <v>0</v>
      </c>
      <c r="AX492" s="27">
        <v>0</v>
      </c>
      <c r="AZ492" s="27">
        <v>1</v>
      </c>
      <c r="BA492" s="27">
        <v>0</v>
      </c>
      <c r="BB492" s="27">
        <v>0</v>
      </c>
      <c r="BC492" s="27" t="s">
        <v>1619</v>
      </c>
      <c r="BD492" s="27" t="s">
        <v>278</v>
      </c>
      <c r="BE492" s="27" t="s">
        <v>1620</v>
      </c>
      <c r="BF492" s="27" t="s">
        <v>77</v>
      </c>
      <c r="BG492" s="27">
        <v>168</v>
      </c>
      <c r="BH492" s="27">
        <v>11</v>
      </c>
      <c r="BI492" s="27">
        <v>0.9385</v>
      </c>
      <c r="BJ492" s="27">
        <v>0</v>
      </c>
    </row>
    <row r="493" customHeight="1" spans="1:64">
      <c r="A493" s="27" t="s">
        <v>1621</v>
      </c>
      <c r="B493" s="27" t="s">
        <v>65</v>
      </c>
      <c r="C493" s="27" t="s">
        <v>1622</v>
      </c>
      <c r="E493" s="27" t="s">
        <v>250</v>
      </c>
      <c r="F493" s="27" t="s">
        <v>68</v>
      </c>
      <c r="G493" s="27" t="s">
        <v>65</v>
      </c>
      <c r="H493" s="27" t="s">
        <v>69</v>
      </c>
      <c r="I493" s="27" t="s">
        <v>153</v>
      </c>
      <c r="J493" s="27">
        <v>2</v>
      </c>
      <c r="K493" s="27">
        <v>54.99</v>
      </c>
      <c r="M493" s="27">
        <v>0</v>
      </c>
      <c r="N493" s="27">
        <v>0</v>
      </c>
      <c r="O493" s="27">
        <v>0</v>
      </c>
      <c r="P493" s="27" t="s">
        <v>86</v>
      </c>
      <c r="Q493" s="27">
        <v>4.025173</v>
      </c>
      <c r="S493" s="27">
        <v>44</v>
      </c>
      <c r="T493" s="27">
        <v>1</v>
      </c>
      <c r="U493" s="27">
        <v>0.9778</v>
      </c>
      <c r="V493" s="27" t="s">
        <v>72</v>
      </c>
      <c r="W493" s="27">
        <v>2419.56</v>
      </c>
      <c r="X493" s="27">
        <v>3.806662</v>
      </c>
      <c r="Y493" s="27">
        <v>7.791754</v>
      </c>
      <c r="Z493" s="27">
        <v>1</v>
      </c>
      <c r="AA493" s="27" t="s">
        <v>73</v>
      </c>
      <c r="AB493" s="27">
        <v>0</v>
      </c>
      <c r="AC493" s="27">
        <v>0</v>
      </c>
      <c r="AD493" s="27">
        <v>0</v>
      </c>
      <c r="AE493" s="27">
        <v>0</v>
      </c>
      <c r="AF493" s="27">
        <v>0</v>
      </c>
      <c r="AG493" s="27">
        <v>1</v>
      </c>
      <c r="AH493" s="27">
        <v>0</v>
      </c>
      <c r="AI493" s="27">
        <v>1</v>
      </c>
      <c r="AJ493" s="27">
        <v>0</v>
      </c>
      <c r="AK493" s="27">
        <v>0</v>
      </c>
      <c r="AL493" s="27">
        <v>0</v>
      </c>
      <c r="AM493" s="27">
        <v>0</v>
      </c>
      <c r="AN493" s="27">
        <v>0</v>
      </c>
      <c r="AO493" s="27">
        <v>0</v>
      </c>
      <c r="AP493" s="27">
        <v>0</v>
      </c>
      <c r="AQ493" s="27">
        <v>0</v>
      </c>
      <c r="AR493" s="27">
        <v>0</v>
      </c>
      <c r="AS493" s="27">
        <v>0</v>
      </c>
      <c r="AT493" s="27">
        <v>0</v>
      </c>
      <c r="AU493" s="27">
        <v>0</v>
      </c>
      <c r="AV493" s="27">
        <v>0</v>
      </c>
      <c r="AW493" s="27">
        <v>0</v>
      </c>
      <c r="AX493" s="27">
        <v>0</v>
      </c>
      <c r="AZ493" s="27">
        <v>1</v>
      </c>
      <c r="BA493" s="27">
        <v>0</v>
      </c>
      <c r="BB493" s="27">
        <v>68.78</v>
      </c>
      <c r="BC493" s="27" t="s">
        <v>985</v>
      </c>
      <c r="BD493" s="27" t="s">
        <v>986</v>
      </c>
      <c r="BE493" s="27" t="s">
        <v>987</v>
      </c>
      <c r="BF493" s="27" t="s">
        <v>77</v>
      </c>
      <c r="BG493" s="27">
        <v>162</v>
      </c>
      <c r="BH493" s="27">
        <v>19</v>
      </c>
      <c r="BI493" s="27">
        <v>0.895</v>
      </c>
      <c r="BJ493" s="27">
        <v>0</v>
      </c>
      <c r="BK493" s="27">
        <v>4</v>
      </c>
      <c r="BL493" s="27">
        <v>98.9</v>
      </c>
    </row>
    <row r="494" customHeight="1" spans="1:64">
      <c r="A494" s="27" t="s">
        <v>1623</v>
      </c>
      <c r="B494" s="27" t="s">
        <v>282</v>
      </c>
      <c r="E494" s="27" t="s">
        <v>1624</v>
      </c>
      <c r="F494" s="27" t="s">
        <v>82</v>
      </c>
      <c r="G494" s="27" t="s">
        <v>83</v>
      </c>
      <c r="H494" s="27" t="s">
        <v>84</v>
      </c>
      <c r="I494" s="27" t="s">
        <v>85</v>
      </c>
      <c r="J494" s="27">
        <v>5</v>
      </c>
      <c r="K494" s="27">
        <v>387.56</v>
      </c>
      <c r="M494" s="27">
        <v>0</v>
      </c>
      <c r="N494" s="27">
        <v>0</v>
      </c>
      <c r="O494" s="27">
        <v>0</v>
      </c>
      <c r="P494" s="27" t="s">
        <v>71</v>
      </c>
      <c r="Q494" s="27">
        <v>5.962448</v>
      </c>
      <c r="T494" s="27">
        <v>3</v>
      </c>
      <c r="U494" s="27">
        <v>0</v>
      </c>
      <c r="V494" s="27" t="s">
        <v>231</v>
      </c>
      <c r="W494" s="27">
        <v>0</v>
      </c>
      <c r="X494" s="27">
        <v>0</v>
      </c>
      <c r="Y494" s="27">
        <v>0</v>
      </c>
      <c r="Z494" s="27">
        <v>1.7321</v>
      </c>
      <c r="AA494" s="27" t="s">
        <v>110</v>
      </c>
      <c r="AB494" s="27">
        <v>0</v>
      </c>
      <c r="AC494" s="27">
        <v>0</v>
      </c>
      <c r="AD494" s="27">
        <v>0</v>
      </c>
      <c r="AE494" s="27">
        <v>0</v>
      </c>
      <c r="AF494" s="27">
        <v>0</v>
      </c>
      <c r="AG494" s="27">
        <v>0</v>
      </c>
      <c r="AH494" s="27">
        <v>0</v>
      </c>
      <c r="AI494" s="27">
        <v>0</v>
      </c>
      <c r="AJ494" s="27">
        <v>0</v>
      </c>
      <c r="AK494" s="27">
        <v>0</v>
      </c>
      <c r="AL494" s="27">
        <v>0</v>
      </c>
      <c r="AM494" s="27">
        <v>0</v>
      </c>
      <c r="AN494" s="27">
        <v>0</v>
      </c>
      <c r="AO494" s="27">
        <v>0</v>
      </c>
      <c r="AP494" s="27">
        <v>0</v>
      </c>
      <c r="AQ494" s="27">
        <v>0</v>
      </c>
      <c r="AR494" s="27">
        <v>0</v>
      </c>
      <c r="AS494" s="27">
        <v>0</v>
      </c>
      <c r="AT494" s="27">
        <v>0</v>
      </c>
      <c r="AU494" s="27">
        <v>0</v>
      </c>
      <c r="AV494" s="27">
        <v>0</v>
      </c>
      <c r="AW494" s="27">
        <v>1</v>
      </c>
      <c r="AX494" s="27">
        <v>0</v>
      </c>
      <c r="AZ494" s="27">
        <v>1</v>
      </c>
      <c r="BA494" s="27">
        <v>0</v>
      </c>
      <c r="BB494" s="27">
        <v>0</v>
      </c>
      <c r="BC494" s="27" t="s">
        <v>1625</v>
      </c>
      <c r="BD494" s="27" t="s">
        <v>1626</v>
      </c>
      <c r="BE494" s="27" t="s">
        <v>128</v>
      </c>
      <c r="BF494" s="27" t="s">
        <v>77</v>
      </c>
      <c r="BG494" s="27">
        <v>64</v>
      </c>
      <c r="BH494" s="27">
        <v>148</v>
      </c>
      <c r="BI494" s="27">
        <v>0.3019</v>
      </c>
      <c r="BJ494" s="27">
        <v>0</v>
      </c>
    </row>
    <row r="495" customHeight="1" spans="1:64">
      <c r="A495" s="27" t="s">
        <v>1627</v>
      </c>
      <c r="B495" s="27" t="s">
        <v>171</v>
      </c>
      <c r="C495" s="27" t="s">
        <v>504</v>
      </c>
      <c r="E495" s="27" t="s">
        <v>312</v>
      </c>
      <c r="F495" s="27" t="s">
        <v>160</v>
      </c>
      <c r="G495" s="27" t="s">
        <v>83</v>
      </c>
      <c r="H495" s="27" t="s">
        <v>84</v>
      </c>
      <c r="I495" s="27" t="s">
        <v>85</v>
      </c>
      <c r="J495" s="27">
        <v>5</v>
      </c>
      <c r="K495" s="27">
        <v>59.99</v>
      </c>
      <c r="L495" s="27">
        <v>99.99</v>
      </c>
      <c r="M495" s="27">
        <v>40</v>
      </c>
      <c r="N495" s="27">
        <v>40</v>
      </c>
      <c r="O495" s="27">
        <v>1</v>
      </c>
      <c r="P495" s="27" t="s">
        <v>86</v>
      </c>
      <c r="Q495" s="27">
        <v>4.11071</v>
      </c>
      <c r="R495" s="27">
        <v>7.5</v>
      </c>
      <c r="S495" s="27">
        <v>374</v>
      </c>
      <c r="T495" s="27">
        <v>10</v>
      </c>
      <c r="U495" s="27">
        <v>0.974</v>
      </c>
      <c r="V495" s="27" t="s">
        <v>154</v>
      </c>
      <c r="W495" s="27">
        <v>22436.26</v>
      </c>
      <c r="X495" s="27">
        <v>5.926926</v>
      </c>
      <c r="Y495" s="27">
        <v>10.018478</v>
      </c>
      <c r="Z495" s="27">
        <v>3.1623</v>
      </c>
      <c r="AA495" s="27" t="s">
        <v>313</v>
      </c>
      <c r="AB495" s="27">
        <v>0</v>
      </c>
      <c r="AC495" s="27">
        <v>0</v>
      </c>
      <c r="AD495" s="27">
        <v>0</v>
      </c>
      <c r="AE495" s="27">
        <v>0</v>
      </c>
      <c r="AF495" s="27">
        <v>0</v>
      </c>
      <c r="AG495" s="27">
        <v>0</v>
      </c>
      <c r="AH495" s="27">
        <v>0</v>
      </c>
      <c r="AI495" s="27">
        <v>0</v>
      </c>
      <c r="AJ495" s="27">
        <v>0</v>
      </c>
      <c r="AK495" s="27">
        <v>0</v>
      </c>
      <c r="AL495" s="27">
        <v>0</v>
      </c>
      <c r="AM495" s="27">
        <v>0</v>
      </c>
      <c r="AN495" s="27">
        <v>0</v>
      </c>
      <c r="AO495" s="27">
        <v>0</v>
      </c>
      <c r="AP495" s="27">
        <v>0</v>
      </c>
      <c r="AQ495" s="27">
        <v>1</v>
      </c>
      <c r="AR495" s="27">
        <v>0</v>
      </c>
      <c r="AS495" s="27">
        <v>0</v>
      </c>
      <c r="AT495" s="27">
        <v>0</v>
      </c>
      <c r="AU495" s="27">
        <v>0</v>
      </c>
      <c r="AV495" s="27">
        <v>1</v>
      </c>
      <c r="AW495" s="27">
        <v>1</v>
      </c>
      <c r="AX495" s="27">
        <v>0</v>
      </c>
      <c r="AY495" s="27">
        <v>8</v>
      </c>
      <c r="AZ495" s="27">
        <v>1</v>
      </c>
      <c r="BA495" s="27">
        <v>1</v>
      </c>
      <c r="BB495" s="27">
        <v>77.09</v>
      </c>
      <c r="BC495" s="27" t="s">
        <v>174</v>
      </c>
      <c r="BD495" s="27" t="s">
        <v>175</v>
      </c>
      <c r="BE495" s="27" t="s">
        <v>226</v>
      </c>
      <c r="BF495" s="27" t="s">
        <v>77</v>
      </c>
      <c r="BG495" s="27">
        <v>161</v>
      </c>
      <c r="BH495" s="27">
        <v>61</v>
      </c>
      <c r="BI495" s="27">
        <v>0.7252</v>
      </c>
      <c r="BJ495" s="27">
        <v>0</v>
      </c>
      <c r="BK495" s="27">
        <v>47</v>
      </c>
      <c r="BL495" s="27">
        <v>87.1</v>
      </c>
    </row>
    <row r="496" customHeight="1" spans="1:64">
      <c r="A496" s="27" t="s">
        <v>1628</v>
      </c>
      <c r="B496" s="27" t="s">
        <v>65</v>
      </c>
      <c r="C496" s="27" t="s">
        <v>1629</v>
      </c>
      <c r="E496" s="27" t="s">
        <v>250</v>
      </c>
      <c r="F496" s="27" t="s">
        <v>82</v>
      </c>
      <c r="G496" s="27" t="s">
        <v>65</v>
      </c>
      <c r="H496" s="27" t="s">
        <v>69</v>
      </c>
      <c r="I496" s="27" t="s">
        <v>153</v>
      </c>
      <c r="J496" s="27">
        <v>2</v>
      </c>
      <c r="K496" s="27">
        <v>61.59</v>
      </c>
      <c r="L496" s="27">
        <v>69.99</v>
      </c>
      <c r="M496" s="27">
        <v>12</v>
      </c>
      <c r="N496" s="27">
        <v>8.4</v>
      </c>
      <c r="O496" s="27">
        <v>1</v>
      </c>
      <c r="P496" s="27" t="s">
        <v>86</v>
      </c>
      <c r="Q496" s="27">
        <v>4.136606</v>
      </c>
      <c r="S496" s="27">
        <v>11</v>
      </c>
      <c r="T496" s="27">
        <v>29</v>
      </c>
      <c r="U496" s="27">
        <v>0.275</v>
      </c>
      <c r="V496" s="27" t="s">
        <v>72</v>
      </c>
      <c r="W496" s="27">
        <v>677.49</v>
      </c>
      <c r="X496" s="27">
        <v>2.484907</v>
      </c>
      <c r="Y496" s="27">
        <v>6.51987</v>
      </c>
      <c r="Z496" s="27">
        <v>5.3852</v>
      </c>
      <c r="AA496" s="27" t="s">
        <v>88</v>
      </c>
      <c r="AB496" s="27">
        <v>1</v>
      </c>
      <c r="AC496" s="27">
        <v>0</v>
      </c>
      <c r="AD496" s="27">
        <v>0</v>
      </c>
      <c r="AE496" s="27">
        <v>0</v>
      </c>
      <c r="AF496" s="27">
        <v>0</v>
      </c>
      <c r="AG496" s="27">
        <v>0</v>
      </c>
      <c r="AH496" s="27">
        <v>0</v>
      </c>
      <c r="AI496" s="27">
        <v>0</v>
      </c>
      <c r="AJ496" s="27">
        <v>0</v>
      </c>
      <c r="AK496" s="27">
        <v>0</v>
      </c>
      <c r="AL496" s="27">
        <v>0</v>
      </c>
      <c r="AM496" s="27">
        <v>0</v>
      </c>
      <c r="AN496" s="27">
        <v>0</v>
      </c>
      <c r="AO496" s="27">
        <v>0</v>
      </c>
      <c r="AP496" s="27">
        <v>0</v>
      </c>
      <c r="AQ496" s="27">
        <v>0</v>
      </c>
      <c r="AR496" s="27">
        <v>0</v>
      </c>
      <c r="AS496" s="27">
        <v>0</v>
      </c>
      <c r="AT496" s="27">
        <v>0</v>
      </c>
      <c r="AU496" s="27">
        <v>0</v>
      </c>
      <c r="AV496" s="27">
        <v>0</v>
      </c>
      <c r="AW496" s="27">
        <v>0</v>
      </c>
      <c r="AX496" s="27">
        <v>0</v>
      </c>
      <c r="AZ496" s="27">
        <v>1</v>
      </c>
      <c r="BA496" s="27">
        <v>1</v>
      </c>
      <c r="BB496" s="27">
        <v>14.6</v>
      </c>
      <c r="BC496" s="27" t="s">
        <v>1630</v>
      </c>
      <c r="BD496" s="27" t="s">
        <v>1631</v>
      </c>
      <c r="BE496" s="27" t="s">
        <v>453</v>
      </c>
      <c r="BF496" s="27" t="s">
        <v>77</v>
      </c>
      <c r="BG496" s="27">
        <v>162</v>
      </c>
      <c r="BH496" s="27">
        <v>18</v>
      </c>
      <c r="BI496" s="27">
        <v>0.9</v>
      </c>
      <c r="BJ496" s="27">
        <v>0</v>
      </c>
    </row>
    <row r="497" customHeight="1" spans="1:64">
      <c r="A497" s="27" t="s">
        <v>1632</v>
      </c>
      <c r="B497" s="27" t="s">
        <v>125</v>
      </c>
      <c r="E497" s="27" t="s">
        <v>275</v>
      </c>
      <c r="F497" s="27" t="s">
        <v>276</v>
      </c>
      <c r="G497" s="27" t="s">
        <v>901</v>
      </c>
      <c r="H497" s="27" t="s">
        <v>138</v>
      </c>
      <c r="I497" s="27" t="s">
        <v>85</v>
      </c>
      <c r="J497" s="27">
        <v>5</v>
      </c>
      <c r="K497" s="27">
        <v>12.73</v>
      </c>
      <c r="M497" s="27">
        <v>0</v>
      </c>
      <c r="N497" s="27">
        <v>0</v>
      </c>
      <c r="O497" s="27">
        <v>0</v>
      </c>
      <c r="P497" s="27" t="s">
        <v>133</v>
      </c>
      <c r="Q497" s="27">
        <v>2.619583</v>
      </c>
      <c r="S497" s="27">
        <v>49</v>
      </c>
      <c r="T497" s="27">
        <v>10</v>
      </c>
      <c r="U497" s="27">
        <v>0.8305</v>
      </c>
      <c r="V497" s="27" t="s">
        <v>72</v>
      </c>
      <c r="W497" s="27">
        <v>623.77</v>
      </c>
      <c r="X497" s="27">
        <v>3.912023</v>
      </c>
      <c r="Y497" s="27">
        <v>6.437384</v>
      </c>
      <c r="Z497" s="27">
        <v>3.1623</v>
      </c>
      <c r="AA497" s="27" t="s">
        <v>125</v>
      </c>
      <c r="AB497" s="27">
        <v>0</v>
      </c>
      <c r="AC497" s="27">
        <v>0</v>
      </c>
      <c r="AD497" s="27">
        <v>0</v>
      </c>
      <c r="AE497" s="27">
        <v>0</v>
      </c>
      <c r="AF497" s="27">
        <v>1</v>
      </c>
      <c r="AG497" s="27">
        <v>0</v>
      </c>
      <c r="AH497" s="27">
        <v>0</v>
      </c>
      <c r="AI497" s="27">
        <v>0</v>
      </c>
      <c r="AJ497" s="27">
        <v>0</v>
      </c>
      <c r="AK497" s="27">
        <v>0</v>
      </c>
      <c r="AL497" s="27">
        <v>0</v>
      </c>
      <c r="AM497" s="27">
        <v>0</v>
      </c>
      <c r="AN497" s="27">
        <v>0</v>
      </c>
      <c r="AO497" s="27">
        <v>0</v>
      </c>
      <c r="AP497" s="27">
        <v>0</v>
      </c>
      <c r="AQ497" s="27">
        <v>0</v>
      </c>
      <c r="AR497" s="27">
        <v>0</v>
      </c>
      <c r="AS497" s="27">
        <v>0</v>
      </c>
      <c r="AT497" s="27">
        <v>1</v>
      </c>
      <c r="AU497" s="27">
        <v>1</v>
      </c>
      <c r="AV497" s="27">
        <v>0</v>
      </c>
      <c r="AW497" s="27">
        <v>0</v>
      </c>
      <c r="AX497" s="27">
        <v>0</v>
      </c>
      <c r="AZ497" s="27">
        <v>1</v>
      </c>
      <c r="BA497" s="27">
        <v>0</v>
      </c>
      <c r="BB497" s="27">
        <v>62.65</v>
      </c>
      <c r="BC497" s="27" t="s">
        <v>1338</v>
      </c>
      <c r="BD497" s="27" t="s">
        <v>1339</v>
      </c>
      <c r="BE497" s="27" t="s">
        <v>128</v>
      </c>
      <c r="BF497" s="27" t="s">
        <v>77</v>
      </c>
      <c r="BG497" s="27">
        <v>170</v>
      </c>
      <c r="BH497" s="27">
        <v>11</v>
      </c>
      <c r="BI497" s="27">
        <v>0.9392</v>
      </c>
      <c r="BJ497" s="27">
        <v>0</v>
      </c>
      <c r="BK497" s="27">
        <v>7</v>
      </c>
      <c r="BL497" s="27">
        <v>98.1</v>
      </c>
    </row>
    <row r="498" customHeight="1" spans="1:64">
      <c r="A498" s="27" t="s">
        <v>1633</v>
      </c>
      <c r="B498" s="27" t="s">
        <v>901</v>
      </c>
      <c r="E498" s="27" t="s">
        <v>81</v>
      </c>
      <c r="F498" s="27" t="s">
        <v>82</v>
      </c>
      <c r="G498" s="27" t="s">
        <v>901</v>
      </c>
      <c r="H498" s="27" t="s">
        <v>107</v>
      </c>
      <c r="I498" s="27" t="s">
        <v>203</v>
      </c>
      <c r="J498" s="27">
        <v>4</v>
      </c>
      <c r="K498" s="27">
        <v>147.99</v>
      </c>
      <c r="M498" s="27">
        <v>0</v>
      </c>
      <c r="N498" s="27">
        <v>0</v>
      </c>
      <c r="O498" s="27">
        <v>0</v>
      </c>
      <c r="P498" s="27" t="s">
        <v>95</v>
      </c>
      <c r="Q498" s="27">
        <v>5.003879</v>
      </c>
      <c r="S498" s="27">
        <v>264</v>
      </c>
      <c r="T498" s="27">
        <v>10</v>
      </c>
      <c r="U498" s="27">
        <v>0.9635</v>
      </c>
      <c r="V498" s="27" t="s">
        <v>154</v>
      </c>
      <c r="W498" s="27">
        <v>39069.36</v>
      </c>
      <c r="X498" s="27">
        <v>5.57973</v>
      </c>
      <c r="Y498" s="27">
        <v>10.573119</v>
      </c>
      <c r="Z498" s="27">
        <v>3.1623</v>
      </c>
      <c r="AA498" s="27" t="s">
        <v>139</v>
      </c>
      <c r="AB498" s="27">
        <v>0</v>
      </c>
      <c r="AC498" s="27">
        <v>0</v>
      </c>
      <c r="AD498" s="27">
        <v>0</v>
      </c>
      <c r="AE498" s="27">
        <v>0</v>
      </c>
      <c r="AF498" s="27">
        <v>0</v>
      </c>
      <c r="AG498" s="27">
        <v>1</v>
      </c>
      <c r="AH498" s="27">
        <v>0</v>
      </c>
      <c r="AI498" s="27">
        <v>0</v>
      </c>
      <c r="AJ498" s="27">
        <v>0</v>
      </c>
      <c r="AK498" s="27">
        <v>0</v>
      </c>
      <c r="AL498" s="27">
        <v>0</v>
      </c>
      <c r="AM498" s="27">
        <v>0</v>
      </c>
      <c r="AN498" s="27">
        <v>0</v>
      </c>
      <c r="AO498" s="27">
        <v>0</v>
      </c>
      <c r="AP498" s="27">
        <v>0</v>
      </c>
      <c r="AQ498" s="27">
        <v>0</v>
      </c>
      <c r="AR498" s="27">
        <v>0</v>
      </c>
      <c r="AS498" s="27">
        <v>0</v>
      </c>
      <c r="AT498" s="27">
        <v>1</v>
      </c>
      <c r="AU498" s="27">
        <v>0</v>
      </c>
      <c r="AV498" s="27">
        <v>0</v>
      </c>
      <c r="AW498" s="27">
        <v>0</v>
      </c>
      <c r="AX498" s="27">
        <v>1</v>
      </c>
      <c r="AZ498" s="27">
        <v>1</v>
      </c>
      <c r="BA498" s="27">
        <v>0</v>
      </c>
      <c r="BB498" s="27">
        <v>68.3</v>
      </c>
      <c r="BC498" s="27" t="s">
        <v>199</v>
      </c>
      <c r="BD498" s="27" t="s">
        <v>1634</v>
      </c>
      <c r="BE498" s="27" t="s">
        <v>128</v>
      </c>
      <c r="BF498" s="27" t="s">
        <v>77</v>
      </c>
      <c r="BG498" s="27">
        <v>182</v>
      </c>
      <c r="BH498" s="27">
        <v>28</v>
      </c>
      <c r="BI498" s="27">
        <v>0.8667</v>
      </c>
      <c r="BJ498" s="27">
        <v>0</v>
      </c>
      <c r="BK498" s="27">
        <v>3</v>
      </c>
      <c r="BL498" s="27">
        <v>99.2</v>
      </c>
    </row>
    <row r="499" customHeight="1" spans="1:64">
      <c r="A499" s="27" t="s">
        <v>1635</v>
      </c>
      <c r="B499" s="27" t="s">
        <v>171</v>
      </c>
      <c r="C499" s="27" t="s">
        <v>1636</v>
      </c>
      <c r="E499" s="27" t="s">
        <v>559</v>
      </c>
      <c r="F499" s="27" t="s">
        <v>160</v>
      </c>
      <c r="G499" s="27" t="s">
        <v>83</v>
      </c>
      <c r="H499" s="27" t="s">
        <v>84</v>
      </c>
      <c r="I499" s="27" t="s">
        <v>85</v>
      </c>
      <c r="J499" s="27">
        <v>5</v>
      </c>
      <c r="K499" s="27">
        <v>172.19</v>
      </c>
      <c r="L499" s="27">
        <v>209.99</v>
      </c>
      <c r="M499" s="27">
        <v>18</v>
      </c>
      <c r="N499" s="27">
        <v>37.8</v>
      </c>
      <c r="O499" s="27">
        <v>1</v>
      </c>
      <c r="P499" s="27" t="s">
        <v>95</v>
      </c>
      <c r="Q499" s="27">
        <v>5.154389</v>
      </c>
      <c r="R499" s="27">
        <v>10.76</v>
      </c>
      <c r="S499" s="27">
        <v>215</v>
      </c>
      <c r="T499" s="27">
        <v>10</v>
      </c>
      <c r="U499" s="27">
        <v>0.9556</v>
      </c>
      <c r="V499" s="27" t="s">
        <v>154</v>
      </c>
      <c r="W499" s="27">
        <v>37020.85</v>
      </c>
      <c r="X499" s="27">
        <v>5.375278</v>
      </c>
      <c r="Y499" s="27">
        <v>10.519264</v>
      </c>
      <c r="Z499" s="27">
        <v>3.1623</v>
      </c>
      <c r="AA499" s="27" t="s">
        <v>187</v>
      </c>
      <c r="AB499" s="27">
        <v>0</v>
      </c>
      <c r="AC499" s="27">
        <v>0</v>
      </c>
      <c r="AD499" s="27">
        <v>0</v>
      </c>
      <c r="AE499" s="27">
        <v>0</v>
      </c>
      <c r="AF499" s="27">
        <v>0</v>
      </c>
      <c r="AG499" s="27">
        <v>1</v>
      </c>
      <c r="AH499" s="27">
        <v>0</v>
      </c>
      <c r="AI499" s="27">
        <v>1</v>
      </c>
      <c r="AJ499" s="27">
        <v>0</v>
      </c>
      <c r="AK499" s="27">
        <v>0</v>
      </c>
      <c r="AL499" s="27">
        <v>0</v>
      </c>
      <c r="AM499" s="27">
        <v>0</v>
      </c>
      <c r="AN499" s="27">
        <v>0</v>
      </c>
      <c r="AO499" s="27">
        <v>0</v>
      </c>
      <c r="AP499" s="27">
        <v>0</v>
      </c>
      <c r="AQ499" s="27">
        <v>1</v>
      </c>
      <c r="AR499" s="27">
        <v>0</v>
      </c>
      <c r="AS499" s="27">
        <v>0</v>
      </c>
      <c r="AT499" s="27">
        <v>0</v>
      </c>
      <c r="AU499" s="27">
        <v>0</v>
      </c>
      <c r="AV499" s="27">
        <v>1</v>
      </c>
      <c r="AW499" s="27">
        <v>1</v>
      </c>
      <c r="AX499" s="27">
        <v>0</v>
      </c>
      <c r="AY499" s="27">
        <v>16</v>
      </c>
      <c r="AZ499" s="27">
        <v>1</v>
      </c>
      <c r="BA499" s="27">
        <v>1</v>
      </c>
      <c r="BB499" s="27">
        <v>73.29</v>
      </c>
      <c r="BC499" s="27" t="s">
        <v>732</v>
      </c>
      <c r="BG499" s="27">
        <v>0</v>
      </c>
      <c r="BH499" s="27">
        <v>0</v>
      </c>
      <c r="BJ499" s="27">
        <v>0</v>
      </c>
      <c r="BK499" s="27">
        <v>4</v>
      </c>
      <c r="BL499" s="27">
        <v>98.9</v>
      </c>
    </row>
    <row r="500" customHeight="1" spans="1:64">
      <c r="A500" s="27" t="s">
        <v>1637</v>
      </c>
      <c r="B500" s="27" t="s">
        <v>293</v>
      </c>
      <c r="E500" s="27" t="s">
        <v>294</v>
      </c>
      <c r="F500" s="27" t="s">
        <v>198</v>
      </c>
      <c r="G500" s="27" t="s">
        <v>83</v>
      </c>
      <c r="H500" s="27" t="s">
        <v>84</v>
      </c>
      <c r="I500" s="27" t="s">
        <v>85</v>
      </c>
      <c r="J500" s="27">
        <v>5</v>
      </c>
      <c r="K500" s="27">
        <v>43.19</v>
      </c>
      <c r="M500" s="27">
        <v>0</v>
      </c>
      <c r="N500" s="27">
        <v>0</v>
      </c>
      <c r="O500" s="27">
        <v>0</v>
      </c>
      <c r="P500" s="27" t="s">
        <v>86</v>
      </c>
      <c r="Q500" s="27">
        <v>3.788499</v>
      </c>
      <c r="S500" s="27">
        <v>24</v>
      </c>
      <c r="T500" s="27">
        <v>76</v>
      </c>
      <c r="U500" s="27">
        <v>0.24</v>
      </c>
      <c r="V500" s="27" t="s">
        <v>72</v>
      </c>
      <c r="W500" s="27">
        <v>1036.56</v>
      </c>
      <c r="X500" s="27">
        <v>3.218876</v>
      </c>
      <c r="Y500" s="27">
        <v>6.944627</v>
      </c>
      <c r="Z500" s="27">
        <v>8.7178</v>
      </c>
      <c r="AA500" s="27" t="s">
        <v>125</v>
      </c>
      <c r="AB500" s="27">
        <v>0</v>
      </c>
      <c r="AC500" s="27">
        <v>0</v>
      </c>
      <c r="AD500" s="27">
        <v>0</v>
      </c>
      <c r="AE500" s="27">
        <v>1</v>
      </c>
      <c r="AF500" s="27">
        <v>0</v>
      </c>
      <c r="AG500" s="27">
        <v>0</v>
      </c>
      <c r="AH500" s="27">
        <v>0</v>
      </c>
      <c r="AI500" s="27">
        <v>0</v>
      </c>
      <c r="AJ500" s="27">
        <v>0</v>
      </c>
      <c r="AK500" s="27">
        <v>0</v>
      </c>
      <c r="AL500" s="27">
        <v>0</v>
      </c>
      <c r="AM500" s="27">
        <v>0</v>
      </c>
      <c r="AN500" s="27">
        <v>0</v>
      </c>
      <c r="AO500" s="27">
        <v>0</v>
      </c>
      <c r="AP500" s="27">
        <v>0</v>
      </c>
      <c r="AQ500" s="27">
        <v>0</v>
      </c>
      <c r="AR500" s="27">
        <v>0</v>
      </c>
      <c r="AS500" s="27">
        <v>0</v>
      </c>
      <c r="AT500" s="27">
        <v>1</v>
      </c>
      <c r="AU500" s="27">
        <v>0</v>
      </c>
      <c r="AV500" s="27">
        <v>0</v>
      </c>
      <c r="AW500" s="27">
        <v>1</v>
      </c>
      <c r="AX500" s="27">
        <v>0</v>
      </c>
      <c r="AZ500" s="27">
        <v>1</v>
      </c>
      <c r="BA500" s="27">
        <v>1</v>
      </c>
      <c r="BB500" s="27">
        <v>35.73</v>
      </c>
      <c r="BC500" s="27" t="s">
        <v>295</v>
      </c>
      <c r="BD500" s="27" t="s">
        <v>97</v>
      </c>
      <c r="BE500" s="27" t="s">
        <v>98</v>
      </c>
      <c r="BF500" s="27" t="s">
        <v>77</v>
      </c>
      <c r="BG500" s="27">
        <v>162</v>
      </c>
      <c r="BH500" s="27">
        <v>46</v>
      </c>
      <c r="BI500" s="27">
        <v>0.7788</v>
      </c>
      <c r="BJ500" s="27">
        <v>0</v>
      </c>
      <c r="BK500" s="27">
        <v>47</v>
      </c>
      <c r="BL500" s="27">
        <v>87.1</v>
      </c>
    </row>
    <row r="501" customHeight="1" spans="1:64">
      <c r="A501" s="27" t="s">
        <v>1638</v>
      </c>
      <c r="B501" s="27" t="s">
        <v>1639</v>
      </c>
      <c r="D501" s="27">
        <v>7445023784729</v>
      </c>
      <c r="E501" s="27" t="s">
        <v>163</v>
      </c>
      <c r="F501" s="27" t="s">
        <v>82</v>
      </c>
      <c r="G501" s="27" t="s">
        <v>83</v>
      </c>
      <c r="H501" s="27" t="s">
        <v>84</v>
      </c>
      <c r="I501" s="27" t="s">
        <v>85</v>
      </c>
      <c r="J501" s="27">
        <v>5</v>
      </c>
      <c r="K501" s="27">
        <v>66.79</v>
      </c>
      <c r="M501" s="27">
        <v>0</v>
      </c>
      <c r="N501" s="27">
        <v>0</v>
      </c>
      <c r="O501" s="27">
        <v>0</v>
      </c>
      <c r="P501" s="27" t="s">
        <v>86</v>
      </c>
      <c r="Q501" s="27">
        <v>4.216415</v>
      </c>
      <c r="S501" s="27">
        <v>1</v>
      </c>
      <c r="T501" s="27">
        <v>3</v>
      </c>
      <c r="U501" s="27">
        <v>0.25</v>
      </c>
      <c r="V501" s="27" t="s">
        <v>87</v>
      </c>
      <c r="W501" s="27">
        <v>66.79</v>
      </c>
      <c r="X501" s="27">
        <v>0.693147</v>
      </c>
      <c r="Y501" s="27">
        <v>4.216415</v>
      </c>
      <c r="Z501" s="27">
        <v>1.7321</v>
      </c>
      <c r="AA501" s="27" t="s">
        <v>73</v>
      </c>
      <c r="AB501" s="27">
        <v>0</v>
      </c>
      <c r="AC501" s="27">
        <v>0</v>
      </c>
      <c r="AD501" s="27">
        <v>0</v>
      </c>
      <c r="AE501" s="27">
        <v>0</v>
      </c>
      <c r="AF501" s="27">
        <v>0</v>
      </c>
      <c r="AG501" s="27">
        <v>0</v>
      </c>
      <c r="AH501" s="27">
        <v>1</v>
      </c>
      <c r="AI501" s="27">
        <v>0</v>
      </c>
      <c r="AJ501" s="27">
        <v>0</v>
      </c>
      <c r="AK501" s="27">
        <v>0</v>
      </c>
      <c r="AL501" s="27">
        <v>0</v>
      </c>
      <c r="AM501" s="27">
        <v>0</v>
      </c>
      <c r="AN501" s="27">
        <v>0</v>
      </c>
      <c r="AO501" s="27">
        <v>0</v>
      </c>
      <c r="AP501" s="27">
        <v>0</v>
      </c>
      <c r="AQ501" s="27">
        <v>0</v>
      </c>
      <c r="AR501" s="27">
        <v>0</v>
      </c>
      <c r="AS501" s="27">
        <v>0</v>
      </c>
      <c r="AT501" s="27">
        <v>0</v>
      </c>
      <c r="AU501" s="27">
        <v>0</v>
      </c>
      <c r="AV501" s="27">
        <v>0</v>
      </c>
      <c r="AW501" s="27">
        <v>0</v>
      </c>
      <c r="AX501" s="27">
        <v>0</v>
      </c>
      <c r="AZ501" s="27">
        <v>1</v>
      </c>
      <c r="BA501" s="27">
        <v>1</v>
      </c>
      <c r="BB501" s="27">
        <v>39.43</v>
      </c>
      <c r="BC501" s="27" t="s">
        <v>1640</v>
      </c>
      <c r="BD501" s="27" t="s">
        <v>1641</v>
      </c>
      <c r="BE501" s="27" t="s">
        <v>822</v>
      </c>
      <c r="BF501" s="27" t="s">
        <v>77</v>
      </c>
      <c r="BG501" s="27">
        <v>1</v>
      </c>
      <c r="BH501" s="27">
        <v>27</v>
      </c>
      <c r="BI501" s="27">
        <v>0.0357</v>
      </c>
      <c r="BJ501" s="27">
        <v>1</v>
      </c>
      <c r="BK501" s="27">
        <v>7</v>
      </c>
      <c r="BL501" s="27">
        <v>98.1</v>
      </c>
    </row>
    <row r="502" customHeight="1" spans="1:64">
      <c r="A502" s="27" t="s">
        <v>1642</v>
      </c>
      <c r="B502" s="27" t="s">
        <v>427</v>
      </c>
      <c r="C502" s="27" t="s">
        <v>1643</v>
      </c>
      <c r="D502" s="27">
        <v>606449138467</v>
      </c>
      <c r="E502" s="27" t="s">
        <v>131</v>
      </c>
      <c r="F502" s="27" t="s">
        <v>132</v>
      </c>
      <c r="G502" s="27" t="s">
        <v>427</v>
      </c>
      <c r="H502" s="27" t="s">
        <v>107</v>
      </c>
      <c r="I502" s="27" t="s">
        <v>85</v>
      </c>
      <c r="J502" s="27">
        <v>5</v>
      </c>
      <c r="K502" s="27">
        <v>49.99</v>
      </c>
      <c r="M502" s="27">
        <v>0</v>
      </c>
      <c r="N502" s="27">
        <v>0</v>
      </c>
      <c r="O502" s="27">
        <v>0</v>
      </c>
      <c r="P502" s="27" t="s">
        <v>86</v>
      </c>
      <c r="Q502" s="27">
        <v>3.93163</v>
      </c>
      <c r="S502" s="27">
        <v>69</v>
      </c>
      <c r="T502" s="27">
        <v>22</v>
      </c>
      <c r="U502" s="27">
        <v>0.7582</v>
      </c>
      <c r="V502" s="27" t="s">
        <v>72</v>
      </c>
      <c r="W502" s="27">
        <v>3449.31</v>
      </c>
      <c r="X502" s="27">
        <v>4.248495</v>
      </c>
      <c r="Y502" s="27">
        <v>8.146219</v>
      </c>
      <c r="Z502" s="27">
        <v>4.6904</v>
      </c>
      <c r="AA502" s="27" t="s">
        <v>187</v>
      </c>
      <c r="AB502" s="27">
        <v>0</v>
      </c>
      <c r="AC502" s="27">
        <v>0</v>
      </c>
      <c r="AD502" s="27">
        <v>0</v>
      </c>
      <c r="AE502" s="27">
        <v>0</v>
      </c>
      <c r="AF502" s="27">
        <v>1</v>
      </c>
      <c r="AG502" s="27">
        <v>0</v>
      </c>
      <c r="AH502" s="27">
        <v>0</v>
      </c>
      <c r="AI502" s="27">
        <v>0</v>
      </c>
      <c r="AJ502" s="27">
        <v>0</v>
      </c>
      <c r="AK502" s="27">
        <v>0</v>
      </c>
      <c r="AL502" s="27">
        <v>0</v>
      </c>
      <c r="AM502" s="27">
        <v>0</v>
      </c>
      <c r="AN502" s="27">
        <v>0</v>
      </c>
      <c r="AO502" s="27">
        <v>0</v>
      </c>
      <c r="AP502" s="27">
        <v>0</v>
      </c>
      <c r="AQ502" s="27">
        <v>0</v>
      </c>
      <c r="AR502" s="27">
        <v>0</v>
      </c>
      <c r="AS502" s="27">
        <v>0</v>
      </c>
      <c r="AT502" s="27">
        <v>0</v>
      </c>
      <c r="AU502" s="27">
        <v>0</v>
      </c>
      <c r="AV502" s="27">
        <v>0</v>
      </c>
      <c r="AW502" s="27">
        <v>0</v>
      </c>
      <c r="AX502" s="27">
        <v>0</v>
      </c>
      <c r="AZ502" s="27">
        <v>1</v>
      </c>
      <c r="BA502" s="27">
        <v>0</v>
      </c>
      <c r="BB502" s="27">
        <v>58.68</v>
      </c>
      <c r="BC502" s="27" t="s">
        <v>1644</v>
      </c>
      <c r="BD502" s="27" t="s">
        <v>1645</v>
      </c>
      <c r="BE502" s="27" t="s">
        <v>453</v>
      </c>
      <c r="BF502" s="27" t="s">
        <v>77</v>
      </c>
      <c r="BG502" s="27">
        <v>1</v>
      </c>
      <c r="BH502" s="27">
        <v>11</v>
      </c>
      <c r="BI502" s="27">
        <v>0.0833</v>
      </c>
      <c r="BJ502" s="27">
        <v>1</v>
      </c>
      <c r="BK502" s="27">
        <v>20</v>
      </c>
      <c r="BL502" s="27">
        <v>94.5</v>
      </c>
    </row>
    <row r="503" customHeight="1" spans="1:64">
      <c r="A503" s="27" t="s">
        <v>1646</v>
      </c>
      <c r="B503" s="27" t="s">
        <v>901</v>
      </c>
      <c r="C503" s="27" t="s">
        <v>1647</v>
      </c>
      <c r="E503" s="27" t="s">
        <v>81</v>
      </c>
      <c r="F503" s="27" t="s">
        <v>160</v>
      </c>
      <c r="G503" s="27" t="s">
        <v>901</v>
      </c>
      <c r="H503" s="27" t="s">
        <v>107</v>
      </c>
      <c r="I503" s="27" t="s">
        <v>153</v>
      </c>
      <c r="J503" s="27">
        <v>2</v>
      </c>
      <c r="K503" s="27">
        <v>77.39</v>
      </c>
      <c r="L503" s="27">
        <v>85.99</v>
      </c>
      <c r="M503" s="27">
        <v>10</v>
      </c>
      <c r="N503" s="27">
        <v>8.6</v>
      </c>
      <c r="O503" s="27">
        <v>1</v>
      </c>
      <c r="P503" s="27" t="s">
        <v>95</v>
      </c>
      <c r="Q503" s="27">
        <v>4.361696</v>
      </c>
      <c r="S503" s="27">
        <v>7</v>
      </c>
      <c r="T503" s="27">
        <v>10</v>
      </c>
      <c r="U503" s="27">
        <v>0.4118</v>
      </c>
      <c r="V503" s="27" t="s">
        <v>87</v>
      </c>
      <c r="W503" s="27">
        <v>541.73</v>
      </c>
      <c r="X503" s="27">
        <v>2.079442</v>
      </c>
      <c r="Y503" s="27">
        <v>6.296612</v>
      </c>
      <c r="Z503" s="27">
        <v>3.1623</v>
      </c>
      <c r="AA503" s="27" t="s">
        <v>125</v>
      </c>
      <c r="AB503" s="27">
        <v>0</v>
      </c>
      <c r="AC503" s="27">
        <v>0</v>
      </c>
      <c r="AD503" s="27">
        <v>0</v>
      </c>
      <c r="AE503" s="27">
        <v>0</v>
      </c>
      <c r="AF503" s="27">
        <v>0</v>
      </c>
      <c r="AG503" s="27">
        <v>0</v>
      </c>
      <c r="AH503" s="27">
        <v>0</v>
      </c>
      <c r="AI503" s="27">
        <v>0</v>
      </c>
      <c r="AJ503" s="27">
        <v>0</v>
      </c>
      <c r="AK503" s="27">
        <v>0</v>
      </c>
      <c r="AL503" s="27">
        <v>0</v>
      </c>
      <c r="AM503" s="27">
        <v>0</v>
      </c>
      <c r="AN503" s="27">
        <v>0</v>
      </c>
      <c r="AO503" s="27">
        <v>0</v>
      </c>
      <c r="AP503" s="27">
        <v>0</v>
      </c>
      <c r="AQ503" s="27">
        <v>0</v>
      </c>
      <c r="AR503" s="27">
        <v>0</v>
      </c>
      <c r="AS503" s="27">
        <v>0</v>
      </c>
      <c r="AT503" s="27">
        <v>1</v>
      </c>
      <c r="AU503" s="27">
        <v>0</v>
      </c>
      <c r="AV503" s="27">
        <v>0</v>
      </c>
      <c r="AW503" s="27">
        <v>0</v>
      </c>
      <c r="AX503" s="27">
        <v>0</v>
      </c>
      <c r="AZ503" s="27">
        <v>1</v>
      </c>
      <c r="BA503" s="27">
        <v>0</v>
      </c>
      <c r="BB503" s="27">
        <v>19.47</v>
      </c>
      <c r="BC503" s="27" t="s">
        <v>1648</v>
      </c>
      <c r="BD503" s="27" t="s">
        <v>1649</v>
      </c>
      <c r="BE503" s="27" t="s">
        <v>98</v>
      </c>
      <c r="BF503" s="27" t="s">
        <v>77</v>
      </c>
      <c r="BG503" s="27">
        <v>162</v>
      </c>
      <c r="BH503" s="27">
        <v>60</v>
      </c>
      <c r="BI503" s="27">
        <v>0.7297</v>
      </c>
      <c r="BJ503" s="27">
        <v>0</v>
      </c>
    </row>
    <row r="504" customHeight="1" spans="1:64">
      <c r="A504" s="27" t="s">
        <v>1650</v>
      </c>
      <c r="B504" s="27" t="s">
        <v>65</v>
      </c>
      <c r="C504" s="27" t="s">
        <v>1651</v>
      </c>
      <c r="D504" s="27">
        <v>695529055725</v>
      </c>
      <c r="E504" s="27" t="s">
        <v>250</v>
      </c>
      <c r="F504" s="27" t="s">
        <v>82</v>
      </c>
      <c r="G504" s="27" t="s">
        <v>65</v>
      </c>
      <c r="H504" s="27" t="s">
        <v>69</v>
      </c>
      <c r="I504" s="27" t="s">
        <v>70</v>
      </c>
      <c r="J504" s="27">
        <v>3</v>
      </c>
      <c r="K504" s="27">
        <v>89.99</v>
      </c>
      <c r="M504" s="27">
        <v>0</v>
      </c>
      <c r="N504" s="27">
        <v>0</v>
      </c>
      <c r="O504" s="27">
        <v>0</v>
      </c>
      <c r="P504" s="27" t="s">
        <v>95</v>
      </c>
      <c r="Q504" s="27">
        <v>4.51075</v>
      </c>
      <c r="S504" s="27">
        <v>3</v>
      </c>
      <c r="T504" s="27">
        <v>144</v>
      </c>
      <c r="U504" s="27">
        <v>0.0204</v>
      </c>
      <c r="V504" s="27" t="s">
        <v>87</v>
      </c>
      <c r="W504" s="27">
        <v>269.97</v>
      </c>
      <c r="X504" s="27">
        <v>1.386294</v>
      </c>
      <c r="Y504" s="27">
        <v>5.602008</v>
      </c>
      <c r="Z504" s="27">
        <v>12</v>
      </c>
      <c r="AA504" s="27" t="s">
        <v>73</v>
      </c>
      <c r="AB504" s="27">
        <v>0</v>
      </c>
      <c r="AC504" s="27">
        <v>0</v>
      </c>
      <c r="AD504" s="27">
        <v>0</v>
      </c>
      <c r="AE504" s="27">
        <v>0</v>
      </c>
      <c r="AF504" s="27">
        <v>0</v>
      </c>
      <c r="AG504" s="27">
        <v>1</v>
      </c>
      <c r="AH504" s="27">
        <v>0</v>
      </c>
      <c r="AI504" s="27">
        <v>0</v>
      </c>
      <c r="AJ504" s="27">
        <v>0</v>
      </c>
      <c r="AK504" s="27">
        <v>0</v>
      </c>
      <c r="AL504" s="27">
        <v>0</v>
      </c>
      <c r="AM504" s="27">
        <v>0</v>
      </c>
      <c r="AN504" s="27">
        <v>0</v>
      </c>
      <c r="AO504" s="27">
        <v>0</v>
      </c>
      <c r="AP504" s="27">
        <v>0</v>
      </c>
      <c r="AQ504" s="27">
        <v>0</v>
      </c>
      <c r="AR504" s="27">
        <v>0</v>
      </c>
      <c r="AS504" s="27">
        <v>0</v>
      </c>
      <c r="AT504" s="27">
        <v>0</v>
      </c>
      <c r="AU504" s="27">
        <v>0</v>
      </c>
      <c r="AV504" s="27">
        <v>0</v>
      </c>
      <c r="AW504" s="27">
        <v>0</v>
      </c>
      <c r="AX504" s="27">
        <v>0</v>
      </c>
      <c r="AZ504" s="27">
        <v>1</v>
      </c>
      <c r="BA504" s="27">
        <v>0</v>
      </c>
      <c r="BB504" s="27">
        <v>30.25</v>
      </c>
      <c r="BC504" s="27" t="s">
        <v>74</v>
      </c>
      <c r="BD504" s="27" t="s">
        <v>75</v>
      </c>
      <c r="BE504" s="27" t="s">
        <v>98</v>
      </c>
      <c r="BF504" s="27" t="s">
        <v>77</v>
      </c>
      <c r="BG504" s="27">
        <v>168</v>
      </c>
      <c r="BH504" s="27">
        <v>13</v>
      </c>
      <c r="BI504" s="27">
        <v>0.9282</v>
      </c>
      <c r="BJ504" s="27">
        <v>0</v>
      </c>
      <c r="BK504" s="27">
        <v>7</v>
      </c>
      <c r="BL504" s="27">
        <v>98.1</v>
      </c>
    </row>
    <row r="505" customHeight="1" spans="1:64">
      <c r="A505" s="27" t="s">
        <v>1652</v>
      </c>
      <c r="B505" s="27" t="s">
        <v>1349</v>
      </c>
      <c r="E505" s="27" t="s">
        <v>250</v>
      </c>
      <c r="F505" s="27" t="s">
        <v>82</v>
      </c>
      <c r="G505" s="27" t="s">
        <v>83</v>
      </c>
      <c r="H505" s="27" t="s">
        <v>84</v>
      </c>
      <c r="I505" s="27" t="s">
        <v>85</v>
      </c>
      <c r="J505" s="27">
        <v>5</v>
      </c>
      <c r="K505" s="27">
        <v>115</v>
      </c>
      <c r="M505" s="27">
        <v>0</v>
      </c>
      <c r="N505" s="27">
        <v>0</v>
      </c>
      <c r="O505" s="27">
        <v>0</v>
      </c>
      <c r="P505" s="27" t="s">
        <v>95</v>
      </c>
      <c r="Q505" s="27">
        <v>4.75359</v>
      </c>
      <c r="S505" s="27">
        <v>2</v>
      </c>
      <c r="T505" s="27">
        <v>10</v>
      </c>
      <c r="U505" s="27">
        <v>0.1667</v>
      </c>
      <c r="V505" s="27" t="s">
        <v>87</v>
      </c>
      <c r="W505" s="27">
        <v>230</v>
      </c>
      <c r="X505" s="27">
        <v>1.098612</v>
      </c>
      <c r="Y505" s="27">
        <v>5.442418</v>
      </c>
      <c r="Z505" s="27">
        <v>3.1623</v>
      </c>
      <c r="AA505" s="27" t="s">
        <v>187</v>
      </c>
      <c r="AB505" s="27">
        <v>0</v>
      </c>
      <c r="AC505" s="27">
        <v>0</v>
      </c>
      <c r="AD505" s="27">
        <v>0</v>
      </c>
      <c r="AE505" s="27">
        <v>1</v>
      </c>
      <c r="AF505" s="27">
        <v>0</v>
      </c>
      <c r="AG505" s="27">
        <v>0</v>
      </c>
      <c r="AH505" s="27">
        <v>1</v>
      </c>
      <c r="AI505" s="27">
        <v>0</v>
      </c>
      <c r="AJ505" s="27">
        <v>0</v>
      </c>
      <c r="AK505" s="27">
        <v>0</v>
      </c>
      <c r="AL505" s="27">
        <v>0</v>
      </c>
      <c r="AM505" s="27">
        <v>0</v>
      </c>
      <c r="AN505" s="27">
        <v>0</v>
      </c>
      <c r="AO505" s="27">
        <v>0</v>
      </c>
      <c r="AP505" s="27">
        <v>0</v>
      </c>
      <c r="AQ505" s="27">
        <v>0</v>
      </c>
      <c r="AR505" s="27">
        <v>0</v>
      </c>
      <c r="AS505" s="27">
        <v>0</v>
      </c>
      <c r="AT505" s="27">
        <v>1</v>
      </c>
      <c r="AU505" s="27">
        <v>0</v>
      </c>
      <c r="AV505" s="27">
        <v>0</v>
      </c>
      <c r="AW505" s="27">
        <v>0</v>
      </c>
      <c r="AX505" s="27">
        <v>0</v>
      </c>
      <c r="AZ505" s="27">
        <v>1</v>
      </c>
      <c r="BA505" s="27">
        <v>2</v>
      </c>
      <c r="BB505" s="27">
        <v>34.45</v>
      </c>
      <c r="BC505" s="27" t="s">
        <v>1566</v>
      </c>
      <c r="BD505" s="27" t="s">
        <v>169</v>
      </c>
      <c r="BE505" s="27" t="s">
        <v>128</v>
      </c>
      <c r="BF505" s="27" t="s">
        <v>77</v>
      </c>
      <c r="BG505" s="27">
        <v>162</v>
      </c>
      <c r="BH505" s="27">
        <v>56</v>
      </c>
      <c r="BI505" s="27">
        <v>0.7431</v>
      </c>
      <c r="BJ505" s="27">
        <v>0</v>
      </c>
      <c r="BK505" s="27">
        <v>27</v>
      </c>
      <c r="BL505" s="27">
        <v>92.6</v>
      </c>
    </row>
    <row r="506" customHeight="1" spans="1:64">
      <c r="A506" s="27" t="s">
        <v>1653</v>
      </c>
      <c r="B506" s="27" t="s">
        <v>195</v>
      </c>
      <c r="E506" s="27" t="s">
        <v>653</v>
      </c>
      <c r="F506" s="27" t="s">
        <v>198</v>
      </c>
      <c r="G506" s="27" t="s">
        <v>83</v>
      </c>
      <c r="H506" s="27" t="s">
        <v>84</v>
      </c>
      <c r="I506" s="27" t="s">
        <v>85</v>
      </c>
      <c r="J506" s="27">
        <v>5</v>
      </c>
      <c r="K506" s="27">
        <v>9.95</v>
      </c>
      <c r="M506" s="27">
        <v>0</v>
      </c>
      <c r="N506" s="27">
        <v>0</v>
      </c>
      <c r="O506" s="27">
        <v>0</v>
      </c>
      <c r="P506" s="27" t="s">
        <v>133</v>
      </c>
      <c r="Q506" s="27">
        <v>2.393339</v>
      </c>
      <c r="S506" s="27">
        <v>420</v>
      </c>
      <c r="T506" s="27">
        <v>10</v>
      </c>
      <c r="U506" s="27">
        <v>0.9767</v>
      </c>
      <c r="V506" s="27" t="s">
        <v>154</v>
      </c>
      <c r="W506" s="27">
        <v>4179</v>
      </c>
      <c r="X506" s="27">
        <v>6.042633</v>
      </c>
      <c r="Y506" s="27">
        <v>8.338067</v>
      </c>
      <c r="Z506" s="27">
        <v>3.1623</v>
      </c>
      <c r="AA506" s="27" t="s">
        <v>125</v>
      </c>
      <c r="AB506" s="27">
        <v>0</v>
      </c>
      <c r="AC506" s="27">
        <v>0</v>
      </c>
      <c r="AD506" s="27">
        <v>0</v>
      </c>
      <c r="AE506" s="27">
        <v>0</v>
      </c>
      <c r="AF506" s="27">
        <v>0</v>
      </c>
      <c r="AG506" s="27">
        <v>0</v>
      </c>
      <c r="AH506" s="27">
        <v>0</v>
      </c>
      <c r="AI506" s="27">
        <v>0</v>
      </c>
      <c r="AJ506" s="27">
        <v>0</v>
      </c>
      <c r="AK506" s="27">
        <v>0</v>
      </c>
      <c r="AL506" s="27">
        <v>0</v>
      </c>
      <c r="AM506" s="27">
        <v>0</v>
      </c>
      <c r="AN506" s="27">
        <v>0</v>
      </c>
      <c r="AO506" s="27">
        <v>0</v>
      </c>
      <c r="AP506" s="27">
        <v>0</v>
      </c>
      <c r="AQ506" s="27">
        <v>0</v>
      </c>
      <c r="AR506" s="27">
        <v>0</v>
      </c>
      <c r="AS506" s="27">
        <v>0</v>
      </c>
      <c r="AT506" s="27">
        <v>0</v>
      </c>
      <c r="AU506" s="27">
        <v>0</v>
      </c>
      <c r="AV506" s="27">
        <v>0</v>
      </c>
      <c r="AW506" s="27">
        <v>0</v>
      </c>
      <c r="AX506" s="27">
        <v>0</v>
      </c>
      <c r="AZ506" s="27">
        <v>1</v>
      </c>
      <c r="BA506" s="27">
        <v>0</v>
      </c>
      <c r="BB506" s="27">
        <v>68.92</v>
      </c>
      <c r="BC506" s="27" t="s">
        <v>1654</v>
      </c>
      <c r="BD506" s="27" t="s">
        <v>1655</v>
      </c>
      <c r="BE506" s="27" t="s">
        <v>226</v>
      </c>
      <c r="BF506" s="27" t="s">
        <v>77</v>
      </c>
      <c r="BG506" s="27">
        <v>162</v>
      </c>
      <c r="BH506" s="27">
        <v>59</v>
      </c>
      <c r="BI506" s="27">
        <v>0.733</v>
      </c>
      <c r="BJ506" s="27">
        <v>0</v>
      </c>
      <c r="BK506" s="27">
        <v>2</v>
      </c>
      <c r="BL506" s="27">
        <v>99.5</v>
      </c>
    </row>
    <row r="507" customHeight="1" spans="1:64">
      <c r="A507" s="27" t="s">
        <v>1656</v>
      </c>
      <c r="B507" s="27" t="s">
        <v>65</v>
      </c>
      <c r="C507" s="27" t="s">
        <v>1657</v>
      </c>
      <c r="D507" s="27">
        <v>695529025988</v>
      </c>
      <c r="E507" s="27" t="s">
        <v>250</v>
      </c>
      <c r="F507" s="27" t="s">
        <v>82</v>
      </c>
      <c r="G507" s="27" t="s">
        <v>65</v>
      </c>
      <c r="H507" s="27" t="s">
        <v>69</v>
      </c>
      <c r="I507" s="27" t="s">
        <v>85</v>
      </c>
      <c r="J507" s="27">
        <v>5</v>
      </c>
      <c r="K507" s="27">
        <v>129.99</v>
      </c>
      <c r="M507" s="27">
        <v>0</v>
      </c>
      <c r="N507" s="27">
        <v>0</v>
      </c>
      <c r="O507" s="27">
        <v>0</v>
      </c>
      <c r="P507" s="27" t="s">
        <v>95</v>
      </c>
      <c r="Q507" s="27">
        <v>4.875121</v>
      </c>
      <c r="S507" s="27">
        <v>35</v>
      </c>
      <c r="T507" s="27">
        <v>185</v>
      </c>
      <c r="U507" s="27">
        <v>0.1591</v>
      </c>
      <c r="V507" s="27" t="s">
        <v>72</v>
      </c>
      <c r="W507" s="27">
        <v>4549.65</v>
      </c>
      <c r="X507" s="27">
        <v>3.583519</v>
      </c>
      <c r="Y507" s="27">
        <v>8.423025</v>
      </c>
      <c r="Z507" s="27">
        <v>13.6015</v>
      </c>
      <c r="AA507" s="27" t="s">
        <v>73</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v>0</v>
      </c>
      <c r="AS507" s="27">
        <v>0</v>
      </c>
      <c r="AT507" s="27">
        <v>1</v>
      </c>
      <c r="AU507" s="27">
        <v>0</v>
      </c>
      <c r="AV507" s="27">
        <v>0</v>
      </c>
      <c r="AW507" s="27">
        <v>0</v>
      </c>
      <c r="AX507" s="27">
        <v>0</v>
      </c>
      <c r="AZ507" s="27">
        <v>1</v>
      </c>
      <c r="BA507" s="27">
        <v>0</v>
      </c>
      <c r="BB507" s="27">
        <v>36.21</v>
      </c>
      <c r="BC507" s="27" t="s">
        <v>74</v>
      </c>
      <c r="BD507" s="27" t="s">
        <v>75</v>
      </c>
      <c r="BE507" s="27" t="s">
        <v>98</v>
      </c>
      <c r="BF507" s="27" t="s">
        <v>77</v>
      </c>
      <c r="BG507" s="27">
        <v>168</v>
      </c>
      <c r="BH507" s="27">
        <v>13</v>
      </c>
      <c r="BI507" s="27">
        <v>0.9282</v>
      </c>
      <c r="BJ507" s="27">
        <v>0</v>
      </c>
      <c r="BK507" s="27">
        <v>2</v>
      </c>
      <c r="BL507" s="27">
        <v>99.5</v>
      </c>
    </row>
    <row r="508" customHeight="1" spans="1:64">
      <c r="A508" s="27" t="s">
        <v>1658</v>
      </c>
      <c r="B508" s="27" t="s">
        <v>171</v>
      </c>
      <c r="C508" s="27" t="s">
        <v>1659</v>
      </c>
      <c r="E508" s="27" t="s">
        <v>250</v>
      </c>
      <c r="F508" s="27" t="s">
        <v>82</v>
      </c>
      <c r="G508" s="27" t="s">
        <v>83</v>
      </c>
      <c r="H508" s="27" t="s">
        <v>84</v>
      </c>
      <c r="I508" s="27" t="s">
        <v>85</v>
      </c>
      <c r="J508" s="27">
        <v>5</v>
      </c>
      <c r="K508" s="27">
        <v>59.99</v>
      </c>
      <c r="L508" s="27">
        <v>74.99</v>
      </c>
      <c r="M508" s="27">
        <v>20</v>
      </c>
      <c r="N508" s="27">
        <v>15</v>
      </c>
      <c r="O508" s="27">
        <v>1</v>
      </c>
      <c r="P508" s="27" t="s">
        <v>86</v>
      </c>
      <c r="Q508" s="27">
        <v>4.11071</v>
      </c>
      <c r="S508" s="27">
        <v>4</v>
      </c>
      <c r="T508" s="27">
        <v>10</v>
      </c>
      <c r="U508" s="27">
        <v>0.2857</v>
      </c>
      <c r="V508" s="27" t="s">
        <v>87</v>
      </c>
      <c r="W508" s="27">
        <v>239.96</v>
      </c>
      <c r="X508" s="27">
        <v>1.609438</v>
      </c>
      <c r="Y508" s="27">
        <v>5.484631</v>
      </c>
      <c r="Z508" s="27">
        <v>3.1623</v>
      </c>
      <c r="AA508" s="27" t="s">
        <v>88</v>
      </c>
      <c r="AB508" s="27">
        <v>1</v>
      </c>
      <c r="AC508" s="27">
        <v>1</v>
      </c>
      <c r="AD508" s="27">
        <v>0</v>
      </c>
      <c r="AE508" s="27">
        <v>0</v>
      </c>
      <c r="AF508" s="27">
        <v>0</v>
      </c>
      <c r="AG508" s="27">
        <v>0</v>
      </c>
      <c r="AH508" s="27">
        <v>1</v>
      </c>
      <c r="AI508" s="27">
        <v>0</v>
      </c>
      <c r="AJ508" s="27">
        <v>0</v>
      </c>
      <c r="AK508" s="27">
        <v>0</v>
      </c>
      <c r="AL508" s="27">
        <v>0</v>
      </c>
      <c r="AM508" s="27">
        <v>0</v>
      </c>
      <c r="AN508" s="27">
        <v>1</v>
      </c>
      <c r="AO508" s="27">
        <v>0</v>
      </c>
      <c r="AP508" s="27">
        <v>0</v>
      </c>
      <c r="AQ508" s="27">
        <v>0</v>
      </c>
      <c r="AR508" s="27">
        <v>0</v>
      </c>
      <c r="AS508" s="27">
        <v>0</v>
      </c>
      <c r="AT508" s="27">
        <v>0</v>
      </c>
      <c r="AU508" s="27">
        <v>0</v>
      </c>
      <c r="AV508" s="27">
        <v>0</v>
      </c>
      <c r="AW508" s="27">
        <v>0</v>
      </c>
      <c r="AX508" s="27">
        <v>0</v>
      </c>
      <c r="AZ508" s="27">
        <v>1</v>
      </c>
      <c r="BA508" s="27">
        <v>4</v>
      </c>
      <c r="BB508" s="27">
        <v>17.43</v>
      </c>
      <c r="BC508" s="27" t="s">
        <v>174</v>
      </c>
      <c r="BD508" s="27" t="s">
        <v>175</v>
      </c>
      <c r="BE508" s="27" t="s">
        <v>226</v>
      </c>
      <c r="BF508" s="27" t="s">
        <v>77</v>
      </c>
      <c r="BG508" s="27">
        <v>162</v>
      </c>
      <c r="BH508" s="27">
        <v>60</v>
      </c>
      <c r="BI508" s="27">
        <v>0.7297</v>
      </c>
      <c r="BJ508" s="27">
        <v>0</v>
      </c>
    </row>
    <row r="509" customHeight="1" spans="1:64">
      <c r="A509" s="27" t="s">
        <v>1660</v>
      </c>
      <c r="B509" s="27" t="s">
        <v>171</v>
      </c>
      <c r="C509" s="27" t="s">
        <v>1661</v>
      </c>
      <c r="E509" s="27" t="s">
        <v>173</v>
      </c>
      <c r="F509" s="27" t="s">
        <v>160</v>
      </c>
      <c r="G509" s="27" t="s">
        <v>83</v>
      </c>
      <c r="H509" s="27" t="s">
        <v>84</v>
      </c>
      <c r="I509" s="27" t="s">
        <v>85</v>
      </c>
      <c r="J509" s="27">
        <v>5</v>
      </c>
      <c r="K509" s="27">
        <v>399.41</v>
      </c>
      <c r="L509" s="27">
        <v>469.89</v>
      </c>
      <c r="M509" s="27">
        <v>15</v>
      </c>
      <c r="N509" s="27">
        <v>70.48</v>
      </c>
      <c r="O509" s="27">
        <v>1</v>
      </c>
      <c r="P509" s="27" t="s">
        <v>71</v>
      </c>
      <c r="Q509" s="27">
        <v>5.992489</v>
      </c>
      <c r="R509" s="27">
        <v>49.93</v>
      </c>
      <c r="S509" s="27">
        <v>482</v>
      </c>
      <c r="T509" s="27">
        <v>10</v>
      </c>
      <c r="U509" s="27">
        <v>0.9797</v>
      </c>
      <c r="V509" s="27" t="s">
        <v>154</v>
      </c>
      <c r="W509" s="27">
        <v>192515.62</v>
      </c>
      <c r="X509" s="27">
        <v>6.180017</v>
      </c>
      <c r="Y509" s="27">
        <v>12.167938</v>
      </c>
      <c r="Z509" s="27">
        <v>3.1623</v>
      </c>
      <c r="AA509" s="27" t="s">
        <v>313</v>
      </c>
      <c r="AB509" s="27">
        <v>1</v>
      </c>
      <c r="AC509" s="27">
        <v>1</v>
      </c>
      <c r="AD509" s="27">
        <v>0</v>
      </c>
      <c r="AE509" s="27">
        <v>0</v>
      </c>
      <c r="AF509" s="27">
        <v>0</v>
      </c>
      <c r="AG509" s="27">
        <v>0</v>
      </c>
      <c r="AH509" s="27">
        <v>0</v>
      </c>
      <c r="AI509" s="27">
        <v>0</v>
      </c>
      <c r="AJ509" s="27">
        <v>0</v>
      </c>
      <c r="AK509" s="27">
        <v>0</v>
      </c>
      <c r="AL509" s="27">
        <v>0</v>
      </c>
      <c r="AM509" s="27">
        <v>1</v>
      </c>
      <c r="AN509" s="27">
        <v>0</v>
      </c>
      <c r="AO509" s="27">
        <v>0</v>
      </c>
      <c r="AP509" s="27">
        <v>0</v>
      </c>
      <c r="AQ509" s="27">
        <v>1</v>
      </c>
      <c r="AR509" s="27">
        <v>0</v>
      </c>
      <c r="AS509" s="27">
        <v>0</v>
      </c>
      <c r="AT509" s="27">
        <v>1</v>
      </c>
      <c r="AU509" s="27">
        <v>0</v>
      </c>
      <c r="AV509" s="27">
        <v>1</v>
      </c>
      <c r="AW509" s="27">
        <v>1</v>
      </c>
      <c r="AX509" s="27">
        <v>0</v>
      </c>
      <c r="AY509" s="27">
        <v>8</v>
      </c>
      <c r="AZ509" s="27">
        <v>1</v>
      </c>
      <c r="BA509" s="27">
        <v>4</v>
      </c>
      <c r="BB509" s="27">
        <v>73.54</v>
      </c>
      <c r="BC509" s="27" t="s">
        <v>326</v>
      </c>
      <c r="BD509" s="27" t="s">
        <v>175</v>
      </c>
      <c r="BE509" s="27" t="s">
        <v>91</v>
      </c>
      <c r="BF509" s="27" t="s">
        <v>77</v>
      </c>
      <c r="BG509" s="27">
        <v>161</v>
      </c>
      <c r="BH509" s="27">
        <v>61</v>
      </c>
      <c r="BI509" s="27">
        <v>0.7252</v>
      </c>
      <c r="BJ509" s="27">
        <v>0</v>
      </c>
      <c r="BK509" s="27">
        <v>2</v>
      </c>
      <c r="BL509" s="27">
        <v>99.5</v>
      </c>
    </row>
    <row r="510" customHeight="1" spans="1:64">
      <c r="A510" s="27" t="s">
        <v>1662</v>
      </c>
      <c r="B510" s="27" t="s">
        <v>93</v>
      </c>
      <c r="E510" s="27" t="s">
        <v>94</v>
      </c>
      <c r="F510" s="27" t="s">
        <v>82</v>
      </c>
      <c r="G510" s="27" t="s">
        <v>93</v>
      </c>
      <c r="H510" s="27" t="s">
        <v>69</v>
      </c>
      <c r="I510" s="27" t="s">
        <v>85</v>
      </c>
      <c r="J510" s="27">
        <v>5</v>
      </c>
      <c r="K510" s="27">
        <v>149.99</v>
      </c>
      <c r="M510" s="27">
        <v>0</v>
      </c>
      <c r="N510" s="27">
        <v>0</v>
      </c>
      <c r="O510" s="27">
        <v>0</v>
      </c>
      <c r="P510" s="27" t="s">
        <v>95</v>
      </c>
      <c r="Q510" s="27">
        <v>5.017214</v>
      </c>
      <c r="S510" s="27">
        <v>61</v>
      </c>
      <c r="T510" s="27">
        <v>20</v>
      </c>
      <c r="U510" s="27">
        <v>0.7531</v>
      </c>
      <c r="V510" s="27" t="s">
        <v>72</v>
      </c>
      <c r="W510" s="27">
        <v>9149.39</v>
      </c>
      <c r="X510" s="27">
        <v>4.127134</v>
      </c>
      <c r="Y510" s="27">
        <v>9.121552</v>
      </c>
      <c r="Z510" s="27">
        <v>4.4721</v>
      </c>
      <c r="AA510" s="27" t="s">
        <v>73</v>
      </c>
      <c r="AB510" s="27">
        <v>0</v>
      </c>
      <c r="AC510" s="27">
        <v>0</v>
      </c>
      <c r="AD510" s="27">
        <v>0</v>
      </c>
      <c r="AE510" s="27">
        <v>1</v>
      </c>
      <c r="AF510" s="27">
        <v>1</v>
      </c>
      <c r="AG510" s="27">
        <v>0</v>
      </c>
      <c r="AH510" s="27">
        <v>1</v>
      </c>
      <c r="AI510" s="27">
        <v>0</v>
      </c>
      <c r="AJ510" s="27">
        <v>0</v>
      </c>
      <c r="AK510" s="27">
        <v>0</v>
      </c>
      <c r="AL510" s="27">
        <v>0</v>
      </c>
      <c r="AM510" s="27">
        <v>0</v>
      </c>
      <c r="AN510" s="27">
        <v>0</v>
      </c>
      <c r="AO510" s="27">
        <v>0</v>
      </c>
      <c r="AP510" s="27">
        <v>0</v>
      </c>
      <c r="AQ510" s="27">
        <v>0</v>
      </c>
      <c r="AR510" s="27">
        <v>0</v>
      </c>
      <c r="AS510" s="27">
        <v>0</v>
      </c>
      <c r="AT510" s="27">
        <v>1</v>
      </c>
      <c r="AU510" s="27">
        <v>0</v>
      </c>
      <c r="AV510" s="27">
        <v>0</v>
      </c>
      <c r="AW510" s="27">
        <v>0</v>
      </c>
      <c r="AX510" s="27">
        <v>0</v>
      </c>
      <c r="AZ510" s="27">
        <v>1</v>
      </c>
      <c r="BA510" s="27">
        <v>2</v>
      </c>
      <c r="BB510" s="27">
        <v>59.79</v>
      </c>
      <c r="BC510" s="27" t="s">
        <v>96</v>
      </c>
      <c r="BD510" s="27" t="s">
        <v>97</v>
      </c>
      <c r="BE510" s="27" t="s">
        <v>98</v>
      </c>
      <c r="BF510" s="27" t="s">
        <v>77</v>
      </c>
      <c r="BG510" s="27">
        <v>1</v>
      </c>
      <c r="BH510" s="27">
        <v>28</v>
      </c>
      <c r="BI510" s="27">
        <v>0.0345</v>
      </c>
      <c r="BJ510" s="27">
        <v>1</v>
      </c>
      <c r="BK510" s="27">
        <v>4</v>
      </c>
      <c r="BL510" s="27">
        <v>98.9</v>
      </c>
    </row>
    <row r="511" customHeight="1" spans="1:64">
      <c r="A511" s="27" t="s">
        <v>1663</v>
      </c>
      <c r="B511" s="27" t="s">
        <v>535</v>
      </c>
      <c r="E511" s="27" t="s">
        <v>81</v>
      </c>
      <c r="F511" s="27" t="s">
        <v>82</v>
      </c>
      <c r="G511" s="27" t="s">
        <v>83</v>
      </c>
      <c r="H511" s="27" t="s">
        <v>84</v>
      </c>
      <c r="I511" s="27" t="s">
        <v>85</v>
      </c>
      <c r="J511" s="27">
        <v>5</v>
      </c>
      <c r="K511" s="27">
        <v>151.05</v>
      </c>
      <c r="L511" s="27">
        <v>159</v>
      </c>
      <c r="M511" s="27">
        <v>5</v>
      </c>
      <c r="N511" s="27">
        <v>7.95</v>
      </c>
      <c r="O511" s="27">
        <v>1</v>
      </c>
      <c r="P511" s="27" t="s">
        <v>95</v>
      </c>
      <c r="Q511" s="27">
        <v>5.024209</v>
      </c>
      <c r="S511" s="27">
        <v>11</v>
      </c>
      <c r="T511" s="27">
        <v>23</v>
      </c>
      <c r="U511" s="27">
        <v>0.3235</v>
      </c>
      <c r="V511" s="27" t="s">
        <v>72</v>
      </c>
      <c r="W511" s="27">
        <v>1661.55</v>
      </c>
      <c r="X511" s="27">
        <v>2.484907</v>
      </c>
      <c r="Y511" s="27">
        <v>7.416108</v>
      </c>
      <c r="Z511" s="27">
        <v>4.7958</v>
      </c>
      <c r="AA511" s="27" t="s">
        <v>73</v>
      </c>
      <c r="AB511" s="27">
        <v>0</v>
      </c>
      <c r="AC511" s="27">
        <v>0</v>
      </c>
      <c r="AD511" s="27">
        <v>0</v>
      </c>
      <c r="AE511" s="27">
        <v>0</v>
      </c>
      <c r="AF511" s="27">
        <v>0</v>
      </c>
      <c r="AG511" s="27">
        <v>1</v>
      </c>
      <c r="AH511" s="27">
        <v>0</v>
      </c>
      <c r="AI511" s="27">
        <v>1</v>
      </c>
      <c r="AJ511" s="27">
        <v>0</v>
      </c>
      <c r="AK511" s="27">
        <v>1</v>
      </c>
      <c r="AL511" s="27">
        <v>0</v>
      </c>
      <c r="AM511" s="27">
        <v>0</v>
      </c>
      <c r="AN511" s="27">
        <v>0</v>
      </c>
      <c r="AO511" s="27">
        <v>0</v>
      </c>
      <c r="AP511" s="27">
        <v>0</v>
      </c>
      <c r="AQ511" s="27">
        <v>0</v>
      </c>
      <c r="AR511" s="27">
        <v>0</v>
      </c>
      <c r="AS511" s="27">
        <v>0</v>
      </c>
      <c r="AT511" s="27">
        <v>1</v>
      </c>
      <c r="AU511" s="27">
        <v>0</v>
      </c>
      <c r="AV511" s="27">
        <v>0</v>
      </c>
      <c r="AW511" s="27">
        <v>0</v>
      </c>
      <c r="AX511" s="27">
        <v>0</v>
      </c>
      <c r="AZ511" s="27">
        <v>1</v>
      </c>
      <c r="BA511" s="27">
        <v>1</v>
      </c>
      <c r="BB511" s="27">
        <v>44.29</v>
      </c>
      <c r="BC511" s="27" t="s">
        <v>536</v>
      </c>
      <c r="BD511" s="27" t="s">
        <v>537</v>
      </c>
      <c r="BE511" s="27" t="s">
        <v>226</v>
      </c>
      <c r="BF511" s="27" t="s">
        <v>77</v>
      </c>
      <c r="BG511" s="27">
        <v>1</v>
      </c>
      <c r="BH511" s="27">
        <v>13</v>
      </c>
      <c r="BI511" s="27">
        <v>0.0714</v>
      </c>
      <c r="BJ511" s="27">
        <v>1</v>
      </c>
      <c r="BK511" s="27">
        <v>2</v>
      </c>
      <c r="BL511" s="27">
        <v>99.5</v>
      </c>
    </row>
    <row r="512" customHeight="1" spans="1:64">
      <c r="A512" s="27" t="s">
        <v>1664</v>
      </c>
      <c r="B512" s="27" t="s">
        <v>1665</v>
      </c>
      <c r="E512" s="27" t="s">
        <v>81</v>
      </c>
      <c r="F512" s="27" t="s">
        <v>82</v>
      </c>
      <c r="G512" s="27" t="s">
        <v>83</v>
      </c>
      <c r="H512" s="27" t="s">
        <v>84</v>
      </c>
      <c r="I512" s="27" t="s">
        <v>85</v>
      </c>
      <c r="J512" s="27">
        <v>5</v>
      </c>
      <c r="K512" s="27">
        <v>16.95</v>
      </c>
      <c r="M512" s="27">
        <v>0</v>
      </c>
      <c r="N512" s="27">
        <v>0</v>
      </c>
      <c r="O512" s="27">
        <v>0</v>
      </c>
      <c r="P512" s="27" t="s">
        <v>133</v>
      </c>
      <c r="Q512" s="27">
        <v>2.88759</v>
      </c>
      <c r="S512" s="27">
        <v>18</v>
      </c>
      <c r="T512" s="27">
        <v>10</v>
      </c>
      <c r="U512" s="27">
        <v>0.6429</v>
      </c>
      <c r="V512" s="27" t="s">
        <v>72</v>
      </c>
      <c r="W512" s="27">
        <v>305.1</v>
      </c>
      <c r="X512" s="27">
        <v>2.944439</v>
      </c>
      <c r="Y512" s="27">
        <v>5.723912</v>
      </c>
      <c r="Z512" s="27">
        <v>3.1623</v>
      </c>
      <c r="AA512" s="27" t="s">
        <v>139</v>
      </c>
      <c r="AB512" s="27">
        <v>0</v>
      </c>
      <c r="AC512" s="27">
        <v>0</v>
      </c>
      <c r="AD512" s="27">
        <v>0</v>
      </c>
      <c r="AE512" s="27">
        <v>0</v>
      </c>
      <c r="AF512" s="27">
        <v>0</v>
      </c>
      <c r="AG512" s="27">
        <v>0</v>
      </c>
      <c r="AH512" s="27">
        <v>1</v>
      </c>
      <c r="AI512" s="27">
        <v>0</v>
      </c>
      <c r="AJ512" s="27">
        <v>0</v>
      </c>
      <c r="AK512" s="27">
        <v>0</v>
      </c>
      <c r="AL512" s="27">
        <v>1</v>
      </c>
      <c r="AM512" s="27">
        <v>0</v>
      </c>
      <c r="AN512" s="27">
        <v>0</v>
      </c>
      <c r="AO512" s="27">
        <v>0</v>
      </c>
      <c r="AP512" s="27">
        <v>0</v>
      </c>
      <c r="AQ512" s="27">
        <v>0</v>
      </c>
      <c r="AR512" s="27">
        <v>0</v>
      </c>
      <c r="AS512" s="27">
        <v>0</v>
      </c>
      <c r="AT512" s="27">
        <v>0</v>
      </c>
      <c r="AU512" s="27">
        <v>0</v>
      </c>
      <c r="AV512" s="27">
        <v>0</v>
      </c>
      <c r="AW512" s="27">
        <v>0</v>
      </c>
      <c r="AX512" s="27">
        <v>0</v>
      </c>
      <c r="AZ512" s="27">
        <v>1</v>
      </c>
      <c r="BA512" s="27">
        <v>1</v>
      </c>
      <c r="BB512" s="27">
        <v>50.8</v>
      </c>
      <c r="BC512" s="27" t="s">
        <v>1666</v>
      </c>
      <c r="BD512" s="27" t="s">
        <v>741</v>
      </c>
      <c r="BE512" s="27" t="s">
        <v>113</v>
      </c>
      <c r="BF512" s="27" t="s">
        <v>77</v>
      </c>
      <c r="BG512" s="27">
        <v>168</v>
      </c>
      <c r="BH512" s="27">
        <v>11</v>
      </c>
      <c r="BI512" s="27">
        <v>0.9385</v>
      </c>
      <c r="BJ512" s="27">
        <v>0</v>
      </c>
      <c r="BK512" s="27">
        <v>60</v>
      </c>
      <c r="BL512" s="27">
        <v>83.6</v>
      </c>
    </row>
    <row r="513" customHeight="1" spans="1:64">
      <c r="A513" s="27" t="s">
        <v>1667</v>
      </c>
      <c r="B513" s="27" t="s">
        <v>195</v>
      </c>
      <c r="C513" s="27" t="s">
        <v>1668</v>
      </c>
      <c r="D513" s="27">
        <v>815017029698</v>
      </c>
      <c r="E513" s="27" t="s">
        <v>122</v>
      </c>
      <c r="F513" s="27" t="s">
        <v>82</v>
      </c>
      <c r="G513" s="27" t="s">
        <v>83</v>
      </c>
      <c r="H513" s="27" t="s">
        <v>84</v>
      </c>
      <c r="I513" s="27" t="s">
        <v>85</v>
      </c>
      <c r="J513" s="27">
        <v>5</v>
      </c>
      <c r="K513" s="27">
        <v>9.99</v>
      </c>
      <c r="M513" s="27">
        <v>0</v>
      </c>
      <c r="N513" s="27">
        <v>0</v>
      </c>
      <c r="O513" s="27">
        <v>0</v>
      </c>
      <c r="P513" s="27" t="s">
        <v>133</v>
      </c>
      <c r="Q513" s="27">
        <v>2.396986</v>
      </c>
      <c r="S513" s="27">
        <v>639</v>
      </c>
      <c r="T513" s="27">
        <v>10</v>
      </c>
      <c r="U513" s="27">
        <v>0.9846</v>
      </c>
      <c r="V513" s="27" t="s">
        <v>154</v>
      </c>
      <c r="W513" s="27">
        <v>6383.61</v>
      </c>
      <c r="X513" s="27">
        <v>6.461468</v>
      </c>
      <c r="Y513" s="27">
        <v>8.761646</v>
      </c>
      <c r="Z513" s="27">
        <v>3.1623</v>
      </c>
      <c r="AA513" s="27" t="s">
        <v>125</v>
      </c>
      <c r="AB513" s="27">
        <v>0</v>
      </c>
      <c r="AC513" s="27">
        <v>0</v>
      </c>
      <c r="AD513" s="27">
        <v>0</v>
      </c>
      <c r="AE513" s="27">
        <v>0</v>
      </c>
      <c r="AF513" s="27">
        <v>0</v>
      </c>
      <c r="AG513" s="27">
        <v>0</v>
      </c>
      <c r="AH513" s="27">
        <v>0</v>
      </c>
      <c r="AI513" s="27">
        <v>0</v>
      </c>
      <c r="AJ513" s="27">
        <v>0</v>
      </c>
      <c r="AK513" s="27">
        <v>0</v>
      </c>
      <c r="AL513" s="27">
        <v>0</v>
      </c>
      <c r="AM513" s="27">
        <v>0</v>
      </c>
      <c r="AN513" s="27">
        <v>0</v>
      </c>
      <c r="AO513" s="27">
        <v>0</v>
      </c>
      <c r="AP513" s="27">
        <v>0</v>
      </c>
      <c r="AQ513" s="27">
        <v>0</v>
      </c>
      <c r="AR513" s="27">
        <v>0</v>
      </c>
      <c r="AS513" s="27">
        <v>1</v>
      </c>
      <c r="AT513" s="27">
        <v>0</v>
      </c>
      <c r="AU513" s="27">
        <v>0</v>
      </c>
      <c r="AV513" s="27">
        <v>0</v>
      </c>
      <c r="AW513" s="27">
        <v>0</v>
      </c>
      <c r="AX513" s="27">
        <v>0</v>
      </c>
      <c r="AZ513" s="27">
        <v>1</v>
      </c>
      <c r="BA513" s="27">
        <v>0</v>
      </c>
      <c r="BB513" s="27">
        <v>40.13</v>
      </c>
      <c r="BC513" s="27" t="s">
        <v>1311</v>
      </c>
      <c r="BD513" s="27" t="s">
        <v>698</v>
      </c>
      <c r="BE513" s="27" t="s">
        <v>166</v>
      </c>
      <c r="BF513" s="27" t="s">
        <v>77</v>
      </c>
      <c r="BG513" s="27">
        <v>168</v>
      </c>
      <c r="BH513" s="27">
        <v>11</v>
      </c>
      <c r="BI513" s="27">
        <v>0.9385</v>
      </c>
      <c r="BJ513" s="27">
        <v>0</v>
      </c>
      <c r="BK513" s="27">
        <v>356</v>
      </c>
      <c r="BL513" s="27">
        <v>2.5</v>
      </c>
    </row>
    <row r="514" customHeight="1" spans="1:64">
      <c r="A514" s="27" t="s">
        <v>1669</v>
      </c>
      <c r="B514" s="27" t="s">
        <v>1670</v>
      </c>
      <c r="E514" s="27" t="s">
        <v>1671</v>
      </c>
      <c r="F514" s="27" t="s">
        <v>240</v>
      </c>
      <c r="G514" s="27" t="s">
        <v>83</v>
      </c>
      <c r="H514" s="27" t="s">
        <v>84</v>
      </c>
      <c r="I514" s="27" t="s">
        <v>153</v>
      </c>
      <c r="J514" s="27">
        <v>2</v>
      </c>
      <c r="K514" s="27">
        <v>50</v>
      </c>
      <c r="M514" s="27">
        <v>0</v>
      </c>
      <c r="N514" s="27">
        <v>0</v>
      </c>
      <c r="O514" s="27">
        <v>0</v>
      </c>
      <c r="P514" s="27" t="s">
        <v>86</v>
      </c>
      <c r="Q514" s="27">
        <v>3.931826</v>
      </c>
      <c r="V514" s="27" t="s">
        <v>231</v>
      </c>
      <c r="W514" s="27">
        <v>0</v>
      </c>
      <c r="X514" s="27">
        <v>0</v>
      </c>
      <c r="Y514" s="27">
        <v>0</v>
      </c>
      <c r="Z514" s="27">
        <v>0</v>
      </c>
      <c r="AA514" s="27" t="s">
        <v>125</v>
      </c>
      <c r="AB514" s="27">
        <v>0</v>
      </c>
      <c r="AC514" s="27">
        <v>0</v>
      </c>
      <c r="AD514" s="27">
        <v>0</v>
      </c>
      <c r="AE514" s="27">
        <v>0</v>
      </c>
      <c r="AF514" s="27">
        <v>0</v>
      </c>
      <c r="AG514" s="27">
        <v>0</v>
      </c>
      <c r="AH514" s="27">
        <v>0</v>
      </c>
      <c r="AI514" s="27">
        <v>0</v>
      </c>
      <c r="AJ514" s="27">
        <v>0</v>
      </c>
      <c r="AK514" s="27">
        <v>0</v>
      </c>
      <c r="AL514" s="27">
        <v>0</v>
      </c>
      <c r="AM514" s="27">
        <v>0</v>
      </c>
      <c r="AN514" s="27">
        <v>0</v>
      </c>
      <c r="AO514" s="27">
        <v>0</v>
      </c>
      <c r="AP514" s="27">
        <v>0</v>
      </c>
      <c r="AQ514" s="27">
        <v>0</v>
      </c>
      <c r="AR514" s="27">
        <v>0</v>
      </c>
      <c r="AS514" s="27">
        <v>0</v>
      </c>
      <c r="AT514" s="27">
        <v>0</v>
      </c>
      <c r="AU514" s="27">
        <v>0</v>
      </c>
      <c r="AV514" s="27">
        <v>1</v>
      </c>
      <c r="AW514" s="27">
        <v>0</v>
      </c>
      <c r="AX514" s="27">
        <v>0</v>
      </c>
      <c r="AZ514" s="27">
        <v>1</v>
      </c>
      <c r="BA514" s="27">
        <v>0</v>
      </c>
      <c r="BB514" s="27">
        <v>25.47</v>
      </c>
      <c r="BC514" s="27" t="s">
        <v>1672</v>
      </c>
      <c r="BD514" s="27" t="s">
        <v>1673</v>
      </c>
      <c r="BE514" s="27" t="s">
        <v>1110</v>
      </c>
      <c r="BF514" s="27" t="s">
        <v>77</v>
      </c>
      <c r="BG514" s="27">
        <v>168</v>
      </c>
      <c r="BH514" s="27">
        <v>11</v>
      </c>
      <c r="BI514" s="27">
        <v>0.9385</v>
      </c>
      <c r="BJ514" s="27">
        <v>0</v>
      </c>
      <c r="BK514" s="27">
        <v>55</v>
      </c>
      <c r="BL514" s="27">
        <v>84.9</v>
      </c>
    </row>
    <row r="515" customHeight="1" spans="1:64">
      <c r="A515" s="27" t="s">
        <v>1674</v>
      </c>
      <c r="B515" s="27" t="s">
        <v>280</v>
      </c>
      <c r="E515" s="27" t="s">
        <v>1675</v>
      </c>
      <c r="F515" s="27" t="s">
        <v>132</v>
      </c>
      <c r="G515" s="27" t="s">
        <v>83</v>
      </c>
      <c r="H515" s="27" t="s">
        <v>84</v>
      </c>
      <c r="I515" s="27" t="s">
        <v>85</v>
      </c>
      <c r="J515" s="27">
        <v>5</v>
      </c>
      <c r="K515" s="27">
        <v>40.19</v>
      </c>
      <c r="M515" s="27">
        <v>0</v>
      </c>
      <c r="N515" s="27">
        <v>0</v>
      </c>
      <c r="O515" s="27">
        <v>0</v>
      </c>
      <c r="P515" s="27" t="s">
        <v>86</v>
      </c>
      <c r="Q515" s="27">
        <v>3.718196</v>
      </c>
      <c r="S515" s="27">
        <v>860</v>
      </c>
      <c r="T515" s="27">
        <v>10</v>
      </c>
      <c r="U515" s="27">
        <v>0.9885</v>
      </c>
      <c r="V515" s="27" t="s">
        <v>154</v>
      </c>
      <c r="W515" s="27">
        <v>34563.4</v>
      </c>
      <c r="X515" s="27">
        <v>6.758095</v>
      </c>
      <c r="Y515" s="27">
        <v>10.45058</v>
      </c>
      <c r="Z515" s="27">
        <v>3.1623</v>
      </c>
      <c r="AA515" s="27" t="s">
        <v>125</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v>0</v>
      </c>
      <c r="AS515" s="27">
        <v>0</v>
      </c>
      <c r="AT515" s="27">
        <v>0</v>
      </c>
      <c r="AU515" s="27">
        <v>0</v>
      </c>
      <c r="AV515" s="27">
        <v>0</v>
      </c>
      <c r="AW515" s="27">
        <v>0</v>
      </c>
      <c r="AX515" s="27">
        <v>0</v>
      </c>
      <c r="AZ515" s="27">
        <v>1</v>
      </c>
      <c r="BA515" s="27">
        <v>0</v>
      </c>
      <c r="BB515" s="27">
        <v>57.06</v>
      </c>
      <c r="BC515" s="27" t="s">
        <v>134</v>
      </c>
      <c r="BD515" s="27" t="s">
        <v>135</v>
      </c>
      <c r="BE515" s="27" t="s">
        <v>136</v>
      </c>
      <c r="BF515" s="27" t="s">
        <v>77</v>
      </c>
      <c r="BG515" s="27">
        <v>162</v>
      </c>
      <c r="BH515" s="27">
        <v>60</v>
      </c>
      <c r="BI515" s="27">
        <v>0.7297</v>
      </c>
      <c r="BJ515" s="27">
        <v>0</v>
      </c>
      <c r="BK515" s="27">
        <v>152</v>
      </c>
      <c r="BL515" s="27">
        <v>58.4</v>
      </c>
    </row>
    <row r="516" customHeight="1" spans="1:64">
      <c r="A516" s="27" t="s">
        <v>1676</v>
      </c>
      <c r="B516" s="27" t="s">
        <v>93</v>
      </c>
      <c r="E516" s="27" t="s">
        <v>371</v>
      </c>
      <c r="F516" s="27" t="s">
        <v>82</v>
      </c>
      <c r="G516" s="27" t="s">
        <v>93</v>
      </c>
      <c r="H516" s="27" t="s">
        <v>69</v>
      </c>
      <c r="I516" s="27" t="s">
        <v>85</v>
      </c>
      <c r="J516" s="27">
        <v>5</v>
      </c>
      <c r="K516" s="27">
        <v>199.99</v>
      </c>
      <c r="M516" s="27">
        <v>0</v>
      </c>
      <c r="N516" s="27">
        <v>0</v>
      </c>
      <c r="O516" s="27">
        <v>0</v>
      </c>
      <c r="P516" s="27" t="s">
        <v>95</v>
      </c>
      <c r="Q516" s="27">
        <v>5.303255</v>
      </c>
      <c r="S516" s="27">
        <v>67</v>
      </c>
      <c r="T516" s="27">
        <v>20</v>
      </c>
      <c r="U516" s="27">
        <v>0.7701</v>
      </c>
      <c r="V516" s="27" t="s">
        <v>72</v>
      </c>
      <c r="W516" s="27">
        <v>13399.33</v>
      </c>
      <c r="X516" s="27">
        <v>4.219508</v>
      </c>
      <c r="Y516" s="27">
        <v>9.503035</v>
      </c>
      <c r="Z516" s="27">
        <v>4.4721</v>
      </c>
      <c r="AA516" s="27" t="s">
        <v>125</v>
      </c>
      <c r="AB516" s="27">
        <v>0</v>
      </c>
      <c r="AC516" s="27">
        <v>0</v>
      </c>
      <c r="AD516" s="27">
        <v>1</v>
      </c>
      <c r="AE516" s="27">
        <v>0</v>
      </c>
      <c r="AF516" s="27">
        <v>0</v>
      </c>
      <c r="AG516" s="27">
        <v>0</v>
      </c>
      <c r="AH516" s="27">
        <v>1</v>
      </c>
      <c r="AI516" s="27">
        <v>0</v>
      </c>
      <c r="AJ516" s="27">
        <v>0</v>
      </c>
      <c r="AK516" s="27">
        <v>0</v>
      </c>
      <c r="AL516" s="27">
        <v>0</v>
      </c>
      <c r="AM516" s="27">
        <v>0</v>
      </c>
      <c r="AN516" s="27">
        <v>0</v>
      </c>
      <c r="AO516" s="27">
        <v>0</v>
      </c>
      <c r="AP516" s="27">
        <v>0</v>
      </c>
      <c r="AQ516" s="27">
        <v>0</v>
      </c>
      <c r="AR516" s="27">
        <v>0</v>
      </c>
      <c r="AS516" s="27">
        <v>0</v>
      </c>
      <c r="AT516" s="27">
        <v>1</v>
      </c>
      <c r="AU516" s="27">
        <v>0</v>
      </c>
      <c r="AV516" s="27">
        <v>0</v>
      </c>
      <c r="AW516" s="27">
        <v>0</v>
      </c>
      <c r="AX516" s="27">
        <v>0</v>
      </c>
      <c r="AZ516" s="27">
        <v>1</v>
      </c>
      <c r="BA516" s="27">
        <v>1</v>
      </c>
      <c r="BB516" s="27">
        <v>60.05</v>
      </c>
      <c r="BC516" s="27" t="s">
        <v>96</v>
      </c>
      <c r="BD516" s="27" t="s">
        <v>97</v>
      </c>
      <c r="BE516" s="27" t="s">
        <v>98</v>
      </c>
      <c r="BF516" s="27" t="s">
        <v>77</v>
      </c>
      <c r="BG516" s="27">
        <v>1</v>
      </c>
      <c r="BH516" s="27">
        <v>28</v>
      </c>
      <c r="BI516" s="27">
        <v>0.0345</v>
      </c>
      <c r="BJ516" s="27">
        <v>1</v>
      </c>
      <c r="BK516" s="27">
        <v>9</v>
      </c>
      <c r="BL516" s="27">
        <v>97.5</v>
      </c>
    </row>
    <row r="517" customHeight="1" spans="1:64">
      <c r="A517" s="27" t="s">
        <v>1677</v>
      </c>
      <c r="B517" s="27" t="s">
        <v>125</v>
      </c>
      <c r="E517" s="27" t="s">
        <v>81</v>
      </c>
      <c r="F517" s="27" t="s">
        <v>82</v>
      </c>
      <c r="G517" s="27" t="s">
        <v>83</v>
      </c>
      <c r="H517" s="27" t="s">
        <v>138</v>
      </c>
      <c r="I517" s="27" t="s">
        <v>85</v>
      </c>
      <c r="J517" s="27">
        <v>5</v>
      </c>
      <c r="K517" s="27">
        <v>17.99</v>
      </c>
      <c r="M517" s="27">
        <v>0</v>
      </c>
      <c r="N517" s="27">
        <v>0</v>
      </c>
      <c r="O517" s="27">
        <v>0</v>
      </c>
      <c r="P517" s="27" t="s">
        <v>133</v>
      </c>
      <c r="Q517" s="27">
        <v>2.943913</v>
      </c>
      <c r="S517" s="27">
        <v>1522</v>
      </c>
      <c r="T517" s="27">
        <v>10</v>
      </c>
      <c r="U517" s="27">
        <v>0.9935</v>
      </c>
      <c r="V517" s="27" t="s">
        <v>109</v>
      </c>
      <c r="W517" s="27">
        <v>27380.78</v>
      </c>
      <c r="X517" s="27">
        <v>7.328437</v>
      </c>
      <c r="Y517" s="27">
        <v>10.217633</v>
      </c>
      <c r="Z517" s="27">
        <v>3.1623</v>
      </c>
      <c r="AA517" s="27" t="s">
        <v>139</v>
      </c>
      <c r="AB517" s="27">
        <v>1</v>
      </c>
      <c r="AC517" s="27">
        <v>0</v>
      </c>
      <c r="AD517" s="27">
        <v>0</v>
      </c>
      <c r="AE517" s="27">
        <v>0</v>
      </c>
      <c r="AF517" s="27">
        <v>0</v>
      </c>
      <c r="AG517" s="27">
        <v>0</v>
      </c>
      <c r="AH517" s="27">
        <v>1</v>
      </c>
      <c r="AI517" s="27">
        <v>0</v>
      </c>
      <c r="AJ517" s="27">
        <v>0</v>
      </c>
      <c r="AK517" s="27">
        <v>0</v>
      </c>
      <c r="AL517" s="27">
        <v>0</v>
      </c>
      <c r="AM517" s="27">
        <v>0</v>
      </c>
      <c r="AN517" s="27">
        <v>0</v>
      </c>
      <c r="AO517" s="27">
        <v>0</v>
      </c>
      <c r="AP517" s="27">
        <v>0</v>
      </c>
      <c r="AQ517" s="27">
        <v>1</v>
      </c>
      <c r="AR517" s="27">
        <v>0</v>
      </c>
      <c r="AS517" s="27">
        <v>0</v>
      </c>
      <c r="AT517" s="27">
        <v>0</v>
      </c>
      <c r="AU517" s="27">
        <v>0</v>
      </c>
      <c r="AV517" s="27">
        <v>1</v>
      </c>
      <c r="AW517" s="27">
        <v>0</v>
      </c>
      <c r="AX517" s="27">
        <v>0</v>
      </c>
      <c r="AZ517" s="27">
        <v>1</v>
      </c>
      <c r="BA517" s="27">
        <v>3</v>
      </c>
      <c r="BB517" s="27">
        <v>69.59</v>
      </c>
      <c r="BC517" s="27" t="s">
        <v>1678</v>
      </c>
      <c r="BD517" s="27" t="s">
        <v>356</v>
      </c>
      <c r="BE517" s="27" t="s">
        <v>423</v>
      </c>
      <c r="BF517" s="27" t="s">
        <v>77</v>
      </c>
      <c r="BG517" s="27">
        <v>168</v>
      </c>
      <c r="BH517" s="27">
        <v>13</v>
      </c>
      <c r="BI517" s="27">
        <v>0.9282</v>
      </c>
      <c r="BJ517" s="27">
        <v>0</v>
      </c>
      <c r="BK517" s="27">
        <v>2</v>
      </c>
      <c r="BL517" s="27">
        <v>99.5</v>
      </c>
    </row>
    <row r="518" customHeight="1" spans="1:64">
      <c r="A518" s="27" t="s">
        <v>1679</v>
      </c>
      <c r="B518" s="27" t="s">
        <v>1680</v>
      </c>
      <c r="E518" s="27" t="s">
        <v>378</v>
      </c>
      <c r="F518" s="27" t="s">
        <v>160</v>
      </c>
      <c r="G518" s="27" t="s">
        <v>83</v>
      </c>
      <c r="H518" s="27" t="s">
        <v>84</v>
      </c>
      <c r="I518" s="27" t="s">
        <v>85</v>
      </c>
      <c r="J518" s="27">
        <v>5</v>
      </c>
      <c r="K518" s="27">
        <v>8.94</v>
      </c>
      <c r="M518" s="27">
        <v>0</v>
      </c>
      <c r="N518" s="27">
        <v>0</v>
      </c>
      <c r="O518" s="27">
        <v>0</v>
      </c>
      <c r="P518" s="27" t="s">
        <v>133</v>
      </c>
      <c r="Q518" s="27">
        <v>2.296567</v>
      </c>
      <c r="S518" s="27">
        <v>8</v>
      </c>
      <c r="T518" s="27">
        <v>10</v>
      </c>
      <c r="U518" s="27">
        <v>0.4444</v>
      </c>
      <c r="V518" s="27" t="s">
        <v>87</v>
      </c>
      <c r="W518" s="27">
        <v>71.52</v>
      </c>
      <c r="X518" s="27">
        <v>2.197225</v>
      </c>
      <c r="Y518" s="27">
        <v>4.283862</v>
      </c>
      <c r="Z518" s="27">
        <v>3.1623</v>
      </c>
      <c r="AA518" s="27" t="s">
        <v>125</v>
      </c>
      <c r="AB518" s="27">
        <v>0</v>
      </c>
      <c r="AC518" s="27">
        <v>0</v>
      </c>
      <c r="AD518" s="27">
        <v>0</v>
      </c>
      <c r="AE518" s="27">
        <v>0</v>
      </c>
      <c r="AF518" s="27">
        <v>0</v>
      </c>
      <c r="AG518" s="27">
        <v>0</v>
      </c>
      <c r="AH518" s="27">
        <v>0</v>
      </c>
      <c r="AI518" s="27">
        <v>0</v>
      </c>
      <c r="AJ518" s="27">
        <v>0</v>
      </c>
      <c r="AK518" s="27">
        <v>0</v>
      </c>
      <c r="AL518" s="27">
        <v>0</v>
      </c>
      <c r="AM518" s="27">
        <v>0</v>
      </c>
      <c r="AN518" s="27">
        <v>0</v>
      </c>
      <c r="AO518" s="27">
        <v>0</v>
      </c>
      <c r="AP518" s="27">
        <v>0</v>
      </c>
      <c r="AQ518" s="27">
        <v>0</v>
      </c>
      <c r="AR518" s="27">
        <v>0</v>
      </c>
      <c r="AS518" s="27">
        <v>0</v>
      </c>
      <c r="AT518" s="27">
        <v>0</v>
      </c>
      <c r="AU518" s="27">
        <v>0</v>
      </c>
      <c r="AV518" s="27">
        <v>0</v>
      </c>
      <c r="AW518" s="27">
        <v>0</v>
      </c>
      <c r="AX518" s="27">
        <v>0</v>
      </c>
      <c r="AZ518" s="27">
        <v>1</v>
      </c>
      <c r="BA518" s="27">
        <v>0</v>
      </c>
      <c r="BB518" s="27">
        <v>17.78</v>
      </c>
      <c r="BC518" s="27" t="s">
        <v>1681</v>
      </c>
      <c r="BD518" s="27" t="s">
        <v>1682</v>
      </c>
      <c r="BE518" s="27" t="s">
        <v>941</v>
      </c>
      <c r="BF518" s="27" t="s">
        <v>77</v>
      </c>
      <c r="BG518" s="27">
        <v>168</v>
      </c>
      <c r="BH518" s="27">
        <v>11</v>
      </c>
      <c r="BI518" s="27">
        <v>0.9385</v>
      </c>
      <c r="BJ518" s="27">
        <v>0</v>
      </c>
    </row>
    <row r="519" customHeight="1" spans="1:64">
      <c r="A519" s="27" t="s">
        <v>1683</v>
      </c>
      <c r="B519" s="27" t="s">
        <v>125</v>
      </c>
      <c r="E519" s="27" t="s">
        <v>163</v>
      </c>
      <c r="F519" s="27" t="s">
        <v>82</v>
      </c>
      <c r="G519" s="27" t="s">
        <v>106</v>
      </c>
      <c r="H519" s="27" t="s">
        <v>138</v>
      </c>
      <c r="I519" s="27" t="s">
        <v>85</v>
      </c>
      <c r="J519" s="27">
        <v>5</v>
      </c>
      <c r="K519" s="27">
        <v>17.99</v>
      </c>
      <c r="M519" s="27">
        <v>0</v>
      </c>
      <c r="N519" s="27">
        <v>0</v>
      </c>
      <c r="O519" s="27">
        <v>0</v>
      </c>
      <c r="P519" s="27" t="s">
        <v>133</v>
      </c>
      <c r="Q519" s="27">
        <v>2.943913</v>
      </c>
      <c r="S519" s="27">
        <v>12</v>
      </c>
      <c r="T519" s="27">
        <v>10</v>
      </c>
      <c r="U519" s="27">
        <v>0.5455</v>
      </c>
      <c r="V519" s="27" t="s">
        <v>72</v>
      </c>
      <c r="W519" s="27">
        <v>215.88</v>
      </c>
      <c r="X519" s="27">
        <v>2.564949</v>
      </c>
      <c r="Y519" s="27">
        <v>5.379344</v>
      </c>
      <c r="Z519" s="27">
        <v>3.1623</v>
      </c>
      <c r="AA519" s="27" t="s">
        <v>125</v>
      </c>
      <c r="AB519" s="27">
        <v>0</v>
      </c>
      <c r="AC519" s="27">
        <v>0</v>
      </c>
      <c r="AD519" s="27">
        <v>0</v>
      </c>
      <c r="AE519" s="27">
        <v>0</v>
      </c>
      <c r="AF519" s="27">
        <v>0</v>
      </c>
      <c r="AG519" s="27">
        <v>0</v>
      </c>
      <c r="AH519" s="27">
        <v>0</v>
      </c>
      <c r="AI519" s="27">
        <v>0</v>
      </c>
      <c r="AJ519" s="27">
        <v>1</v>
      </c>
      <c r="AK519" s="27">
        <v>0</v>
      </c>
      <c r="AL519" s="27">
        <v>0</v>
      </c>
      <c r="AM519" s="27">
        <v>0</v>
      </c>
      <c r="AN519" s="27">
        <v>0</v>
      </c>
      <c r="AO519" s="27">
        <v>0</v>
      </c>
      <c r="AP519" s="27">
        <v>0</v>
      </c>
      <c r="AQ519" s="27">
        <v>0</v>
      </c>
      <c r="AR519" s="27">
        <v>0</v>
      </c>
      <c r="AS519" s="27">
        <v>0</v>
      </c>
      <c r="AT519" s="27">
        <v>0</v>
      </c>
      <c r="AU519" s="27">
        <v>0</v>
      </c>
      <c r="AV519" s="27">
        <v>0</v>
      </c>
      <c r="AW519" s="27">
        <v>0</v>
      </c>
      <c r="AX519" s="27">
        <v>0</v>
      </c>
      <c r="AZ519" s="27">
        <v>1</v>
      </c>
      <c r="BA519" s="27">
        <v>0</v>
      </c>
      <c r="BB519" s="27">
        <v>21.82</v>
      </c>
      <c r="BC519" s="27" t="s">
        <v>1338</v>
      </c>
      <c r="BD519" s="27" t="s">
        <v>1339</v>
      </c>
      <c r="BE519" s="27" t="s">
        <v>113</v>
      </c>
      <c r="BF519" s="27" t="s">
        <v>77</v>
      </c>
      <c r="BG519" s="27">
        <v>168</v>
      </c>
      <c r="BH519" s="27">
        <v>11</v>
      </c>
      <c r="BI519" s="27">
        <v>0.9385</v>
      </c>
      <c r="BJ519" s="27">
        <v>0</v>
      </c>
    </row>
    <row r="520" customHeight="1" spans="1:64">
      <c r="A520" s="27" t="s">
        <v>1684</v>
      </c>
      <c r="B520" s="27" t="s">
        <v>115</v>
      </c>
      <c r="C520" s="27" t="s">
        <v>1685</v>
      </c>
      <c r="D520" s="27">
        <v>840268985202</v>
      </c>
      <c r="E520" s="27" t="s">
        <v>163</v>
      </c>
      <c r="F520" s="27" t="s">
        <v>82</v>
      </c>
      <c r="G520" s="27" t="s">
        <v>117</v>
      </c>
      <c r="H520" s="27" t="s">
        <v>107</v>
      </c>
      <c r="I520" s="27" t="s">
        <v>85</v>
      </c>
      <c r="J520" s="27">
        <v>5</v>
      </c>
      <c r="K520" s="27">
        <v>75</v>
      </c>
      <c r="M520" s="27">
        <v>0</v>
      </c>
      <c r="N520" s="27">
        <v>0</v>
      </c>
      <c r="O520" s="27">
        <v>0</v>
      </c>
      <c r="P520" s="27" t="s">
        <v>95</v>
      </c>
      <c r="Q520" s="27">
        <v>4.330733</v>
      </c>
      <c r="S520" s="27">
        <v>449</v>
      </c>
      <c r="T520" s="27">
        <v>10</v>
      </c>
      <c r="U520" s="27">
        <v>0.9782</v>
      </c>
      <c r="V520" s="27" t="s">
        <v>154</v>
      </c>
      <c r="W520" s="27">
        <v>33675</v>
      </c>
      <c r="X520" s="27">
        <v>6.109248</v>
      </c>
      <c r="Y520" s="27">
        <v>10.424541</v>
      </c>
      <c r="Z520" s="27">
        <v>3.1623</v>
      </c>
      <c r="AA520" s="27" t="s">
        <v>125</v>
      </c>
      <c r="AB520" s="27">
        <v>0</v>
      </c>
      <c r="AC520" s="27">
        <v>0</v>
      </c>
      <c r="AD520" s="27">
        <v>0</v>
      </c>
      <c r="AE520" s="27">
        <v>0</v>
      </c>
      <c r="AF520" s="27">
        <v>0</v>
      </c>
      <c r="AG520" s="27">
        <v>1</v>
      </c>
      <c r="AH520" s="27">
        <v>0</v>
      </c>
      <c r="AI520" s="27">
        <v>0</v>
      </c>
      <c r="AJ520" s="27">
        <v>0</v>
      </c>
      <c r="AK520" s="27">
        <v>0</v>
      </c>
      <c r="AL520" s="27">
        <v>0</v>
      </c>
      <c r="AM520" s="27">
        <v>0</v>
      </c>
      <c r="AN520" s="27">
        <v>0</v>
      </c>
      <c r="AO520" s="27">
        <v>0</v>
      </c>
      <c r="AP520" s="27">
        <v>0</v>
      </c>
      <c r="AQ520" s="27">
        <v>0</v>
      </c>
      <c r="AR520" s="27">
        <v>0</v>
      </c>
      <c r="AS520" s="27">
        <v>0</v>
      </c>
      <c r="AT520" s="27">
        <v>1</v>
      </c>
      <c r="AU520" s="27">
        <v>1</v>
      </c>
      <c r="AV520" s="27">
        <v>0</v>
      </c>
      <c r="AW520" s="27">
        <v>0</v>
      </c>
      <c r="AX520" s="27">
        <v>0</v>
      </c>
      <c r="AZ520" s="27">
        <v>1</v>
      </c>
      <c r="BA520" s="27">
        <v>0</v>
      </c>
      <c r="BB520" s="27">
        <v>68.32</v>
      </c>
      <c r="BC520" s="27" t="s">
        <v>516</v>
      </c>
      <c r="BD520" s="27" t="s">
        <v>180</v>
      </c>
      <c r="BE520" s="27" t="s">
        <v>113</v>
      </c>
      <c r="BF520" s="27" t="s">
        <v>77</v>
      </c>
      <c r="BG520" s="27">
        <v>162</v>
      </c>
      <c r="BH520" s="27">
        <v>60</v>
      </c>
      <c r="BI520" s="27">
        <v>0.7297</v>
      </c>
      <c r="BJ520" s="27">
        <v>0</v>
      </c>
      <c r="BK520" s="27">
        <v>10</v>
      </c>
      <c r="BL520" s="27">
        <v>97.3</v>
      </c>
    </row>
    <row r="521" customHeight="1" spans="1:64">
      <c r="A521" s="27" t="s">
        <v>1686</v>
      </c>
      <c r="B521" s="27" t="s">
        <v>1465</v>
      </c>
      <c r="E521" s="27" t="s">
        <v>250</v>
      </c>
      <c r="F521" s="27" t="s">
        <v>82</v>
      </c>
      <c r="G521" s="27" t="s">
        <v>83</v>
      </c>
      <c r="H521" s="27" t="s">
        <v>84</v>
      </c>
      <c r="I521" s="27" t="s">
        <v>85</v>
      </c>
      <c r="J521" s="27">
        <v>5</v>
      </c>
      <c r="K521" s="27">
        <v>149.99</v>
      </c>
      <c r="M521" s="27">
        <v>0</v>
      </c>
      <c r="N521" s="27">
        <v>0</v>
      </c>
      <c r="O521" s="27">
        <v>0</v>
      </c>
      <c r="P521" s="27" t="s">
        <v>95</v>
      </c>
      <c r="Q521" s="27">
        <v>5.017214</v>
      </c>
      <c r="V521" s="27" t="s">
        <v>231</v>
      </c>
      <c r="W521" s="27">
        <v>0</v>
      </c>
      <c r="X521" s="27">
        <v>0</v>
      </c>
      <c r="Y521" s="27">
        <v>0</v>
      </c>
      <c r="Z521" s="27">
        <v>0</v>
      </c>
      <c r="AA521" s="27" t="s">
        <v>125</v>
      </c>
      <c r="AB521" s="27">
        <v>1</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1</v>
      </c>
      <c r="AR521" s="27">
        <v>0</v>
      </c>
      <c r="AS521" s="27">
        <v>0</v>
      </c>
      <c r="AT521" s="27">
        <v>0</v>
      </c>
      <c r="AU521" s="27">
        <v>0</v>
      </c>
      <c r="AV521" s="27">
        <v>1</v>
      </c>
      <c r="AW521" s="27">
        <v>0</v>
      </c>
      <c r="AX521" s="27">
        <v>0</v>
      </c>
      <c r="AZ521" s="27">
        <v>1</v>
      </c>
      <c r="BA521" s="27">
        <v>2</v>
      </c>
      <c r="BB521" s="27">
        <v>0</v>
      </c>
      <c r="BC521" s="27" t="s">
        <v>1687</v>
      </c>
      <c r="BD521" s="27" t="s">
        <v>1688</v>
      </c>
      <c r="BE521" s="27" t="s">
        <v>1689</v>
      </c>
      <c r="BF521" s="27" t="s">
        <v>77</v>
      </c>
      <c r="BG521" s="27">
        <v>162</v>
      </c>
      <c r="BH521" s="27">
        <v>19</v>
      </c>
      <c r="BI521" s="27">
        <v>0.895</v>
      </c>
      <c r="BJ521" s="27">
        <v>0</v>
      </c>
    </row>
    <row r="522" customHeight="1" spans="1:64">
      <c r="A522" s="27" t="s">
        <v>1690</v>
      </c>
      <c r="B522" s="27" t="s">
        <v>427</v>
      </c>
      <c r="C522" s="27" t="s">
        <v>1691</v>
      </c>
      <c r="D522" s="27">
        <v>193108146531</v>
      </c>
      <c r="E522" s="27" t="s">
        <v>81</v>
      </c>
      <c r="F522" s="27" t="s">
        <v>160</v>
      </c>
      <c r="G522" s="27" t="s">
        <v>427</v>
      </c>
      <c r="H522" s="27" t="s">
        <v>107</v>
      </c>
      <c r="I522" s="27" t="s">
        <v>85</v>
      </c>
      <c r="J522" s="27">
        <v>5</v>
      </c>
      <c r="K522" s="27">
        <v>122.99</v>
      </c>
      <c r="M522" s="27">
        <v>0</v>
      </c>
      <c r="N522" s="27">
        <v>0</v>
      </c>
      <c r="O522" s="27">
        <v>0</v>
      </c>
      <c r="P522" s="27" t="s">
        <v>95</v>
      </c>
      <c r="Q522" s="27">
        <v>4.820201</v>
      </c>
      <c r="S522" s="27">
        <v>2</v>
      </c>
      <c r="T522" s="27">
        <v>5</v>
      </c>
      <c r="U522" s="27">
        <v>0.2857</v>
      </c>
      <c r="V522" s="27" t="s">
        <v>87</v>
      </c>
      <c r="W522" s="27">
        <v>245.98</v>
      </c>
      <c r="X522" s="27">
        <v>1.098612</v>
      </c>
      <c r="Y522" s="27">
        <v>5.509307</v>
      </c>
      <c r="Z522" s="27">
        <v>2.2361</v>
      </c>
      <c r="AA522" s="27" t="s">
        <v>187</v>
      </c>
      <c r="AB522" s="27">
        <v>0</v>
      </c>
      <c r="AC522" s="27">
        <v>0</v>
      </c>
      <c r="AD522" s="27">
        <v>0</v>
      </c>
      <c r="AE522" s="27">
        <v>1</v>
      </c>
      <c r="AF522" s="27">
        <v>0</v>
      </c>
      <c r="AG522" s="27">
        <v>0</v>
      </c>
      <c r="AH522" s="27">
        <v>1</v>
      </c>
      <c r="AI522" s="27">
        <v>0</v>
      </c>
      <c r="AJ522" s="27">
        <v>0</v>
      </c>
      <c r="AK522" s="27">
        <v>0</v>
      </c>
      <c r="AL522" s="27">
        <v>0</v>
      </c>
      <c r="AM522" s="27">
        <v>0</v>
      </c>
      <c r="AN522" s="27">
        <v>0</v>
      </c>
      <c r="AO522" s="27">
        <v>0</v>
      </c>
      <c r="AP522" s="27">
        <v>1</v>
      </c>
      <c r="AQ522" s="27">
        <v>0</v>
      </c>
      <c r="AR522" s="27">
        <v>0</v>
      </c>
      <c r="AS522" s="27">
        <v>0</v>
      </c>
      <c r="AT522" s="27">
        <v>0</v>
      </c>
      <c r="AU522" s="27">
        <v>0</v>
      </c>
      <c r="AV522" s="27">
        <v>0</v>
      </c>
      <c r="AW522" s="27">
        <v>1</v>
      </c>
      <c r="AX522" s="27">
        <v>0</v>
      </c>
      <c r="AZ522" s="27">
        <v>3</v>
      </c>
      <c r="BA522" s="27">
        <v>2</v>
      </c>
      <c r="BB522" s="27">
        <v>40.86</v>
      </c>
      <c r="BC522" s="27" t="s">
        <v>1599</v>
      </c>
      <c r="BD522" s="27" t="s">
        <v>1600</v>
      </c>
      <c r="BE522" s="27" t="s">
        <v>673</v>
      </c>
      <c r="BF522" s="27" t="s">
        <v>77</v>
      </c>
      <c r="BG522" s="27">
        <v>168</v>
      </c>
      <c r="BH522" s="27">
        <v>11</v>
      </c>
      <c r="BI522" s="27">
        <v>0.9385</v>
      </c>
      <c r="BJ522" s="27">
        <v>0</v>
      </c>
      <c r="BK522" s="27">
        <v>7</v>
      </c>
      <c r="BL522" s="27">
        <v>98.1</v>
      </c>
    </row>
    <row r="523" customHeight="1" spans="1:64">
      <c r="A523" s="27" t="s">
        <v>1692</v>
      </c>
      <c r="B523" s="27" t="s">
        <v>125</v>
      </c>
      <c r="E523" s="27" t="s">
        <v>81</v>
      </c>
      <c r="F523" s="27" t="s">
        <v>82</v>
      </c>
      <c r="G523" s="27" t="s">
        <v>83</v>
      </c>
      <c r="H523" s="27" t="s">
        <v>138</v>
      </c>
      <c r="I523" s="27" t="s">
        <v>85</v>
      </c>
      <c r="J523" s="27">
        <v>5</v>
      </c>
      <c r="K523" s="27">
        <v>27.9</v>
      </c>
      <c r="M523" s="27">
        <v>0</v>
      </c>
      <c r="N523" s="27">
        <v>0</v>
      </c>
      <c r="O523" s="27">
        <v>0</v>
      </c>
      <c r="P523" s="27" t="s">
        <v>86</v>
      </c>
      <c r="Q523" s="27">
        <v>3.363842</v>
      </c>
      <c r="S523" s="27">
        <v>3</v>
      </c>
      <c r="T523" s="27">
        <v>7</v>
      </c>
      <c r="U523" s="27">
        <v>0.3</v>
      </c>
      <c r="V523" s="27" t="s">
        <v>87</v>
      </c>
      <c r="W523" s="27">
        <v>83.7</v>
      </c>
      <c r="X523" s="27">
        <v>1.386294</v>
      </c>
      <c r="Y523" s="27">
        <v>4.439116</v>
      </c>
      <c r="Z523" s="27">
        <v>2.6458</v>
      </c>
      <c r="AA523" s="27" t="s">
        <v>139</v>
      </c>
      <c r="AB523" s="27">
        <v>0</v>
      </c>
      <c r="AC523" s="27">
        <v>0</v>
      </c>
      <c r="AD523" s="27">
        <v>0</v>
      </c>
      <c r="AE523" s="27">
        <v>0</v>
      </c>
      <c r="AF523" s="27">
        <v>0</v>
      </c>
      <c r="AG523" s="27">
        <v>0</v>
      </c>
      <c r="AH523" s="27">
        <v>1</v>
      </c>
      <c r="AI523" s="27">
        <v>0</v>
      </c>
      <c r="AJ523" s="27">
        <v>1</v>
      </c>
      <c r="AK523" s="27">
        <v>0</v>
      </c>
      <c r="AL523" s="27">
        <v>0</v>
      </c>
      <c r="AM523" s="27">
        <v>0</v>
      </c>
      <c r="AN523" s="27">
        <v>0</v>
      </c>
      <c r="AO523" s="27">
        <v>0</v>
      </c>
      <c r="AP523" s="27">
        <v>0</v>
      </c>
      <c r="AQ523" s="27">
        <v>0</v>
      </c>
      <c r="AR523" s="27">
        <v>0</v>
      </c>
      <c r="AS523" s="27">
        <v>0</v>
      </c>
      <c r="AT523" s="27">
        <v>0</v>
      </c>
      <c r="AU523" s="27">
        <v>0</v>
      </c>
      <c r="AV523" s="27">
        <v>0</v>
      </c>
      <c r="AW523" s="27">
        <v>0</v>
      </c>
      <c r="AX523" s="27">
        <v>0</v>
      </c>
      <c r="AZ523" s="27">
        <v>1</v>
      </c>
      <c r="BA523" s="27">
        <v>1</v>
      </c>
      <c r="BB523" s="27">
        <v>41.58</v>
      </c>
      <c r="BC523" s="27" t="s">
        <v>1693</v>
      </c>
      <c r="BD523" s="27" t="s">
        <v>150</v>
      </c>
      <c r="BE523" s="27" t="s">
        <v>150</v>
      </c>
      <c r="BF523" s="27" t="s">
        <v>77</v>
      </c>
      <c r="BG523" s="27">
        <v>1</v>
      </c>
      <c r="BH523" s="27">
        <v>21</v>
      </c>
      <c r="BI523" s="27">
        <v>0.0455</v>
      </c>
      <c r="BJ523" s="27">
        <v>1</v>
      </c>
      <c r="BK523" s="27">
        <v>5</v>
      </c>
      <c r="BL523" s="27">
        <v>98.6</v>
      </c>
    </row>
    <row r="524" customHeight="1" spans="1:64">
      <c r="A524" s="27" t="s">
        <v>1694</v>
      </c>
      <c r="B524" s="27" t="s">
        <v>1695</v>
      </c>
      <c r="E524" s="27" t="s">
        <v>163</v>
      </c>
      <c r="F524" s="27" t="s">
        <v>132</v>
      </c>
      <c r="G524" s="27" t="s">
        <v>346</v>
      </c>
      <c r="H524" s="27" t="s">
        <v>84</v>
      </c>
      <c r="I524" s="27" t="s">
        <v>85</v>
      </c>
      <c r="J524" s="27">
        <v>5</v>
      </c>
      <c r="K524" s="27">
        <v>22.24</v>
      </c>
      <c r="M524" s="27">
        <v>0</v>
      </c>
      <c r="N524" s="27">
        <v>0</v>
      </c>
      <c r="O524" s="27">
        <v>0</v>
      </c>
      <c r="P524" s="27" t="s">
        <v>133</v>
      </c>
      <c r="Q524" s="27">
        <v>3.145875</v>
      </c>
      <c r="S524" s="27">
        <v>9</v>
      </c>
      <c r="T524" s="27">
        <v>5</v>
      </c>
      <c r="U524" s="27">
        <v>0.6429</v>
      </c>
      <c r="V524" s="27" t="s">
        <v>87</v>
      </c>
      <c r="W524" s="27">
        <v>200.16</v>
      </c>
      <c r="X524" s="27">
        <v>2.302585</v>
      </c>
      <c r="Y524" s="27">
        <v>5.304101</v>
      </c>
      <c r="Z524" s="27">
        <v>2.2361</v>
      </c>
      <c r="AA524" s="27" t="s">
        <v>125</v>
      </c>
      <c r="AB524" s="27">
        <v>0</v>
      </c>
      <c r="AC524" s="27">
        <v>0</v>
      </c>
      <c r="AD524" s="27">
        <v>0</v>
      </c>
      <c r="AE524" s="27">
        <v>0</v>
      </c>
      <c r="AF524" s="27">
        <v>0</v>
      </c>
      <c r="AG524" s="27">
        <v>0</v>
      </c>
      <c r="AH524" s="27">
        <v>0</v>
      </c>
      <c r="AI524" s="27">
        <v>0</v>
      </c>
      <c r="AJ524" s="27">
        <v>0</v>
      </c>
      <c r="AK524" s="27">
        <v>0</v>
      </c>
      <c r="AL524" s="27">
        <v>0</v>
      </c>
      <c r="AM524" s="27">
        <v>0</v>
      </c>
      <c r="AN524" s="27">
        <v>0</v>
      </c>
      <c r="AO524" s="27">
        <v>0</v>
      </c>
      <c r="AP524" s="27">
        <v>0</v>
      </c>
      <c r="AQ524" s="27">
        <v>0</v>
      </c>
      <c r="AR524" s="27">
        <v>0</v>
      </c>
      <c r="AS524" s="27">
        <v>0</v>
      </c>
      <c r="AT524" s="27">
        <v>1</v>
      </c>
      <c r="AU524" s="27">
        <v>0</v>
      </c>
      <c r="AV524" s="27">
        <v>0</v>
      </c>
      <c r="AW524" s="27">
        <v>1</v>
      </c>
      <c r="AX524" s="27">
        <v>0</v>
      </c>
      <c r="AZ524" s="27">
        <v>2</v>
      </c>
      <c r="BA524" s="27">
        <v>0</v>
      </c>
      <c r="BB524" s="27">
        <v>55.39</v>
      </c>
      <c r="BC524" s="27" t="s">
        <v>1696</v>
      </c>
      <c r="BD524" s="27" t="s">
        <v>664</v>
      </c>
      <c r="BE524" s="27" t="s">
        <v>665</v>
      </c>
      <c r="BF524" s="27" t="s">
        <v>77</v>
      </c>
      <c r="BG524" s="27">
        <v>1</v>
      </c>
      <c r="BH524" s="27">
        <v>15</v>
      </c>
      <c r="BI524" s="27">
        <v>0.0625</v>
      </c>
      <c r="BJ524" s="27">
        <v>1</v>
      </c>
      <c r="BK524" s="27">
        <v>4</v>
      </c>
      <c r="BL524" s="27">
        <v>98.9</v>
      </c>
    </row>
    <row r="525" customHeight="1" spans="1:64">
      <c r="A525" s="27" t="s">
        <v>1697</v>
      </c>
      <c r="B525" s="27" t="s">
        <v>476</v>
      </c>
      <c r="E525" s="27" t="s">
        <v>81</v>
      </c>
      <c r="F525" s="27" t="s">
        <v>82</v>
      </c>
      <c r="G525" s="27" t="s">
        <v>83</v>
      </c>
      <c r="H525" s="27" t="s">
        <v>84</v>
      </c>
      <c r="I525" s="27" t="s">
        <v>85</v>
      </c>
      <c r="J525" s="27">
        <v>5</v>
      </c>
      <c r="K525" s="27">
        <v>80</v>
      </c>
      <c r="M525" s="27">
        <v>0</v>
      </c>
      <c r="N525" s="27">
        <v>0</v>
      </c>
      <c r="O525" s="27">
        <v>0</v>
      </c>
      <c r="P525" s="27" t="s">
        <v>95</v>
      </c>
      <c r="Q525" s="27">
        <v>4.394449</v>
      </c>
      <c r="S525" s="27">
        <v>169</v>
      </c>
      <c r="T525" s="27">
        <v>10</v>
      </c>
      <c r="U525" s="27">
        <v>0.9441</v>
      </c>
      <c r="V525" s="27" t="s">
        <v>154</v>
      </c>
      <c r="W525" s="27">
        <v>13520</v>
      </c>
      <c r="X525" s="27">
        <v>5.135798</v>
      </c>
      <c r="Y525" s="27">
        <v>9.511999</v>
      </c>
      <c r="Z525" s="27">
        <v>3.1623</v>
      </c>
      <c r="AA525" s="27" t="s">
        <v>139</v>
      </c>
      <c r="AB525" s="27">
        <v>0</v>
      </c>
      <c r="AC525" s="27">
        <v>0</v>
      </c>
      <c r="AD525" s="27">
        <v>0</v>
      </c>
      <c r="AE525" s="27">
        <v>0</v>
      </c>
      <c r="AF525" s="27">
        <v>0</v>
      </c>
      <c r="AG525" s="27">
        <v>0</v>
      </c>
      <c r="AH525" s="27">
        <v>1</v>
      </c>
      <c r="AI525" s="27">
        <v>0</v>
      </c>
      <c r="AJ525" s="27">
        <v>0</v>
      </c>
      <c r="AK525" s="27">
        <v>0</v>
      </c>
      <c r="AL525" s="27">
        <v>0</v>
      </c>
      <c r="AM525" s="27">
        <v>0</v>
      </c>
      <c r="AN525" s="27">
        <v>0</v>
      </c>
      <c r="AO525" s="27">
        <v>0</v>
      </c>
      <c r="AP525" s="27">
        <v>0</v>
      </c>
      <c r="AQ525" s="27">
        <v>0</v>
      </c>
      <c r="AR525" s="27">
        <v>0</v>
      </c>
      <c r="AS525" s="27">
        <v>0</v>
      </c>
      <c r="AT525" s="27">
        <v>1</v>
      </c>
      <c r="AU525" s="27">
        <v>0</v>
      </c>
      <c r="AV525" s="27">
        <v>0</v>
      </c>
      <c r="AW525" s="27">
        <v>0</v>
      </c>
      <c r="AX525" s="27">
        <v>0</v>
      </c>
      <c r="AZ525" s="27">
        <v>1</v>
      </c>
      <c r="BA525" s="27">
        <v>1</v>
      </c>
      <c r="BB525" s="27">
        <v>66.86</v>
      </c>
      <c r="BC525" s="27" t="s">
        <v>1698</v>
      </c>
      <c r="BD525" s="27" t="s">
        <v>1699</v>
      </c>
      <c r="BE525" s="27" t="s">
        <v>113</v>
      </c>
      <c r="BF525" s="27" t="s">
        <v>77</v>
      </c>
      <c r="BG525" s="27">
        <v>168</v>
      </c>
      <c r="BH525" s="27">
        <v>47</v>
      </c>
      <c r="BI525" s="27">
        <v>0.7814</v>
      </c>
      <c r="BJ525" s="27">
        <v>0</v>
      </c>
      <c r="BK525" s="27">
        <v>11</v>
      </c>
      <c r="BL525" s="27">
        <v>97</v>
      </c>
    </row>
    <row r="526" customHeight="1" spans="1:64">
      <c r="A526" s="27" t="s">
        <v>1700</v>
      </c>
      <c r="B526" s="27" t="s">
        <v>1366</v>
      </c>
      <c r="C526" s="27" t="s">
        <v>1701</v>
      </c>
      <c r="E526" s="27" t="s">
        <v>1702</v>
      </c>
      <c r="F526" s="27" t="s">
        <v>82</v>
      </c>
      <c r="G526" s="27" t="s">
        <v>83</v>
      </c>
      <c r="H526" s="27" t="s">
        <v>84</v>
      </c>
      <c r="I526" s="27" t="s">
        <v>85</v>
      </c>
      <c r="J526" s="27">
        <v>5</v>
      </c>
      <c r="K526" s="27">
        <v>39.88</v>
      </c>
      <c r="M526" s="27">
        <v>0</v>
      </c>
      <c r="N526" s="27">
        <v>0</v>
      </c>
      <c r="O526" s="27">
        <v>0</v>
      </c>
      <c r="P526" s="27" t="s">
        <v>86</v>
      </c>
      <c r="Q526" s="27">
        <v>3.710641</v>
      </c>
      <c r="S526" s="27">
        <v>1</v>
      </c>
      <c r="T526" s="27">
        <v>1</v>
      </c>
      <c r="U526" s="27">
        <v>0.5</v>
      </c>
      <c r="V526" s="27" t="s">
        <v>87</v>
      </c>
      <c r="W526" s="27">
        <v>39.88</v>
      </c>
      <c r="X526" s="27">
        <v>0.693147</v>
      </c>
      <c r="Y526" s="27">
        <v>3.710641</v>
      </c>
      <c r="Z526" s="27">
        <v>1</v>
      </c>
      <c r="AA526" s="27" t="s">
        <v>125</v>
      </c>
      <c r="AB526" s="27">
        <v>0</v>
      </c>
      <c r="AC526" s="27">
        <v>0</v>
      </c>
      <c r="AD526" s="27">
        <v>0</v>
      </c>
      <c r="AE526" s="27">
        <v>0</v>
      </c>
      <c r="AF526" s="27">
        <v>0</v>
      </c>
      <c r="AG526" s="27">
        <v>1</v>
      </c>
      <c r="AH526" s="27">
        <v>0</v>
      </c>
      <c r="AI526" s="27">
        <v>0</v>
      </c>
      <c r="AJ526" s="27">
        <v>0</v>
      </c>
      <c r="AK526" s="27">
        <v>0</v>
      </c>
      <c r="AL526" s="27">
        <v>0</v>
      </c>
      <c r="AM526" s="27">
        <v>0</v>
      </c>
      <c r="AN526" s="27">
        <v>0</v>
      </c>
      <c r="AO526" s="27">
        <v>0</v>
      </c>
      <c r="AP526" s="27">
        <v>0</v>
      </c>
      <c r="AQ526" s="27">
        <v>0</v>
      </c>
      <c r="AR526" s="27">
        <v>0</v>
      </c>
      <c r="AS526" s="27">
        <v>1</v>
      </c>
      <c r="AT526" s="27">
        <v>0</v>
      </c>
      <c r="AU526" s="27">
        <v>0</v>
      </c>
      <c r="AV526" s="27">
        <v>0</v>
      </c>
      <c r="AW526" s="27">
        <v>0</v>
      </c>
      <c r="AX526" s="27">
        <v>0</v>
      </c>
      <c r="AZ526" s="27">
        <v>1</v>
      </c>
      <c r="BA526" s="27">
        <v>0</v>
      </c>
      <c r="BB526" s="27">
        <v>20</v>
      </c>
      <c r="BC526" s="27" t="s">
        <v>1703</v>
      </c>
      <c r="BD526" s="27" t="s">
        <v>1704</v>
      </c>
      <c r="BE526" s="27" t="s">
        <v>1468</v>
      </c>
      <c r="BF526" s="27" t="s">
        <v>77</v>
      </c>
      <c r="BG526" s="27">
        <v>167</v>
      </c>
      <c r="BH526" s="27">
        <v>11</v>
      </c>
      <c r="BI526" s="27">
        <v>0.9382</v>
      </c>
      <c r="BJ526" s="27">
        <v>0</v>
      </c>
    </row>
    <row r="527" customHeight="1" spans="1:64">
      <c r="A527" s="27" t="s">
        <v>1705</v>
      </c>
      <c r="B527" s="27" t="s">
        <v>344</v>
      </c>
      <c r="E527" s="27" t="s">
        <v>81</v>
      </c>
      <c r="F527" s="27" t="s">
        <v>82</v>
      </c>
      <c r="G527" s="27" t="s">
        <v>346</v>
      </c>
      <c r="H527" s="27" t="s">
        <v>107</v>
      </c>
      <c r="I527" s="27" t="s">
        <v>203</v>
      </c>
      <c r="J527" s="27">
        <v>4</v>
      </c>
      <c r="K527" s="27">
        <v>33.99</v>
      </c>
      <c r="M527" s="27">
        <v>0</v>
      </c>
      <c r="N527" s="27">
        <v>0</v>
      </c>
      <c r="O527" s="27">
        <v>0</v>
      </c>
      <c r="P527" s="27" t="s">
        <v>86</v>
      </c>
      <c r="Q527" s="27">
        <v>3.555062</v>
      </c>
      <c r="S527" s="27">
        <v>631</v>
      </c>
      <c r="T527" s="27">
        <v>10</v>
      </c>
      <c r="U527" s="27">
        <v>0.9844</v>
      </c>
      <c r="V527" s="27" t="s">
        <v>154</v>
      </c>
      <c r="W527" s="27">
        <v>21447.69</v>
      </c>
      <c r="X527" s="27">
        <v>6.448889</v>
      </c>
      <c r="Y527" s="27">
        <v>9.973419</v>
      </c>
      <c r="Z527" s="27">
        <v>3.1623</v>
      </c>
      <c r="AA527" s="27" t="s">
        <v>125</v>
      </c>
      <c r="AB527" s="27">
        <v>0</v>
      </c>
      <c r="AC527" s="27">
        <v>0</v>
      </c>
      <c r="AD527" s="27">
        <v>0</v>
      </c>
      <c r="AE527" s="27">
        <v>0</v>
      </c>
      <c r="AF527" s="27">
        <v>0</v>
      </c>
      <c r="AG527" s="27">
        <v>0</v>
      </c>
      <c r="AH527" s="27">
        <v>1</v>
      </c>
      <c r="AI527" s="27">
        <v>0</v>
      </c>
      <c r="AJ527" s="27">
        <v>0</v>
      </c>
      <c r="AK527" s="27">
        <v>0</v>
      </c>
      <c r="AL527" s="27">
        <v>0</v>
      </c>
      <c r="AM527" s="27">
        <v>0</v>
      </c>
      <c r="AN527" s="27">
        <v>0</v>
      </c>
      <c r="AO527" s="27">
        <v>0</v>
      </c>
      <c r="AP527" s="27">
        <v>0</v>
      </c>
      <c r="AQ527" s="27">
        <v>0</v>
      </c>
      <c r="AR527" s="27">
        <v>0</v>
      </c>
      <c r="AS527" s="27">
        <v>0</v>
      </c>
      <c r="AT527" s="27">
        <v>1</v>
      </c>
      <c r="AU527" s="27">
        <v>0</v>
      </c>
      <c r="AV527" s="27">
        <v>0</v>
      </c>
      <c r="AW527" s="27">
        <v>0</v>
      </c>
      <c r="AX527" s="27">
        <v>0</v>
      </c>
      <c r="AZ527" s="27">
        <v>1</v>
      </c>
      <c r="BA527" s="27">
        <v>1</v>
      </c>
      <c r="BB527" s="27">
        <v>68.39</v>
      </c>
      <c r="BC527" s="27" t="s">
        <v>1326</v>
      </c>
      <c r="BD527" s="27" t="s">
        <v>348</v>
      </c>
      <c r="BE527" s="27" t="s">
        <v>136</v>
      </c>
      <c r="BF527" s="27" t="s">
        <v>77</v>
      </c>
      <c r="BG527" s="27">
        <v>168</v>
      </c>
      <c r="BH527" s="27">
        <v>11</v>
      </c>
      <c r="BI527" s="27">
        <v>0.9385</v>
      </c>
      <c r="BJ527" s="27">
        <v>0</v>
      </c>
      <c r="BK527" s="27">
        <v>12</v>
      </c>
      <c r="BL527" s="27">
        <v>96.7</v>
      </c>
    </row>
    <row r="528" customHeight="1" spans="1:64">
      <c r="A528" s="27" t="s">
        <v>1706</v>
      </c>
      <c r="B528" s="27" t="s">
        <v>125</v>
      </c>
      <c r="E528" s="27" t="s">
        <v>735</v>
      </c>
      <c r="F528" s="27" t="s">
        <v>352</v>
      </c>
      <c r="G528" s="27" t="s">
        <v>83</v>
      </c>
      <c r="H528" s="27" t="s">
        <v>138</v>
      </c>
      <c r="I528" s="27" t="s">
        <v>85</v>
      </c>
      <c r="J528" s="27">
        <v>5</v>
      </c>
      <c r="K528" s="27">
        <v>13.49</v>
      </c>
      <c r="L528" s="27">
        <v>14.99</v>
      </c>
      <c r="M528" s="27">
        <v>10.01</v>
      </c>
      <c r="N528" s="27">
        <v>1.5</v>
      </c>
      <c r="O528" s="27">
        <v>1</v>
      </c>
      <c r="P528" s="27" t="s">
        <v>133</v>
      </c>
      <c r="Q528" s="27">
        <v>2.673459</v>
      </c>
      <c r="S528" s="27">
        <v>30</v>
      </c>
      <c r="T528" s="27">
        <v>10</v>
      </c>
      <c r="U528" s="27">
        <v>0.75</v>
      </c>
      <c r="V528" s="27" t="s">
        <v>72</v>
      </c>
      <c r="W528" s="27">
        <v>404.7</v>
      </c>
      <c r="X528" s="27">
        <v>3.433987</v>
      </c>
      <c r="Y528" s="27">
        <v>6.005614</v>
      </c>
      <c r="Z528" s="27">
        <v>3.1623</v>
      </c>
      <c r="AA528" s="27" t="s">
        <v>125</v>
      </c>
      <c r="AB528" s="27">
        <v>0</v>
      </c>
      <c r="AC528" s="27">
        <v>0</v>
      </c>
      <c r="AD528" s="27">
        <v>0</v>
      </c>
      <c r="AE528" s="27">
        <v>0</v>
      </c>
      <c r="AF528" s="27">
        <v>0</v>
      </c>
      <c r="AG528" s="27">
        <v>0</v>
      </c>
      <c r="AH528" s="27">
        <v>0</v>
      </c>
      <c r="AI528" s="27">
        <v>0</v>
      </c>
      <c r="AJ528" s="27">
        <v>0</v>
      </c>
      <c r="AK528" s="27">
        <v>0</v>
      </c>
      <c r="AL528" s="27">
        <v>0</v>
      </c>
      <c r="AM528" s="27">
        <v>0</v>
      </c>
      <c r="AN528" s="27">
        <v>0</v>
      </c>
      <c r="AO528" s="27">
        <v>0</v>
      </c>
      <c r="AP528" s="27">
        <v>0</v>
      </c>
      <c r="AQ528" s="27">
        <v>0</v>
      </c>
      <c r="AR528" s="27">
        <v>0</v>
      </c>
      <c r="AS528" s="27">
        <v>0</v>
      </c>
      <c r="AT528" s="27">
        <v>1</v>
      </c>
      <c r="AU528" s="27">
        <v>1</v>
      </c>
      <c r="AV528" s="27">
        <v>0</v>
      </c>
      <c r="AW528" s="27">
        <v>1</v>
      </c>
      <c r="AX528" s="27">
        <v>0</v>
      </c>
      <c r="AZ528" s="27">
        <v>2</v>
      </c>
      <c r="BA528" s="27">
        <v>0</v>
      </c>
      <c r="BB528" s="27">
        <v>51.24</v>
      </c>
      <c r="BC528" s="27" t="s">
        <v>260</v>
      </c>
      <c r="BD528" s="27" t="s">
        <v>261</v>
      </c>
      <c r="BE528" s="27" t="s">
        <v>262</v>
      </c>
      <c r="BF528" s="27" t="s">
        <v>77</v>
      </c>
      <c r="BG528" s="27">
        <v>1</v>
      </c>
      <c r="BH528" s="27">
        <v>26</v>
      </c>
      <c r="BI528" s="27">
        <v>0.037</v>
      </c>
      <c r="BJ528" s="27">
        <v>1</v>
      </c>
      <c r="BK528" s="27">
        <v>143</v>
      </c>
      <c r="BL528" s="27">
        <v>60.8</v>
      </c>
    </row>
    <row r="529" customHeight="1" spans="1:64">
      <c r="A529" s="27" t="s">
        <v>1707</v>
      </c>
      <c r="B529" s="27" t="s">
        <v>171</v>
      </c>
      <c r="C529" s="27" t="s">
        <v>1708</v>
      </c>
      <c r="E529" s="27" t="s">
        <v>559</v>
      </c>
      <c r="F529" s="27" t="s">
        <v>160</v>
      </c>
      <c r="G529" s="27" t="s">
        <v>83</v>
      </c>
      <c r="H529" s="27" t="s">
        <v>84</v>
      </c>
      <c r="I529" s="27" t="s">
        <v>85</v>
      </c>
      <c r="J529" s="27">
        <v>5</v>
      </c>
      <c r="K529" s="27">
        <v>76.99</v>
      </c>
      <c r="L529" s="27">
        <v>109.99</v>
      </c>
      <c r="M529" s="27">
        <v>30</v>
      </c>
      <c r="N529" s="27">
        <v>33</v>
      </c>
      <c r="O529" s="27">
        <v>1</v>
      </c>
      <c r="P529" s="27" t="s">
        <v>95</v>
      </c>
      <c r="Q529" s="27">
        <v>4.356581</v>
      </c>
      <c r="S529" s="27">
        <v>237</v>
      </c>
      <c r="T529" s="27">
        <v>10</v>
      </c>
      <c r="U529" s="27">
        <v>0.9595</v>
      </c>
      <c r="V529" s="27" t="s">
        <v>154</v>
      </c>
      <c r="W529" s="27">
        <v>18246.63</v>
      </c>
      <c r="X529" s="27">
        <v>5.472271</v>
      </c>
      <c r="Y529" s="27">
        <v>9.81179</v>
      </c>
      <c r="Z529" s="27">
        <v>3.1623</v>
      </c>
      <c r="AA529" s="27" t="s">
        <v>73</v>
      </c>
      <c r="AB529" s="27">
        <v>0</v>
      </c>
      <c r="AC529" s="27">
        <v>0</v>
      </c>
      <c r="AD529" s="27">
        <v>0</v>
      </c>
      <c r="AE529" s="27">
        <v>0</v>
      </c>
      <c r="AF529" s="27">
        <v>0</v>
      </c>
      <c r="AG529" s="27">
        <v>1</v>
      </c>
      <c r="AH529" s="27">
        <v>0</v>
      </c>
      <c r="AI529" s="27">
        <v>1</v>
      </c>
      <c r="AJ529" s="27">
        <v>0</v>
      </c>
      <c r="AK529" s="27">
        <v>0</v>
      </c>
      <c r="AL529" s="27">
        <v>0</v>
      </c>
      <c r="AM529" s="27">
        <v>0</v>
      </c>
      <c r="AN529" s="27">
        <v>0</v>
      </c>
      <c r="AO529" s="27">
        <v>0</v>
      </c>
      <c r="AP529" s="27">
        <v>0</v>
      </c>
      <c r="AQ529" s="27">
        <v>1</v>
      </c>
      <c r="AR529" s="27">
        <v>0</v>
      </c>
      <c r="AS529" s="27">
        <v>0</v>
      </c>
      <c r="AT529" s="27">
        <v>0</v>
      </c>
      <c r="AU529" s="27">
        <v>0</v>
      </c>
      <c r="AV529" s="27">
        <v>1</v>
      </c>
      <c r="AW529" s="27">
        <v>1</v>
      </c>
      <c r="AX529" s="27">
        <v>0</v>
      </c>
      <c r="AZ529" s="27">
        <v>1</v>
      </c>
      <c r="BA529" s="27">
        <v>1</v>
      </c>
      <c r="BB529" s="27">
        <v>76.81</v>
      </c>
      <c r="BC529" s="27" t="s">
        <v>174</v>
      </c>
      <c r="BD529" s="27" t="s">
        <v>175</v>
      </c>
      <c r="BE529" s="27" t="s">
        <v>91</v>
      </c>
      <c r="BF529" s="27" t="s">
        <v>77</v>
      </c>
      <c r="BG529" s="27">
        <v>162</v>
      </c>
      <c r="BH529" s="27">
        <v>60</v>
      </c>
      <c r="BI529" s="27">
        <v>0.7297</v>
      </c>
      <c r="BJ529" s="27">
        <v>0</v>
      </c>
      <c r="BK529" s="27">
        <v>7</v>
      </c>
      <c r="BL529" s="27">
        <v>98.1</v>
      </c>
    </row>
    <row r="530" customHeight="1" spans="1:64">
      <c r="A530" s="27" t="s">
        <v>1709</v>
      </c>
      <c r="B530" s="27" t="s">
        <v>1710</v>
      </c>
      <c r="E530" s="27" t="s">
        <v>1711</v>
      </c>
      <c r="F530" s="27" t="s">
        <v>82</v>
      </c>
      <c r="G530" s="27" t="s">
        <v>83</v>
      </c>
      <c r="H530" s="27" t="s">
        <v>84</v>
      </c>
      <c r="I530" s="27" t="s">
        <v>85</v>
      </c>
      <c r="J530" s="27">
        <v>5</v>
      </c>
      <c r="K530" s="27">
        <v>102.99</v>
      </c>
      <c r="M530" s="27">
        <v>0</v>
      </c>
      <c r="N530" s="27">
        <v>0</v>
      </c>
      <c r="O530" s="27">
        <v>0</v>
      </c>
      <c r="P530" s="27" t="s">
        <v>95</v>
      </c>
      <c r="Q530" s="27">
        <v>4.644295</v>
      </c>
      <c r="R530" s="27">
        <v>12.87</v>
      </c>
      <c r="S530" s="27">
        <v>12</v>
      </c>
      <c r="T530" s="27">
        <v>396</v>
      </c>
      <c r="U530" s="27">
        <v>0.0294</v>
      </c>
      <c r="V530" s="27" t="s">
        <v>72</v>
      </c>
      <c r="W530" s="27">
        <v>1235.88</v>
      </c>
      <c r="X530" s="27">
        <v>2.564949</v>
      </c>
      <c r="Y530" s="27">
        <v>7.120347</v>
      </c>
      <c r="Z530" s="27">
        <v>19.8997</v>
      </c>
      <c r="AA530" s="27" t="s">
        <v>73</v>
      </c>
      <c r="AB530" s="27">
        <v>0</v>
      </c>
      <c r="AC530" s="27">
        <v>0</v>
      </c>
      <c r="AD530" s="27">
        <v>0</v>
      </c>
      <c r="AE530" s="27">
        <v>0</v>
      </c>
      <c r="AF530" s="27">
        <v>0</v>
      </c>
      <c r="AG530" s="27">
        <v>0</v>
      </c>
      <c r="AH530" s="27">
        <v>0</v>
      </c>
      <c r="AI530" s="27">
        <v>0</v>
      </c>
      <c r="AJ530" s="27">
        <v>0</v>
      </c>
      <c r="AK530" s="27">
        <v>0</v>
      </c>
      <c r="AL530" s="27">
        <v>0</v>
      </c>
      <c r="AM530" s="27">
        <v>0</v>
      </c>
      <c r="AN530" s="27">
        <v>0</v>
      </c>
      <c r="AO530" s="27">
        <v>0</v>
      </c>
      <c r="AP530" s="27">
        <v>0</v>
      </c>
      <c r="AQ530" s="27">
        <v>0</v>
      </c>
      <c r="AR530" s="27">
        <v>0</v>
      </c>
      <c r="AS530" s="27">
        <v>0</v>
      </c>
      <c r="AT530" s="27">
        <v>1</v>
      </c>
      <c r="AU530" s="27">
        <v>0</v>
      </c>
      <c r="AV530" s="27">
        <v>0</v>
      </c>
      <c r="AW530" s="27">
        <v>0</v>
      </c>
      <c r="AX530" s="27">
        <v>0</v>
      </c>
      <c r="AY530" s="27">
        <v>8</v>
      </c>
      <c r="AZ530" s="27">
        <v>1</v>
      </c>
      <c r="BA530" s="27">
        <v>0</v>
      </c>
      <c r="BB530" s="27">
        <v>27.4</v>
      </c>
      <c r="BC530" s="27" t="s">
        <v>1712</v>
      </c>
      <c r="BD530" s="27" t="s">
        <v>180</v>
      </c>
      <c r="BE530" s="27" t="s">
        <v>77</v>
      </c>
      <c r="BF530" s="27" t="s">
        <v>77</v>
      </c>
      <c r="BG530" s="27">
        <v>168</v>
      </c>
      <c r="BH530" s="27">
        <v>54</v>
      </c>
      <c r="BI530" s="27">
        <v>0.7568</v>
      </c>
      <c r="BJ530" s="27">
        <v>0</v>
      </c>
      <c r="BK530" s="27">
        <v>46</v>
      </c>
      <c r="BL530" s="27">
        <v>87.4</v>
      </c>
    </row>
    <row r="531" customHeight="1" spans="1:64">
      <c r="A531" s="27" t="s">
        <v>1713</v>
      </c>
      <c r="B531" s="27" t="s">
        <v>104</v>
      </c>
      <c r="C531" s="27" t="s">
        <v>1714</v>
      </c>
      <c r="D531" s="27">
        <v>194644123307</v>
      </c>
      <c r="E531" s="27" t="s">
        <v>1715</v>
      </c>
      <c r="F531" s="27" t="s">
        <v>198</v>
      </c>
      <c r="G531" s="27" t="s">
        <v>106</v>
      </c>
      <c r="H531" s="27" t="s">
        <v>107</v>
      </c>
      <c r="I531" s="27" t="s">
        <v>85</v>
      </c>
      <c r="J531" s="27">
        <v>5</v>
      </c>
      <c r="K531" s="27">
        <v>34.99</v>
      </c>
      <c r="M531" s="27">
        <v>0</v>
      </c>
      <c r="N531" s="27">
        <v>0</v>
      </c>
      <c r="O531" s="27">
        <v>0</v>
      </c>
      <c r="P531" s="27" t="s">
        <v>86</v>
      </c>
      <c r="Q531" s="27">
        <v>3.583241</v>
      </c>
      <c r="S531" s="27">
        <v>449</v>
      </c>
      <c r="T531" s="27">
        <v>10</v>
      </c>
      <c r="U531" s="27">
        <v>0.9782</v>
      </c>
      <c r="V531" s="27" t="s">
        <v>154</v>
      </c>
      <c r="W531" s="27">
        <v>15710.51</v>
      </c>
      <c r="X531" s="27">
        <v>6.109248</v>
      </c>
      <c r="Y531" s="27">
        <v>9.662149</v>
      </c>
      <c r="Z531" s="27">
        <v>3.1623</v>
      </c>
      <c r="AA531" s="27" t="s">
        <v>125</v>
      </c>
      <c r="AB531" s="27">
        <v>0</v>
      </c>
      <c r="AC531" s="27">
        <v>0</v>
      </c>
      <c r="AD531" s="27">
        <v>0</v>
      </c>
      <c r="AE531" s="27">
        <v>0</v>
      </c>
      <c r="AF531" s="27">
        <v>0</v>
      </c>
      <c r="AG531" s="27">
        <v>0</v>
      </c>
      <c r="AH531" s="27">
        <v>0</v>
      </c>
      <c r="AI531" s="27">
        <v>0</v>
      </c>
      <c r="AJ531" s="27">
        <v>0</v>
      </c>
      <c r="AK531" s="27">
        <v>0</v>
      </c>
      <c r="AL531" s="27">
        <v>0</v>
      </c>
      <c r="AM531" s="27">
        <v>0</v>
      </c>
      <c r="AN531" s="27">
        <v>0</v>
      </c>
      <c r="AO531" s="27">
        <v>0</v>
      </c>
      <c r="AP531" s="27">
        <v>0</v>
      </c>
      <c r="AQ531" s="27">
        <v>0</v>
      </c>
      <c r="AR531" s="27">
        <v>0</v>
      </c>
      <c r="AS531" s="27">
        <v>0</v>
      </c>
      <c r="AT531" s="27">
        <v>1</v>
      </c>
      <c r="AU531" s="27">
        <v>0</v>
      </c>
      <c r="AV531" s="27">
        <v>0</v>
      </c>
      <c r="AW531" s="27">
        <v>0</v>
      </c>
      <c r="AX531" s="27">
        <v>0</v>
      </c>
      <c r="AZ531" s="27">
        <v>1</v>
      </c>
      <c r="BA531" s="27">
        <v>0</v>
      </c>
      <c r="BB531" s="27">
        <v>66.67</v>
      </c>
      <c r="BC531" s="27" t="s">
        <v>161</v>
      </c>
      <c r="BD531" s="27" t="s">
        <v>112</v>
      </c>
      <c r="BE531" s="27" t="s">
        <v>113</v>
      </c>
      <c r="BF531" s="27" t="s">
        <v>77</v>
      </c>
      <c r="BG531" s="27">
        <v>147</v>
      </c>
      <c r="BH531" s="27">
        <v>38</v>
      </c>
      <c r="BI531" s="27">
        <v>0.7946</v>
      </c>
      <c r="BJ531" s="27">
        <v>0</v>
      </c>
      <c r="BK531" s="27">
        <v>30</v>
      </c>
      <c r="BL531" s="27">
        <v>91.8</v>
      </c>
    </row>
    <row r="532" customHeight="1" spans="1:64">
      <c r="A532" s="27" t="s">
        <v>1716</v>
      </c>
      <c r="B532" s="27" t="s">
        <v>370</v>
      </c>
      <c r="C532" s="27" t="s">
        <v>1717</v>
      </c>
      <c r="E532" s="27" t="s">
        <v>240</v>
      </c>
      <c r="F532" s="27" t="s">
        <v>240</v>
      </c>
      <c r="G532" s="27" t="s">
        <v>83</v>
      </c>
      <c r="H532" s="27" t="s">
        <v>84</v>
      </c>
      <c r="I532" s="27" t="s">
        <v>203</v>
      </c>
      <c r="J532" s="27">
        <v>4</v>
      </c>
      <c r="K532" s="27">
        <v>325.99</v>
      </c>
      <c r="M532" s="27">
        <v>0</v>
      </c>
      <c r="N532" s="27">
        <v>0</v>
      </c>
      <c r="O532" s="27">
        <v>0</v>
      </c>
      <c r="P532" s="27" t="s">
        <v>71</v>
      </c>
      <c r="Q532" s="27">
        <v>5.78993</v>
      </c>
      <c r="V532" s="27" t="s">
        <v>231</v>
      </c>
      <c r="W532" s="27">
        <v>0</v>
      </c>
      <c r="X532" s="27">
        <v>0</v>
      </c>
      <c r="Y532" s="27">
        <v>0</v>
      </c>
      <c r="Z532" s="27">
        <v>0</v>
      </c>
      <c r="AA532" s="27" t="s">
        <v>125</v>
      </c>
      <c r="AB532" s="27">
        <v>0</v>
      </c>
      <c r="AC532" s="27">
        <v>0</v>
      </c>
      <c r="AD532" s="27">
        <v>0</v>
      </c>
      <c r="AE532" s="27">
        <v>0</v>
      </c>
      <c r="AF532" s="27">
        <v>0</v>
      </c>
      <c r="AG532" s="27">
        <v>0</v>
      </c>
      <c r="AH532" s="27">
        <v>0</v>
      </c>
      <c r="AI532" s="27">
        <v>0</v>
      </c>
      <c r="AJ532" s="27">
        <v>0</v>
      </c>
      <c r="AK532" s="27">
        <v>0</v>
      </c>
      <c r="AL532" s="27">
        <v>0</v>
      </c>
      <c r="AM532" s="27">
        <v>0</v>
      </c>
      <c r="AN532" s="27">
        <v>0</v>
      </c>
      <c r="AO532" s="27">
        <v>0</v>
      </c>
      <c r="AP532" s="27">
        <v>0</v>
      </c>
      <c r="AQ532" s="27">
        <v>0</v>
      </c>
      <c r="AR532" s="27">
        <v>0</v>
      </c>
      <c r="AS532" s="27">
        <v>0</v>
      </c>
      <c r="AT532" s="27">
        <v>0</v>
      </c>
      <c r="AU532" s="27">
        <v>0</v>
      </c>
      <c r="AV532" s="27">
        <v>0</v>
      </c>
      <c r="AW532" s="27">
        <v>0</v>
      </c>
      <c r="AX532" s="27">
        <v>0</v>
      </c>
      <c r="AZ532" s="27">
        <v>1</v>
      </c>
      <c r="BA532" s="27">
        <v>0</v>
      </c>
      <c r="BB532" s="27">
        <v>28.53</v>
      </c>
      <c r="BC532" s="27" t="s">
        <v>1718</v>
      </c>
      <c r="BD532" s="27" t="s">
        <v>1719</v>
      </c>
      <c r="BE532" s="27" t="s">
        <v>113</v>
      </c>
      <c r="BF532" s="27" t="s">
        <v>77</v>
      </c>
      <c r="BG532" s="27">
        <v>168</v>
      </c>
      <c r="BH532" s="27">
        <v>11</v>
      </c>
      <c r="BI532" s="27">
        <v>0.9385</v>
      </c>
      <c r="BJ532" s="27">
        <v>0</v>
      </c>
      <c r="BK532" s="27">
        <v>18</v>
      </c>
      <c r="BL532" s="27">
        <v>95.1</v>
      </c>
    </row>
    <row r="533" customHeight="1" spans="1:64">
      <c r="A533" s="27" t="s">
        <v>1720</v>
      </c>
      <c r="B533" s="27" t="s">
        <v>93</v>
      </c>
      <c r="E533" s="27" t="s">
        <v>1721</v>
      </c>
      <c r="F533" s="27" t="s">
        <v>82</v>
      </c>
      <c r="G533" s="27" t="s">
        <v>93</v>
      </c>
      <c r="H533" s="27" t="s">
        <v>69</v>
      </c>
      <c r="I533" s="27" t="s">
        <v>85</v>
      </c>
      <c r="J533" s="27">
        <v>5</v>
      </c>
      <c r="K533" s="27">
        <v>39.99</v>
      </c>
      <c r="M533" s="27">
        <v>0</v>
      </c>
      <c r="N533" s="27">
        <v>0</v>
      </c>
      <c r="O533" s="27">
        <v>0</v>
      </c>
      <c r="P533" s="27" t="s">
        <v>86</v>
      </c>
      <c r="Q533" s="27">
        <v>3.713328</v>
      </c>
      <c r="S533" s="27">
        <v>258</v>
      </c>
      <c r="T533" s="27">
        <v>29</v>
      </c>
      <c r="U533" s="27">
        <v>0.899</v>
      </c>
      <c r="V533" s="27" t="s">
        <v>154</v>
      </c>
      <c r="W533" s="27">
        <v>10317.42</v>
      </c>
      <c r="X533" s="27">
        <v>5.556828</v>
      </c>
      <c r="Y533" s="27">
        <v>9.241686</v>
      </c>
      <c r="Z533" s="27">
        <v>5.3852</v>
      </c>
      <c r="AA533" s="27" t="s">
        <v>88</v>
      </c>
      <c r="AB533" s="27">
        <v>0</v>
      </c>
      <c r="AC533" s="27">
        <v>0</v>
      </c>
      <c r="AD533" s="27">
        <v>0</v>
      </c>
      <c r="AE533" s="27">
        <v>0</v>
      </c>
      <c r="AF533" s="27">
        <v>0</v>
      </c>
      <c r="AG533" s="27">
        <v>0</v>
      </c>
      <c r="AH533" s="27">
        <v>1</v>
      </c>
      <c r="AI533" s="27">
        <v>0</v>
      </c>
      <c r="AJ533" s="27">
        <v>0</v>
      </c>
      <c r="AK533" s="27">
        <v>1</v>
      </c>
      <c r="AL533" s="27">
        <v>0</v>
      </c>
      <c r="AM533" s="27">
        <v>0</v>
      </c>
      <c r="AN533" s="27">
        <v>0</v>
      </c>
      <c r="AO533" s="27">
        <v>0</v>
      </c>
      <c r="AP533" s="27">
        <v>0</v>
      </c>
      <c r="AQ533" s="27">
        <v>0</v>
      </c>
      <c r="AR533" s="27">
        <v>0</v>
      </c>
      <c r="AS533" s="27">
        <v>0</v>
      </c>
      <c r="AT533" s="27">
        <v>0</v>
      </c>
      <c r="AU533" s="27">
        <v>1</v>
      </c>
      <c r="AV533" s="27">
        <v>0</v>
      </c>
      <c r="AW533" s="27">
        <v>0</v>
      </c>
      <c r="AX533" s="27">
        <v>0</v>
      </c>
      <c r="AZ533" s="27">
        <v>1</v>
      </c>
      <c r="BA533" s="27">
        <v>2</v>
      </c>
      <c r="BB533" s="27">
        <v>65.72</v>
      </c>
      <c r="BC533" s="27" t="s">
        <v>96</v>
      </c>
      <c r="BD533" s="27" t="s">
        <v>97</v>
      </c>
      <c r="BE533" s="27" t="s">
        <v>98</v>
      </c>
      <c r="BF533" s="27" t="s">
        <v>77</v>
      </c>
      <c r="BG533" s="27">
        <v>1</v>
      </c>
      <c r="BH533" s="27">
        <v>28</v>
      </c>
      <c r="BI533" s="27">
        <v>0.0345</v>
      </c>
      <c r="BJ533" s="27">
        <v>1</v>
      </c>
      <c r="BK533" s="27">
        <v>3</v>
      </c>
      <c r="BL533" s="27">
        <v>99.2</v>
      </c>
    </row>
    <row r="534" customHeight="1" spans="1:64">
      <c r="A534" s="27" t="s">
        <v>1722</v>
      </c>
      <c r="B534" s="27" t="s">
        <v>104</v>
      </c>
      <c r="C534" s="27" t="s">
        <v>945</v>
      </c>
      <c r="D534" s="27">
        <v>194644239749</v>
      </c>
      <c r="E534" s="27" t="s">
        <v>209</v>
      </c>
      <c r="F534" s="27" t="s">
        <v>160</v>
      </c>
      <c r="G534" s="27" t="s">
        <v>106</v>
      </c>
      <c r="H534" s="27" t="s">
        <v>107</v>
      </c>
      <c r="I534" s="27" t="s">
        <v>85</v>
      </c>
      <c r="J534" s="27">
        <v>5</v>
      </c>
      <c r="K534" s="27">
        <v>1499.99</v>
      </c>
      <c r="M534" s="27">
        <v>0</v>
      </c>
      <c r="N534" s="27">
        <v>0</v>
      </c>
      <c r="O534" s="27">
        <v>0</v>
      </c>
      <c r="P534" s="27" t="s">
        <v>147</v>
      </c>
      <c r="Q534" s="27">
        <v>7.31388</v>
      </c>
      <c r="R534" s="27">
        <v>187.5</v>
      </c>
      <c r="S534" s="27">
        <v>36</v>
      </c>
      <c r="T534" s="27">
        <v>10</v>
      </c>
      <c r="U534" s="27">
        <v>0.7826</v>
      </c>
      <c r="V534" s="27" t="s">
        <v>72</v>
      </c>
      <c r="W534" s="27">
        <v>53999.64</v>
      </c>
      <c r="X534" s="27">
        <v>3.610918</v>
      </c>
      <c r="Y534" s="27">
        <v>10.896751</v>
      </c>
      <c r="Z534" s="27">
        <v>3.1623</v>
      </c>
      <c r="AA534" s="27" t="s">
        <v>125</v>
      </c>
      <c r="AB534" s="27">
        <v>0</v>
      </c>
      <c r="AC534" s="27">
        <v>0</v>
      </c>
      <c r="AD534" s="27">
        <v>0</v>
      </c>
      <c r="AE534" s="27">
        <v>0</v>
      </c>
      <c r="AF534" s="27">
        <v>0</v>
      </c>
      <c r="AG534" s="27">
        <v>1</v>
      </c>
      <c r="AH534" s="27">
        <v>0</v>
      </c>
      <c r="AI534" s="27">
        <v>1</v>
      </c>
      <c r="AJ534" s="27">
        <v>0</v>
      </c>
      <c r="AK534" s="27">
        <v>1</v>
      </c>
      <c r="AL534" s="27">
        <v>0</v>
      </c>
      <c r="AM534" s="27">
        <v>0</v>
      </c>
      <c r="AN534" s="27">
        <v>0</v>
      </c>
      <c r="AO534" s="27">
        <v>0</v>
      </c>
      <c r="AP534" s="27">
        <v>0</v>
      </c>
      <c r="AQ534" s="27">
        <v>1</v>
      </c>
      <c r="AR534" s="27">
        <v>0</v>
      </c>
      <c r="AS534" s="27">
        <v>0</v>
      </c>
      <c r="AT534" s="27">
        <v>0</v>
      </c>
      <c r="AU534" s="27">
        <v>0</v>
      </c>
      <c r="AV534" s="27">
        <v>1</v>
      </c>
      <c r="AW534" s="27">
        <v>1</v>
      </c>
      <c r="AX534" s="27">
        <v>0</v>
      </c>
      <c r="AY534" s="27">
        <v>8</v>
      </c>
      <c r="AZ534" s="27">
        <v>1</v>
      </c>
      <c r="BA534" s="27">
        <v>2</v>
      </c>
      <c r="BB534" s="27">
        <v>61.15</v>
      </c>
      <c r="BC534" s="27" t="s">
        <v>161</v>
      </c>
      <c r="BD534" s="27" t="s">
        <v>112</v>
      </c>
      <c r="BE534" s="27" t="s">
        <v>128</v>
      </c>
      <c r="BF534" s="27" t="s">
        <v>77</v>
      </c>
      <c r="BG534" s="27">
        <v>33</v>
      </c>
      <c r="BH534" s="27">
        <v>23</v>
      </c>
      <c r="BI534" s="27">
        <v>0.5893</v>
      </c>
      <c r="BJ534" s="27">
        <v>0</v>
      </c>
      <c r="BK534" s="27">
        <v>2</v>
      </c>
      <c r="BL534" s="27">
        <v>99.5</v>
      </c>
    </row>
    <row r="535" customHeight="1" spans="1:64">
      <c r="A535" s="27" t="s">
        <v>1723</v>
      </c>
      <c r="B535" s="27" t="s">
        <v>115</v>
      </c>
      <c r="C535" s="27" t="s">
        <v>417</v>
      </c>
      <c r="D535" s="27">
        <v>840414626881</v>
      </c>
      <c r="E535" s="27" t="s">
        <v>81</v>
      </c>
      <c r="F535" s="27" t="s">
        <v>82</v>
      </c>
      <c r="G535" s="27" t="s">
        <v>117</v>
      </c>
      <c r="H535" s="27" t="s">
        <v>107</v>
      </c>
      <c r="I535" s="27" t="s">
        <v>85</v>
      </c>
      <c r="J535" s="27">
        <v>5</v>
      </c>
      <c r="K535" s="27">
        <v>168.95</v>
      </c>
      <c r="M535" s="27">
        <v>0</v>
      </c>
      <c r="N535" s="27">
        <v>0</v>
      </c>
      <c r="O535" s="27">
        <v>0</v>
      </c>
      <c r="P535" s="27" t="s">
        <v>95</v>
      </c>
      <c r="Q535" s="27">
        <v>5.135504</v>
      </c>
      <c r="S535" s="27">
        <v>67</v>
      </c>
      <c r="T535" s="27">
        <v>10</v>
      </c>
      <c r="U535" s="27">
        <v>0.8701</v>
      </c>
      <c r="V535" s="27" t="s">
        <v>72</v>
      </c>
      <c r="W535" s="27">
        <v>11319.65</v>
      </c>
      <c r="X535" s="27">
        <v>4.219508</v>
      </c>
      <c r="Y535" s="27">
        <v>9.334384</v>
      </c>
      <c r="Z535" s="27">
        <v>3.1623</v>
      </c>
      <c r="AA535" s="27" t="s">
        <v>73</v>
      </c>
      <c r="AB535" s="27">
        <v>0</v>
      </c>
      <c r="AC535" s="27">
        <v>0</v>
      </c>
      <c r="AD535" s="27">
        <v>0</v>
      </c>
      <c r="AE535" s="27">
        <v>0</v>
      </c>
      <c r="AF535" s="27">
        <v>0</v>
      </c>
      <c r="AG535" s="27">
        <v>1</v>
      </c>
      <c r="AH535" s="27">
        <v>0</v>
      </c>
      <c r="AI535" s="27">
        <v>0</v>
      </c>
      <c r="AJ535" s="27">
        <v>0</v>
      </c>
      <c r="AK535" s="27">
        <v>0</v>
      </c>
      <c r="AL535" s="27">
        <v>0</v>
      </c>
      <c r="AM535" s="27">
        <v>0</v>
      </c>
      <c r="AN535" s="27">
        <v>0</v>
      </c>
      <c r="AO535" s="27">
        <v>0</v>
      </c>
      <c r="AP535" s="27">
        <v>1</v>
      </c>
      <c r="AQ535" s="27">
        <v>0</v>
      </c>
      <c r="AR535" s="27">
        <v>0</v>
      </c>
      <c r="AS535" s="27">
        <v>0</v>
      </c>
      <c r="AT535" s="27">
        <v>0</v>
      </c>
      <c r="AU535" s="27">
        <v>0</v>
      </c>
      <c r="AV535" s="27">
        <v>0</v>
      </c>
      <c r="AW535" s="27">
        <v>0</v>
      </c>
      <c r="AX535" s="27">
        <v>0</v>
      </c>
      <c r="AZ535" s="27">
        <v>1</v>
      </c>
      <c r="BA535" s="27">
        <v>0</v>
      </c>
      <c r="BB535" s="27">
        <v>63.81</v>
      </c>
      <c r="BC535" s="27" t="s">
        <v>1724</v>
      </c>
      <c r="BD535" s="27" t="s">
        <v>180</v>
      </c>
      <c r="BE535" s="27" t="s">
        <v>128</v>
      </c>
      <c r="BF535" s="27" t="s">
        <v>77</v>
      </c>
      <c r="BG535" s="27">
        <v>1</v>
      </c>
      <c r="BH535" s="27">
        <v>28</v>
      </c>
      <c r="BI535" s="27">
        <v>0.0345</v>
      </c>
      <c r="BJ535" s="27">
        <v>1</v>
      </c>
      <c r="BK535" s="27">
        <v>12</v>
      </c>
      <c r="BL535" s="27">
        <v>96.7</v>
      </c>
    </row>
    <row r="536" customHeight="1" spans="1:64">
      <c r="A536" s="27" t="s">
        <v>1725</v>
      </c>
      <c r="B536" s="27" t="s">
        <v>171</v>
      </c>
      <c r="C536" s="27" t="s">
        <v>1726</v>
      </c>
      <c r="E536" s="27" t="s">
        <v>559</v>
      </c>
      <c r="F536" s="27" t="s">
        <v>160</v>
      </c>
      <c r="G536" s="27" t="s">
        <v>83</v>
      </c>
      <c r="H536" s="27" t="s">
        <v>84</v>
      </c>
      <c r="I536" s="27" t="s">
        <v>85</v>
      </c>
      <c r="J536" s="27">
        <v>5</v>
      </c>
      <c r="K536" s="27">
        <v>226.19</v>
      </c>
      <c r="L536" s="27">
        <v>347.99</v>
      </c>
      <c r="M536" s="27">
        <v>35</v>
      </c>
      <c r="N536" s="27">
        <v>121.8</v>
      </c>
      <c r="O536" s="27">
        <v>1</v>
      </c>
      <c r="P536" s="27" t="s">
        <v>71</v>
      </c>
      <c r="Q536" s="27">
        <v>5.425787</v>
      </c>
      <c r="R536" s="27">
        <v>28.27</v>
      </c>
      <c r="S536" s="27">
        <v>318</v>
      </c>
      <c r="T536" s="27">
        <v>100</v>
      </c>
      <c r="U536" s="27">
        <v>0.7608</v>
      </c>
      <c r="V536" s="27" t="s">
        <v>154</v>
      </c>
      <c r="W536" s="27">
        <v>71928.42</v>
      </c>
      <c r="X536" s="27">
        <v>5.765191</v>
      </c>
      <c r="Y536" s="27">
        <v>11.183441</v>
      </c>
      <c r="Z536" s="27">
        <v>10</v>
      </c>
      <c r="AA536" s="27" t="s">
        <v>291</v>
      </c>
      <c r="AB536" s="27">
        <v>0</v>
      </c>
      <c r="AC536" s="27">
        <v>0</v>
      </c>
      <c r="AD536" s="27">
        <v>0</v>
      </c>
      <c r="AE536" s="27">
        <v>0</v>
      </c>
      <c r="AF536" s="27">
        <v>0</v>
      </c>
      <c r="AG536" s="27">
        <v>1</v>
      </c>
      <c r="AH536" s="27">
        <v>0</v>
      </c>
      <c r="AI536" s="27">
        <v>1</v>
      </c>
      <c r="AJ536" s="27">
        <v>0</v>
      </c>
      <c r="AK536" s="27">
        <v>0</v>
      </c>
      <c r="AL536" s="27">
        <v>0</v>
      </c>
      <c r="AM536" s="27">
        <v>0</v>
      </c>
      <c r="AN536" s="27">
        <v>0</v>
      </c>
      <c r="AO536" s="27">
        <v>0</v>
      </c>
      <c r="AP536" s="27">
        <v>0</v>
      </c>
      <c r="AQ536" s="27">
        <v>1</v>
      </c>
      <c r="AR536" s="27">
        <v>0</v>
      </c>
      <c r="AS536" s="27">
        <v>0</v>
      </c>
      <c r="AT536" s="27">
        <v>0</v>
      </c>
      <c r="AU536" s="27">
        <v>0</v>
      </c>
      <c r="AV536" s="27">
        <v>1</v>
      </c>
      <c r="AW536" s="27">
        <v>1</v>
      </c>
      <c r="AX536" s="27">
        <v>0</v>
      </c>
      <c r="AY536" s="27">
        <v>8</v>
      </c>
      <c r="AZ536" s="27">
        <v>1</v>
      </c>
      <c r="BA536" s="27">
        <v>1</v>
      </c>
      <c r="BB536" s="27">
        <v>70.69</v>
      </c>
      <c r="BC536" s="27" t="s">
        <v>251</v>
      </c>
      <c r="BD536" s="27" t="s">
        <v>175</v>
      </c>
      <c r="BE536" s="27" t="s">
        <v>91</v>
      </c>
      <c r="BF536" s="27" t="s">
        <v>77</v>
      </c>
      <c r="BG536" s="27">
        <v>161</v>
      </c>
      <c r="BH536" s="27">
        <v>61</v>
      </c>
      <c r="BI536" s="27">
        <v>0.7252</v>
      </c>
      <c r="BJ536" s="27">
        <v>0</v>
      </c>
      <c r="BK536" s="27">
        <v>3</v>
      </c>
      <c r="BL536" s="27">
        <v>99.2</v>
      </c>
    </row>
    <row r="537" customHeight="1" spans="1:64">
      <c r="A537" s="27" t="s">
        <v>1727</v>
      </c>
      <c r="B537" s="27" t="s">
        <v>115</v>
      </c>
      <c r="C537" s="27" t="s">
        <v>1728</v>
      </c>
      <c r="E537" s="27" t="s">
        <v>81</v>
      </c>
      <c r="F537" s="27" t="s">
        <v>82</v>
      </c>
      <c r="G537" s="27" t="s">
        <v>117</v>
      </c>
      <c r="H537" s="27" t="s">
        <v>107</v>
      </c>
      <c r="I537" s="27" t="s">
        <v>85</v>
      </c>
      <c r="J537" s="27">
        <v>5</v>
      </c>
      <c r="K537" s="27">
        <v>152</v>
      </c>
      <c r="M537" s="27">
        <v>0</v>
      </c>
      <c r="N537" s="27">
        <v>0</v>
      </c>
      <c r="O537" s="27">
        <v>0</v>
      </c>
      <c r="P537" s="27" t="s">
        <v>95</v>
      </c>
      <c r="Q537" s="27">
        <v>5.030438</v>
      </c>
      <c r="S537" s="27">
        <v>1</v>
      </c>
      <c r="T537" s="27">
        <v>31</v>
      </c>
      <c r="U537" s="27">
        <v>0.0312</v>
      </c>
      <c r="V537" s="27" t="s">
        <v>87</v>
      </c>
      <c r="W537" s="27">
        <v>152</v>
      </c>
      <c r="X537" s="27">
        <v>0.693147</v>
      </c>
      <c r="Y537" s="27">
        <v>5.030438</v>
      </c>
      <c r="Z537" s="27">
        <v>5.5678</v>
      </c>
      <c r="AA537" s="27" t="s">
        <v>73</v>
      </c>
      <c r="AB537" s="27">
        <v>0</v>
      </c>
      <c r="AC537" s="27">
        <v>0</v>
      </c>
      <c r="AD537" s="27">
        <v>0</v>
      </c>
      <c r="AE537" s="27">
        <v>0</v>
      </c>
      <c r="AF537" s="27">
        <v>0</v>
      </c>
      <c r="AG537" s="27">
        <v>1</v>
      </c>
      <c r="AH537" s="27">
        <v>0</v>
      </c>
      <c r="AI537" s="27">
        <v>0</v>
      </c>
      <c r="AJ537" s="27">
        <v>0</v>
      </c>
      <c r="AK537" s="27">
        <v>0</v>
      </c>
      <c r="AL537" s="27">
        <v>0</v>
      </c>
      <c r="AM537" s="27">
        <v>0</v>
      </c>
      <c r="AN537" s="27">
        <v>0</v>
      </c>
      <c r="AO537" s="27">
        <v>0</v>
      </c>
      <c r="AP537" s="27">
        <v>1</v>
      </c>
      <c r="AQ537" s="27">
        <v>0</v>
      </c>
      <c r="AR537" s="27">
        <v>0</v>
      </c>
      <c r="AS537" s="27">
        <v>0</v>
      </c>
      <c r="AT537" s="27">
        <v>0</v>
      </c>
      <c r="AU537" s="27">
        <v>0</v>
      </c>
      <c r="AV537" s="27">
        <v>0</v>
      </c>
      <c r="AW537" s="27">
        <v>0</v>
      </c>
      <c r="AX537" s="27">
        <v>0</v>
      </c>
      <c r="AZ537" s="27">
        <v>1</v>
      </c>
      <c r="BA537" s="27">
        <v>0</v>
      </c>
      <c r="BB537" s="27">
        <v>30.92</v>
      </c>
      <c r="BC537" s="27" t="s">
        <v>164</v>
      </c>
      <c r="BD537" s="27" t="s">
        <v>165</v>
      </c>
      <c r="BE537" s="27" t="s">
        <v>166</v>
      </c>
      <c r="BF537" s="27" t="s">
        <v>77</v>
      </c>
      <c r="BG537" s="27">
        <v>168</v>
      </c>
      <c r="BH537" s="27">
        <v>11</v>
      </c>
      <c r="BI537" s="27">
        <v>0.9385</v>
      </c>
      <c r="BJ537" s="27">
        <v>0</v>
      </c>
      <c r="BK537" s="27">
        <v>4</v>
      </c>
      <c r="BL537" s="27">
        <v>98.9</v>
      </c>
    </row>
    <row r="538" customHeight="1" spans="1:64">
      <c r="A538" s="27" t="s">
        <v>1729</v>
      </c>
      <c r="B538" s="27" t="s">
        <v>171</v>
      </c>
      <c r="C538" s="27" t="s">
        <v>1730</v>
      </c>
      <c r="E538" s="27" t="s">
        <v>131</v>
      </c>
      <c r="F538" s="27" t="s">
        <v>132</v>
      </c>
      <c r="G538" s="27" t="s">
        <v>83</v>
      </c>
      <c r="H538" s="27" t="s">
        <v>84</v>
      </c>
      <c r="I538" s="27" t="s">
        <v>85</v>
      </c>
      <c r="J538" s="27">
        <v>5</v>
      </c>
      <c r="K538" s="27">
        <v>24.99</v>
      </c>
      <c r="M538" s="27">
        <v>0</v>
      </c>
      <c r="N538" s="27">
        <v>0</v>
      </c>
      <c r="O538" s="27">
        <v>0</v>
      </c>
      <c r="P538" s="27" t="s">
        <v>133</v>
      </c>
      <c r="Q538" s="27">
        <v>3.257712</v>
      </c>
      <c r="S538" s="27">
        <v>3522</v>
      </c>
      <c r="T538" s="27">
        <v>100</v>
      </c>
      <c r="U538" s="27">
        <v>0.9724</v>
      </c>
      <c r="V538" s="27" t="s">
        <v>109</v>
      </c>
      <c r="W538" s="27">
        <v>88014.78</v>
      </c>
      <c r="X538" s="27">
        <v>8.167068</v>
      </c>
      <c r="Y538" s="27">
        <v>11.385271</v>
      </c>
      <c r="Z538" s="27">
        <v>10</v>
      </c>
      <c r="AA538" s="27" t="s">
        <v>125</v>
      </c>
      <c r="AB538" s="27">
        <v>0</v>
      </c>
      <c r="AC538" s="27">
        <v>0</v>
      </c>
      <c r="AD538" s="27">
        <v>0</v>
      </c>
      <c r="AE538" s="27">
        <v>0</v>
      </c>
      <c r="AF538" s="27">
        <v>0</v>
      </c>
      <c r="AG538" s="27">
        <v>0</v>
      </c>
      <c r="AH538" s="27">
        <v>0</v>
      </c>
      <c r="AI538" s="27">
        <v>0</v>
      </c>
      <c r="AJ538" s="27">
        <v>0</v>
      </c>
      <c r="AK538" s="27">
        <v>0</v>
      </c>
      <c r="AL538" s="27">
        <v>0</v>
      </c>
      <c r="AM538" s="27">
        <v>0</v>
      </c>
      <c r="AN538" s="27">
        <v>0</v>
      </c>
      <c r="AO538" s="27">
        <v>0</v>
      </c>
      <c r="AP538" s="27">
        <v>0</v>
      </c>
      <c r="AQ538" s="27">
        <v>0</v>
      </c>
      <c r="AR538" s="27">
        <v>0</v>
      </c>
      <c r="AS538" s="27">
        <v>0</v>
      </c>
      <c r="AT538" s="27">
        <v>0</v>
      </c>
      <c r="AU538" s="27">
        <v>0</v>
      </c>
      <c r="AV538" s="27">
        <v>0</v>
      </c>
      <c r="AW538" s="27">
        <v>1</v>
      </c>
      <c r="AX538" s="27">
        <v>0</v>
      </c>
      <c r="AZ538" s="27">
        <v>4</v>
      </c>
      <c r="BA538" s="27">
        <v>0</v>
      </c>
      <c r="BB538" s="27">
        <v>68.75</v>
      </c>
      <c r="BC538" s="27" t="s">
        <v>251</v>
      </c>
      <c r="BD538" s="27" t="s">
        <v>175</v>
      </c>
      <c r="BE538" s="27" t="s">
        <v>91</v>
      </c>
      <c r="BF538" s="27" t="s">
        <v>77</v>
      </c>
      <c r="BG538" s="27">
        <v>162</v>
      </c>
      <c r="BH538" s="27">
        <v>60</v>
      </c>
      <c r="BI538" s="27">
        <v>0.7297</v>
      </c>
      <c r="BJ538" s="27">
        <v>0</v>
      </c>
      <c r="BK538" s="27">
        <v>2</v>
      </c>
      <c r="BL538" s="27">
        <v>99.5</v>
      </c>
    </row>
    <row r="539" customHeight="1" spans="1:64">
      <c r="A539" s="27" t="s">
        <v>1731</v>
      </c>
      <c r="B539" s="27" t="s">
        <v>171</v>
      </c>
      <c r="C539" s="27" t="s">
        <v>1732</v>
      </c>
      <c r="E539" s="27" t="s">
        <v>250</v>
      </c>
      <c r="F539" s="27" t="s">
        <v>160</v>
      </c>
      <c r="G539" s="27" t="s">
        <v>83</v>
      </c>
      <c r="H539" s="27" t="s">
        <v>84</v>
      </c>
      <c r="I539" s="27" t="s">
        <v>85</v>
      </c>
      <c r="J539" s="27">
        <v>5</v>
      </c>
      <c r="K539" s="27">
        <v>99.89</v>
      </c>
      <c r="M539" s="27">
        <v>0</v>
      </c>
      <c r="N539" s="27">
        <v>0</v>
      </c>
      <c r="O539" s="27">
        <v>0</v>
      </c>
      <c r="P539" s="27" t="s">
        <v>95</v>
      </c>
      <c r="Q539" s="27">
        <v>4.614031</v>
      </c>
      <c r="R539" s="27">
        <v>12.49</v>
      </c>
      <c r="S539" s="27">
        <v>246</v>
      </c>
      <c r="T539" s="27">
        <v>100</v>
      </c>
      <c r="U539" s="27">
        <v>0.711</v>
      </c>
      <c r="V539" s="27" t="s">
        <v>154</v>
      </c>
      <c r="W539" s="27">
        <v>24572.94</v>
      </c>
      <c r="X539" s="27">
        <v>5.509388</v>
      </c>
      <c r="Y539" s="27">
        <v>10.109442</v>
      </c>
      <c r="Z539" s="27">
        <v>10</v>
      </c>
      <c r="AA539" s="27" t="s">
        <v>110</v>
      </c>
      <c r="AB539" s="27">
        <v>1</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1</v>
      </c>
      <c r="AR539" s="27">
        <v>0</v>
      </c>
      <c r="AS539" s="27">
        <v>0</v>
      </c>
      <c r="AT539" s="27">
        <v>1</v>
      </c>
      <c r="AU539" s="27">
        <v>0</v>
      </c>
      <c r="AV539" s="27">
        <v>1</v>
      </c>
      <c r="AW539" s="27">
        <v>1</v>
      </c>
      <c r="AX539" s="27">
        <v>0</v>
      </c>
      <c r="AY539" s="27">
        <v>8</v>
      </c>
      <c r="AZ539" s="27">
        <v>1</v>
      </c>
      <c r="BA539" s="27">
        <v>2</v>
      </c>
      <c r="BB539" s="27">
        <v>58.29</v>
      </c>
      <c r="BC539" s="27" t="s">
        <v>251</v>
      </c>
      <c r="BD539" s="27" t="s">
        <v>175</v>
      </c>
      <c r="BE539" s="27" t="s">
        <v>91</v>
      </c>
      <c r="BF539" s="27" t="s">
        <v>77</v>
      </c>
      <c r="BG539" s="27">
        <v>161</v>
      </c>
      <c r="BH539" s="27">
        <v>61</v>
      </c>
      <c r="BI539" s="27">
        <v>0.7252</v>
      </c>
      <c r="BJ539" s="27">
        <v>0</v>
      </c>
      <c r="BK539" s="27">
        <v>2</v>
      </c>
      <c r="BL539" s="27">
        <v>99.5</v>
      </c>
    </row>
    <row r="540" customHeight="1" spans="1:64">
      <c r="A540" s="27" t="s">
        <v>1733</v>
      </c>
      <c r="B540" s="27" t="s">
        <v>104</v>
      </c>
      <c r="C540" s="27" t="s">
        <v>640</v>
      </c>
      <c r="D540" s="27">
        <v>194644243746</v>
      </c>
      <c r="E540" s="27" t="s">
        <v>81</v>
      </c>
      <c r="F540" s="27" t="s">
        <v>82</v>
      </c>
      <c r="G540" s="27" t="s">
        <v>106</v>
      </c>
      <c r="H540" s="27" t="s">
        <v>107</v>
      </c>
      <c r="I540" s="27" t="s">
        <v>85</v>
      </c>
      <c r="J540" s="27">
        <v>5</v>
      </c>
      <c r="K540" s="27">
        <v>129.99</v>
      </c>
      <c r="L540" s="27">
        <v>179.99</v>
      </c>
      <c r="M540" s="27">
        <v>27.78</v>
      </c>
      <c r="N540" s="27">
        <v>50</v>
      </c>
      <c r="O540" s="27">
        <v>1</v>
      </c>
      <c r="P540" s="27" t="s">
        <v>95</v>
      </c>
      <c r="Q540" s="27">
        <v>4.875121</v>
      </c>
      <c r="S540" s="27">
        <v>95</v>
      </c>
      <c r="T540" s="27">
        <v>10</v>
      </c>
      <c r="U540" s="27">
        <v>0.9048</v>
      </c>
      <c r="V540" s="27" t="s">
        <v>72</v>
      </c>
      <c r="W540" s="27">
        <v>12349.05</v>
      </c>
      <c r="X540" s="27">
        <v>4.564348</v>
      </c>
      <c r="Y540" s="27">
        <v>9.421415</v>
      </c>
      <c r="Z540" s="27">
        <v>3.1623</v>
      </c>
      <c r="AA540" s="27" t="s">
        <v>73</v>
      </c>
      <c r="AB540" s="27">
        <v>0</v>
      </c>
      <c r="AC540" s="27">
        <v>0</v>
      </c>
      <c r="AD540" s="27">
        <v>0</v>
      </c>
      <c r="AE540" s="27">
        <v>1</v>
      </c>
      <c r="AF540" s="27">
        <v>0</v>
      </c>
      <c r="AG540" s="27">
        <v>0</v>
      </c>
      <c r="AH540" s="27">
        <v>1</v>
      </c>
      <c r="AI540" s="27">
        <v>0</v>
      </c>
      <c r="AJ540" s="27">
        <v>0</v>
      </c>
      <c r="AK540" s="27">
        <v>0</v>
      </c>
      <c r="AL540" s="27">
        <v>0</v>
      </c>
      <c r="AM540" s="27">
        <v>0</v>
      </c>
      <c r="AN540" s="27">
        <v>0</v>
      </c>
      <c r="AO540" s="27">
        <v>0</v>
      </c>
      <c r="AP540" s="27">
        <v>0</v>
      </c>
      <c r="AQ540" s="27">
        <v>0</v>
      </c>
      <c r="AR540" s="27">
        <v>0</v>
      </c>
      <c r="AS540" s="27">
        <v>0</v>
      </c>
      <c r="AT540" s="27">
        <v>1</v>
      </c>
      <c r="AU540" s="27">
        <v>0</v>
      </c>
      <c r="AV540" s="27">
        <v>0</v>
      </c>
      <c r="AW540" s="27">
        <v>0</v>
      </c>
      <c r="AX540" s="27">
        <v>0</v>
      </c>
      <c r="AZ540" s="27">
        <v>1</v>
      </c>
      <c r="BA540" s="27">
        <v>2</v>
      </c>
      <c r="BB540" s="27">
        <v>74.38</v>
      </c>
      <c r="BC540" s="27" t="s">
        <v>161</v>
      </c>
      <c r="BD540" s="27" t="s">
        <v>112</v>
      </c>
      <c r="BE540" s="27" t="s">
        <v>113</v>
      </c>
      <c r="BF540" s="27" t="s">
        <v>77</v>
      </c>
      <c r="BG540" s="27">
        <v>147</v>
      </c>
      <c r="BH540" s="27">
        <v>39</v>
      </c>
      <c r="BI540" s="27">
        <v>0.7903</v>
      </c>
      <c r="BJ540" s="27">
        <v>0</v>
      </c>
      <c r="BK540" s="27">
        <v>2</v>
      </c>
      <c r="BL540" s="27">
        <v>99.5</v>
      </c>
    </row>
    <row r="541" customHeight="1" spans="1:64">
      <c r="A541" s="27" t="s">
        <v>1734</v>
      </c>
      <c r="B541" s="27" t="s">
        <v>125</v>
      </c>
      <c r="E541" s="27" t="s">
        <v>163</v>
      </c>
      <c r="F541" s="27" t="s">
        <v>68</v>
      </c>
      <c r="G541" s="27" t="s">
        <v>106</v>
      </c>
      <c r="H541" s="27" t="s">
        <v>138</v>
      </c>
      <c r="I541" s="27" t="s">
        <v>125</v>
      </c>
      <c r="J541" s="27">
        <v>0</v>
      </c>
      <c r="K541" s="27">
        <v>239.99</v>
      </c>
      <c r="L541" s="27">
        <v>549.99</v>
      </c>
      <c r="M541" s="27">
        <v>56.36</v>
      </c>
      <c r="N541" s="27">
        <v>310</v>
      </c>
      <c r="O541" s="27">
        <v>1</v>
      </c>
      <c r="P541" s="27" t="s">
        <v>71</v>
      </c>
      <c r="Q541" s="27">
        <v>5.484755</v>
      </c>
      <c r="V541" s="27" t="s">
        <v>231</v>
      </c>
      <c r="W541" s="27">
        <v>0</v>
      </c>
      <c r="X541" s="27">
        <v>0</v>
      </c>
      <c r="Y541" s="27">
        <v>0</v>
      </c>
      <c r="Z541" s="27">
        <v>0</v>
      </c>
      <c r="AA541" s="27" t="s">
        <v>73</v>
      </c>
      <c r="AB541" s="27">
        <v>0</v>
      </c>
      <c r="AC541" s="27">
        <v>0</v>
      </c>
      <c r="AD541" s="27">
        <v>0</v>
      </c>
      <c r="AE541" s="27">
        <v>1</v>
      </c>
      <c r="AF541" s="27">
        <v>0</v>
      </c>
      <c r="AG541" s="27">
        <v>0</v>
      </c>
      <c r="AH541" s="27">
        <v>1</v>
      </c>
      <c r="AI541" s="27">
        <v>0</v>
      </c>
      <c r="AJ541" s="27">
        <v>0</v>
      </c>
      <c r="AK541" s="27">
        <v>0</v>
      </c>
      <c r="AL541" s="27">
        <v>0</v>
      </c>
      <c r="AM541" s="27">
        <v>0</v>
      </c>
      <c r="AN541" s="27">
        <v>0</v>
      </c>
      <c r="AO541" s="27">
        <v>0</v>
      </c>
      <c r="AP541" s="27">
        <v>0</v>
      </c>
      <c r="AQ541" s="27">
        <v>0</v>
      </c>
      <c r="AR541" s="27">
        <v>0</v>
      </c>
      <c r="AS541" s="27">
        <v>0</v>
      </c>
      <c r="AT541" s="27">
        <v>1</v>
      </c>
      <c r="AU541" s="27">
        <v>0</v>
      </c>
      <c r="AV541" s="27">
        <v>0</v>
      </c>
      <c r="AW541" s="27">
        <v>1</v>
      </c>
      <c r="AX541" s="27">
        <v>0</v>
      </c>
      <c r="AZ541" s="27">
        <v>1</v>
      </c>
      <c r="BA541" s="27">
        <v>2</v>
      </c>
      <c r="BB541" s="27">
        <v>16.91</v>
      </c>
      <c r="BC541" s="27" t="s">
        <v>111</v>
      </c>
      <c r="BG541" s="27">
        <v>0</v>
      </c>
      <c r="BH541" s="27">
        <v>0</v>
      </c>
      <c r="BJ541" s="27">
        <v>0</v>
      </c>
    </row>
    <row r="542" customHeight="1" spans="1:64">
      <c r="A542" s="27" t="s">
        <v>1735</v>
      </c>
      <c r="B542" s="27" t="s">
        <v>125</v>
      </c>
      <c r="E542" s="27" t="s">
        <v>163</v>
      </c>
      <c r="F542" s="27" t="s">
        <v>68</v>
      </c>
      <c r="G542" s="27" t="s">
        <v>106</v>
      </c>
      <c r="H542" s="27" t="s">
        <v>138</v>
      </c>
      <c r="I542" s="27" t="s">
        <v>125</v>
      </c>
      <c r="J542" s="27">
        <v>0</v>
      </c>
      <c r="K542" s="27">
        <v>105</v>
      </c>
      <c r="L542" s="27">
        <v>199.99</v>
      </c>
      <c r="M542" s="27">
        <v>47.5</v>
      </c>
      <c r="N542" s="27">
        <v>94.99</v>
      </c>
      <c r="O542" s="27">
        <v>1</v>
      </c>
      <c r="P542" s="27" t="s">
        <v>95</v>
      </c>
      <c r="Q542" s="27">
        <v>4.663439</v>
      </c>
      <c r="V542" s="27" t="s">
        <v>231</v>
      </c>
      <c r="W542" s="27">
        <v>0</v>
      </c>
      <c r="X542" s="27">
        <v>0</v>
      </c>
      <c r="Y542" s="27">
        <v>0</v>
      </c>
      <c r="Z542" s="27">
        <v>0</v>
      </c>
      <c r="AA542" s="27" t="s">
        <v>110</v>
      </c>
      <c r="AB542" s="27">
        <v>0</v>
      </c>
      <c r="AC542" s="27">
        <v>0</v>
      </c>
      <c r="AD542" s="27">
        <v>0</v>
      </c>
      <c r="AE542" s="27">
        <v>1</v>
      </c>
      <c r="AF542" s="27">
        <v>0</v>
      </c>
      <c r="AG542" s="27">
        <v>0</v>
      </c>
      <c r="AH542" s="27">
        <v>0</v>
      </c>
      <c r="AI542" s="27">
        <v>0</v>
      </c>
      <c r="AJ542" s="27">
        <v>0</v>
      </c>
      <c r="AK542" s="27">
        <v>1</v>
      </c>
      <c r="AL542" s="27">
        <v>0</v>
      </c>
      <c r="AM542" s="27">
        <v>0</v>
      </c>
      <c r="AN542" s="27">
        <v>0</v>
      </c>
      <c r="AO542" s="27">
        <v>0</v>
      </c>
      <c r="AP542" s="27">
        <v>0</v>
      </c>
      <c r="AQ542" s="27">
        <v>0</v>
      </c>
      <c r="AR542" s="27">
        <v>0</v>
      </c>
      <c r="AS542" s="27">
        <v>0</v>
      </c>
      <c r="AT542" s="27">
        <v>1</v>
      </c>
      <c r="AU542" s="27">
        <v>0</v>
      </c>
      <c r="AV542" s="27">
        <v>0</v>
      </c>
      <c r="AW542" s="27">
        <v>0</v>
      </c>
      <c r="AX542" s="27">
        <v>0</v>
      </c>
      <c r="AZ542" s="27">
        <v>1</v>
      </c>
      <c r="BA542" s="27">
        <v>2</v>
      </c>
      <c r="BB542" s="27">
        <v>14.25</v>
      </c>
      <c r="BC542" s="27" t="s">
        <v>111</v>
      </c>
      <c r="BG542" s="27">
        <v>0</v>
      </c>
      <c r="BH542" s="27">
        <v>0</v>
      </c>
      <c r="BJ542" s="27">
        <v>0</v>
      </c>
    </row>
    <row r="543" customHeight="1" spans="1:64">
      <c r="A543" s="27" t="s">
        <v>1246</v>
      </c>
      <c r="B543" s="27" t="s">
        <v>125</v>
      </c>
      <c r="E543" s="27" t="s">
        <v>163</v>
      </c>
      <c r="F543" s="27" t="s">
        <v>68</v>
      </c>
      <c r="G543" s="27" t="s">
        <v>83</v>
      </c>
      <c r="H543" s="27" t="s">
        <v>138</v>
      </c>
      <c r="I543" s="27" t="s">
        <v>85</v>
      </c>
      <c r="J543" s="27">
        <v>5</v>
      </c>
      <c r="K543" s="27">
        <v>18.98</v>
      </c>
      <c r="M543" s="27">
        <v>0</v>
      </c>
      <c r="N543" s="27">
        <v>0</v>
      </c>
      <c r="O543" s="27">
        <v>0</v>
      </c>
      <c r="P543" s="27" t="s">
        <v>133</v>
      </c>
      <c r="Q543" s="27">
        <v>2.994732</v>
      </c>
      <c r="S543" s="27">
        <v>26</v>
      </c>
      <c r="T543" s="27">
        <v>10</v>
      </c>
      <c r="U543" s="27">
        <v>0.7222</v>
      </c>
      <c r="V543" s="27" t="s">
        <v>72</v>
      </c>
      <c r="W543" s="27">
        <v>493.48</v>
      </c>
      <c r="X543" s="27">
        <v>3.295837</v>
      </c>
      <c r="Y543" s="27">
        <v>6.203507</v>
      </c>
      <c r="Z543" s="27">
        <v>3.1623</v>
      </c>
      <c r="AA543" s="27" t="s">
        <v>125</v>
      </c>
      <c r="AB543" s="27">
        <v>0</v>
      </c>
      <c r="AC543" s="27">
        <v>0</v>
      </c>
      <c r="AD543" s="27">
        <v>0</v>
      </c>
      <c r="AE543" s="27">
        <v>0</v>
      </c>
      <c r="AF543" s="27">
        <v>0</v>
      </c>
      <c r="AG543" s="27">
        <v>0</v>
      </c>
      <c r="AH543" s="27">
        <v>1</v>
      </c>
      <c r="AI543" s="27">
        <v>0</v>
      </c>
      <c r="AJ543" s="27">
        <v>0</v>
      </c>
      <c r="AK543" s="27">
        <v>0</v>
      </c>
      <c r="AL543" s="27">
        <v>0</v>
      </c>
      <c r="AM543" s="27">
        <v>0</v>
      </c>
      <c r="AN543" s="27">
        <v>0</v>
      </c>
      <c r="AO543" s="27">
        <v>0</v>
      </c>
      <c r="AP543" s="27">
        <v>0</v>
      </c>
      <c r="AQ543" s="27">
        <v>0</v>
      </c>
      <c r="AR543" s="27">
        <v>0</v>
      </c>
      <c r="AS543" s="27">
        <v>0</v>
      </c>
      <c r="AT543" s="27">
        <v>1</v>
      </c>
      <c r="AU543" s="27">
        <v>1</v>
      </c>
      <c r="AV543" s="27">
        <v>0</v>
      </c>
      <c r="AW543" s="27">
        <v>0</v>
      </c>
      <c r="AX543" s="27">
        <v>0</v>
      </c>
      <c r="AZ543" s="27">
        <v>1</v>
      </c>
      <c r="BA543" s="27">
        <v>1</v>
      </c>
      <c r="BB543" s="27">
        <v>28.89</v>
      </c>
      <c r="BC543" s="27" t="s">
        <v>1736</v>
      </c>
      <c r="BG543" s="27">
        <v>0</v>
      </c>
      <c r="BH543" s="27">
        <v>0</v>
      </c>
      <c r="BJ543" s="27">
        <v>0</v>
      </c>
    </row>
    <row r="544" customHeight="1" spans="1:64">
      <c r="A544" s="27" t="s">
        <v>1737</v>
      </c>
      <c r="B544" s="27" t="s">
        <v>739</v>
      </c>
      <c r="E544" s="27" t="s">
        <v>81</v>
      </c>
      <c r="F544" s="27" t="s">
        <v>82</v>
      </c>
      <c r="G544" s="27" t="s">
        <v>83</v>
      </c>
      <c r="H544" s="27" t="s">
        <v>84</v>
      </c>
      <c r="I544" s="27" t="s">
        <v>85</v>
      </c>
      <c r="J544" s="27">
        <v>5</v>
      </c>
      <c r="K544" s="27">
        <v>189.89</v>
      </c>
      <c r="M544" s="27">
        <v>0</v>
      </c>
      <c r="N544" s="27">
        <v>0</v>
      </c>
      <c r="O544" s="27">
        <v>0</v>
      </c>
      <c r="P544" s="27" t="s">
        <v>95</v>
      </c>
      <c r="Q544" s="27">
        <v>5.251697</v>
      </c>
      <c r="S544" s="27">
        <v>6</v>
      </c>
      <c r="T544" s="27">
        <v>1</v>
      </c>
      <c r="U544" s="27">
        <v>0.8571</v>
      </c>
      <c r="V544" s="27" t="s">
        <v>87</v>
      </c>
      <c r="W544" s="27">
        <v>1139.34</v>
      </c>
      <c r="X544" s="27">
        <v>1.94591</v>
      </c>
      <c r="Y544" s="27">
        <v>7.039082</v>
      </c>
      <c r="Z544" s="27">
        <v>1</v>
      </c>
      <c r="AA544" s="27" t="s">
        <v>187</v>
      </c>
      <c r="AB544" s="27">
        <v>0</v>
      </c>
      <c r="AC544" s="27">
        <v>0</v>
      </c>
      <c r="AD544" s="27">
        <v>0</v>
      </c>
      <c r="AE544" s="27">
        <v>1</v>
      </c>
      <c r="AF544" s="27">
        <v>0</v>
      </c>
      <c r="AG544" s="27">
        <v>0</v>
      </c>
      <c r="AH544" s="27">
        <v>1</v>
      </c>
      <c r="AI544" s="27">
        <v>0</v>
      </c>
      <c r="AJ544" s="27">
        <v>0</v>
      </c>
      <c r="AK544" s="27">
        <v>1</v>
      </c>
      <c r="AL544" s="27">
        <v>0</v>
      </c>
      <c r="AM544" s="27">
        <v>0</v>
      </c>
      <c r="AN544" s="27">
        <v>0</v>
      </c>
      <c r="AO544" s="27">
        <v>0</v>
      </c>
      <c r="AP544" s="27">
        <v>0</v>
      </c>
      <c r="AQ544" s="27">
        <v>0</v>
      </c>
      <c r="AR544" s="27">
        <v>0</v>
      </c>
      <c r="AS544" s="27">
        <v>0</v>
      </c>
      <c r="AT544" s="27">
        <v>1</v>
      </c>
      <c r="AU544" s="27">
        <v>0</v>
      </c>
      <c r="AV544" s="27">
        <v>0</v>
      </c>
      <c r="AW544" s="27">
        <v>1</v>
      </c>
      <c r="AX544" s="27">
        <v>0</v>
      </c>
      <c r="AZ544" s="27">
        <v>1</v>
      </c>
      <c r="BA544" s="27">
        <v>3</v>
      </c>
      <c r="BB544" s="27">
        <v>34.28</v>
      </c>
      <c r="BC544" s="27" t="s">
        <v>1738</v>
      </c>
      <c r="BD544" s="27" t="s">
        <v>1739</v>
      </c>
      <c r="BE544" s="27" t="s">
        <v>113</v>
      </c>
      <c r="BF544" s="27" t="s">
        <v>77</v>
      </c>
      <c r="BG544" s="27">
        <v>162</v>
      </c>
      <c r="BH544" s="27">
        <v>20</v>
      </c>
      <c r="BI544" s="27">
        <v>0.8901</v>
      </c>
      <c r="BJ544" s="27">
        <v>0</v>
      </c>
    </row>
    <row r="545" customHeight="1" spans="1:64">
      <c r="A545" s="27" t="s">
        <v>1740</v>
      </c>
      <c r="B545" s="27" t="s">
        <v>1741</v>
      </c>
      <c r="E545" s="27" t="s">
        <v>1742</v>
      </c>
      <c r="F545" s="27" t="s">
        <v>160</v>
      </c>
      <c r="G545" s="27" t="s">
        <v>83</v>
      </c>
      <c r="H545" s="27" t="s">
        <v>84</v>
      </c>
      <c r="I545" s="27" t="s">
        <v>85</v>
      </c>
      <c r="J545" s="27">
        <v>5</v>
      </c>
      <c r="K545" s="27">
        <v>145</v>
      </c>
      <c r="M545" s="27">
        <v>0</v>
      </c>
      <c r="N545" s="27">
        <v>0</v>
      </c>
      <c r="O545" s="27">
        <v>0</v>
      </c>
      <c r="P545" s="27" t="s">
        <v>95</v>
      </c>
      <c r="Q545" s="27">
        <v>4.983607</v>
      </c>
      <c r="S545" s="27">
        <v>34</v>
      </c>
      <c r="T545" s="27">
        <v>10</v>
      </c>
      <c r="U545" s="27">
        <v>0.7727</v>
      </c>
      <c r="V545" s="27" t="s">
        <v>72</v>
      </c>
      <c r="W545" s="27">
        <v>4930</v>
      </c>
      <c r="X545" s="27">
        <v>3.555348</v>
      </c>
      <c r="Y545" s="27">
        <v>8.503297</v>
      </c>
      <c r="Z545" s="27">
        <v>3.1623</v>
      </c>
      <c r="AA545" s="27" t="s">
        <v>125</v>
      </c>
      <c r="AB545" s="27">
        <v>0</v>
      </c>
      <c r="AC545" s="27">
        <v>0</v>
      </c>
      <c r="AD545" s="27">
        <v>0</v>
      </c>
      <c r="AE545" s="27">
        <v>0</v>
      </c>
      <c r="AF545" s="27">
        <v>0</v>
      </c>
      <c r="AG545" s="27">
        <v>0</v>
      </c>
      <c r="AH545" s="27">
        <v>0</v>
      </c>
      <c r="AI545" s="27">
        <v>0</v>
      </c>
      <c r="AJ545" s="27">
        <v>0</v>
      </c>
      <c r="AK545" s="27">
        <v>0</v>
      </c>
      <c r="AL545" s="27">
        <v>0</v>
      </c>
      <c r="AM545" s="27">
        <v>0</v>
      </c>
      <c r="AN545" s="27">
        <v>0</v>
      </c>
      <c r="AO545" s="27">
        <v>0</v>
      </c>
      <c r="AP545" s="27">
        <v>0</v>
      </c>
      <c r="AQ545" s="27">
        <v>0</v>
      </c>
      <c r="AR545" s="27">
        <v>0</v>
      </c>
      <c r="AS545" s="27">
        <v>0</v>
      </c>
      <c r="AT545" s="27">
        <v>0</v>
      </c>
      <c r="AU545" s="27">
        <v>0</v>
      </c>
      <c r="AV545" s="27">
        <v>0</v>
      </c>
      <c r="AW545" s="27">
        <v>0</v>
      </c>
      <c r="AX545" s="27">
        <v>0</v>
      </c>
      <c r="AZ545" s="27">
        <v>1</v>
      </c>
      <c r="BA545" s="27">
        <v>0</v>
      </c>
      <c r="BB545" s="27">
        <v>57.94</v>
      </c>
      <c r="BC545" s="27" t="s">
        <v>1743</v>
      </c>
      <c r="BD545" s="27" t="s">
        <v>1744</v>
      </c>
      <c r="BE545" s="27" t="s">
        <v>781</v>
      </c>
      <c r="BF545" s="27" t="s">
        <v>77</v>
      </c>
      <c r="BG545" s="27">
        <v>168</v>
      </c>
      <c r="BH545" s="27">
        <v>11</v>
      </c>
      <c r="BI545" s="27">
        <v>0.9385</v>
      </c>
      <c r="BJ545" s="27">
        <v>0</v>
      </c>
      <c r="BK545" s="27">
        <v>36</v>
      </c>
      <c r="BL545" s="27">
        <v>90.1</v>
      </c>
    </row>
    <row r="546" customHeight="1" spans="1:64">
      <c r="A546" s="27" t="s">
        <v>200</v>
      </c>
      <c r="B546" s="27" t="s">
        <v>125</v>
      </c>
      <c r="E546" s="27" t="s">
        <v>81</v>
      </c>
      <c r="F546" s="27" t="s">
        <v>82</v>
      </c>
      <c r="G546" s="27" t="s">
        <v>83</v>
      </c>
      <c r="H546" s="27" t="s">
        <v>138</v>
      </c>
      <c r="I546" s="27" t="s">
        <v>85</v>
      </c>
      <c r="J546" s="27">
        <v>5</v>
      </c>
      <c r="K546" s="27">
        <v>69.99</v>
      </c>
      <c r="M546" s="27">
        <v>0</v>
      </c>
      <c r="N546" s="27">
        <v>0</v>
      </c>
      <c r="O546" s="27">
        <v>0</v>
      </c>
      <c r="P546" s="27" t="s">
        <v>86</v>
      </c>
      <c r="Q546" s="27">
        <v>4.262539</v>
      </c>
      <c r="S546" s="27">
        <v>3</v>
      </c>
      <c r="T546" s="27">
        <v>5</v>
      </c>
      <c r="U546" s="27">
        <v>0.375</v>
      </c>
      <c r="V546" s="27" t="s">
        <v>87</v>
      </c>
      <c r="W546" s="27">
        <v>209.97</v>
      </c>
      <c r="X546" s="27">
        <v>1.386294</v>
      </c>
      <c r="Y546" s="27">
        <v>5.351716</v>
      </c>
      <c r="Z546" s="27">
        <v>2.2361</v>
      </c>
      <c r="AA546" s="27" t="s">
        <v>139</v>
      </c>
      <c r="AB546" s="27">
        <v>1</v>
      </c>
      <c r="AC546" s="27">
        <v>0</v>
      </c>
      <c r="AD546" s="27">
        <v>0</v>
      </c>
      <c r="AE546" s="27">
        <v>0</v>
      </c>
      <c r="AF546" s="27">
        <v>0</v>
      </c>
      <c r="AG546" s="27">
        <v>0</v>
      </c>
      <c r="AH546" s="27">
        <v>1</v>
      </c>
      <c r="AI546" s="27">
        <v>0</v>
      </c>
      <c r="AJ546" s="27">
        <v>1</v>
      </c>
      <c r="AK546" s="27">
        <v>0</v>
      </c>
      <c r="AL546" s="27">
        <v>0</v>
      </c>
      <c r="AM546" s="27">
        <v>0</v>
      </c>
      <c r="AN546" s="27">
        <v>0</v>
      </c>
      <c r="AO546" s="27">
        <v>0</v>
      </c>
      <c r="AP546" s="27">
        <v>0</v>
      </c>
      <c r="AQ546" s="27">
        <v>0</v>
      </c>
      <c r="AR546" s="27">
        <v>0</v>
      </c>
      <c r="AS546" s="27">
        <v>0</v>
      </c>
      <c r="AT546" s="27">
        <v>1</v>
      </c>
      <c r="AU546" s="27">
        <v>0</v>
      </c>
      <c r="AV546" s="27">
        <v>0</v>
      </c>
      <c r="AW546" s="27">
        <v>1</v>
      </c>
      <c r="AX546" s="27">
        <v>0</v>
      </c>
      <c r="AZ546" s="27">
        <v>1</v>
      </c>
      <c r="BA546" s="27">
        <v>2</v>
      </c>
      <c r="BB546" s="27">
        <v>44.85</v>
      </c>
      <c r="BC546" s="27" t="s">
        <v>1745</v>
      </c>
      <c r="BD546" s="27" t="s">
        <v>141</v>
      </c>
      <c r="BE546" s="27" t="s">
        <v>142</v>
      </c>
      <c r="BF546" s="27" t="s">
        <v>77</v>
      </c>
      <c r="BG546" s="27">
        <v>1</v>
      </c>
      <c r="BH546" s="27">
        <v>74</v>
      </c>
      <c r="BI546" s="27">
        <v>0.0133</v>
      </c>
      <c r="BJ546" s="27">
        <v>1</v>
      </c>
      <c r="BK546" s="27">
        <v>2</v>
      </c>
      <c r="BL546" s="27">
        <v>99.5</v>
      </c>
    </row>
    <row r="547" customHeight="1" spans="1:64">
      <c r="A547" s="27" t="s">
        <v>1746</v>
      </c>
      <c r="B547" s="27" t="s">
        <v>1082</v>
      </c>
      <c r="E547" s="27" t="s">
        <v>81</v>
      </c>
      <c r="F547" s="27" t="s">
        <v>240</v>
      </c>
      <c r="G547" s="27" t="s">
        <v>83</v>
      </c>
      <c r="H547" s="27" t="s">
        <v>84</v>
      </c>
      <c r="I547" s="27" t="s">
        <v>85</v>
      </c>
      <c r="J547" s="27">
        <v>5</v>
      </c>
      <c r="K547" s="27">
        <v>19.33</v>
      </c>
      <c r="L547" s="27">
        <v>23.86</v>
      </c>
      <c r="M547" s="27">
        <v>18.99</v>
      </c>
      <c r="N547" s="27">
        <v>4.53</v>
      </c>
      <c r="O547" s="27">
        <v>1</v>
      </c>
      <c r="P547" s="27" t="s">
        <v>133</v>
      </c>
      <c r="Q547" s="27">
        <v>3.012098</v>
      </c>
      <c r="S547" s="27">
        <v>1024</v>
      </c>
      <c r="T547" s="27">
        <v>10</v>
      </c>
      <c r="U547" s="27">
        <v>0.9903</v>
      </c>
      <c r="V547" s="27" t="s">
        <v>154</v>
      </c>
      <c r="W547" s="27">
        <v>19793.92</v>
      </c>
      <c r="X547" s="27">
        <v>6.932448</v>
      </c>
      <c r="Y547" s="27">
        <v>9.893181</v>
      </c>
      <c r="Z547" s="27">
        <v>3.1623</v>
      </c>
      <c r="AA547" s="27" t="s">
        <v>139</v>
      </c>
      <c r="AB547" s="27">
        <v>0</v>
      </c>
      <c r="AC547" s="27">
        <v>0</v>
      </c>
      <c r="AD547" s="27">
        <v>0</v>
      </c>
      <c r="AE547" s="27">
        <v>0</v>
      </c>
      <c r="AF547" s="27">
        <v>1</v>
      </c>
      <c r="AG547" s="27">
        <v>0</v>
      </c>
      <c r="AH547" s="27">
        <v>1</v>
      </c>
      <c r="AI547" s="27">
        <v>0</v>
      </c>
      <c r="AJ547" s="27">
        <v>0</v>
      </c>
      <c r="AK547" s="27">
        <v>0</v>
      </c>
      <c r="AL547" s="27">
        <v>0</v>
      </c>
      <c r="AM547" s="27">
        <v>0</v>
      </c>
      <c r="AN547" s="27">
        <v>0</v>
      </c>
      <c r="AO547" s="27">
        <v>0</v>
      </c>
      <c r="AP547" s="27">
        <v>0</v>
      </c>
      <c r="AQ547" s="27">
        <v>0</v>
      </c>
      <c r="AR547" s="27">
        <v>0</v>
      </c>
      <c r="AS547" s="27">
        <v>0</v>
      </c>
      <c r="AT547" s="27">
        <v>0</v>
      </c>
      <c r="AU547" s="27">
        <v>0</v>
      </c>
      <c r="AV547" s="27">
        <v>0</v>
      </c>
      <c r="AW547" s="27">
        <v>0</v>
      </c>
      <c r="AX547" s="27">
        <v>0</v>
      </c>
      <c r="AZ547" s="27">
        <v>1</v>
      </c>
      <c r="BA547" s="27">
        <v>1</v>
      </c>
      <c r="BB547" s="27">
        <v>74.56</v>
      </c>
      <c r="BC547" s="27" t="s">
        <v>1084</v>
      </c>
      <c r="BD547" s="27" t="s">
        <v>1085</v>
      </c>
      <c r="BE547" s="27" t="s">
        <v>128</v>
      </c>
      <c r="BF547" s="27" t="s">
        <v>77</v>
      </c>
      <c r="BG547" s="27">
        <v>1</v>
      </c>
      <c r="BH547" s="27">
        <v>48</v>
      </c>
      <c r="BI547" s="27">
        <v>0.0204</v>
      </c>
      <c r="BJ547" s="27">
        <v>1</v>
      </c>
      <c r="BK547" s="27">
        <v>9</v>
      </c>
      <c r="BL547" s="27">
        <v>97.5</v>
      </c>
    </row>
    <row r="548" customHeight="1" spans="1:64">
      <c r="A548" s="27" t="s">
        <v>1747</v>
      </c>
      <c r="B548" s="27" t="s">
        <v>542</v>
      </c>
      <c r="E548" s="27" t="s">
        <v>209</v>
      </c>
      <c r="F548" s="27" t="s">
        <v>198</v>
      </c>
      <c r="G548" s="27" t="s">
        <v>83</v>
      </c>
      <c r="H548" s="27" t="s">
        <v>84</v>
      </c>
      <c r="I548" s="27" t="s">
        <v>85</v>
      </c>
      <c r="J548" s="27">
        <v>5</v>
      </c>
      <c r="K548" s="27">
        <v>139</v>
      </c>
      <c r="M548" s="27">
        <v>0</v>
      </c>
      <c r="N548" s="27">
        <v>0</v>
      </c>
      <c r="O548" s="27">
        <v>0</v>
      </c>
      <c r="P548" s="27" t="s">
        <v>95</v>
      </c>
      <c r="Q548" s="27">
        <v>4.941642</v>
      </c>
      <c r="V548" s="27" t="s">
        <v>231</v>
      </c>
      <c r="W548" s="27">
        <v>0</v>
      </c>
      <c r="X548" s="27">
        <v>0</v>
      </c>
      <c r="Y548" s="27">
        <v>0</v>
      </c>
      <c r="Z548" s="27">
        <v>0</v>
      </c>
      <c r="AA548" s="27" t="s">
        <v>125</v>
      </c>
      <c r="AB548" s="27">
        <v>0</v>
      </c>
      <c r="AC548" s="27">
        <v>0</v>
      </c>
      <c r="AD548" s="27">
        <v>0</v>
      </c>
      <c r="AE548" s="27">
        <v>0</v>
      </c>
      <c r="AF548" s="27">
        <v>0</v>
      </c>
      <c r="AG548" s="27">
        <v>0</v>
      </c>
      <c r="AH548" s="27">
        <v>1</v>
      </c>
      <c r="AI548" s="27">
        <v>0</v>
      </c>
      <c r="AJ548" s="27">
        <v>0</v>
      </c>
      <c r="AK548" s="27">
        <v>0</v>
      </c>
      <c r="AL548" s="27">
        <v>0</v>
      </c>
      <c r="AM548" s="27">
        <v>0</v>
      </c>
      <c r="AN548" s="27">
        <v>0</v>
      </c>
      <c r="AO548" s="27">
        <v>0</v>
      </c>
      <c r="AP548" s="27">
        <v>0</v>
      </c>
      <c r="AQ548" s="27">
        <v>0</v>
      </c>
      <c r="AR548" s="27">
        <v>0</v>
      </c>
      <c r="AS548" s="27">
        <v>0</v>
      </c>
      <c r="AT548" s="27">
        <v>1</v>
      </c>
      <c r="AU548" s="27">
        <v>0</v>
      </c>
      <c r="AV548" s="27">
        <v>0</v>
      </c>
      <c r="AW548" s="27">
        <v>1</v>
      </c>
      <c r="AX548" s="27">
        <v>0</v>
      </c>
      <c r="AZ548" s="27">
        <v>1</v>
      </c>
      <c r="BA548" s="27">
        <v>1</v>
      </c>
      <c r="BB548" s="27">
        <v>0</v>
      </c>
      <c r="BC548" s="27" t="s">
        <v>1748</v>
      </c>
      <c r="BD548" s="27" t="s">
        <v>1749</v>
      </c>
      <c r="BE548" s="27" t="s">
        <v>136</v>
      </c>
      <c r="BF548" s="27" t="s">
        <v>77</v>
      </c>
      <c r="BG548" s="27">
        <v>170</v>
      </c>
      <c r="BH548" s="27">
        <v>11</v>
      </c>
      <c r="BI548" s="27">
        <v>0.9392</v>
      </c>
      <c r="BJ548" s="27">
        <v>0</v>
      </c>
    </row>
    <row r="549" customHeight="1" spans="1:64">
      <c r="A549" s="27" t="s">
        <v>1750</v>
      </c>
      <c r="B549" s="27" t="s">
        <v>553</v>
      </c>
      <c r="C549" s="27" t="s">
        <v>1751</v>
      </c>
      <c r="E549" s="27" t="s">
        <v>255</v>
      </c>
      <c r="F549" s="27" t="s">
        <v>82</v>
      </c>
      <c r="G549" s="27" t="s">
        <v>553</v>
      </c>
      <c r="H549" s="27" t="s">
        <v>69</v>
      </c>
      <c r="I549" s="27" t="s">
        <v>85</v>
      </c>
      <c r="J549" s="27">
        <v>5</v>
      </c>
      <c r="K549" s="27">
        <v>159.99</v>
      </c>
      <c r="M549" s="27">
        <v>0</v>
      </c>
      <c r="N549" s="27">
        <v>0</v>
      </c>
      <c r="O549" s="27">
        <v>0</v>
      </c>
      <c r="P549" s="27" t="s">
        <v>95</v>
      </c>
      <c r="Q549" s="27">
        <v>5.081342</v>
      </c>
      <c r="S549" s="27">
        <v>9</v>
      </c>
      <c r="U549" s="27">
        <v>1</v>
      </c>
      <c r="V549" s="27" t="s">
        <v>87</v>
      </c>
      <c r="W549" s="27">
        <v>1439.91</v>
      </c>
      <c r="X549" s="27">
        <v>2.302585</v>
      </c>
      <c r="Y549" s="27">
        <v>7.27303</v>
      </c>
      <c r="Z549" s="27">
        <v>0</v>
      </c>
      <c r="AA549" s="27" t="s">
        <v>125</v>
      </c>
      <c r="AB549" s="27">
        <v>0</v>
      </c>
      <c r="AC549" s="27">
        <v>0</v>
      </c>
      <c r="AD549" s="27">
        <v>0</v>
      </c>
      <c r="AE549" s="27">
        <v>0</v>
      </c>
      <c r="AF549" s="27">
        <v>0</v>
      </c>
      <c r="AG549" s="27">
        <v>0</v>
      </c>
      <c r="AH549" s="27">
        <v>0</v>
      </c>
      <c r="AI549" s="27">
        <v>0</v>
      </c>
      <c r="AJ549" s="27">
        <v>0</v>
      </c>
      <c r="AK549" s="27">
        <v>0</v>
      </c>
      <c r="AL549" s="27">
        <v>0</v>
      </c>
      <c r="AM549" s="27">
        <v>0</v>
      </c>
      <c r="AN549" s="27">
        <v>0</v>
      </c>
      <c r="AO549" s="27">
        <v>0</v>
      </c>
      <c r="AP549" s="27">
        <v>0</v>
      </c>
      <c r="AQ549" s="27">
        <v>0</v>
      </c>
      <c r="AR549" s="27">
        <v>0</v>
      </c>
      <c r="AS549" s="27">
        <v>0</v>
      </c>
      <c r="AT549" s="27">
        <v>1</v>
      </c>
      <c r="AU549" s="27">
        <v>0</v>
      </c>
      <c r="AV549" s="27">
        <v>0</v>
      </c>
      <c r="AW549" s="27">
        <v>0</v>
      </c>
      <c r="AX549" s="27">
        <v>0</v>
      </c>
      <c r="AZ549" s="27">
        <v>1</v>
      </c>
      <c r="BA549" s="27">
        <v>0</v>
      </c>
      <c r="BB549" s="27">
        <v>68.02</v>
      </c>
      <c r="BC549" s="27" t="s">
        <v>1752</v>
      </c>
      <c r="BD549" s="27" t="s">
        <v>684</v>
      </c>
      <c r="BE549" s="27" t="s">
        <v>113</v>
      </c>
      <c r="BF549" s="27" t="s">
        <v>77</v>
      </c>
      <c r="BG549" s="27">
        <v>168</v>
      </c>
      <c r="BH549" s="27">
        <v>11</v>
      </c>
      <c r="BI549" s="27">
        <v>0.9385</v>
      </c>
      <c r="BJ549" s="27">
        <v>0</v>
      </c>
      <c r="BK549" s="27">
        <v>24</v>
      </c>
      <c r="BL549" s="27">
        <v>93.4</v>
      </c>
    </row>
    <row r="550" customHeight="1" spans="1:64">
      <c r="A550" s="27" t="s">
        <v>1753</v>
      </c>
      <c r="B550" s="27" t="s">
        <v>1268</v>
      </c>
      <c r="E550" s="27" t="s">
        <v>1754</v>
      </c>
      <c r="F550" s="27" t="s">
        <v>240</v>
      </c>
      <c r="G550" s="27" t="s">
        <v>83</v>
      </c>
      <c r="H550" s="27" t="s">
        <v>84</v>
      </c>
      <c r="I550" s="27" t="s">
        <v>153</v>
      </c>
      <c r="J550" s="27">
        <v>2</v>
      </c>
      <c r="K550" s="27">
        <v>236.49</v>
      </c>
      <c r="M550" s="27">
        <v>0</v>
      </c>
      <c r="N550" s="27">
        <v>0</v>
      </c>
      <c r="O550" s="27">
        <v>0</v>
      </c>
      <c r="P550" s="27" t="s">
        <v>71</v>
      </c>
      <c r="Q550" s="27">
        <v>5.470126</v>
      </c>
      <c r="V550" s="27" t="s">
        <v>231</v>
      </c>
      <c r="W550" s="27">
        <v>0</v>
      </c>
      <c r="X550" s="27">
        <v>0</v>
      </c>
      <c r="Y550" s="27">
        <v>0</v>
      </c>
      <c r="Z550" s="27">
        <v>0</v>
      </c>
      <c r="AA550" s="27" t="s">
        <v>125</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v>0</v>
      </c>
      <c r="AS550" s="27">
        <v>0</v>
      </c>
      <c r="AT550" s="27">
        <v>0</v>
      </c>
      <c r="AU550" s="27">
        <v>0</v>
      </c>
      <c r="AV550" s="27">
        <v>1</v>
      </c>
      <c r="AW550" s="27">
        <v>0</v>
      </c>
      <c r="AX550" s="27">
        <v>0</v>
      </c>
      <c r="AZ550" s="27">
        <v>1</v>
      </c>
      <c r="BA550" s="27">
        <v>0</v>
      </c>
      <c r="BB550" s="27">
        <v>23.34</v>
      </c>
      <c r="BC550" s="27" t="s">
        <v>1755</v>
      </c>
      <c r="BD550" s="27" t="s">
        <v>1756</v>
      </c>
      <c r="BE550" s="27" t="s">
        <v>407</v>
      </c>
      <c r="BF550" s="27" t="s">
        <v>77</v>
      </c>
      <c r="BG550" s="27">
        <v>162</v>
      </c>
      <c r="BH550" s="27">
        <v>19</v>
      </c>
      <c r="BI550" s="27">
        <v>0.895</v>
      </c>
      <c r="BJ550" s="27">
        <v>0</v>
      </c>
      <c r="BK550" s="27">
        <v>81</v>
      </c>
      <c r="BL550" s="27">
        <v>77.8</v>
      </c>
    </row>
    <row r="551" customHeight="1" spans="1:64">
      <c r="A551" s="27" t="s">
        <v>1757</v>
      </c>
      <c r="B551" s="27" t="s">
        <v>104</v>
      </c>
      <c r="C551" s="27" t="s">
        <v>945</v>
      </c>
      <c r="D551" s="27">
        <v>194644239718</v>
      </c>
      <c r="E551" s="27" t="s">
        <v>81</v>
      </c>
      <c r="F551" s="27" t="s">
        <v>82</v>
      </c>
      <c r="G551" s="27" t="s">
        <v>106</v>
      </c>
      <c r="H551" s="27" t="s">
        <v>107</v>
      </c>
      <c r="I551" s="27" t="s">
        <v>85</v>
      </c>
      <c r="J551" s="27">
        <v>5</v>
      </c>
      <c r="K551" s="27">
        <v>228.99</v>
      </c>
      <c r="M551" s="27">
        <v>0</v>
      </c>
      <c r="N551" s="27">
        <v>0</v>
      </c>
      <c r="O551" s="27">
        <v>0</v>
      </c>
      <c r="P551" s="27" t="s">
        <v>71</v>
      </c>
      <c r="Q551" s="27">
        <v>5.438036</v>
      </c>
      <c r="S551" s="27">
        <v>2</v>
      </c>
      <c r="T551" s="27">
        <v>6</v>
      </c>
      <c r="U551" s="27">
        <v>0.25</v>
      </c>
      <c r="V551" s="27" t="s">
        <v>87</v>
      </c>
      <c r="W551" s="27">
        <v>457.98</v>
      </c>
      <c r="X551" s="27">
        <v>1.098612</v>
      </c>
      <c r="Y551" s="27">
        <v>6.129007</v>
      </c>
      <c r="Z551" s="27">
        <v>2.4495</v>
      </c>
      <c r="AA551" s="27" t="s">
        <v>125</v>
      </c>
      <c r="AB551" s="27">
        <v>0</v>
      </c>
      <c r="AC551" s="27">
        <v>0</v>
      </c>
      <c r="AD551" s="27">
        <v>0</v>
      </c>
      <c r="AE551" s="27">
        <v>0</v>
      </c>
      <c r="AF551" s="27">
        <v>0</v>
      </c>
      <c r="AG551" s="27">
        <v>1</v>
      </c>
      <c r="AH551" s="27">
        <v>0</v>
      </c>
      <c r="AI551" s="27">
        <v>1</v>
      </c>
      <c r="AJ551" s="27">
        <v>0</v>
      </c>
      <c r="AK551" s="27">
        <v>1</v>
      </c>
      <c r="AL551" s="27">
        <v>0</v>
      </c>
      <c r="AM551" s="27">
        <v>0</v>
      </c>
      <c r="AN551" s="27">
        <v>0</v>
      </c>
      <c r="AO551" s="27">
        <v>0</v>
      </c>
      <c r="AP551" s="27">
        <v>0</v>
      </c>
      <c r="AQ551" s="27">
        <v>0</v>
      </c>
      <c r="AR551" s="27">
        <v>0</v>
      </c>
      <c r="AS551" s="27">
        <v>0</v>
      </c>
      <c r="AT551" s="27">
        <v>0</v>
      </c>
      <c r="AU551" s="27">
        <v>0</v>
      </c>
      <c r="AV551" s="27">
        <v>0</v>
      </c>
      <c r="AW551" s="27">
        <v>0</v>
      </c>
      <c r="AX551" s="27">
        <v>0</v>
      </c>
      <c r="AZ551" s="27">
        <v>1</v>
      </c>
      <c r="BA551" s="27">
        <v>1</v>
      </c>
      <c r="BB551" s="27">
        <v>39.67</v>
      </c>
      <c r="BC551" s="27" t="s">
        <v>1758</v>
      </c>
      <c r="BD551" s="27" t="s">
        <v>1759</v>
      </c>
      <c r="BE551" s="27" t="s">
        <v>150</v>
      </c>
      <c r="BF551" s="27" t="s">
        <v>77</v>
      </c>
      <c r="BG551" s="27">
        <v>2</v>
      </c>
      <c r="BH551" s="27">
        <v>16</v>
      </c>
      <c r="BI551" s="27">
        <v>0.1111</v>
      </c>
      <c r="BJ551" s="27">
        <v>0</v>
      </c>
      <c r="BK551" s="27">
        <v>4</v>
      </c>
      <c r="BL551" s="27">
        <v>98.9</v>
      </c>
    </row>
    <row r="552" customHeight="1" spans="1:64">
      <c r="A552" s="27" t="s">
        <v>120</v>
      </c>
      <c r="B552" s="27" t="s">
        <v>115</v>
      </c>
      <c r="C552" s="27" t="s">
        <v>121</v>
      </c>
      <c r="D552" s="27">
        <v>840414665354</v>
      </c>
      <c r="E552" s="27" t="s">
        <v>122</v>
      </c>
      <c r="F552" s="27" t="s">
        <v>82</v>
      </c>
      <c r="G552" s="27" t="s">
        <v>117</v>
      </c>
      <c r="H552" s="27" t="s">
        <v>107</v>
      </c>
      <c r="I552" s="27" t="s">
        <v>85</v>
      </c>
      <c r="J552" s="27">
        <v>5</v>
      </c>
      <c r="K552" s="27">
        <v>143.99</v>
      </c>
      <c r="M552" s="27">
        <v>0</v>
      </c>
      <c r="N552" s="27">
        <v>0</v>
      </c>
      <c r="O552" s="27">
        <v>0</v>
      </c>
      <c r="P552" s="27" t="s">
        <v>95</v>
      </c>
      <c r="Q552" s="27">
        <v>4.976665</v>
      </c>
      <c r="S552" s="27">
        <v>12</v>
      </c>
      <c r="T552" s="27">
        <v>10</v>
      </c>
      <c r="U552" s="27">
        <v>0.5455</v>
      </c>
      <c r="V552" s="27" t="s">
        <v>72</v>
      </c>
      <c r="W552" s="27">
        <v>1727.88</v>
      </c>
      <c r="X552" s="27">
        <v>2.564949</v>
      </c>
      <c r="Y552" s="27">
        <v>7.455229</v>
      </c>
      <c r="Z552" s="27">
        <v>3.1623</v>
      </c>
      <c r="AA552" s="27" t="s">
        <v>73</v>
      </c>
      <c r="AB552" s="27">
        <v>0</v>
      </c>
      <c r="AC552" s="27">
        <v>0</v>
      </c>
      <c r="AD552" s="27">
        <v>0</v>
      </c>
      <c r="AE552" s="27">
        <v>0</v>
      </c>
      <c r="AF552" s="27">
        <v>0</v>
      </c>
      <c r="AG552" s="27">
        <v>1</v>
      </c>
      <c r="AH552" s="27">
        <v>0</v>
      </c>
      <c r="AI552" s="27">
        <v>0</v>
      </c>
      <c r="AJ552" s="27">
        <v>0</v>
      </c>
      <c r="AK552" s="27">
        <v>0</v>
      </c>
      <c r="AL552" s="27">
        <v>0</v>
      </c>
      <c r="AM552" s="27">
        <v>0</v>
      </c>
      <c r="AN552" s="27">
        <v>0</v>
      </c>
      <c r="AO552" s="27">
        <v>0</v>
      </c>
      <c r="AP552" s="27">
        <v>0</v>
      </c>
      <c r="AQ552" s="27">
        <v>0</v>
      </c>
      <c r="AR552" s="27">
        <v>0</v>
      </c>
      <c r="AS552" s="27">
        <v>1</v>
      </c>
      <c r="AT552" s="27">
        <v>0</v>
      </c>
      <c r="AU552" s="27">
        <v>0</v>
      </c>
      <c r="AV552" s="27">
        <v>0</v>
      </c>
      <c r="AW552" s="27">
        <v>0</v>
      </c>
      <c r="AX552" s="27">
        <v>0</v>
      </c>
      <c r="AZ552" s="27">
        <v>1</v>
      </c>
      <c r="BA552" s="27">
        <v>0</v>
      </c>
      <c r="BB552" s="27">
        <v>21.82</v>
      </c>
      <c r="BC552" s="27" t="s">
        <v>1760</v>
      </c>
      <c r="BD552" s="27" t="s">
        <v>1761</v>
      </c>
      <c r="BE552" s="27" t="s">
        <v>91</v>
      </c>
      <c r="BF552" s="27" t="s">
        <v>77</v>
      </c>
      <c r="BG552" s="27">
        <v>162</v>
      </c>
      <c r="BH552" s="27">
        <v>29</v>
      </c>
      <c r="BI552" s="27">
        <v>0.8482</v>
      </c>
      <c r="BJ552" s="27">
        <v>0</v>
      </c>
    </row>
    <row r="553" customHeight="1" spans="1:64">
      <c r="A553" s="27" t="s">
        <v>1762</v>
      </c>
      <c r="B553" s="27" t="s">
        <v>1392</v>
      </c>
      <c r="E553" s="27" t="s">
        <v>122</v>
      </c>
      <c r="F553" s="27" t="s">
        <v>82</v>
      </c>
      <c r="G553" s="27" t="s">
        <v>83</v>
      </c>
      <c r="H553" s="27" t="s">
        <v>84</v>
      </c>
      <c r="I553" s="27" t="s">
        <v>85</v>
      </c>
      <c r="J553" s="27">
        <v>5</v>
      </c>
      <c r="K553" s="27">
        <v>13.7</v>
      </c>
      <c r="M553" s="27">
        <v>0</v>
      </c>
      <c r="N553" s="27">
        <v>0</v>
      </c>
      <c r="O553" s="27">
        <v>0</v>
      </c>
      <c r="P553" s="27" t="s">
        <v>133</v>
      </c>
      <c r="Q553" s="27">
        <v>2.687847</v>
      </c>
      <c r="S553" s="27">
        <v>84</v>
      </c>
      <c r="T553" s="27">
        <v>29</v>
      </c>
      <c r="U553" s="27">
        <v>0.7434</v>
      </c>
      <c r="V553" s="27" t="s">
        <v>72</v>
      </c>
      <c r="W553" s="27">
        <v>1150.8</v>
      </c>
      <c r="X553" s="27">
        <v>4.442651</v>
      </c>
      <c r="Y553" s="27">
        <v>7.049081</v>
      </c>
      <c r="Z553" s="27">
        <v>5.3852</v>
      </c>
      <c r="AA553" s="27" t="s">
        <v>139</v>
      </c>
      <c r="AB553" s="27">
        <v>1</v>
      </c>
      <c r="AC553" s="27">
        <v>0</v>
      </c>
      <c r="AD553" s="27">
        <v>0</v>
      </c>
      <c r="AE553" s="27">
        <v>0</v>
      </c>
      <c r="AF553" s="27">
        <v>0</v>
      </c>
      <c r="AG553" s="27">
        <v>0</v>
      </c>
      <c r="AH553" s="27">
        <v>1</v>
      </c>
      <c r="AI553" s="27">
        <v>0</v>
      </c>
      <c r="AJ553" s="27">
        <v>0</v>
      </c>
      <c r="AK553" s="27">
        <v>0</v>
      </c>
      <c r="AL553" s="27">
        <v>1</v>
      </c>
      <c r="AM553" s="27">
        <v>0</v>
      </c>
      <c r="AN553" s="27">
        <v>0</v>
      </c>
      <c r="AO553" s="27">
        <v>0</v>
      </c>
      <c r="AP553" s="27">
        <v>0</v>
      </c>
      <c r="AQ553" s="27">
        <v>0</v>
      </c>
      <c r="AR553" s="27">
        <v>0</v>
      </c>
      <c r="AS553" s="27">
        <v>1</v>
      </c>
      <c r="AT553" s="27">
        <v>0</v>
      </c>
      <c r="AU553" s="27">
        <v>0</v>
      </c>
      <c r="AV553" s="27">
        <v>0</v>
      </c>
      <c r="AW553" s="27">
        <v>0</v>
      </c>
      <c r="AX553" s="27">
        <v>0</v>
      </c>
      <c r="AZ553" s="27">
        <v>1</v>
      </c>
      <c r="BA553" s="27">
        <v>2</v>
      </c>
      <c r="BB553" s="27">
        <v>59.59</v>
      </c>
      <c r="BC553" s="27" t="s">
        <v>1763</v>
      </c>
      <c r="BD553" s="27" t="s">
        <v>368</v>
      </c>
      <c r="BE553" s="27" t="s">
        <v>76</v>
      </c>
      <c r="BF553" s="27" t="s">
        <v>77</v>
      </c>
      <c r="BG553" s="27">
        <v>162</v>
      </c>
      <c r="BH553" s="27">
        <v>60</v>
      </c>
      <c r="BI553" s="27">
        <v>0.7297</v>
      </c>
      <c r="BJ553" s="27">
        <v>0</v>
      </c>
      <c r="BK553" s="27">
        <v>2</v>
      </c>
      <c r="BL553" s="27">
        <v>99.5</v>
      </c>
    </row>
    <row r="554" customHeight="1" spans="1:64">
      <c r="A554" s="27" t="s">
        <v>1764</v>
      </c>
      <c r="B554" s="27" t="s">
        <v>1135</v>
      </c>
      <c r="C554" s="27" t="s">
        <v>1765</v>
      </c>
      <c r="E554" s="27" t="s">
        <v>255</v>
      </c>
      <c r="F554" s="27" t="s">
        <v>160</v>
      </c>
      <c r="G554" s="27" t="s">
        <v>83</v>
      </c>
      <c r="H554" s="27" t="s">
        <v>84</v>
      </c>
      <c r="I554" s="27" t="s">
        <v>85</v>
      </c>
      <c r="J554" s="27">
        <v>5</v>
      </c>
      <c r="K554" s="27">
        <v>229.99</v>
      </c>
      <c r="M554" s="27">
        <v>0</v>
      </c>
      <c r="N554" s="27">
        <v>0</v>
      </c>
      <c r="O554" s="27">
        <v>0</v>
      </c>
      <c r="P554" s="27" t="s">
        <v>71</v>
      </c>
      <c r="Q554" s="27">
        <v>5.442374</v>
      </c>
      <c r="S554" s="27">
        <v>14</v>
      </c>
      <c r="T554" s="27">
        <v>10</v>
      </c>
      <c r="U554" s="27">
        <v>0.5833</v>
      </c>
      <c r="V554" s="27" t="s">
        <v>72</v>
      </c>
      <c r="W554" s="27">
        <v>3219.86</v>
      </c>
      <c r="X554" s="27">
        <v>2.70805</v>
      </c>
      <c r="Y554" s="27">
        <v>8.077404</v>
      </c>
      <c r="Z554" s="27">
        <v>3.1623</v>
      </c>
      <c r="AA554" s="27" t="s">
        <v>125</v>
      </c>
      <c r="AB554" s="27">
        <v>0</v>
      </c>
      <c r="AC554" s="27">
        <v>0</v>
      </c>
      <c r="AD554" s="27">
        <v>0</v>
      </c>
      <c r="AE554" s="27">
        <v>1</v>
      </c>
      <c r="AF554" s="27">
        <v>1</v>
      </c>
      <c r="AG554" s="27">
        <v>0</v>
      </c>
      <c r="AH554" s="27">
        <v>1</v>
      </c>
      <c r="AI554" s="27">
        <v>0</v>
      </c>
      <c r="AJ554" s="27">
        <v>0</v>
      </c>
      <c r="AK554" s="27">
        <v>0</v>
      </c>
      <c r="AL554" s="27">
        <v>0</v>
      </c>
      <c r="AM554" s="27">
        <v>0</v>
      </c>
      <c r="AN554" s="27">
        <v>0</v>
      </c>
      <c r="AO554" s="27">
        <v>0</v>
      </c>
      <c r="AP554" s="27">
        <v>0</v>
      </c>
      <c r="AQ554" s="27">
        <v>0</v>
      </c>
      <c r="AR554" s="27">
        <v>0</v>
      </c>
      <c r="AS554" s="27">
        <v>0</v>
      </c>
      <c r="AT554" s="27">
        <v>1</v>
      </c>
      <c r="AU554" s="27">
        <v>0</v>
      </c>
      <c r="AV554" s="27">
        <v>0</v>
      </c>
      <c r="AW554" s="27">
        <v>1</v>
      </c>
      <c r="AX554" s="27">
        <v>0</v>
      </c>
      <c r="AZ554" s="27">
        <v>1</v>
      </c>
      <c r="BA554" s="27">
        <v>2</v>
      </c>
      <c r="BB554" s="27">
        <v>52.76</v>
      </c>
      <c r="BC554" s="27" t="s">
        <v>1766</v>
      </c>
      <c r="BD554" s="27" t="s">
        <v>225</v>
      </c>
      <c r="BE554" s="27" t="s">
        <v>226</v>
      </c>
      <c r="BF554" s="27" t="s">
        <v>77</v>
      </c>
      <c r="BG554" s="27">
        <v>1</v>
      </c>
      <c r="BH554" s="27">
        <v>138</v>
      </c>
      <c r="BI554" s="27">
        <v>0.0072</v>
      </c>
      <c r="BJ554" s="27">
        <v>1</v>
      </c>
      <c r="BK554" s="27">
        <v>7</v>
      </c>
      <c r="BL554" s="27">
        <v>98.1</v>
      </c>
    </row>
    <row r="555" customHeight="1" spans="1:64">
      <c r="A555" s="27" t="s">
        <v>1767</v>
      </c>
      <c r="B555" s="27" t="s">
        <v>1768</v>
      </c>
      <c r="E555" s="27" t="s">
        <v>239</v>
      </c>
      <c r="F555" s="27" t="s">
        <v>240</v>
      </c>
      <c r="G555" s="27" t="s">
        <v>83</v>
      </c>
      <c r="H555" s="27" t="s">
        <v>84</v>
      </c>
      <c r="I555" s="27" t="s">
        <v>153</v>
      </c>
      <c r="J555" s="27">
        <v>2</v>
      </c>
      <c r="K555" s="27">
        <v>89</v>
      </c>
      <c r="M555" s="27">
        <v>0</v>
      </c>
      <c r="N555" s="27">
        <v>0</v>
      </c>
      <c r="O555" s="27">
        <v>0</v>
      </c>
      <c r="P555" s="27" t="s">
        <v>95</v>
      </c>
      <c r="Q555" s="27">
        <v>4.49981</v>
      </c>
      <c r="V555" s="27" t="s">
        <v>231</v>
      </c>
      <c r="W555" s="27">
        <v>0</v>
      </c>
      <c r="X555" s="27">
        <v>0</v>
      </c>
      <c r="Y555" s="27">
        <v>0</v>
      </c>
      <c r="Z555" s="27">
        <v>0</v>
      </c>
      <c r="AA555" s="27" t="s">
        <v>110</v>
      </c>
      <c r="AB555" s="27">
        <v>0</v>
      </c>
      <c r="AC555" s="27">
        <v>0</v>
      </c>
      <c r="AD555" s="27">
        <v>0</v>
      </c>
      <c r="AE555" s="27">
        <v>0</v>
      </c>
      <c r="AF555" s="27">
        <v>0</v>
      </c>
      <c r="AG555" s="27">
        <v>0</v>
      </c>
      <c r="AH555" s="27">
        <v>0</v>
      </c>
      <c r="AI555" s="27">
        <v>0</v>
      </c>
      <c r="AJ555" s="27">
        <v>0</v>
      </c>
      <c r="AK555" s="27">
        <v>0</v>
      </c>
      <c r="AL555" s="27">
        <v>0</v>
      </c>
      <c r="AM555" s="27">
        <v>0</v>
      </c>
      <c r="AN555" s="27">
        <v>0</v>
      </c>
      <c r="AO555" s="27">
        <v>0</v>
      </c>
      <c r="AP555" s="27">
        <v>0</v>
      </c>
      <c r="AQ555" s="27">
        <v>1</v>
      </c>
      <c r="AR555" s="27">
        <v>0</v>
      </c>
      <c r="AS555" s="27">
        <v>0</v>
      </c>
      <c r="AT555" s="27">
        <v>0</v>
      </c>
      <c r="AU555" s="27">
        <v>0</v>
      </c>
      <c r="AV555" s="27">
        <v>1</v>
      </c>
      <c r="AW555" s="27">
        <v>0</v>
      </c>
      <c r="AX555" s="27">
        <v>0</v>
      </c>
      <c r="AZ555" s="27">
        <v>1</v>
      </c>
      <c r="BA555" s="27">
        <v>1</v>
      </c>
      <c r="BB555" s="27">
        <v>0</v>
      </c>
      <c r="BC555" s="27" t="s">
        <v>1583</v>
      </c>
      <c r="BD555" s="27" t="s">
        <v>1584</v>
      </c>
      <c r="BE555" s="27" t="s">
        <v>650</v>
      </c>
      <c r="BF555" s="27" t="s">
        <v>77</v>
      </c>
      <c r="BG555" s="27">
        <v>168</v>
      </c>
      <c r="BH555" s="27">
        <v>11</v>
      </c>
      <c r="BI555" s="27">
        <v>0.9385</v>
      </c>
      <c r="BJ555" s="27">
        <v>0</v>
      </c>
    </row>
    <row r="556" customHeight="1" spans="1:64">
      <c r="A556" s="27" t="s">
        <v>1769</v>
      </c>
      <c r="B556" s="27" t="s">
        <v>65</v>
      </c>
      <c r="C556" s="27" t="s">
        <v>1770</v>
      </c>
      <c r="E556" s="27" t="s">
        <v>67</v>
      </c>
      <c r="F556" s="27" t="s">
        <v>240</v>
      </c>
      <c r="G556" s="27" t="s">
        <v>65</v>
      </c>
      <c r="H556" s="27" t="s">
        <v>69</v>
      </c>
      <c r="I556" s="27" t="s">
        <v>153</v>
      </c>
      <c r="J556" s="27">
        <v>2</v>
      </c>
      <c r="K556" s="27">
        <v>69.87</v>
      </c>
      <c r="M556" s="27">
        <v>0</v>
      </c>
      <c r="N556" s="27">
        <v>0</v>
      </c>
      <c r="O556" s="27">
        <v>0</v>
      </c>
      <c r="P556" s="27" t="s">
        <v>86</v>
      </c>
      <c r="Q556" s="27">
        <v>4.260847</v>
      </c>
      <c r="R556" s="27">
        <v>17.47</v>
      </c>
      <c r="V556" s="27" t="s">
        <v>231</v>
      </c>
      <c r="W556" s="27">
        <v>0</v>
      </c>
      <c r="X556" s="27">
        <v>0</v>
      </c>
      <c r="Y556" s="27">
        <v>0</v>
      </c>
      <c r="Z556" s="27">
        <v>0</v>
      </c>
      <c r="AA556" s="27" t="s">
        <v>139</v>
      </c>
      <c r="AB556" s="27">
        <v>0</v>
      </c>
      <c r="AC556" s="27">
        <v>0</v>
      </c>
      <c r="AD556" s="27">
        <v>0</v>
      </c>
      <c r="AE556" s="27">
        <v>0</v>
      </c>
      <c r="AF556" s="27">
        <v>0</v>
      </c>
      <c r="AG556" s="27">
        <v>0</v>
      </c>
      <c r="AH556" s="27">
        <v>0</v>
      </c>
      <c r="AI556" s="27">
        <v>0</v>
      </c>
      <c r="AJ556" s="27">
        <v>0</v>
      </c>
      <c r="AK556" s="27">
        <v>0</v>
      </c>
      <c r="AL556" s="27">
        <v>0</v>
      </c>
      <c r="AM556" s="27">
        <v>0</v>
      </c>
      <c r="AN556" s="27">
        <v>0</v>
      </c>
      <c r="AO556" s="27">
        <v>0</v>
      </c>
      <c r="AP556" s="27">
        <v>0</v>
      </c>
      <c r="AQ556" s="27">
        <v>1</v>
      </c>
      <c r="AR556" s="27">
        <v>0</v>
      </c>
      <c r="AS556" s="27">
        <v>0</v>
      </c>
      <c r="AT556" s="27">
        <v>0</v>
      </c>
      <c r="AU556" s="27">
        <v>0</v>
      </c>
      <c r="AV556" s="27">
        <v>1</v>
      </c>
      <c r="AW556" s="27">
        <v>1</v>
      </c>
      <c r="AX556" s="27">
        <v>0</v>
      </c>
      <c r="AY556" s="27">
        <v>4</v>
      </c>
      <c r="AZ556" s="27">
        <v>1</v>
      </c>
      <c r="BA556" s="27">
        <v>1</v>
      </c>
      <c r="BB556" s="27">
        <v>29.85</v>
      </c>
      <c r="BC556" s="27" t="s">
        <v>1771</v>
      </c>
      <c r="BD556" s="27" t="s">
        <v>1237</v>
      </c>
      <c r="BE556" s="27" t="s">
        <v>1110</v>
      </c>
      <c r="BF556" s="27" t="s">
        <v>77</v>
      </c>
      <c r="BG556" s="27">
        <v>162</v>
      </c>
      <c r="BH556" s="27">
        <v>19</v>
      </c>
      <c r="BI556" s="27">
        <v>0.895</v>
      </c>
      <c r="BJ556" s="27">
        <v>0</v>
      </c>
      <c r="BK556" s="27">
        <v>2</v>
      </c>
      <c r="BL556" s="27">
        <v>99.5</v>
      </c>
    </row>
    <row r="557" customHeight="1" spans="1:64">
      <c r="A557" s="27" t="s">
        <v>1772</v>
      </c>
      <c r="B557" s="27" t="s">
        <v>282</v>
      </c>
      <c r="D557" s="27">
        <v>6971627218182</v>
      </c>
      <c r="E557" s="27" t="s">
        <v>250</v>
      </c>
      <c r="F557" s="27" t="s">
        <v>160</v>
      </c>
      <c r="G557" s="27" t="s">
        <v>83</v>
      </c>
      <c r="H557" s="27" t="s">
        <v>84</v>
      </c>
      <c r="I557" s="27" t="s">
        <v>85</v>
      </c>
      <c r="J557" s="27">
        <v>5</v>
      </c>
      <c r="K557" s="27">
        <v>209.99</v>
      </c>
      <c r="M557" s="27">
        <v>0</v>
      </c>
      <c r="N557" s="27">
        <v>0</v>
      </c>
      <c r="O557" s="27">
        <v>0</v>
      </c>
      <c r="P557" s="27" t="s">
        <v>71</v>
      </c>
      <c r="Q557" s="27">
        <v>5.351811</v>
      </c>
      <c r="R557" s="27">
        <v>26.25</v>
      </c>
      <c r="S557" s="27">
        <v>1319</v>
      </c>
      <c r="T557" s="27">
        <v>10</v>
      </c>
      <c r="U557" s="27">
        <v>0.9925</v>
      </c>
      <c r="V557" s="27" t="s">
        <v>109</v>
      </c>
      <c r="W557" s="27">
        <v>276976.81</v>
      </c>
      <c r="X557" s="27">
        <v>7.185387</v>
      </c>
      <c r="Y557" s="27">
        <v>12.531693</v>
      </c>
      <c r="Z557" s="27">
        <v>3.1623</v>
      </c>
      <c r="AA557" s="27" t="s">
        <v>313</v>
      </c>
      <c r="AB557" s="27">
        <v>0</v>
      </c>
      <c r="AC557" s="27">
        <v>0</v>
      </c>
      <c r="AD557" s="27">
        <v>0</v>
      </c>
      <c r="AE557" s="27">
        <v>0</v>
      </c>
      <c r="AF557" s="27">
        <v>0</v>
      </c>
      <c r="AG557" s="27">
        <v>0</v>
      </c>
      <c r="AH557" s="27">
        <v>0</v>
      </c>
      <c r="AI557" s="27">
        <v>0</v>
      </c>
      <c r="AJ557" s="27">
        <v>0</v>
      </c>
      <c r="AK557" s="27">
        <v>0</v>
      </c>
      <c r="AL557" s="27">
        <v>0</v>
      </c>
      <c r="AM557" s="27">
        <v>0</v>
      </c>
      <c r="AN557" s="27">
        <v>0</v>
      </c>
      <c r="AO557" s="27">
        <v>0</v>
      </c>
      <c r="AP557" s="27">
        <v>0</v>
      </c>
      <c r="AQ557" s="27">
        <v>1</v>
      </c>
      <c r="AR557" s="27">
        <v>0</v>
      </c>
      <c r="AS557" s="27">
        <v>0</v>
      </c>
      <c r="AT557" s="27">
        <v>1</v>
      </c>
      <c r="AU557" s="27">
        <v>0</v>
      </c>
      <c r="AV557" s="27">
        <v>1</v>
      </c>
      <c r="AW557" s="27">
        <v>1</v>
      </c>
      <c r="AX557" s="27">
        <v>0</v>
      </c>
      <c r="AY557" s="27">
        <v>8</v>
      </c>
      <c r="AZ557" s="27">
        <v>1</v>
      </c>
      <c r="BA557" s="27">
        <v>1</v>
      </c>
      <c r="BB557" s="27">
        <v>69.46</v>
      </c>
      <c r="BC557" s="27" t="s">
        <v>285</v>
      </c>
      <c r="BD557" s="27" t="s">
        <v>286</v>
      </c>
      <c r="BE557" s="27" t="s">
        <v>287</v>
      </c>
      <c r="BF557" s="27" t="s">
        <v>77</v>
      </c>
      <c r="BG557" s="27">
        <v>1</v>
      </c>
      <c r="BH557" s="27">
        <v>28</v>
      </c>
      <c r="BI557" s="27">
        <v>0.0345</v>
      </c>
      <c r="BJ557" s="27">
        <v>1</v>
      </c>
      <c r="BK557" s="27">
        <v>3</v>
      </c>
      <c r="BL557" s="27">
        <v>99.2</v>
      </c>
    </row>
    <row r="558" customHeight="1" spans="1:64">
      <c r="A558" s="27" t="s">
        <v>1773</v>
      </c>
      <c r="B558" s="27" t="s">
        <v>1774</v>
      </c>
      <c r="E558" s="27" t="s">
        <v>312</v>
      </c>
      <c r="F558" s="27" t="s">
        <v>240</v>
      </c>
      <c r="G558" s="27" t="s">
        <v>83</v>
      </c>
      <c r="H558" s="27" t="s">
        <v>84</v>
      </c>
      <c r="I558" s="27" t="s">
        <v>153</v>
      </c>
      <c r="J558" s="27">
        <v>2</v>
      </c>
      <c r="K558" s="27">
        <v>49.99</v>
      </c>
      <c r="M558" s="27">
        <v>0</v>
      </c>
      <c r="N558" s="27">
        <v>0</v>
      </c>
      <c r="O558" s="27">
        <v>0</v>
      </c>
      <c r="P558" s="27" t="s">
        <v>86</v>
      </c>
      <c r="Q558" s="27">
        <v>3.93163</v>
      </c>
      <c r="R558" s="27">
        <v>12.5</v>
      </c>
      <c r="V558" s="27" t="s">
        <v>231</v>
      </c>
      <c r="W558" s="27">
        <v>0</v>
      </c>
      <c r="X558" s="27">
        <v>0</v>
      </c>
      <c r="Y558" s="27">
        <v>0</v>
      </c>
      <c r="Z558" s="27">
        <v>0</v>
      </c>
      <c r="AA558" s="27" t="s">
        <v>125</v>
      </c>
      <c r="AB558" s="27">
        <v>0</v>
      </c>
      <c r="AC558" s="27">
        <v>0</v>
      </c>
      <c r="AD558" s="27">
        <v>0</v>
      </c>
      <c r="AE558" s="27">
        <v>0</v>
      </c>
      <c r="AF558" s="27">
        <v>0</v>
      </c>
      <c r="AG558" s="27">
        <v>0</v>
      </c>
      <c r="AH558" s="27">
        <v>0</v>
      </c>
      <c r="AI558" s="27">
        <v>0</v>
      </c>
      <c r="AJ558" s="27">
        <v>0</v>
      </c>
      <c r="AK558" s="27">
        <v>0</v>
      </c>
      <c r="AL558" s="27">
        <v>0</v>
      </c>
      <c r="AM558" s="27">
        <v>0</v>
      </c>
      <c r="AN558" s="27">
        <v>0</v>
      </c>
      <c r="AO558" s="27">
        <v>0</v>
      </c>
      <c r="AP558" s="27">
        <v>0</v>
      </c>
      <c r="AQ558" s="27">
        <v>1</v>
      </c>
      <c r="AR558" s="27">
        <v>0</v>
      </c>
      <c r="AS558" s="27">
        <v>0</v>
      </c>
      <c r="AT558" s="27">
        <v>0</v>
      </c>
      <c r="AU558" s="27">
        <v>0</v>
      </c>
      <c r="AV558" s="27">
        <v>1</v>
      </c>
      <c r="AW558" s="27">
        <v>1</v>
      </c>
      <c r="AX558" s="27">
        <v>0</v>
      </c>
      <c r="AY558" s="27">
        <v>4</v>
      </c>
      <c r="AZ558" s="27">
        <v>1</v>
      </c>
      <c r="BA558" s="27">
        <v>1</v>
      </c>
      <c r="BB558" s="27">
        <v>27.45</v>
      </c>
      <c r="BC558" s="27" t="s">
        <v>1775</v>
      </c>
      <c r="BD558" s="27" t="s">
        <v>1776</v>
      </c>
      <c r="BE558" s="27" t="s">
        <v>76</v>
      </c>
      <c r="BF558" s="27" t="s">
        <v>77</v>
      </c>
      <c r="BG558" s="27">
        <v>162</v>
      </c>
      <c r="BH558" s="27">
        <v>17</v>
      </c>
      <c r="BI558" s="27">
        <v>0.905</v>
      </c>
      <c r="BJ558" s="27">
        <v>0</v>
      </c>
      <c r="BK558" s="27">
        <v>31</v>
      </c>
      <c r="BL558" s="27">
        <v>91.5</v>
      </c>
    </row>
    <row r="559" customHeight="1" spans="1:64">
      <c r="A559" s="27" t="s">
        <v>1777</v>
      </c>
      <c r="B559" s="27" t="s">
        <v>739</v>
      </c>
      <c r="E559" s="27" t="s">
        <v>81</v>
      </c>
      <c r="F559" s="27" t="s">
        <v>82</v>
      </c>
      <c r="G559" s="27" t="s">
        <v>83</v>
      </c>
      <c r="H559" s="27" t="s">
        <v>84</v>
      </c>
      <c r="I559" s="27" t="s">
        <v>203</v>
      </c>
      <c r="J559" s="27">
        <v>4</v>
      </c>
      <c r="K559" s="27">
        <v>309.99</v>
      </c>
      <c r="M559" s="27">
        <v>0</v>
      </c>
      <c r="N559" s="27">
        <v>0</v>
      </c>
      <c r="O559" s="27">
        <v>0</v>
      </c>
      <c r="P559" s="27" t="s">
        <v>71</v>
      </c>
      <c r="Q559" s="27">
        <v>5.739761</v>
      </c>
      <c r="S559" s="27">
        <v>1</v>
      </c>
      <c r="T559" s="27">
        <v>2</v>
      </c>
      <c r="U559" s="27">
        <v>0.3333</v>
      </c>
      <c r="V559" s="27" t="s">
        <v>87</v>
      </c>
      <c r="W559" s="27">
        <v>309.99</v>
      </c>
      <c r="X559" s="27">
        <v>0.693147</v>
      </c>
      <c r="Y559" s="27">
        <v>5.739761</v>
      </c>
      <c r="Z559" s="27">
        <v>1.4142</v>
      </c>
      <c r="AA559" s="27" t="s">
        <v>313</v>
      </c>
      <c r="AB559" s="27">
        <v>0</v>
      </c>
      <c r="AC559" s="27">
        <v>0</v>
      </c>
      <c r="AD559" s="27">
        <v>0</v>
      </c>
      <c r="AE559" s="27">
        <v>1</v>
      </c>
      <c r="AF559" s="27">
        <v>0</v>
      </c>
      <c r="AG559" s="27">
        <v>0</v>
      </c>
      <c r="AH559" s="27">
        <v>1</v>
      </c>
      <c r="AI559" s="27">
        <v>0</v>
      </c>
      <c r="AJ559" s="27">
        <v>0</v>
      </c>
      <c r="AK559" s="27">
        <v>0</v>
      </c>
      <c r="AL559" s="27">
        <v>0</v>
      </c>
      <c r="AM559" s="27">
        <v>0</v>
      </c>
      <c r="AN559" s="27">
        <v>0</v>
      </c>
      <c r="AO559" s="27">
        <v>0</v>
      </c>
      <c r="AP559" s="27">
        <v>0</v>
      </c>
      <c r="AQ559" s="27">
        <v>0</v>
      </c>
      <c r="AR559" s="27">
        <v>0</v>
      </c>
      <c r="AS559" s="27">
        <v>0</v>
      </c>
      <c r="AT559" s="27">
        <v>1</v>
      </c>
      <c r="AU559" s="27">
        <v>0</v>
      </c>
      <c r="AV559" s="27">
        <v>0</v>
      </c>
      <c r="AW559" s="27">
        <v>1</v>
      </c>
      <c r="AX559" s="27">
        <v>0</v>
      </c>
      <c r="AZ559" s="27">
        <v>1</v>
      </c>
      <c r="BA559" s="27">
        <v>2</v>
      </c>
      <c r="BB559" s="27">
        <v>13.33</v>
      </c>
      <c r="BC559" s="27" t="s">
        <v>1738</v>
      </c>
      <c r="BD559" s="27" t="s">
        <v>1739</v>
      </c>
      <c r="BE559" s="27" t="s">
        <v>113</v>
      </c>
      <c r="BF559" s="27" t="s">
        <v>77</v>
      </c>
      <c r="BG559" s="27">
        <v>162</v>
      </c>
      <c r="BH559" s="27">
        <v>20</v>
      </c>
      <c r="BI559" s="27">
        <v>0.8901</v>
      </c>
      <c r="BJ559" s="27">
        <v>0</v>
      </c>
    </row>
    <row r="560" customHeight="1" spans="1:64">
      <c r="A560" s="27" t="s">
        <v>1778</v>
      </c>
      <c r="B560" s="27" t="s">
        <v>1779</v>
      </c>
      <c r="C560" s="27" t="s">
        <v>1780</v>
      </c>
      <c r="E560" s="27" t="s">
        <v>81</v>
      </c>
      <c r="F560" s="27" t="s">
        <v>82</v>
      </c>
      <c r="G560" s="27" t="s">
        <v>83</v>
      </c>
      <c r="H560" s="27" t="s">
        <v>84</v>
      </c>
      <c r="I560" s="27" t="s">
        <v>153</v>
      </c>
      <c r="J560" s="27">
        <v>2</v>
      </c>
      <c r="K560" s="27">
        <v>30</v>
      </c>
      <c r="M560" s="27">
        <v>0</v>
      </c>
      <c r="N560" s="27">
        <v>0</v>
      </c>
      <c r="O560" s="27">
        <v>0</v>
      </c>
      <c r="P560" s="27" t="s">
        <v>86</v>
      </c>
      <c r="Q560" s="27">
        <v>3.433987</v>
      </c>
      <c r="V560" s="27" t="s">
        <v>231</v>
      </c>
      <c r="W560" s="27">
        <v>0</v>
      </c>
      <c r="X560" s="27">
        <v>0</v>
      </c>
      <c r="Y560" s="27">
        <v>0</v>
      </c>
      <c r="Z560" s="27">
        <v>0</v>
      </c>
      <c r="AA560" s="27" t="s">
        <v>125</v>
      </c>
      <c r="AB560" s="27">
        <v>0</v>
      </c>
      <c r="AC560" s="27">
        <v>0</v>
      </c>
      <c r="AD560" s="27">
        <v>0</v>
      </c>
      <c r="AE560" s="27">
        <v>0</v>
      </c>
      <c r="AF560" s="27">
        <v>0</v>
      </c>
      <c r="AG560" s="27">
        <v>0</v>
      </c>
      <c r="AH560" s="27">
        <v>0</v>
      </c>
      <c r="AI560" s="27">
        <v>0</v>
      </c>
      <c r="AJ560" s="27">
        <v>0</v>
      </c>
      <c r="AK560" s="27">
        <v>0</v>
      </c>
      <c r="AL560" s="27">
        <v>0</v>
      </c>
      <c r="AM560" s="27">
        <v>0</v>
      </c>
      <c r="AN560" s="27">
        <v>0</v>
      </c>
      <c r="AO560" s="27">
        <v>0</v>
      </c>
      <c r="AP560" s="27">
        <v>0</v>
      </c>
      <c r="AQ560" s="27">
        <v>0</v>
      </c>
      <c r="AR560" s="27">
        <v>0</v>
      </c>
      <c r="AS560" s="27">
        <v>0</v>
      </c>
      <c r="AT560" s="27">
        <v>0</v>
      </c>
      <c r="AU560" s="27">
        <v>0</v>
      </c>
      <c r="AV560" s="27">
        <v>0</v>
      </c>
      <c r="AW560" s="27">
        <v>0</v>
      </c>
      <c r="AX560" s="27">
        <v>0</v>
      </c>
      <c r="AZ560" s="27">
        <v>1</v>
      </c>
      <c r="BA560" s="27">
        <v>0</v>
      </c>
      <c r="BB560" s="27">
        <v>0</v>
      </c>
      <c r="BC560" s="27" t="s">
        <v>1781</v>
      </c>
      <c r="BD560" s="27" t="s">
        <v>1782</v>
      </c>
      <c r="BE560" s="27" t="s">
        <v>113</v>
      </c>
      <c r="BF560" s="27" t="s">
        <v>77</v>
      </c>
      <c r="BG560" s="27">
        <v>161</v>
      </c>
      <c r="BH560" s="27">
        <v>11</v>
      </c>
      <c r="BI560" s="27">
        <v>0.936</v>
      </c>
      <c r="BJ560" s="27">
        <v>0</v>
      </c>
    </row>
    <row r="561" customHeight="1" spans="1:64">
      <c r="A561" s="27" t="s">
        <v>1783</v>
      </c>
      <c r="B561" s="27" t="s">
        <v>93</v>
      </c>
      <c r="E561" s="27" t="s">
        <v>559</v>
      </c>
      <c r="F561" s="27" t="s">
        <v>160</v>
      </c>
      <c r="G561" s="27" t="s">
        <v>93</v>
      </c>
      <c r="H561" s="27" t="s">
        <v>69</v>
      </c>
      <c r="I561" s="27" t="s">
        <v>85</v>
      </c>
      <c r="J561" s="27">
        <v>5</v>
      </c>
      <c r="K561" s="27">
        <v>134.99</v>
      </c>
      <c r="M561" s="27">
        <v>0</v>
      </c>
      <c r="N561" s="27">
        <v>0</v>
      </c>
      <c r="O561" s="27">
        <v>0</v>
      </c>
      <c r="P561" s="27" t="s">
        <v>95</v>
      </c>
      <c r="Q561" s="27">
        <v>4.912581</v>
      </c>
      <c r="S561" s="27">
        <v>38</v>
      </c>
      <c r="T561" s="27">
        <v>20</v>
      </c>
      <c r="U561" s="27">
        <v>0.6552</v>
      </c>
      <c r="V561" s="27" t="s">
        <v>72</v>
      </c>
      <c r="W561" s="27">
        <v>5129.62</v>
      </c>
      <c r="X561" s="27">
        <v>3.663562</v>
      </c>
      <c r="Y561" s="27">
        <v>8.542982</v>
      </c>
      <c r="Z561" s="27">
        <v>4.4721</v>
      </c>
      <c r="AA561" s="27" t="s">
        <v>125</v>
      </c>
      <c r="AB561" s="27">
        <v>0</v>
      </c>
      <c r="AC561" s="27">
        <v>0</v>
      </c>
      <c r="AD561" s="27">
        <v>0</v>
      </c>
      <c r="AE561" s="27">
        <v>0</v>
      </c>
      <c r="AF561" s="27">
        <v>0</v>
      </c>
      <c r="AG561" s="27">
        <v>0</v>
      </c>
      <c r="AH561" s="27">
        <v>1</v>
      </c>
      <c r="AI561" s="27">
        <v>0</v>
      </c>
      <c r="AJ561" s="27">
        <v>0</v>
      </c>
      <c r="AK561" s="27">
        <v>0</v>
      </c>
      <c r="AL561" s="27">
        <v>0</v>
      </c>
      <c r="AM561" s="27">
        <v>0</v>
      </c>
      <c r="AN561" s="27">
        <v>0</v>
      </c>
      <c r="AO561" s="27">
        <v>0</v>
      </c>
      <c r="AP561" s="27">
        <v>0</v>
      </c>
      <c r="AQ561" s="27">
        <v>1</v>
      </c>
      <c r="AR561" s="27">
        <v>0</v>
      </c>
      <c r="AS561" s="27">
        <v>0</v>
      </c>
      <c r="AT561" s="27">
        <v>0</v>
      </c>
      <c r="AU561" s="27">
        <v>0</v>
      </c>
      <c r="AV561" s="27">
        <v>0</v>
      </c>
      <c r="AW561" s="27">
        <v>0</v>
      </c>
      <c r="AX561" s="27">
        <v>0</v>
      </c>
      <c r="AZ561" s="27">
        <v>1</v>
      </c>
      <c r="BA561" s="27">
        <v>2</v>
      </c>
      <c r="BB561" s="27">
        <v>55.88</v>
      </c>
      <c r="BC561" s="27" t="s">
        <v>96</v>
      </c>
      <c r="BD561" s="27" t="s">
        <v>97</v>
      </c>
      <c r="BE561" s="27" t="s">
        <v>98</v>
      </c>
      <c r="BF561" s="27" t="s">
        <v>77</v>
      </c>
      <c r="BG561" s="27">
        <v>1</v>
      </c>
      <c r="BH561" s="27">
        <v>28</v>
      </c>
      <c r="BI561" s="27">
        <v>0.0345</v>
      </c>
      <c r="BJ561" s="27">
        <v>1</v>
      </c>
      <c r="BK561" s="27">
        <v>4</v>
      </c>
      <c r="BL561" s="27">
        <v>98.9</v>
      </c>
    </row>
    <row r="562" customHeight="1" spans="1:64">
      <c r="A562" s="27" t="s">
        <v>1784</v>
      </c>
      <c r="B562" s="27" t="s">
        <v>125</v>
      </c>
      <c r="E562" s="27" t="s">
        <v>163</v>
      </c>
      <c r="F562" s="27" t="s">
        <v>68</v>
      </c>
      <c r="G562" s="27" t="s">
        <v>83</v>
      </c>
      <c r="H562" s="27" t="s">
        <v>138</v>
      </c>
      <c r="I562" s="27" t="s">
        <v>203</v>
      </c>
      <c r="J562" s="27">
        <v>4</v>
      </c>
      <c r="K562" s="27">
        <v>45.99</v>
      </c>
      <c r="M562" s="27">
        <v>0</v>
      </c>
      <c r="N562" s="27">
        <v>0</v>
      </c>
      <c r="O562" s="27">
        <v>0</v>
      </c>
      <c r="P562" s="27" t="s">
        <v>86</v>
      </c>
      <c r="Q562" s="27">
        <v>3.849935</v>
      </c>
      <c r="S562" s="27">
        <v>17</v>
      </c>
      <c r="T562" s="27">
        <v>3</v>
      </c>
      <c r="U562" s="27">
        <v>0.85</v>
      </c>
      <c r="V562" s="27" t="s">
        <v>72</v>
      </c>
      <c r="W562" s="27">
        <v>781.83</v>
      </c>
      <c r="X562" s="27">
        <v>2.890372</v>
      </c>
      <c r="Y562" s="27">
        <v>6.662916</v>
      </c>
      <c r="Z562" s="27">
        <v>1.7321</v>
      </c>
      <c r="AA562" s="27" t="s">
        <v>187</v>
      </c>
      <c r="AB562" s="27">
        <v>0</v>
      </c>
      <c r="AC562" s="27">
        <v>0</v>
      </c>
      <c r="AD562" s="27">
        <v>1</v>
      </c>
      <c r="AE562" s="27">
        <v>1</v>
      </c>
      <c r="AF562" s="27">
        <v>0</v>
      </c>
      <c r="AG562" s="27">
        <v>0</v>
      </c>
      <c r="AH562" s="27">
        <v>0</v>
      </c>
      <c r="AI562" s="27">
        <v>0</v>
      </c>
      <c r="AJ562" s="27">
        <v>0</v>
      </c>
      <c r="AK562" s="27">
        <v>1</v>
      </c>
      <c r="AL562" s="27">
        <v>0</v>
      </c>
      <c r="AM562" s="27">
        <v>0</v>
      </c>
      <c r="AN562" s="27">
        <v>0</v>
      </c>
      <c r="AO562" s="27">
        <v>0</v>
      </c>
      <c r="AP562" s="27">
        <v>0</v>
      </c>
      <c r="AQ562" s="27">
        <v>0</v>
      </c>
      <c r="AR562" s="27">
        <v>0</v>
      </c>
      <c r="AS562" s="27">
        <v>0</v>
      </c>
      <c r="AT562" s="27">
        <v>1</v>
      </c>
      <c r="AU562" s="27">
        <v>0</v>
      </c>
      <c r="AV562" s="27">
        <v>0</v>
      </c>
      <c r="AW562" s="27">
        <v>0</v>
      </c>
      <c r="AX562" s="27">
        <v>0</v>
      </c>
      <c r="AZ562" s="27">
        <v>1</v>
      </c>
      <c r="BA562" s="27">
        <v>2</v>
      </c>
      <c r="BB562" s="27">
        <v>34</v>
      </c>
      <c r="BC562" s="27" t="s">
        <v>1785</v>
      </c>
      <c r="BG562" s="27">
        <v>0</v>
      </c>
      <c r="BH562" s="27">
        <v>0</v>
      </c>
      <c r="BJ562" s="27">
        <v>0</v>
      </c>
    </row>
    <row r="563" customHeight="1" spans="1:64">
      <c r="A563" s="27" t="s">
        <v>1786</v>
      </c>
      <c r="B563" s="27" t="s">
        <v>125</v>
      </c>
      <c r="E563" s="27" t="s">
        <v>255</v>
      </c>
      <c r="F563" s="27" t="s">
        <v>82</v>
      </c>
      <c r="G563" s="27" t="s">
        <v>83</v>
      </c>
      <c r="H563" s="27" t="s">
        <v>138</v>
      </c>
      <c r="I563" s="27" t="s">
        <v>85</v>
      </c>
      <c r="J563" s="27">
        <v>5</v>
      </c>
      <c r="K563" s="27">
        <v>18.95</v>
      </c>
      <c r="M563" s="27">
        <v>0</v>
      </c>
      <c r="N563" s="27">
        <v>0</v>
      </c>
      <c r="O563" s="27">
        <v>0</v>
      </c>
      <c r="P563" s="27" t="s">
        <v>133</v>
      </c>
      <c r="Q563" s="27">
        <v>2.993229</v>
      </c>
      <c r="S563" s="27">
        <v>225</v>
      </c>
      <c r="T563" s="27">
        <v>27</v>
      </c>
      <c r="U563" s="27">
        <v>0.8929</v>
      </c>
      <c r="V563" s="27" t="s">
        <v>154</v>
      </c>
      <c r="W563" s="27">
        <v>4263.75</v>
      </c>
      <c r="X563" s="27">
        <v>5.420535</v>
      </c>
      <c r="Y563" s="27">
        <v>8.358139</v>
      </c>
      <c r="Z563" s="27">
        <v>5.1962</v>
      </c>
      <c r="AA563" s="27" t="s">
        <v>187</v>
      </c>
      <c r="AB563" s="27">
        <v>1</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v>0</v>
      </c>
      <c r="AS563" s="27">
        <v>0</v>
      </c>
      <c r="AT563" s="27">
        <v>0</v>
      </c>
      <c r="AU563" s="27">
        <v>0</v>
      </c>
      <c r="AV563" s="27">
        <v>0</v>
      </c>
      <c r="AW563" s="27">
        <v>0</v>
      </c>
      <c r="AX563" s="27">
        <v>0</v>
      </c>
      <c r="AZ563" s="27">
        <v>1</v>
      </c>
      <c r="BA563" s="27">
        <v>1</v>
      </c>
      <c r="BB563" s="27">
        <v>63.92</v>
      </c>
      <c r="BC563" s="27" t="s">
        <v>409</v>
      </c>
      <c r="BD563" s="27" t="s">
        <v>410</v>
      </c>
      <c r="BE563" s="27" t="s">
        <v>407</v>
      </c>
      <c r="BF563" s="27" t="s">
        <v>77</v>
      </c>
      <c r="BG563" s="27">
        <v>162</v>
      </c>
      <c r="BH563" s="27">
        <v>19</v>
      </c>
      <c r="BI563" s="27">
        <v>0.895</v>
      </c>
      <c r="BJ563" s="27">
        <v>0</v>
      </c>
      <c r="BK563" s="27">
        <v>22</v>
      </c>
      <c r="BL563" s="27">
        <v>94</v>
      </c>
    </row>
    <row r="564" customHeight="1" spans="1:64">
      <c r="A564" s="27" t="s">
        <v>1787</v>
      </c>
      <c r="B564" s="27" t="s">
        <v>115</v>
      </c>
      <c r="E564" s="27" t="s">
        <v>1788</v>
      </c>
      <c r="F564" s="27" t="s">
        <v>82</v>
      </c>
      <c r="G564" s="27" t="s">
        <v>117</v>
      </c>
      <c r="H564" s="27" t="s">
        <v>107</v>
      </c>
      <c r="I564" s="27" t="s">
        <v>85</v>
      </c>
      <c r="J564" s="27">
        <v>5</v>
      </c>
      <c r="K564" s="27">
        <v>104.99</v>
      </c>
      <c r="M564" s="27">
        <v>0</v>
      </c>
      <c r="N564" s="27">
        <v>0</v>
      </c>
      <c r="O564" s="27">
        <v>0</v>
      </c>
      <c r="P564" s="27" t="s">
        <v>95</v>
      </c>
      <c r="Q564" s="27">
        <v>4.663345</v>
      </c>
      <c r="S564" s="27">
        <v>12</v>
      </c>
      <c r="T564" s="27">
        <v>4</v>
      </c>
      <c r="U564" s="27">
        <v>0.75</v>
      </c>
      <c r="V564" s="27" t="s">
        <v>72</v>
      </c>
      <c r="W564" s="27">
        <v>1259.88</v>
      </c>
      <c r="X564" s="27">
        <v>2.564949</v>
      </c>
      <c r="Y564" s="27">
        <v>7.139565</v>
      </c>
      <c r="Z564" s="27">
        <v>2</v>
      </c>
      <c r="AA564" s="27" t="s">
        <v>139</v>
      </c>
      <c r="AB564" s="27">
        <v>0</v>
      </c>
      <c r="AC564" s="27">
        <v>0</v>
      </c>
      <c r="AD564" s="27">
        <v>0</v>
      </c>
      <c r="AE564" s="27">
        <v>0</v>
      </c>
      <c r="AF564" s="27">
        <v>0</v>
      </c>
      <c r="AG564" s="27">
        <v>0</v>
      </c>
      <c r="AH564" s="27">
        <v>0</v>
      </c>
      <c r="AI564" s="27">
        <v>0</v>
      </c>
      <c r="AJ564" s="27">
        <v>0</v>
      </c>
      <c r="AK564" s="27">
        <v>0</v>
      </c>
      <c r="AL564" s="27">
        <v>0</v>
      </c>
      <c r="AM564" s="27">
        <v>0</v>
      </c>
      <c r="AN564" s="27">
        <v>0</v>
      </c>
      <c r="AO564" s="27">
        <v>0</v>
      </c>
      <c r="AP564" s="27">
        <v>1</v>
      </c>
      <c r="AQ564" s="27">
        <v>0</v>
      </c>
      <c r="AR564" s="27">
        <v>0</v>
      </c>
      <c r="AS564" s="27">
        <v>0</v>
      </c>
      <c r="AT564" s="27">
        <v>1</v>
      </c>
      <c r="AU564" s="27">
        <v>0</v>
      </c>
      <c r="AV564" s="27">
        <v>0</v>
      </c>
      <c r="AW564" s="27">
        <v>0</v>
      </c>
      <c r="AX564" s="27">
        <v>0</v>
      </c>
      <c r="AZ564" s="27">
        <v>1</v>
      </c>
      <c r="BA564" s="27">
        <v>0</v>
      </c>
      <c r="BB564" s="27">
        <v>59.25</v>
      </c>
      <c r="BC564" s="27" t="s">
        <v>1789</v>
      </c>
      <c r="BD564" s="27" t="s">
        <v>1790</v>
      </c>
      <c r="BE564" s="27" t="s">
        <v>1791</v>
      </c>
      <c r="BF564" s="27" t="s">
        <v>77</v>
      </c>
      <c r="BG564" s="27">
        <v>168</v>
      </c>
      <c r="BH564" s="27">
        <v>11</v>
      </c>
      <c r="BI564" s="27">
        <v>0.9385</v>
      </c>
      <c r="BJ564" s="27">
        <v>0</v>
      </c>
      <c r="BK564" s="27">
        <v>9</v>
      </c>
      <c r="BL564" s="27">
        <v>97.5</v>
      </c>
    </row>
    <row r="565" customHeight="1" spans="1:64">
      <c r="A565" s="27" t="s">
        <v>1792</v>
      </c>
      <c r="B565" s="27" t="s">
        <v>1793</v>
      </c>
      <c r="D565" s="27">
        <v>850812007298</v>
      </c>
      <c r="E565" s="27" t="s">
        <v>163</v>
      </c>
      <c r="F565" s="27" t="s">
        <v>82</v>
      </c>
      <c r="G565" s="27" t="s">
        <v>346</v>
      </c>
      <c r="H565" s="27" t="s">
        <v>84</v>
      </c>
      <c r="I565" s="27" t="s">
        <v>203</v>
      </c>
      <c r="J565" s="27">
        <v>4</v>
      </c>
      <c r="K565" s="27">
        <v>89.99</v>
      </c>
      <c r="M565" s="27">
        <v>0</v>
      </c>
      <c r="N565" s="27">
        <v>0</v>
      </c>
      <c r="O565" s="27">
        <v>0</v>
      </c>
      <c r="P565" s="27" t="s">
        <v>95</v>
      </c>
      <c r="Q565" s="27">
        <v>4.51075</v>
      </c>
      <c r="S565" s="27">
        <v>10</v>
      </c>
      <c r="T565" s="27">
        <v>9</v>
      </c>
      <c r="U565" s="27">
        <v>0.5263</v>
      </c>
      <c r="V565" s="27" t="s">
        <v>87</v>
      </c>
      <c r="W565" s="27">
        <v>899.9</v>
      </c>
      <c r="X565" s="27">
        <v>2.397895</v>
      </c>
      <c r="Y565" s="27">
        <v>6.803394</v>
      </c>
      <c r="Z565" s="27">
        <v>3</v>
      </c>
      <c r="AA565" s="27" t="s">
        <v>125</v>
      </c>
      <c r="AB565" s="27">
        <v>0</v>
      </c>
      <c r="AC565" s="27">
        <v>0</v>
      </c>
      <c r="AD565" s="27">
        <v>0</v>
      </c>
      <c r="AE565" s="27">
        <v>0</v>
      </c>
      <c r="AF565" s="27">
        <v>0</v>
      </c>
      <c r="AG565" s="27">
        <v>0</v>
      </c>
      <c r="AH565" s="27">
        <v>0</v>
      </c>
      <c r="AI565" s="27">
        <v>0</v>
      </c>
      <c r="AJ565" s="27">
        <v>0</v>
      </c>
      <c r="AK565" s="27">
        <v>0</v>
      </c>
      <c r="AL565" s="27">
        <v>0</v>
      </c>
      <c r="AM565" s="27">
        <v>0</v>
      </c>
      <c r="AN565" s="27">
        <v>0</v>
      </c>
      <c r="AO565" s="27">
        <v>0</v>
      </c>
      <c r="AP565" s="27">
        <v>0</v>
      </c>
      <c r="AQ565" s="27">
        <v>0</v>
      </c>
      <c r="AR565" s="27">
        <v>0</v>
      </c>
      <c r="AS565" s="27">
        <v>0</v>
      </c>
      <c r="AT565" s="27">
        <v>1</v>
      </c>
      <c r="AU565" s="27">
        <v>1</v>
      </c>
      <c r="AV565" s="27">
        <v>0</v>
      </c>
      <c r="AW565" s="27">
        <v>1</v>
      </c>
      <c r="AX565" s="27">
        <v>0</v>
      </c>
      <c r="AZ565" s="27">
        <v>1</v>
      </c>
      <c r="BA565" s="27">
        <v>0</v>
      </c>
      <c r="BB565" s="27">
        <v>50.72</v>
      </c>
      <c r="BC565" s="27" t="s">
        <v>1794</v>
      </c>
      <c r="BD565" s="27" t="s">
        <v>1795</v>
      </c>
      <c r="BE565" s="27" t="s">
        <v>243</v>
      </c>
      <c r="BF565" s="27" t="s">
        <v>77</v>
      </c>
      <c r="BG565" s="27">
        <v>162</v>
      </c>
      <c r="BH565" s="27">
        <v>17</v>
      </c>
      <c r="BI565" s="27">
        <v>0.905</v>
      </c>
      <c r="BJ565" s="27">
        <v>0</v>
      </c>
      <c r="BK565" s="27">
        <v>4</v>
      </c>
      <c r="BL565" s="27">
        <v>98.9</v>
      </c>
    </row>
    <row r="566" customHeight="1" spans="1:64">
      <c r="A566" s="27" t="s">
        <v>1796</v>
      </c>
      <c r="B566" s="27" t="s">
        <v>125</v>
      </c>
      <c r="E566" s="27" t="s">
        <v>163</v>
      </c>
      <c r="F566" s="27" t="s">
        <v>68</v>
      </c>
      <c r="G566" s="27" t="s">
        <v>83</v>
      </c>
      <c r="H566" s="27" t="s">
        <v>138</v>
      </c>
      <c r="I566" s="27" t="s">
        <v>85</v>
      </c>
      <c r="J566" s="27">
        <v>5</v>
      </c>
      <c r="K566" s="27">
        <v>18.89</v>
      </c>
      <c r="M566" s="27">
        <v>0</v>
      </c>
      <c r="N566" s="27">
        <v>0</v>
      </c>
      <c r="O566" s="27">
        <v>0</v>
      </c>
      <c r="P566" s="27" t="s">
        <v>133</v>
      </c>
      <c r="Q566" s="27">
        <v>2.990217</v>
      </c>
      <c r="S566" s="27">
        <v>13</v>
      </c>
      <c r="T566" s="27">
        <v>10</v>
      </c>
      <c r="U566" s="27">
        <v>0.5652</v>
      </c>
      <c r="V566" s="27" t="s">
        <v>72</v>
      </c>
      <c r="W566" s="27">
        <v>245.57</v>
      </c>
      <c r="X566" s="27">
        <v>2.639057</v>
      </c>
      <c r="Y566" s="27">
        <v>5.507646</v>
      </c>
      <c r="Z566" s="27">
        <v>3.1623</v>
      </c>
      <c r="AA566" s="27" t="s">
        <v>125</v>
      </c>
      <c r="AB566" s="27">
        <v>0</v>
      </c>
      <c r="AC566" s="27">
        <v>0</v>
      </c>
      <c r="AD566" s="27">
        <v>0</v>
      </c>
      <c r="AE566" s="27">
        <v>0</v>
      </c>
      <c r="AF566" s="27">
        <v>1</v>
      </c>
      <c r="AG566" s="27">
        <v>0</v>
      </c>
      <c r="AH566" s="27">
        <v>0</v>
      </c>
      <c r="AI566" s="27">
        <v>0</v>
      </c>
      <c r="AJ566" s="27">
        <v>0</v>
      </c>
      <c r="AK566" s="27">
        <v>0</v>
      </c>
      <c r="AL566" s="27">
        <v>0</v>
      </c>
      <c r="AM566" s="27">
        <v>0</v>
      </c>
      <c r="AN566" s="27">
        <v>0</v>
      </c>
      <c r="AO566" s="27">
        <v>0</v>
      </c>
      <c r="AP566" s="27">
        <v>0</v>
      </c>
      <c r="AQ566" s="27">
        <v>0</v>
      </c>
      <c r="AR566" s="27">
        <v>0</v>
      </c>
      <c r="AS566" s="27">
        <v>0</v>
      </c>
      <c r="AT566" s="27">
        <v>0</v>
      </c>
      <c r="AU566" s="27">
        <v>0</v>
      </c>
      <c r="AV566" s="27">
        <v>0</v>
      </c>
      <c r="AW566" s="27">
        <v>0</v>
      </c>
      <c r="AX566" s="27">
        <v>0</v>
      </c>
      <c r="AZ566" s="27">
        <v>1</v>
      </c>
      <c r="BA566" s="27">
        <v>0</v>
      </c>
      <c r="BB566" s="27">
        <v>22.61</v>
      </c>
      <c r="BC566" s="27" t="s">
        <v>1797</v>
      </c>
      <c r="BG566" s="27">
        <v>0</v>
      </c>
      <c r="BH566" s="27">
        <v>0</v>
      </c>
      <c r="BJ566" s="27">
        <v>0</v>
      </c>
    </row>
    <row r="567" customHeight="1" spans="1:64">
      <c r="A567" s="27" t="s">
        <v>1798</v>
      </c>
      <c r="B567" s="27" t="s">
        <v>613</v>
      </c>
      <c r="E567" s="27" t="s">
        <v>559</v>
      </c>
      <c r="F567" s="27" t="s">
        <v>240</v>
      </c>
      <c r="G567" s="27" t="s">
        <v>83</v>
      </c>
      <c r="H567" s="27" t="s">
        <v>84</v>
      </c>
      <c r="I567" s="27" t="s">
        <v>153</v>
      </c>
      <c r="J567" s="27">
        <v>2</v>
      </c>
      <c r="K567" s="27">
        <v>199.99</v>
      </c>
      <c r="M567" s="27">
        <v>0</v>
      </c>
      <c r="N567" s="27">
        <v>0</v>
      </c>
      <c r="O567" s="27">
        <v>0</v>
      </c>
      <c r="P567" s="27" t="s">
        <v>95</v>
      </c>
      <c r="Q567" s="27">
        <v>5.303255</v>
      </c>
      <c r="R567" s="27">
        <v>50</v>
      </c>
      <c r="V567" s="27" t="s">
        <v>231</v>
      </c>
      <c r="W567" s="27">
        <v>0</v>
      </c>
      <c r="X567" s="27">
        <v>0</v>
      </c>
      <c r="Y567" s="27">
        <v>0</v>
      </c>
      <c r="Z567" s="27">
        <v>0</v>
      </c>
      <c r="AA567" s="27" t="s">
        <v>125</v>
      </c>
      <c r="AB567" s="27">
        <v>0</v>
      </c>
      <c r="AC567" s="27">
        <v>0</v>
      </c>
      <c r="AD567" s="27">
        <v>0</v>
      </c>
      <c r="AE567" s="27">
        <v>0</v>
      </c>
      <c r="AF567" s="27">
        <v>0</v>
      </c>
      <c r="AG567" s="27">
        <v>1</v>
      </c>
      <c r="AH567" s="27">
        <v>0</v>
      </c>
      <c r="AI567" s="27">
        <v>1</v>
      </c>
      <c r="AJ567" s="27">
        <v>0</v>
      </c>
      <c r="AK567" s="27">
        <v>0</v>
      </c>
      <c r="AL567" s="27">
        <v>0</v>
      </c>
      <c r="AM567" s="27">
        <v>0</v>
      </c>
      <c r="AN567" s="27">
        <v>0</v>
      </c>
      <c r="AO567" s="27">
        <v>0</v>
      </c>
      <c r="AP567" s="27">
        <v>0</v>
      </c>
      <c r="AQ567" s="27">
        <v>1</v>
      </c>
      <c r="AR567" s="27">
        <v>0</v>
      </c>
      <c r="AS567" s="27">
        <v>0</v>
      </c>
      <c r="AT567" s="27">
        <v>0</v>
      </c>
      <c r="AU567" s="27">
        <v>0</v>
      </c>
      <c r="AV567" s="27">
        <v>1</v>
      </c>
      <c r="AW567" s="27">
        <v>1</v>
      </c>
      <c r="AX567" s="27">
        <v>0</v>
      </c>
      <c r="AY567" s="27">
        <v>4</v>
      </c>
      <c r="AZ567" s="27">
        <v>1</v>
      </c>
      <c r="BA567" s="27">
        <v>1</v>
      </c>
      <c r="BB567" s="27">
        <v>24.81</v>
      </c>
      <c r="BC567" s="27" t="s">
        <v>1414</v>
      </c>
      <c r="BD567" s="27" t="s">
        <v>1415</v>
      </c>
      <c r="BE567" s="27" t="s">
        <v>113</v>
      </c>
      <c r="BF567" s="27" t="s">
        <v>77</v>
      </c>
      <c r="BG567" s="27">
        <v>168</v>
      </c>
      <c r="BH567" s="27">
        <v>11</v>
      </c>
      <c r="BI567" s="27">
        <v>0.9385</v>
      </c>
      <c r="BJ567" s="27">
        <v>0</v>
      </c>
      <c r="BK567" s="27">
        <v>63</v>
      </c>
      <c r="BL567" s="27">
        <v>82.7</v>
      </c>
    </row>
    <row r="568" customHeight="1" spans="1:64">
      <c r="A568" s="27" t="s">
        <v>1799</v>
      </c>
      <c r="B568" s="27" t="s">
        <v>125</v>
      </c>
      <c r="E568" s="27" t="s">
        <v>876</v>
      </c>
      <c r="F568" s="27" t="s">
        <v>82</v>
      </c>
      <c r="G568" s="27" t="s">
        <v>83</v>
      </c>
      <c r="H568" s="27" t="s">
        <v>138</v>
      </c>
      <c r="I568" s="27" t="s">
        <v>85</v>
      </c>
      <c r="J568" s="27">
        <v>5</v>
      </c>
      <c r="K568" s="27">
        <v>23.35</v>
      </c>
      <c r="M568" s="27">
        <v>0</v>
      </c>
      <c r="N568" s="27">
        <v>0</v>
      </c>
      <c r="O568" s="27">
        <v>0</v>
      </c>
      <c r="P568" s="27" t="s">
        <v>133</v>
      </c>
      <c r="Q568" s="27">
        <v>3.192532</v>
      </c>
      <c r="S568" s="27">
        <v>41</v>
      </c>
      <c r="T568" s="27">
        <v>3</v>
      </c>
      <c r="U568" s="27">
        <v>0.9318</v>
      </c>
      <c r="V568" s="27" t="s">
        <v>72</v>
      </c>
      <c r="W568" s="27">
        <v>957.35</v>
      </c>
      <c r="X568" s="27">
        <v>3.73767</v>
      </c>
      <c r="Y568" s="27">
        <v>6.865213</v>
      </c>
      <c r="Z568" s="27">
        <v>1.7321</v>
      </c>
      <c r="AA568" s="27" t="s">
        <v>139</v>
      </c>
      <c r="AB568" s="27">
        <v>0</v>
      </c>
      <c r="AC568" s="27">
        <v>0</v>
      </c>
      <c r="AD568" s="27">
        <v>0</v>
      </c>
      <c r="AE568" s="27">
        <v>0</v>
      </c>
      <c r="AF568" s="27">
        <v>0</v>
      </c>
      <c r="AG568" s="27">
        <v>0</v>
      </c>
      <c r="AH568" s="27">
        <v>1</v>
      </c>
      <c r="AI568" s="27">
        <v>0</v>
      </c>
      <c r="AJ568" s="27">
        <v>0</v>
      </c>
      <c r="AK568" s="27">
        <v>0</v>
      </c>
      <c r="AL568" s="27">
        <v>0</v>
      </c>
      <c r="AM568" s="27">
        <v>0</v>
      </c>
      <c r="AN568" s="27">
        <v>0</v>
      </c>
      <c r="AO568" s="27">
        <v>0</v>
      </c>
      <c r="AP568" s="27">
        <v>0</v>
      </c>
      <c r="AQ568" s="27">
        <v>0</v>
      </c>
      <c r="AR568" s="27">
        <v>0</v>
      </c>
      <c r="AS568" s="27">
        <v>0</v>
      </c>
      <c r="AT568" s="27">
        <v>0</v>
      </c>
      <c r="AU568" s="27">
        <v>0</v>
      </c>
      <c r="AV568" s="27">
        <v>0</v>
      </c>
      <c r="AW568" s="27">
        <v>0</v>
      </c>
      <c r="AX568" s="27">
        <v>0</v>
      </c>
      <c r="AZ568" s="27">
        <v>1</v>
      </c>
      <c r="BA568" s="27">
        <v>1</v>
      </c>
      <c r="BB568" s="27">
        <v>67.03</v>
      </c>
      <c r="BC568" s="27" t="s">
        <v>1800</v>
      </c>
      <c r="BD568" s="27" t="s">
        <v>169</v>
      </c>
      <c r="BE568" s="27" t="s">
        <v>113</v>
      </c>
      <c r="BF568" s="27" t="s">
        <v>77</v>
      </c>
      <c r="BG568" s="27">
        <v>162</v>
      </c>
      <c r="BH568" s="27">
        <v>60</v>
      </c>
      <c r="BI568" s="27">
        <v>0.7297</v>
      </c>
      <c r="BJ568" s="27">
        <v>0</v>
      </c>
      <c r="BK568" s="27">
        <v>3</v>
      </c>
      <c r="BL568" s="27">
        <v>99.2</v>
      </c>
    </row>
    <row r="569" customHeight="1" spans="1:64">
      <c r="A569" s="27" t="s">
        <v>1801</v>
      </c>
      <c r="B569" s="27" t="s">
        <v>466</v>
      </c>
      <c r="E569" s="27" t="s">
        <v>239</v>
      </c>
      <c r="F569" s="27" t="s">
        <v>240</v>
      </c>
      <c r="G569" s="27" t="s">
        <v>83</v>
      </c>
      <c r="H569" s="27" t="s">
        <v>84</v>
      </c>
      <c r="I569" s="27" t="s">
        <v>153</v>
      </c>
      <c r="J569" s="27">
        <v>2</v>
      </c>
      <c r="K569" s="27">
        <v>73.77</v>
      </c>
      <c r="M569" s="27">
        <v>0</v>
      </c>
      <c r="N569" s="27">
        <v>0</v>
      </c>
      <c r="O569" s="27">
        <v>0</v>
      </c>
      <c r="P569" s="27" t="s">
        <v>86</v>
      </c>
      <c r="Q569" s="27">
        <v>4.314417</v>
      </c>
      <c r="V569" s="27" t="s">
        <v>231</v>
      </c>
      <c r="W569" s="27">
        <v>0</v>
      </c>
      <c r="X569" s="27">
        <v>0</v>
      </c>
      <c r="Y569" s="27">
        <v>0</v>
      </c>
      <c r="Z569" s="27">
        <v>0</v>
      </c>
      <c r="AA569" s="27" t="s">
        <v>125</v>
      </c>
      <c r="AB569" s="27">
        <v>0</v>
      </c>
      <c r="AC569" s="27">
        <v>0</v>
      </c>
      <c r="AD569" s="27">
        <v>0</v>
      </c>
      <c r="AE569" s="27">
        <v>0</v>
      </c>
      <c r="AF569" s="27">
        <v>0</v>
      </c>
      <c r="AG569" s="27">
        <v>0</v>
      </c>
      <c r="AH569" s="27">
        <v>0</v>
      </c>
      <c r="AI569" s="27">
        <v>0</v>
      </c>
      <c r="AJ569" s="27">
        <v>0</v>
      </c>
      <c r="AK569" s="27">
        <v>0</v>
      </c>
      <c r="AL569" s="27">
        <v>0</v>
      </c>
      <c r="AM569" s="27">
        <v>0</v>
      </c>
      <c r="AN569" s="27">
        <v>0</v>
      </c>
      <c r="AO569" s="27">
        <v>0</v>
      </c>
      <c r="AP569" s="27">
        <v>0</v>
      </c>
      <c r="AQ569" s="27">
        <v>1</v>
      </c>
      <c r="AR569" s="27">
        <v>0</v>
      </c>
      <c r="AS569" s="27">
        <v>0</v>
      </c>
      <c r="AT569" s="27">
        <v>0</v>
      </c>
      <c r="AU569" s="27">
        <v>0</v>
      </c>
      <c r="AV569" s="27">
        <v>1</v>
      </c>
      <c r="AW569" s="27">
        <v>0</v>
      </c>
      <c r="AX569" s="27">
        <v>0</v>
      </c>
      <c r="AZ569" s="27">
        <v>1</v>
      </c>
      <c r="BA569" s="27">
        <v>1</v>
      </c>
      <c r="BB569" s="27">
        <v>29.01</v>
      </c>
      <c r="BC569" s="27" t="s">
        <v>1802</v>
      </c>
      <c r="BD569" s="27" t="s">
        <v>1803</v>
      </c>
      <c r="BE569" s="27" t="s">
        <v>407</v>
      </c>
      <c r="BF569" s="27" t="s">
        <v>77</v>
      </c>
      <c r="BG569" s="27">
        <v>168</v>
      </c>
      <c r="BH569" s="27">
        <v>11</v>
      </c>
      <c r="BI569" s="27">
        <v>0.9385</v>
      </c>
      <c r="BJ569" s="27">
        <v>0</v>
      </c>
      <c r="BK569" s="27">
        <v>12</v>
      </c>
      <c r="BL569" s="27">
        <v>96.7</v>
      </c>
    </row>
    <row r="570" customHeight="1" spans="1:64">
      <c r="A570" s="27" t="s">
        <v>369</v>
      </c>
      <c r="B570" s="27" t="s">
        <v>370</v>
      </c>
      <c r="E570" s="27" t="s">
        <v>371</v>
      </c>
      <c r="F570" s="27" t="s">
        <v>240</v>
      </c>
      <c r="G570" s="27" t="s">
        <v>83</v>
      </c>
      <c r="H570" s="27" t="s">
        <v>84</v>
      </c>
      <c r="I570" s="27" t="s">
        <v>153</v>
      </c>
      <c r="J570" s="27">
        <v>2</v>
      </c>
      <c r="K570" s="27">
        <v>200</v>
      </c>
      <c r="M570" s="27">
        <v>0</v>
      </c>
      <c r="N570" s="27">
        <v>0</v>
      </c>
      <c r="O570" s="27">
        <v>0</v>
      </c>
      <c r="P570" s="27" t="s">
        <v>71</v>
      </c>
      <c r="Q570" s="27">
        <v>5.303305</v>
      </c>
      <c r="T570" s="27">
        <v>4</v>
      </c>
      <c r="U570" s="27">
        <v>0</v>
      </c>
      <c r="V570" s="27" t="s">
        <v>231</v>
      </c>
      <c r="W570" s="27">
        <v>0</v>
      </c>
      <c r="X570" s="27">
        <v>0</v>
      </c>
      <c r="Y570" s="27">
        <v>0</v>
      </c>
      <c r="Z570" s="27">
        <v>2</v>
      </c>
      <c r="AA570" s="27" t="s">
        <v>125</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v>0</v>
      </c>
      <c r="AS570" s="27">
        <v>0</v>
      </c>
      <c r="AT570" s="27">
        <v>0</v>
      </c>
      <c r="AU570" s="27">
        <v>0</v>
      </c>
      <c r="AV570" s="27">
        <v>0</v>
      </c>
      <c r="AW570" s="27">
        <v>0</v>
      </c>
      <c r="AX570" s="27">
        <v>0</v>
      </c>
      <c r="AZ570" s="27">
        <v>1</v>
      </c>
      <c r="BA570" s="27">
        <v>0</v>
      </c>
      <c r="BB570" s="27">
        <v>0</v>
      </c>
      <c r="BC570" s="27" t="s">
        <v>372</v>
      </c>
      <c r="BD570" s="27" t="s">
        <v>373</v>
      </c>
      <c r="BE570" s="27" t="s">
        <v>91</v>
      </c>
      <c r="BF570" s="27" t="s">
        <v>77</v>
      </c>
      <c r="BG570" s="27">
        <v>168</v>
      </c>
      <c r="BH570" s="27">
        <v>11</v>
      </c>
      <c r="BI570" s="27">
        <v>0.9385</v>
      </c>
      <c r="BJ570" s="27">
        <v>0</v>
      </c>
    </row>
    <row r="571" customHeight="1" spans="1:64">
      <c r="A571" s="27" t="s">
        <v>1804</v>
      </c>
      <c r="B571" s="27" t="s">
        <v>335</v>
      </c>
      <c r="E571" s="27" t="s">
        <v>81</v>
      </c>
      <c r="F571" s="27" t="s">
        <v>160</v>
      </c>
      <c r="G571" s="27" t="s">
        <v>83</v>
      </c>
      <c r="H571" s="27" t="s">
        <v>84</v>
      </c>
      <c r="I571" s="27" t="s">
        <v>85</v>
      </c>
      <c r="J571" s="27">
        <v>5</v>
      </c>
      <c r="K571" s="27">
        <v>211.59</v>
      </c>
      <c r="L571" s="27">
        <v>229.99</v>
      </c>
      <c r="M571" s="27">
        <v>8</v>
      </c>
      <c r="N571" s="27">
        <v>18.4</v>
      </c>
      <c r="O571" s="27">
        <v>1</v>
      </c>
      <c r="P571" s="27" t="s">
        <v>71</v>
      </c>
      <c r="Q571" s="27">
        <v>5.359365</v>
      </c>
      <c r="R571" s="27">
        <v>21.16</v>
      </c>
      <c r="S571" s="27">
        <v>17</v>
      </c>
      <c r="T571" s="27">
        <v>10</v>
      </c>
      <c r="U571" s="27">
        <v>0.6296</v>
      </c>
      <c r="V571" s="27" t="s">
        <v>72</v>
      </c>
      <c r="W571" s="27">
        <v>3597.03</v>
      </c>
      <c r="X571" s="27">
        <v>2.890372</v>
      </c>
      <c r="Y571" s="27">
        <v>8.188142</v>
      </c>
      <c r="Z571" s="27">
        <v>3.1623</v>
      </c>
      <c r="AA571" s="27" t="s">
        <v>313</v>
      </c>
      <c r="AB571" s="27">
        <v>0</v>
      </c>
      <c r="AC571" s="27">
        <v>0</v>
      </c>
      <c r="AD571" s="27">
        <v>0</v>
      </c>
      <c r="AE571" s="27">
        <v>0</v>
      </c>
      <c r="AF571" s="27">
        <v>0</v>
      </c>
      <c r="AG571" s="27">
        <v>0</v>
      </c>
      <c r="AH571" s="27">
        <v>1</v>
      </c>
      <c r="AI571" s="27">
        <v>0</v>
      </c>
      <c r="AJ571" s="27">
        <v>0</v>
      </c>
      <c r="AK571" s="27">
        <v>1</v>
      </c>
      <c r="AL571" s="27">
        <v>0</v>
      </c>
      <c r="AM571" s="27">
        <v>0</v>
      </c>
      <c r="AN571" s="27">
        <v>0</v>
      </c>
      <c r="AO571" s="27">
        <v>0</v>
      </c>
      <c r="AP571" s="27">
        <v>0</v>
      </c>
      <c r="AQ571" s="27">
        <v>1</v>
      </c>
      <c r="AR571" s="27">
        <v>0</v>
      </c>
      <c r="AS571" s="27">
        <v>0</v>
      </c>
      <c r="AT571" s="27">
        <v>1</v>
      </c>
      <c r="AU571" s="27">
        <v>0</v>
      </c>
      <c r="AV571" s="27">
        <v>1</v>
      </c>
      <c r="AW571" s="27">
        <v>1</v>
      </c>
      <c r="AX571" s="27">
        <v>0</v>
      </c>
      <c r="AY571" s="27">
        <v>10</v>
      </c>
      <c r="AZ571" s="27">
        <v>1</v>
      </c>
      <c r="BA571" s="27">
        <v>3</v>
      </c>
      <c r="BB571" s="27">
        <v>57.16</v>
      </c>
      <c r="BC571" s="27" t="s">
        <v>1345</v>
      </c>
      <c r="BD571" s="27" t="s">
        <v>337</v>
      </c>
      <c r="BE571" s="27" t="s">
        <v>76</v>
      </c>
      <c r="BF571" s="27" t="s">
        <v>77</v>
      </c>
      <c r="BG571" s="27">
        <v>167</v>
      </c>
      <c r="BH571" s="27">
        <v>12</v>
      </c>
      <c r="BI571" s="27">
        <v>0.933</v>
      </c>
      <c r="BJ571" s="27">
        <v>0</v>
      </c>
      <c r="BK571" s="27">
        <v>5</v>
      </c>
      <c r="BL571" s="27">
        <v>98.6</v>
      </c>
    </row>
    <row r="572" customHeight="1" spans="1:64">
      <c r="A572" s="27" t="s">
        <v>1805</v>
      </c>
      <c r="B572" s="27" t="s">
        <v>65</v>
      </c>
      <c r="C572" s="27" t="s">
        <v>1806</v>
      </c>
      <c r="D572" s="27">
        <v>695529063782</v>
      </c>
      <c r="E572" s="27" t="s">
        <v>163</v>
      </c>
      <c r="F572" s="27" t="s">
        <v>160</v>
      </c>
      <c r="G572" s="27" t="s">
        <v>65</v>
      </c>
      <c r="H572" s="27" t="s">
        <v>69</v>
      </c>
      <c r="I572" s="27" t="s">
        <v>203</v>
      </c>
      <c r="J572" s="27">
        <v>4</v>
      </c>
      <c r="K572" s="27">
        <v>341.99</v>
      </c>
      <c r="M572" s="27">
        <v>0</v>
      </c>
      <c r="N572" s="27">
        <v>0</v>
      </c>
      <c r="O572" s="27">
        <v>0</v>
      </c>
      <c r="P572" s="27" t="s">
        <v>71</v>
      </c>
      <c r="Q572" s="27">
        <v>5.837701</v>
      </c>
      <c r="S572" s="27">
        <v>17</v>
      </c>
      <c r="T572" s="27">
        <v>5</v>
      </c>
      <c r="U572" s="27">
        <v>0.7727</v>
      </c>
      <c r="V572" s="27" t="s">
        <v>72</v>
      </c>
      <c r="W572" s="27">
        <v>5813.83</v>
      </c>
      <c r="X572" s="27">
        <v>2.890372</v>
      </c>
      <c r="Y572" s="27">
        <v>8.668167</v>
      </c>
      <c r="Z572" s="27">
        <v>2.2361</v>
      </c>
      <c r="AA572" s="27" t="s">
        <v>73</v>
      </c>
      <c r="AB572" s="27">
        <v>0</v>
      </c>
      <c r="AC572" s="27">
        <v>0</v>
      </c>
      <c r="AD572" s="27">
        <v>0</v>
      </c>
      <c r="AE572" s="27">
        <v>0</v>
      </c>
      <c r="AF572" s="27">
        <v>0</v>
      </c>
      <c r="AG572" s="27">
        <v>1</v>
      </c>
      <c r="AH572" s="27">
        <v>1</v>
      </c>
      <c r="AI572" s="27">
        <v>0</v>
      </c>
      <c r="AJ572" s="27">
        <v>0</v>
      </c>
      <c r="AK572" s="27">
        <v>0</v>
      </c>
      <c r="AL572" s="27">
        <v>0</v>
      </c>
      <c r="AM572" s="27">
        <v>0</v>
      </c>
      <c r="AN572" s="27">
        <v>0</v>
      </c>
      <c r="AO572" s="27">
        <v>0</v>
      </c>
      <c r="AP572" s="27">
        <v>0</v>
      </c>
      <c r="AQ572" s="27">
        <v>1</v>
      </c>
      <c r="AR572" s="27">
        <v>0</v>
      </c>
      <c r="AS572" s="27">
        <v>0</v>
      </c>
      <c r="AT572" s="27">
        <v>0</v>
      </c>
      <c r="AU572" s="27">
        <v>0</v>
      </c>
      <c r="AV572" s="27">
        <v>1</v>
      </c>
      <c r="AW572" s="27">
        <v>0</v>
      </c>
      <c r="AX572" s="27">
        <v>1</v>
      </c>
      <c r="AZ572" s="27">
        <v>1</v>
      </c>
      <c r="BA572" s="27">
        <v>2</v>
      </c>
      <c r="BB572" s="27">
        <v>60.76</v>
      </c>
      <c r="BC572" s="27" t="s">
        <v>784</v>
      </c>
      <c r="BD572" s="27" t="s">
        <v>785</v>
      </c>
      <c r="BE572" s="27" t="s">
        <v>774</v>
      </c>
      <c r="BF572" s="27" t="s">
        <v>77</v>
      </c>
      <c r="BG572" s="27">
        <v>1</v>
      </c>
      <c r="BH572" s="27">
        <v>27</v>
      </c>
      <c r="BI572" s="27">
        <v>0.0357</v>
      </c>
      <c r="BJ572" s="27">
        <v>1</v>
      </c>
      <c r="BK572" s="27">
        <v>2</v>
      </c>
      <c r="BL572" s="27">
        <v>99.5</v>
      </c>
    </row>
    <row r="573" customHeight="1" spans="1:64">
      <c r="A573" s="27" t="s">
        <v>1807</v>
      </c>
      <c r="B573" s="27" t="s">
        <v>104</v>
      </c>
      <c r="C573" s="27" t="s">
        <v>1347</v>
      </c>
      <c r="D573" s="27">
        <v>194644229405</v>
      </c>
      <c r="E573" s="27" t="s">
        <v>81</v>
      </c>
      <c r="F573" s="27" t="s">
        <v>82</v>
      </c>
      <c r="G573" s="27" t="s">
        <v>106</v>
      </c>
      <c r="H573" s="27" t="s">
        <v>107</v>
      </c>
      <c r="I573" s="27" t="s">
        <v>108</v>
      </c>
      <c r="J573" s="27">
        <v>3</v>
      </c>
      <c r="K573" s="27">
        <v>189.99</v>
      </c>
      <c r="L573" s="27">
        <v>349.99</v>
      </c>
      <c r="M573" s="27">
        <v>45.72</v>
      </c>
      <c r="N573" s="27">
        <v>160</v>
      </c>
      <c r="O573" s="27">
        <v>1</v>
      </c>
      <c r="P573" s="27" t="s">
        <v>95</v>
      </c>
      <c r="Q573" s="27">
        <v>5.252221</v>
      </c>
      <c r="S573" s="27">
        <v>107</v>
      </c>
      <c r="U573" s="27">
        <v>1</v>
      </c>
      <c r="V573" s="27" t="s">
        <v>72</v>
      </c>
      <c r="W573" s="27">
        <v>20328.93</v>
      </c>
      <c r="X573" s="27">
        <v>4.682131</v>
      </c>
      <c r="Y573" s="27">
        <v>9.919849</v>
      </c>
      <c r="Z573" s="27">
        <v>0</v>
      </c>
      <c r="AA573" s="27" t="s">
        <v>187</v>
      </c>
      <c r="AB573" s="27">
        <v>0</v>
      </c>
      <c r="AC573" s="27">
        <v>0</v>
      </c>
      <c r="AD573" s="27">
        <v>0</v>
      </c>
      <c r="AE573" s="27">
        <v>1</v>
      </c>
      <c r="AF573" s="27">
        <v>0</v>
      </c>
      <c r="AG573" s="27">
        <v>0</v>
      </c>
      <c r="AH573" s="27">
        <v>1</v>
      </c>
      <c r="AI573" s="27">
        <v>0</v>
      </c>
      <c r="AJ573" s="27">
        <v>0</v>
      </c>
      <c r="AK573" s="27">
        <v>1</v>
      </c>
      <c r="AL573" s="27">
        <v>0</v>
      </c>
      <c r="AM573" s="27">
        <v>0</v>
      </c>
      <c r="AN573" s="27">
        <v>0</v>
      </c>
      <c r="AO573" s="27">
        <v>0</v>
      </c>
      <c r="AP573" s="27">
        <v>0</v>
      </c>
      <c r="AQ573" s="27">
        <v>0</v>
      </c>
      <c r="AR573" s="27">
        <v>0</v>
      </c>
      <c r="AS573" s="27">
        <v>0</v>
      </c>
      <c r="AT573" s="27">
        <v>1</v>
      </c>
      <c r="AU573" s="27">
        <v>0</v>
      </c>
      <c r="AV573" s="27">
        <v>0</v>
      </c>
      <c r="AW573" s="27">
        <v>1</v>
      </c>
      <c r="AX573" s="27">
        <v>0</v>
      </c>
      <c r="AZ573" s="27">
        <v>1</v>
      </c>
      <c r="BA573" s="27">
        <v>3</v>
      </c>
      <c r="BB573" s="27">
        <v>83.57</v>
      </c>
      <c r="BC573" s="27" t="s">
        <v>111</v>
      </c>
      <c r="BD573" s="27" t="s">
        <v>112</v>
      </c>
      <c r="BE573" s="27" t="s">
        <v>113</v>
      </c>
      <c r="BF573" s="27" t="s">
        <v>77</v>
      </c>
      <c r="BG573" s="27">
        <v>162</v>
      </c>
      <c r="BH573" s="27">
        <v>24</v>
      </c>
      <c r="BI573" s="27">
        <v>0.871</v>
      </c>
      <c r="BJ573" s="27">
        <v>0</v>
      </c>
      <c r="BK573" s="27">
        <v>2</v>
      </c>
      <c r="BL573" s="27">
        <v>99.5</v>
      </c>
    </row>
    <row r="574" customHeight="1" spans="1:64">
      <c r="A574" s="27" t="s">
        <v>1808</v>
      </c>
      <c r="B574" s="27" t="s">
        <v>171</v>
      </c>
      <c r="C574" s="27" t="s">
        <v>1809</v>
      </c>
      <c r="E574" s="27" t="s">
        <v>255</v>
      </c>
      <c r="F574" s="27" t="s">
        <v>160</v>
      </c>
      <c r="G574" s="27" t="s">
        <v>83</v>
      </c>
      <c r="H574" s="27" t="s">
        <v>84</v>
      </c>
      <c r="I574" s="27" t="s">
        <v>85</v>
      </c>
      <c r="J574" s="27">
        <v>5</v>
      </c>
      <c r="K574" s="27">
        <v>299.69</v>
      </c>
      <c r="M574" s="27">
        <v>0</v>
      </c>
      <c r="N574" s="27">
        <v>0</v>
      </c>
      <c r="O574" s="27">
        <v>0</v>
      </c>
      <c r="P574" s="27" t="s">
        <v>71</v>
      </c>
      <c r="Q574" s="27">
        <v>5.70608</v>
      </c>
      <c r="R574" s="27">
        <v>37.46</v>
      </c>
      <c r="S574" s="27">
        <v>69</v>
      </c>
      <c r="T574" s="27">
        <v>19</v>
      </c>
      <c r="U574" s="27">
        <v>0.7841</v>
      </c>
      <c r="V574" s="27" t="s">
        <v>72</v>
      </c>
      <c r="W574" s="27">
        <v>20678.61</v>
      </c>
      <c r="X574" s="27">
        <v>4.248495</v>
      </c>
      <c r="Y574" s="27">
        <v>9.936903</v>
      </c>
      <c r="Z574" s="27">
        <v>4.3589</v>
      </c>
      <c r="AA574" s="27" t="s">
        <v>313</v>
      </c>
      <c r="AB574" s="27">
        <v>0</v>
      </c>
      <c r="AC574" s="27">
        <v>0</v>
      </c>
      <c r="AD574" s="27">
        <v>0</v>
      </c>
      <c r="AE574" s="27">
        <v>0</v>
      </c>
      <c r="AF574" s="27">
        <v>0</v>
      </c>
      <c r="AG574" s="27">
        <v>0</v>
      </c>
      <c r="AH574" s="27">
        <v>0</v>
      </c>
      <c r="AI574" s="27">
        <v>0</v>
      </c>
      <c r="AJ574" s="27">
        <v>0</v>
      </c>
      <c r="AK574" s="27">
        <v>0</v>
      </c>
      <c r="AL574" s="27">
        <v>0</v>
      </c>
      <c r="AM574" s="27">
        <v>0</v>
      </c>
      <c r="AN574" s="27">
        <v>0</v>
      </c>
      <c r="AO574" s="27">
        <v>0</v>
      </c>
      <c r="AP574" s="27">
        <v>0</v>
      </c>
      <c r="AQ574" s="27">
        <v>1</v>
      </c>
      <c r="AR574" s="27">
        <v>0</v>
      </c>
      <c r="AS574" s="27">
        <v>0</v>
      </c>
      <c r="AT574" s="27">
        <v>0</v>
      </c>
      <c r="AU574" s="27">
        <v>0</v>
      </c>
      <c r="AV574" s="27">
        <v>1</v>
      </c>
      <c r="AW574" s="27">
        <v>1</v>
      </c>
      <c r="AX574" s="27">
        <v>0</v>
      </c>
      <c r="AY574" s="27">
        <v>8</v>
      </c>
      <c r="AZ574" s="27">
        <v>1</v>
      </c>
      <c r="BA574" s="27">
        <v>1</v>
      </c>
      <c r="BB574" s="27">
        <v>60.46</v>
      </c>
      <c r="BC574" s="27" t="s">
        <v>251</v>
      </c>
      <c r="BD574" s="27" t="s">
        <v>356</v>
      </c>
      <c r="BE574" s="27" t="s">
        <v>423</v>
      </c>
      <c r="BF574" s="27" t="s">
        <v>77</v>
      </c>
      <c r="BG574" s="27">
        <v>161</v>
      </c>
      <c r="BH574" s="27">
        <v>61</v>
      </c>
      <c r="BI574" s="27">
        <v>0.7252</v>
      </c>
      <c r="BJ574" s="27">
        <v>0</v>
      </c>
      <c r="BK574" s="27">
        <v>11</v>
      </c>
      <c r="BL574" s="27">
        <v>97</v>
      </c>
    </row>
    <row r="575" customHeight="1" spans="1:64">
      <c r="A575" s="27" t="s">
        <v>1810</v>
      </c>
      <c r="B575" s="27" t="s">
        <v>1811</v>
      </c>
      <c r="D575" s="27">
        <v>810155034399</v>
      </c>
      <c r="E575" s="27" t="s">
        <v>1509</v>
      </c>
      <c r="F575" s="27" t="s">
        <v>132</v>
      </c>
      <c r="G575" s="27" t="s">
        <v>83</v>
      </c>
      <c r="H575" s="27" t="s">
        <v>84</v>
      </c>
      <c r="I575" s="27" t="s">
        <v>85</v>
      </c>
      <c r="J575" s="27">
        <v>5</v>
      </c>
      <c r="K575" s="27">
        <v>13.99</v>
      </c>
      <c r="M575" s="27">
        <v>0</v>
      </c>
      <c r="N575" s="27">
        <v>0</v>
      </c>
      <c r="O575" s="27">
        <v>0</v>
      </c>
      <c r="P575" s="27" t="s">
        <v>133</v>
      </c>
      <c r="Q575" s="27">
        <v>2.707383</v>
      </c>
      <c r="S575" s="27">
        <v>32</v>
      </c>
      <c r="T575" s="27">
        <v>8</v>
      </c>
      <c r="U575" s="27">
        <v>0.8</v>
      </c>
      <c r="V575" s="27" t="s">
        <v>72</v>
      </c>
      <c r="W575" s="27">
        <v>447.68</v>
      </c>
      <c r="X575" s="27">
        <v>3.496508</v>
      </c>
      <c r="Y575" s="27">
        <v>6.10631</v>
      </c>
      <c r="Z575" s="27">
        <v>2.8284</v>
      </c>
      <c r="AA575" s="27" t="s">
        <v>125</v>
      </c>
      <c r="AB575" s="27">
        <v>0</v>
      </c>
      <c r="AC575" s="27">
        <v>0</v>
      </c>
      <c r="AD575" s="27">
        <v>0</v>
      </c>
      <c r="AE575" s="27">
        <v>0</v>
      </c>
      <c r="AF575" s="27">
        <v>0</v>
      </c>
      <c r="AG575" s="27">
        <v>0</v>
      </c>
      <c r="AH575" s="27">
        <v>0</v>
      </c>
      <c r="AI575" s="27">
        <v>0</v>
      </c>
      <c r="AJ575" s="27">
        <v>0</v>
      </c>
      <c r="AK575" s="27">
        <v>0</v>
      </c>
      <c r="AL575" s="27">
        <v>0</v>
      </c>
      <c r="AM575" s="27">
        <v>0</v>
      </c>
      <c r="AN575" s="27">
        <v>0</v>
      </c>
      <c r="AO575" s="27">
        <v>0</v>
      </c>
      <c r="AP575" s="27">
        <v>0</v>
      </c>
      <c r="AQ575" s="27">
        <v>0</v>
      </c>
      <c r="AR575" s="27">
        <v>0</v>
      </c>
      <c r="AS575" s="27">
        <v>0</v>
      </c>
      <c r="AT575" s="27">
        <v>0</v>
      </c>
      <c r="AU575" s="27">
        <v>0</v>
      </c>
      <c r="AV575" s="27">
        <v>0</v>
      </c>
      <c r="AW575" s="27">
        <v>1</v>
      </c>
      <c r="AX575" s="27">
        <v>0</v>
      </c>
      <c r="AZ575" s="27">
        <v>1</v>
      </c>
      <c r="BA575" s="27">
        <v>0</v>
      </c>
      <c r="BB575" s="27">
        <v>60.11</v>
      </c>
      <c r="BC575" s="27" t="s">
        <v>1812</v>
      </c>
      <c r="BD575" s="27" t="s">
        <v>1813</v>
      </c>
      <c r="BE575" s="27" t="s">
        <v>1814</v>
      </c>
      <c r="BF575" s="27" t="s">
        <v>77</v>
      </c>
      <c r="BG575" s="27">
        <v>1</v>
      </c>
      <c r="BH575" s="27">
        <v>11</v>
      </c>
      <c r="BI575" s="27">
        <v>0.0833</v>
      </c>
      <c r="BJ575" s="27">
        <v>1</v>
      </c>
      <c r="BK575" s="27">
        <v>23</v>
      </c>
      <c r="BL575" s="27">
        <v>93.7</v>
      </c>
    </row>
    <row r="576" customHeight="1" spans="1:64">
      <c r="A576" s="27" t="s">
        <v>1815</v>
      </c>
      <c r="B576" s="27" t="s">
        <v>819</v>
      </c>
      <c r="C576" s="27" t="s">
        <v>1231</v>
      </c>
      <c r="D576" s="27">
        <v>810083473673</v>
      </c>
      <c r="E576" s="27" t="s">
        <v>163</v>
      </c>
      <c r="F576" s="27" t="s">
        <v>82</v>
      </c>
      <c r="G576" s="27" t="s">
        <v>819</v>
      </c>
      <c r="H576" s="27" t="s">
        <v>102</v>
      </c>
      <c r="I576" s="27" t="s">
        <v>85</v>
      </c>
      <c r="J576" s="27">
        <v>5</v>
      </c>
      <c r="K576" s="27">
        <v>29</v>
      </c>
      <c r="M576" s="27">
        <v>0</v>
      </c>
      <c r="N576" s="27">
        <v>0</v>
      </c>
      <c r="O576" s="27">
        <v>0</v>
      </c>
      <c r="P576" s="27" t="s">
        <v>86</v>
      </c>
      <c r="Q576" s="27">
        <v>3.401197</v>
      </c>
      <c r="S576" s="27">
        <v>76</v>
      </c>
      <c r="T576" s="27">
        <v>9</v>
      </c>
      <c r="U576" s="27">
        <v>0.8941</v>
      </c>
      <c r="V576" s="27" t="s">
        <v>72</v>
      </c>
      <c r="W576" s="27">
        <v>2204</v>
      </c>
      <c r="X576" s="27">
        <v>4.343805</v>
      </c>
      <c r="Y576" s="27">
        <v>7.698483</v>
      </c>
      <c r="Z576" s="27">
        <v>3</v>
      </c>
      <c r="AA576" s="27" t="s">
        <v>483</v>
      </c>
      <c r="AB576" s="27">
        <v>0</v>
      </c>
      <c r="AC576" s="27">
        <v>0</v>
      </c>
      <c r="AD576" s="27">
        <v>0</v>
      </c>
      <c r="AE576" s="27">
        <v>0</v>
      </c>
      <c r="AF576" s="27">
        <v>0</v>
      </c>
      <c r="AG576" s="27">
        <v>0</v>
      </c>
      <c r="AH576" s="27">
        <v>1</v>
      </c>
      <c r="AI576" s="27">
        <v>0</v>
      </c>
      <c r="AJ576" s="27">
        <v>0</v>
      </c>
      <c r="AK576" s="27">
        <v>0</v>
      </c>
      <c r="AL576" s="27">
        <v>0</v>
      </c>
      <c r="AM576" s="27">
        <v>0</v>
      </c>
      <c r="AN576" s="27">
        <v>0</v>
      </c>
      <c r="AO576" s="27">
        <v>0</v>
      </c>
      <c r="AP576" s="27">
        <v>0</v>
      </c>
      <c r="AQ576" s="27">
        <v>0</v>
      </c>
      <c r="AR576" s="27">
        <v>0</v>
      </c>
      <c r="AS576" s="27">
        <v>0</v>
      </c>
      <c r="AT576" s="27">
        <v>1</v>
      </c>
      <c r="AU576" s="27">
        <v>1</v>
      </c>
      <c r="AV576" s="27">
        <v>0</v>
      </c>
      <c r="AW576" s="27">
        <v>0</v>
      </c>
      <c r="AX576" s="27">
        <v>0</v>
      </c>
      <c r="AZ576" s="27">
        <v>1</v>
      </c>
      <c r="BA576" s="27">
        <v>1</v>
      </c>
      <c r="BB576" s="27">
        <v>63.96</v>
      </c>
      <c r="BC576" s="27" t="s">
        <v>1816</v>
      </c>
      <c r="BD576" s="27" t="s">
        <v>1817</v>
      </c>
      <c r="BE576" s="27" t="s">
        <v>128</v>
      </c>
      <c r="BF576" s="27" t="s">
        <v>77</v>
      </c>
      <c r="BG576" s="27">
        <v>168</v>
      </c>
      <c r="BH576" s="27">
        <v>12</v>
      </c>
      <c r="BI576" s="27">
        <v>0.9333</v>
      </c>
      <c r="BJ576" s="27">
        <v>0</v>
      </c>
      <c r="BK576" s="27">
        <v>22</v>
      </c>
      <c r="BL576" s="27">
        <v>94</v>
      </c>
    </row>
    <row r="577" customHeight="1" spans="1:64">
      <c r="A577" s="27" t="s">
        <v>1818</v>
      </c>
      <c r="B577" s="27" t="s">
        <v>171</v>
      </c>
      <c r="C577" s="27" t="s">
        <v>1819</v>
      </c>
      <c r="E577" s="27" t="s">
        <v>81</v>
      </c>
      <c r="F577" s="27" t="s">
        <v>160</v>
      </c>
      <c r="G577" s="27" t="s">
        <v>83</v>
      </c>
      <c r="H577" s="27" t="s">
        <v>84</v>
      </c>
      <c r="I577" s="27" t="s">
        <v>85</v>
      </c>
      <c r="J577" s="27">
        <v>5</v>
      </c>
      <c r="K577" s="27">
        <v>199.49</v>
      </c>
      <c r="L577" s="27">
        <v>284.99</v>
      </c>
      <c r="M577" s="27">
        <v>30</v>
      </c>
      <c r="N577" s="27">
        <v>85.5</v>
      </c>
      <c r="O577" s="27">
        <v>1</v>
      </c>
      <c r="P577" s="27" t="s">
        <v>95</v>
      </c>
      <c r="Q577" s="27">
        <v>5.300764</v>
      </c>
      <c r="S577" s="27">
        <v>3</v>
      </c>
      <c r="T577" s="27">
        <v>47</v>
      </c>
      <c r="U577" s="27">
        <v>0.06</v>
      </c>
      <c r="V577" s="27" t="s">
        <v>87</v>
      </c>
      <c r="W577" s="27">
        <v>598.47</v>
      </c>
      <c r="X577" s="27">
        <v>1.386294</v>
      </c>
      <c r="Y577" s="27">
        <v>6.396046</v>
      </c>
      <c r="Z577" s="27">
        <v>6.8557</v>
      </c>
      <c r="AA577" s="27" t="s">
        <v>125</v>
      </c>
      <c r="AB577" s="27">
        <v>0</v>
      </c>
      <c r="AC577" s="27">
        <v>0</v>
      </c>
      <c r="AD577" s="27">
        <v>0</v>
      </c>
      <c r="AE577" s="27">
        <v>1</v>
      </c>
      <c r="AF577" s="27">
        <v>1</v>
      </c>
      <c r="AG577" s="27">
        <v>0</v>
      </c>
      <c r="AH577" s="27">
        <v>1</v>
      </c>
      <c r="AI577" s="27">
        <v>0</v>
      </c>
      <c r="AJ577" s="27">
        <v>0</v>
      </c>
      <c r="AK577" s="27">
        <v>0</v>
      </c>
      <c r="AL577" s="27">
        <v>0</v>
      </c>
      <c r="AM577" s="27">
        <v>0</v>
      </c>
      <c r="AN577" s="27">
        <v>0</v>
      </c>
      <c r="AO577" s="27">
        <v>0</v>
      </c>
      <c r="AP577" s="27">
        <v>0</v>
      </c>
      <c r="AQ577" s="27">
        <v>0</v>
      </c>
      <c r="AR577" s="27">
        <v>0</v>
      </c>
      <c r="AS577" s="27">
        <v>0</v>
      </c>
      <c r="AT577" s="27">
        <v>1</v>
      </c>
      <c r="AU577" s="27">
        <v>0</v>
      </c>
      <c r="AV577" s="27">
        <v>0</v>
      </c>
      <c r="AW577" s="27">
        <v>1</v>
      </c>
      <c r="AX577" s="27">
        <v>0</v>
      </c>
      <c r="AZ577" s="27">
        <v>1</v>
      </c>
      <c r="BA577" s="27">
        <v>2</v>
      </c>
      <c r="BB577" s="27">
        <v>40.5</v>
      </c>
      <c r="BC577" s="27" t="s">
        <v>251</v>
      </c>
      <c r="BD577" s="27" t="s">
        <v>175</v>
      </c>
      <c r="BE577" s="27" t="s">
        <v>91</v>
      </c>
      <c r="BF577" s="27" t="s">
        <v>77</v>
      </c>
      <c r="BG577" s="27">
        <v>162</v>
      </c>
      <c r="BH577" s="27">
        <v>60</v>
      </c>
      <c r="BI577" s="27">
        <v>0.7297</v>
      </c>
      <c r="BJ577" s="27">
        <v>0</v>
      </c>
      <c r="BK577" s="27">
        <v>11</v>
      </c>
      <c r="BL577" s="27">
        <v>97</v>
      </c>
    </row>
    <row r="578" customHeight="1" spans="1:64">
      <c r="A578" s="27" t="s">
        <v>1820</v>
      </c>
      <c r="B578" s="27" t="s">
        <v>171</v>
      </c>
      <c r="C578" s="27" t="s">
        <v>1821</v>
      </c>
      <c r="E578" s="27" t="s">
        <v>250</v>
      </c>
      <c r="F578" s="27" t="s">
        <v>160</v>
      </c>
      <c r="G578" s="27" t="s">
        <v>83</v>
      </c>
      <c r="H578" s="27" t="s">
        <v>84</v>
      </c>
      <c r="I578" s="27" t="s">
        <v>85</v>
      </c>
      <c r="J578" s="27">
        <v>5</v>
      </c>
      <c r="K578" s="27">
        <v>147.99</v>
      </c>
      <c r="M578" s="27">
        <v>0</v>
      </c>
      <c r="N578" s="27">
        <v>0</v>
      </c>
      <c r="O578" s="27">
        <v>0</v>
      </c>
      <c r="P578" s="27" t="s">
        <v>95</v>
      </c>
      <c r="Q578" s="27">
        <v>5.003879</v>
      </c>
      <c r="R578" s="27">
        <v>18.5</v>
      </c>
      <c r="S578" s="27">
        <v>18</v>
      </c>
      <c r="T578" s="27">
        <v>100</v>
      </c>
      <c r="U578" s="27">
        <v>0.1525</v>
      </c>
      <c r="V578" s="27" t="s">
        <v>72</v>
      </c>
      <c r="W578" s="27">
        <v>2663.82</v>
      </c>
      <c r="X578" s="27">
        <v>2.944439</v>
      </c>
      <c r="Y578" s="27">
        <v>7.887892</v>
      </c>
      <c r="Z578" s="27">
        <v>10</v>
      </c>
      <c r="AA578" s="27" t="s">
        <v>110</v>
      </c>
      <c r="AB578" s="27">
        <v>0</v>
      </c>
      <c r="AC578" s="27">
        <v>0</v>
      </c>
      <c r="AD578" s="27">
        <v>0</v>
      </c>
      <c r="AE578" s="27">
        <v>0</v>
      </c>
      <c r="AF578" s="27">
        <v>0</v>
      </c>
      <c r="AG578" s="27">
        <v>0</v>
      </c>
      <c r="AH578" s="27">
        <v>0</v>
      </c>
      <c r="AI578" s="27">
        <v>0</v>
      </c>
      <c r="AJ578" s="27">
        <v>0</v>
      </c>
      <c r="AK578" s="27">
        <v>0</v>
      </c>
      <c r="AL578" s="27">
        <v>0</v>
      </c>
      <c r="AM578" s="27">
        <v>1</v>
      </c>
      <c r="AN578" s="27">
        <v>0</v>
      </c>
      <c r="AO578" s="27">
        <v>0</v>
      </c>
      <c r="AP578" s="27">
        <v>0</v>
      </c>
      <c r="AQ578" s="27">
        <v>1</v>
      </c>
      <c r="AR578" s="27">
        <v>0</v>
      </c>
      <c r="AS578" s="27">
        <v>0</v>
      </c>
      <c r="AT578" s="27">
        <v>0</v>
      </c>
      <c r="AU578" s="27">
        <v>0</v>
      </c>
      <c r="AV578" s="27">
        <v>1</v>
      </c>
      <c r="AW578" s="27">
        <v>1</v>
      </c>
      <c r="AX578" s="27">
        <v>0</v>
      </c>
      <c r="AY578" s="27">
        <v>8</v>
      </c>
      <c r="AZ578" s="27">
        <v>1</v>
      </c>
      <c r="BA578" s="27">
        <v>2</v>
      </c>
      <c r="BB578" s="27">
        <v>35.2</v>
      </c>
      <c r="BC578" s="27" t="s">
        <v>251</v>
      </c>
      <c r="BD578" s="27" t="s">
        <v>356</v>
      </c>
      <c r="BE578" s="27" t="s">
        <v>423</v>
      </c>
      <c r="BF578" s="27" t="s">
        <v>77</v>
      </c>
      <c r="BG578" s="27">
        <v>161</v>
      </c>
      <c r="BH578" s="27">
        <v>61</v>
      </c>
      <c r="BI578" s="27">
        <v>0.7252</v>
      </c>
      <c r="BJ578" s="27">
        <v>0</v>
      </c>
      <c r="BK578" s="27">
        <v>11</v>
      </c>
      <c r="BL578" s="27">
        <v>97</v>
      </c>
    </row>
    <row r="579" customHeight="1" spans="1:64">
      <c r="A579" s="27" t="s">
        <v>1822</v>
      </c>
      <c r="B579" s="27" t="s">
        <v>282</v>
      </c>
      <c r="E579" s="27" t="s">
        <v>1823</v>
      </c>
      <c r="F579" s="27" t="s">
        <v>160</v>
      </c>
      <c r="G579" s="27" t="s">
        <v>83</v>
      </c>
      <c r="H579" s="27" t="s">
        <v>84</v>
      </c>
      <c r="I579" s="27" t="s">
        <v>85</v>
      </c>
      <c r="J579" s="27">
        <v>5</v>
      </c>
      <c r="K579" s="27">
        <v>409.99</v>
      </c>
      <c r="M579" s="27">
        <v>0</v>
      </c>
      <c r="N579" s="27">
        <v>0</v>
      </c>
      <c r="O579" s="27">
        <v>0</v>
      </c>
      <c r="P579" s="27" t="s">
        <v>71</v>
      </c>
      <c r="Q579" s="27">
        <v>6.018569</v>
      </c>
      <c r="R579" s="27">
        <v>25.62</v>
      </c>
      <c r="S579" s="27">
        <v>131</v>
      </c>
      <c r="T579" s="27">
        <v>10</v>
      </c>
      <c r="U579" s="27">
        <v>0.9291</v>
      </c>
      <c r="V579" s="27" t="s">
        <v>72</v>
      </c>
      <c r="W579" s="27">
        <v>53708.69</v>
      </c>
      <c r="X579" s="27">
        <v>4.882802</v>
      </c>
      <c r="Y579" s="27">
        <v>10.891349</v>
      </c>
      <c r="Z579" s="27">
        <v>3.1623</v>
      </c>
      <c r="AA579" s="27" t="s">
        <v>139</v>
      </c>
      <c r="AB579" s="27">
        <v>0</v>
      </c>
      <c r="AC579" s="27">
        <v>0</v>
      </c>
      <c r="AD579" s="27">
        <v>0</v>
      </c>
      <c r="AE579" s="27">
        <v>0</v>
      </c>
      <c r="AF579" s="27">
        <v>0</v>
      </c>
      <c r="AG579" s="27">
        <v>0</v>
      </c>
      <c r="AH579" s="27">
        <v>0</v>
      </c>
      <c r="AI579" s="27">
        <v>0</v>
      </c>
      <c r="AJ579" s="27">
        <v>0</v>
      </c>
      <c r="AK579" s="27">
        <v>0</v>
      </c>
      <c r="AL579" s="27">
        <v>0</v>
      </c>
      <c r="AM579" s="27">
        <v>0</v>
      </c>
      <c r="AN579" s="27">
        <v>0</v>
      </c>
      <c r="AO579" s="27">
        <v>0</v>
      </c>
      <c r="AP579" s="27">
        <v>0</v>
      </c>
      <c r="AQ579" s="27">
        <v>1</v>
      </c>
      <c r="AR579" s="27">
        <v>0</v>
      </c>
      <c r="AS579" s="27">
        <v>0</v>
      </c>
      <c r="AT579" s="27">
        <v>0</v>
      </c>
      <c r="AU579" s="27">
        <v>0</v>
      </c>
      <c r="AV579" s="27">
        <v>1</v>
      </c>
      <c r="AW579" s="27">
        <v>1</v>
      </c>
      <c r="AX579" s="27">
        <v>0</v>
      </c>
      <c r="AY579" s="27">
        <v>16</v>
      </c>
      <c r="AZ579" s="27">
        <v>1</v>
      </c>
      <c r="BA579" s="27">
        <v>1</v>
      </c>
      <c r="BB579" s="27">
        <v>67.01</v>
      </c>
      <c r="BC579" s="27" t="s">
        <v>285</v>
      </c>
      <c r="BD579" s="27" t="s">
        <v>286</v>
      </c>
      <c r="BE579" s="27" t="s">
        <v>287</v>
      </c>
      <c r="BF579" s="27" t="s">
        <v>77</v>
      </c>
      <c r="BG579" s="27">
        <v>1</v>
      </c>
      <c r="BH579" s="27">
        <v>20</v>
      </c>
      <c r="BI579" s="27">
        <v>0.0476</v>
      </c>
      <c r="BJ579" s="27">
        <v>1</v>
      </c>
      <c r="BK579" s="27">
        <v>2</v>
      </c>
      <c r="BL579" s="27">
        <v>99.5</v>
      </c>
    </row>
    <row r="580" customHeight="1" spans="1:64">
      <c r="A580" s="27" t="s">
        <v>1824</v>
      </c>
      <c r="B580" s="27" t="s">
        <v>344</v>
      </c>
      <c r="E580" s="27" t="s">
        <v>122</v>
      </c>
      <c r="F580" s="27" t="s">
        <v>82</v>
      </c>
      <c r="G580" s="27" t="s">
        <v>346</v>
      </c>
      <c r="H580" s="27" t="s">
        <v>107</v>
      </c>
      <c r="I580" s="27" t="s">
        <v>85</v>
      </c>
      <c r="J580" s="27">
        <v>5</v>
      </c>
      <c r="K580" s="27">
        <v>27.19</v>
      </c>
      <c r="M580" s="27">
        <v>0</v>
      </c>
      <c r="N580" s="27">
        <v>0</v>
      </c>
      <c r="O580" s="27">
        <v>0</v>
      </c>
      <c r="P580" s="27" t="s">
        <v>86</v>
      </c>
      <c r="Q580" s="27">
        <v>3.338967</v>
      </c>
      <c r="S580" s="27">
        <v>103</v>
      </c>
      <c r="T580" s="27">
        <v>1</v>
      </c>
      <c r="U580" s="27">
        <v>0.9904</v>
      </c>
      <c r="V580" s="27" t="s">
        <v>72</v>
      </c>
      <c r="W580" s="27">
        <v>2800.57</v>
      </c>
      <c r="X580" s="27">
        <v>4.644391</v>
      </c>
      <c r="Y580" s="27">
        <v>7.937935</v>
      </c>
      <c r="Z580" s="27">
        <v>1</v>
      </c>
      <c r="AA580" s="27" t="s">
        <v>125</v>
      </c>
      <c r="AB580" s="27">
        <v>0</v>
      </c>
      <c r="AC580" s="27">
        <v>0</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v>0</v>
      </c>
      <c r="AS580" s="27">
        <v>1</v>
      </c>
      <c r="AT580" s="27">
        <v>0</v>
      </c>
      <c r="AU580" s="27">
        <v>0</v>
      </c>
      <c r="AV580" s="27">
        <v>0</v>
      </c>
      <c r="AW580" s="27">
        <v>0</v>
      </c>
      <c r="AX580" s="27">
        <v>0</v>
      </c>
      <c r="AZ580" s="27">
        <v>1</v>
      </c>
      <c r="BA580" s="27">
        <v>0</v>
      </c>
      <c r="BB580" s="27">
        <v>69.47</v>
      </c>
      <c r="BC580" s="27" t="s">
        <v>1825</v>
      </c>
      <c r="BD580" s="27" t="s">
        <v>156</v>
      </c>
      <c r="BE580" s="27" t="s">
        <v>98</v>
      </c>
      <c r="BF580" s="27" t="s">
        <v>77</v>
      </c>
      <c r="BG580" s="27">
        <v>61</v>
      </c>
      <c r="BH580" s="27">
        <v>140</v>
      </c>
      <c r="BI580" s="27">
        <v>0.3035</v>
      </c>
      <c r="BJ580" s="27">
        <v>0</v>
      </c>
      <c r="BK580" s="27">
        <v>2</v>
      </c>
      <c r="BL580" s="27">
        <v>99.5</v>
      </c>
    </row>
    <row r="581" customHeight="1" spans="1:64">
      <c r="A581" s="27" t="s">
        <v>1826</v>
      </c>
      <c r="B581" s="27" t="s">
        <v>171</v>
      </c>
      <c r="C581" s="27" t="s">
        <v>1827</v>
      </c>
      <c r="E581" s="27" t="s">
        <v>250</v>
      </c>
      <c r="F581" s="27" t="s">
        <v>160</v>
      </c>
      <c r="G581" s="27" t="s">
        <v>83</v>
      </c>
      <c r="H581" s="27" t="s">
        <v>84</v>
      </c>
      <c r="I581" s="27" t="s">
        <v>85</v>
      </c>
      <c r="J581" s="27">
        <v>5</v>
      </c>
      <c r="K581" s="27">
        <v>357.49</v>
      </c>
      <c r="L581" s="27">
        <v>649.99</v>
      </c>
      <c r="M581" s="27">
        <v>45</v>
      </c>
      <c r="N581" s="27">
        <v>292.5</v>
      </c>
      <c r="O581" s="27">
        <v>1</v>
      </c>
      <c r="P581" s="27" t="s">
        <v>71</v>
      </c>
      <c r="Q581" s="27">
        <v>5.881901</v>
      </c>
      <c r="R581" s="27">
        <v>22.34</v>
      </c>
      <c r="S581" s="27">
        <v>9</v>
      </c>
      <c r="T581" s="27">
        <v>10</v>
      </c>
      <c r="U581" s="27">
        <v>0.4737</v>
      </c>
      <c r="V581" s="27" t="s">
        <v>87</v>
      </c>
      <c r="W581" s="27">
        <v>3217.41</v>
      </c>
      <c r="X581" s="27">
        <v>2.302585</v>
      </c>
      <c r="Y581" s="27">
        <v>8.076643</v>
      </c>
      <c r="Z581" s="27">
        <v>3.1623</v>
      </c>
      <c r="AA581" s="27" t="s">
        <v>73</v>
      </c>
      <c r="AB581" s="27">
        <v>1</v>
      </c>
      <c r="AC581" s="27">
        <v>1</v>
      </c>
      <c r="AD581" s="27">
        <v>0</v>
      </c>
      <c r="AE581" s="27">
        <v>0</v>
      </c>
      <c r="AF581" s="27">
        <v>0</v>
      </c>
      <c r="AG581" s="27">
        <v>1</v>
      </c>
      <c r="AH581" s="27">
        <v>0</v>
      </c>
      <c r="AI581" s="27">
        <v>1</v>
      </c>
      <c r="AJ581" s="27">
        <v>0</v>
      </c>
      <c r="AK581" s="27">
        <v>0</v>
      </c>
      <c r="AL581" s="27">
        <v>0</v>
      </c>
      <c r="AM581" s="27">
        <v>0</v>
      </c>
      <c r="AN581" s="27">
        <v>0</v>
      </c>
      <c r="AO581" s="27">
        <v>0</v>
      </c>
      <c r="AP581" s="27">
        <v>0</v>
      </c>
      <c r="AQ581" s="27">
        <v>1</v>
      </c>
      <c r="AR581" s="27">
        <v>0</v>
      </c>
      <c r="AS581" s="27">
        <v>0</v>
      </c>
      <c r="AT581" s="27">
        <v>0</v>
      </c>
      <c r="AU581" s="27">
        <v>0</v>
      </c>
      <c r="AV581" s="27">
        <v>1</v>
      </c>
      <c r="AW581" s="27">
        <v>1</v>
      </c>
      <c r="AX581" s="27">
        <v>0</v>
      </c>
      <c r="AY581" s="27">
        <v>16</v>
      </c>
      <c r="AZ581" s="27">
        <v>1</v>
      </c>
      <c r="BA581" s="27">
        <v>3</v>
      </c>
      <c r="BB581" s="27">
        <v>62.03</v>
      </c>
      <c r="BC581" s="27" t="s">
        <v>174</v>
      </c>
      <c r="BD581" s="27" t="s">
        <v>175</v>
      </c>
      <c r="BE581" s="27" t="s">
        <v>91</v>
      </c>
      <c r="BF581" s="27" t="s">
        <v>77</v>
      </c>
      <c r="BG581" s="27">
        <v>161</v>
      </c>
      <c r="BH581" s="27">
        <v>61</v>
      </c>
      <c r="BI581" s="27">
        <v>0.7252</v>
      </c>
      <c r="BJ581" s="27">
        <v>0</v>
      </c>
      <c r="BK581" s="27">
        <v>5</v>
      </c>
      <c r="BL581" s="27">
        <v>98.6</v>
      </c>
    </row>
    <row r="582" customHeight="1" spans="1:64">
      <c r="A582" s="27" t="s">
        <v>1828</v>
      </c>
      <c r="B582" s="27" t="s">
        <v>1829</v>
      </c>
      <c r="C582" s="27" t="s">
        <v>1830</v>
      </c>
      <c r="E582" s="27" t="s">
        <v>656</v>
      </c>
      <c r="F582" s="27" t="s">
        <v>82</v>
      </c>
      <c r="G582" s="27" t="s">
        <v>819</v>
      </c>
      <c r="H582" s="27" t="s">
        <v>84</v>
      </c>
      <c r="I582" s="27" t="s">
        <v>85</v>
      </c>
      <c r="J582" s="27">
        <v>5</v>
      </c>
      <c r="K582" s="27">
        <v>19.99</v>
      </c>
      <c r="M582" s="27">
        <v>0</v>
      </c>
      <c r="N582" s="27">
        <v>0</v>
      </c>
      <c r="O582" s="27">
        <v>0</v>
      </c>
      <c r="P582" s="27" t="s">
        <v>133</v>
      </c>
      <c r="Q582" s="27">
        <v>3.044046</v>
      </c>
      <c r="S582" s="27">
        <v>76</v>
      </c>
      <c r="T582" s="27">
        <v>10</v>
      </c>
      <c r="U582" s="27">
        <v>0.8837</v>
      </c>
      <c r="V582" s="27" t="s">
        <v>72</v>
      </c>
      <c r="W582" s="27">
        <v>1519.24</v>
      </c>
      <c r="X582" s="27">
        <v>4.343805</v>
      </c>
      <c r="Y582" s="27">
        <v>7.326623</v>
      </c>
      <c r="Z582" s="27">
        <v>3.1623</v>
      </c>
      <c r="AA582" s="27" t="s">
        <v>187</v>
      </c>
      <c r="AB582" s="27">
        <v>0</v>
      </c>
      <c r="AC582" s="27">
        <v>0</v>
      </c>
      <c r="AD582" s="27">
        <v>0</v>
      </c>
      <c r="AE582" s="27">
        <v>0</v>
      </c>
      <c r="AF582" s="27">
        <v>1</v>
      </c>
      <c r="AG582" s="27">
        <v>0</v>
      </c>
      <c r="AH582" s="27">
        <v>0</v>
      </c>
      <c r="AI582" s="27">
        <v>0</v>
      </c>
      <c r="AJ582" s="27">
        <v>0</v>
      </c>
      <c r="AK582" s="27">
        <v>0</v>
      </c>
      <c r="AL582" s="27">
        <v>0</v>
      </c>
      <c r="AM582" s="27">
        <v>0</v>
      </c>
      <c r="AN582" s="27">
        <v>0</v>
      </c>
      <c r="AO582" s="27">
        <v>0</v>
      </c>
      <c r="AP582" s="27">
        <v>0</v>
      </c>
      <c r="AQ582" s="27">
        <v>0</v>
      </c>
      <c r="AR582" s="27">
        <v>0</v>
      </c>
      <c r="AS582" s="27">
        <v>0</v>
      </c>
      <c r="AT582" s="27">
        <v>0</v>
      </c>
      <c r="AU582" s="27">
        <v>0</v>
      </c>
      <c r="AV582" s="27">
        <v>0</v>
      </c>
      <c r="AW582" s="27">
        <v>1</v>
      </c>
      <c r="AX582" s="27">
        <v>0</v>
      </c>
      <c r="AZ582" s="27">
        <v>1</v>
      </c>
      <c r="BA582" s="27">
        <v>0</v>
      </c>
      <c r="BB582" s="27">
        <v>63.55</v>
      </c>
      <c r="BC582" s="27" t="s">
        <v>1831</v>
      </c>
      <c r="BG582" s="27">
        <v>0</v>
      </c>
      <c r="BH582" s="27">
        <v>0</v>
      </c>
      <c r="BJ582" s="27">
        <v>0</v>
      </c>
      <c r="BK582" s="27">
        <v>22</v>
      </c>
      <c r="BL582" s="27">
        <v>94</v>
      </c>
    </row>
    <row r="583" customHeight="1" spans="1:64">
      <c r="A583" s="27" t="s">
        <v>1832</v>
      </c>
      <c r="B583" s="27" t="s">
        <v>335</v>
      </c>
      <c r="C583" s="27" t="s">
        <v>1833</v>
      </c>
      <c r="E583" s="27" t="s">
        <v>81</v>
      </c>
      <c r="F583" s="27" t="s">
        <v>160</v>
      </c>
      <c r="G583" s="27" t="s">
        <v>83</v>
      </c>
      <c r="H583" s="27" t="s">
        <v>84</v>
      </c>
      <c r="I583" s="27" t="s">
        <v>85</v>
      </c>
      <c r="J583" s="27">
        <v>5</v>
      </c>
      <c r="K583" s="27">
        <v>246.99</v>
      </c>
      <c r="L583" s="27">
        <v>259.99</v>
      </c>
      <c r="M583" s="27">
        <v>5</v>
      </c>
      <c r="N583" s="27">
        <v>13</v>
      </c>
      <c r="O583" s="27">
        <v>1</v>
      </c>
      <c r="P583" s="27" t="s">
        <v>71</v>
      </c>
      <c r="Q583" s="27">
        <v>5.513388</v>
      </c>
      <c r="R583" s="27">
        <v>24.7</v>
      </c>
      <c r="S583" s="27">
        <v>1</v>
      </c>
      <c r="T583" s="27">
        <v>10</v>
      </c>
      <c r="U583" s="27">
        <v>0.0909</v>
      </c>
      <c r="V583" s="27" t="s">
        <v>87</v>
      </c>
      <c r="W583" s="27">
        <v>246.99</v>
      </c>
      <c r="X583" s="27">
        <v>0.693147</v>
      </c>
      <c r="Y583" s="27">
        <v>5.513388</v>
      </c>
      <c r="Z583" s="27">
        <v>3.1623</v>
      </c>
      <c r="AA583" s="27" t="s">
        <v>313</v>
      </c>
      <c r="AB583" s="27">
        <v>0</v>
      </c>
      <c r="AC583" s="27">
        <v>0</v>
      </c>
      <c r="AD583" s="27">
        <v>0</v>
      </c>
      <c r="AE583" s="27">
        <v>0</v>
      </c>
      <c r="AF583" s="27">
        <v>0</v>
      </c>
      <c r="AG583" s="27">
        <v>1</v>
      </c>
      <c r="AH583" s="27">
        <v>1</v>
      </c>
      <c r="AI583" s="27">
        <v>0</v>
      </c>
      <c r="AJ583" s="27">
        <v>0</v>
      </c>
      <c r="AK583" s="27">
        <v>0</v>
      </c>
      <c r="AL583" s="27">
        <v>0</v>
      </c>
      <c r="AM583" s="27">
        <v>0</v>
      </c>
      <c r="AN583" s="27">
        <v>0</v>
      </c>
      <c r="AO583" s="27">
        <v>0</v>
      </c>
      <c r="AP583" s="27">
        <v>0</v>
      </c>
      <c r="AQ583" s="27">
        <v>0</v>
      </c>
      <c r="AR583" s="27">
        <v>0</v>
      </c>
      <c r="AS583" s="27">
        <v>0</v>
      </c>
      <c r="AT583" s="27">
        <v>0</v>
      </c>
      <c r="AU583" s="27">
        <v>0</v>
      </c>
      <c r="AV583" s="27">
        <v>0</v>
      </c>
      <c r="AW583" s="27">
        <v>1</v>
      </c>
      <c r="AX583" s="27">
        <v>0</v>
      </c>
      <c r="AY583" s="27">
        <v>10</v>
      </c>
      <c r="AZ583" s="27">
        <v>1</v>
      </c>
      <c r="BA583" s="27">
        <v>1</v>
      </c>
      <c r="BB583" s="27">
        <v>25.84</v>
      </c>
      <c r="BC583" s="27" t="s">
        <v>1834</v>
      </c>
      <c r="BD583" s="27" t="s">
        <v>337</v>
      </c>
      <c r="BE583" s="27" t="s">
        <v>76</v>
      </c>
      <c r="BF583" s="27" t="s">
        <v>77</v>
      </c>
      <c r="BG583" s="27">
        <v>167</v>
      </c>
      <c r="BH583" s="27">
        <v>53</v>
      </c>
      <c r="BI583" s="27">
        <v>0.7591</v>
      </c>
      <c r="BJ583" s="27">
        <v>0</v>
      </c>
      <c r="BK583" s="27">
        <v>113</v>
      </c>
      <c r="BL583" s="27">
        <v>69</v>
      </c>
    </row>
    <row r="584" customHeight="1" spans="1:64">
      <c r="A584" s="27" t="s">
        <v>1835</v>
      </c>
      <c r="B584" s="27" t="s">
        <v>1025</v>
      </c>
      <c r="C584" s="27" t="s">
        <v>1836</v>
      </c>
      <c r="E584" s="27" t="s">
        <v>1837</v>
      </c>
      <c r="F584" s="27" t="s">
        <v>240</v>
      </c>
      <c r="G584" s="27" t="s">
        <v>83</v>
      </c>
      <c r="H584" s="27" t="s">
        <v>84</v>
      </c>
      <c r="I584" s="27" t="s">
        <v>203</v>
      </c>
      <c r="J584" s="27">
        <v>4</v>
      </c>
      <c r="K584" s="27">
        <v>289.99</v>
      </c>
      <c r="M584" s="27">
        <v>0</v>
      </c>
      <c r="N584" s="27">
        <v>0</v>
      </c>
      <c r="O584" s="27">
        <v>0</v>
      </c>
      <c r="P584" s="27" t="s">
        <v>71</v>
      </c>
      <c r="Q584" s="27">
        <v>5.673289</v>
      </c>
      <c r="R584" s="27">
        <v>18.12</v>
      </c>
      <c r="V584" s="27" t="s">
        <v>231</v>
      </c>
      <c r="W584" s="27">
        <v>0</v>
      </c>
      <c r="X584" s="27">
        <v>0</v>
      </c>
      <c r="Y584" s="27">
        <v>0</v>
      </c>
      <c r="Z584" s="27">
        <v>0</v>
      </c>
      <c r="AA584" s="27" t="s">
        <v>125</v>
      </c>
      <c r="AB584" s="27">
        <v>0</v>
      </c>
      <c r="AC584" s="27">
        <v>0</v>
      </c>
      <c r="AD584" s="27">
        <v>0</v>
      </c>
      <c r="AE584" s="27">
        <v>0</v>
      </c>
      <c r="AF584" s="27">
        <v>0</v>
      </c>
      <c r="AG584" s="27">
        <v>0</v>
      </c>
      <c r="AH584" s="27">
        <v>0</v>
      </c>
      <c r="AI584" s="27">
        <v>0</v>
      </c>
      <c r="AJ584" s="27">
        <v>0</v>
      </c>
      <c r="AK584" s="27">
        <v>0</v>
      </c>
      <c r="AL584" s="27">
        <v>0</v>
      </c>
      <c r="AM584" s="27">
        <v>0</v>
      </c>
      <c r="AN584" s="27">
        <v>0</v>
      </c>
      <c r="AO584" s="27">
        <v>0</v>
      </c>
      <c r="AP584" s="27">
        <v>0</v>
      </c>
      <c r="AQ584" s="27">
        <v>0</v>
      </c>
      <c r="AR584" s="27">
        <v>0</v>
      </c>
      <c r="AS584" s="27">
        <v>0</v>
      </c>
      <c r="AT584" s="27">
        <v>0</v>
      </c>
      <c r="AU584" s="27">
        <v>0</v>
      </c>
      <c r="AV584" s="27">
        <v>0</v>
      </c>
      <c r="AW584" s="27">
        <v>1</v>
      </c>
      <c r="AX584" s="27">
        <v>0</v>
      </c>
      <c r="AY584" s="27">
        <v>16</v>
      </c>
      <c r="AZ584" s="27">
        <v>1</v>
      </c>
      <c r="BA584" s="27">
        <v>0</v>
      </c>
      <c r="BB584" s="27">
        <v>0</v>
      </c>
      <c r="BC584" s="27" t="s">
        <v>1838</v>
      </c>
      <c r="BD584" s="27" t="s">
        <v>827</v>
      </c>
      <c r="BE584" s="27" t="s">
        <v>128</v>
      </c>
      <c r="BF584" s="27" t="s">
        <v>77</v>
      </c>
      <c r="BG584" s="27">
        <v>1</v>
      </c>
      <c r="BH584" s="27">
        <v>20</v>
      </c>
      <c r="BI584" s="27">
        <v>0.0476</v>
      </c>
      <c r="BJ584" s="27">
        <v>1</v>
      </c>
    </row>
    <row r="585" customHeight="1" spans="1:64">
      <c r="A585" s="27" t="s">
        <v>1839</v>
      </c>
      <c r="B585" s="27" t="s">
        <v>1025</v>
      </c>
      <c r="C585" s="27" t="s">
        <v>1840</v>
      </c>
      <c r="E585" s="27" t="s">
        <v>1837</v>
      </c>
      <c r="F585" s="27" t="s">
        <v>82</v>
      </c>
      <c r="G585" s="27" t="s">
        <v>83</v>
      </c>
      <c r="H585" s="27" t="s">
        <v>84</v>
      </c>
      <c r="I585" s="27" t="s">
        <v>85</v>
      </c>
      <c r="J585" s="27">
        <v>5</v>
      </c>
      <c r="K585" s="27">
        <v>127.99</v>
      </c>
      <c r="M585" s="27">
        <v>0</v>
      </c>
      <c r="N585" s="27">
        <v>0</v>
      </c>
      <c r="O585" s="27">
        <v>0</v>
      </c>
      <c r="P585" s="27" t="s">
        <v>95</v>
      </c>
      <c r="Q585" s="27">
        <v>4.859735</v>
      </c>
      <c r="S585" s="27">
        <v>17</v>
      </c>
      <c r="T585" s="27">
        <v>10</v>
      </c>
      <c r="U585" s="27">
        <v>0.6296</v>
      </c>
      <c r="V585" s="27" t="s">
        <v>72</v>
      </c>
      <c r="W585" s="27">
        <v>2175.83</v>
      </c>
      <c r="X585" s="27">
        <v>2.890372</v>
      </c>
      <c r="Y585" s="27">
        <v>7.685625</v>
      </c>
      <c r="Z585" s="27">
        <v>3.1623</v>
      </c>
      <c r="AA585" s="27" t="s">
        <v>125</v>
      </c>
      <c r="AB585" s="27">
        <v>0</v>
      </c>
      <c r="AC585" s="27">
        <v>0</v>
      </c>
      <c r="AD585" s="27">
        <v>0</v>
      </c>
      <c r="AE585" s="27">
        <v>0</v>
      </c>
      <c r="AF585" s="27">
        <v>0</v>
      </c>
      <c r="AG585" s="27">
        <v>0</v>
      </c>
      <c r="AH585" s="27">
        <v>0</v>
      </c>
      <c r="AI585" s="27">
        <v>0</v>
      </c>
      <c r="AJ585" s="27">
        <v>0</v>
      </c>
      <c r="AK585" s="27">
        <v>0</v>
      </c>
      <c r="AL585" s="27">
        <v>0</v>
      </c>
      <c r="AM585" s="27">
        <v>0</v>
      </c>
      <c r="AN585" s="27">
        <v>0</v>
      </c>
      <c r="AO585" s="27">
        <v>0</v>
      </c>
      <c r="AP585" s="27">
        <v>0</v>
      </c>
      <c r="AQ585" s="27">
        <v>0</v>
      </c>
      <c r="AR585" s="27">
        <v>0</v>
      </c>
      <c r="AS585" s="27">
        <v>0</v>
      </c>
      <c r="AT585" s="27">
        <v>0</v>
      </c>
      <c r="AU585" s="27">
        <v>0</v>
      </c>
      <c r="AV585" s="27">
        <v>0</v>
      </c>
      <c r="AW585" s="27">
        <v>0</v>
      </c>
      <c r="AX585" s="27">
        <v>0</v>
      </c>
      <c r="AZ585" s="27">
        <v>1</v>
      </c>
      <c r="BA585" s="27">
        <v>0</v>
      </c>
      <c r="BB585" s="27">
        <v>55.03</v>
      </c>
      <c r="BC585" s="27" t="s">
        <v>1841</v>
      </c>
      <c r="BD585" s="27" t="s">
        <v>77</v>
      </c>
      <c r="BE585" s="27" t="s">
        <v>77</v>
      </c>
      <c r="BF585" s="27" t="s">
        <v>77</v>
      </c>
      <c r="BG585" s="27">
        <v>1</v>
      </c>
      <c r="BH585" s="27">
        <v>28</v>
      </c>
      <c r="BI585" s="27">
        <v>0.0345</v>
      </c>
      <c r="BJ585" s="27">
        <v>1</v>
      </c>
      <c r="BK585" s="27">
        <v>2</v>
      </c>
      <c r="BL585" s="27">
        <v>99.5</v>
      </c>
    </row>
    <row r="586" customHeight="1" spans="1:64">
      <c r="A586" s="27" t="s">
        <v>1842</v>
      </c>
      <c r="B586" s="27" t="s">
        <v>144</v>
      </c>
      <c r="C586" s="27" t="s">
        <v>1843</v>
      </c>
      <c r="D586" s="27">
        <v>636391137584</v>
      </c>
      <c r="E586" s="27" t="s">
        <v>1844</v>
      </c>
      <c r="F586" s="27" t="s">
        <v>68</v>
      </c>
      <c r="G586" s="27" t="s">
        <v>83</v>
      </c>
      <c r="H586" s="27" t="s">
        <v>84</v>
      </c>
      <c r="I586" s="27" t="s">
        <v>85</v>
      </c>
      <c r="J586" s="27">
        <v>5</v>
      </c>
      <c r="K586" s="27">
        <v>280.2</v>
      </c>
      <c r="L586" s="27">
        <v>294.95</v>
      </c>
      <c r="M586" s="27">
        <v>5</v>
      </c>
      <c r="N586" s="27">
        <v>14.75</v>
      </c>
      <c r="O586" s="27">
        <v>1</v>
      </c>
      <c r="P586" s="27" t="s">
        <v>71</v>
      </c>
      <c r="Q586" s="27">
        <v>5.639066</v>
      </c>
      <c r="S586" s="27">
        <v>160</v>
      </c>
      <c r="T586" s="27">
        <v>10</v>
      </c>
      <c r="U586" s="27">
        <v>0.9412</v>
      </c>
      <c r="V586" s="27" t="s">
        <v>72</v>
      </c>
      <c r="W586" s="27">
        <v>44832</v>
      </c>
      <c r="X586" s="27">
        <v>5.081404</v>
      </c>
      <c r="Y586" s="27">
        <v>10.7107</v>
      </c>
      <c r="Z586" s="27">
        <v>3.1623</v>
      </c>
      <c r="AA586" s="27" t="s">
        <v>125</v>
      </c>
      <c r="AB586" s="27">
        <v>0</v>
      </c>
      <c r="AC586" s="27">
        <v>0</v>
      </c>
      <c r="AD586" s="27">
        <v>0</v>
      </c>
      <c r="AE586" s="27">
        <v>0</v>
      </c>
      <c r="AF586" s="27">
        <v>0</v>
      </c>
      <c r="AG586" s="27">
        <v>0</v>
      </c>
      <c r="AH586" s="27">
        <v>0</v>
      </c>
      <c r="AI586" s="27">
        <v>0</v>
      </c>
      <c r="AJ586" s="27">
        <v>0</v>
      </c>
      <c r="AK586" s="27">
        <v>0</v>
      </c>
      <c r="AL586" s="27">
        <v>0</v>
      </c>
      <c r="AM586" s="27">
        <v>0</v>
      </c>
      <c r="AN586" s="27">
        <v>0</v>
      </c>
      <c r="AO586" s="27">
        <v>0</v>
      </c>
      <c r="AP586" s="27">
        <v>0</v>
      </c>
      <c r="AQ586" s="27">
        <v>0</v>
      </c>
      <c r="AR586" s="27">
        <v>0</v>
      </c>
      <c r="AS586" s="27">
        <v>0</v>
      </c>
      <c r="AT586" s="27">
        <v>0</v>
      </c>
      <c r="AU586" s="27">
        <v>0</v>
      </c>
      <c r="AV586" s="27">
        <v>0</v>
      </c>
      <c r="AW586" s="27">
        <v>0</v>
      </c>
      <c r="AX586" s="27">
        <v>0</v>
      </c>
      <c r="AZ586" s="27">
        <v>1</v>
      </c>
      <c r="BA586" s="27">
        <v>0</v>
      </c>
      <c r="BB586" s="27">
        <v>39.15</v>
      </c>
      <c r="BC586" s="27" t="s">
        <v>1049</v>
      </c>
      <c r="BD586" s="27" t="s">
        <v>1050</v>
      </c>
      <c r="BE586" s="27" t="s">
        <v>1051</v>
      </c>
      <c r="BF586" s="27" t="s">
        <v>77</v>
      </c>
      <c r="BG586" s="27">
        <v>162</v>
      </c>
      <c r="BH586" s="27">
        <v>47</v>
      </c>
      <c r="BI586" s="27">
        <v>0.7751</v>
      </c>
      <c r="BJ586" s="27">
        <v>0</v>
      </c>
      <c r="BK586" s="27">
        <v>1572</v>
      </c>
      <c r="BL586" s="27">
        <v>0</v>
      </c>
    </row>
    <row r="587" customHeight="1" spans="1:64">
      <c r="A587" s="27" t="s">
        <v>1845</v>
      </c>
      <c r="B587" s="27" t="s">
        <v>115</v>
      </c>
      <c r="C587" s="27" t="s">
        <v>1846</v>
      </c>
      <c r="E587" s="27" t="s">
        <v>81</v>
      </c>
      <c r="F587" s="27" t="s">
        <v>68</v>
      </c>
      <c r="G587" s="27" t="s">
        <v>117</v>
      </c>
      <c r="H587" s="27" t="s">
        <v>107</v>
      </c>
      <c r="I587" s="27" t="s">
        <v>153</v>
      </c>
      <c r="J587" s="27">
        <v>2</v>
      </c>
      <c r="K587" s="27">
        <v>29.99</v>
      </c>
      <c r="M587" s="27">
        <v>0</v>
      </c>
      <c r="N587" s="27">
        <v>0</v>
      </c>
      <c r="O587" s="27">
        <v>0</v>
      </c>
      <c r="P587" s="27" t="s">
        <v>86</v>
      </c>
      <c r="Q587" s="27">
        <v>3.433665</v>
      </c>
      <c r="S587" s="27">
        <v>6</v>
      </c>
      <c r="T587" s="27">
        <v>10</v>
      </c>
      <c r="U587" s="27">
        <v>0.375</v>
      </c>
      <c r="V587" s="27" t="s">
        <v>87</v>
      </c>
      <c r="W587" s="27">
        <v>179.94</v>
      </c>
      <c r="X587" s="27">
        <v>1.94591</v>
      </c>
      <c r="Y587" s="27">
        <v>5.198165</v>
      </c>
      <c r="Z587" s="27">
        <v>3.1623</v>
      </c>
      <c r="AA587" s="27" t="s">
        <v>125</v>
      </c>
      <c r="AB587" s="27">
        <v>0</v>
      </c>
      <c r="AC587" s="27">
        <v>0</v>
      </c>
      <c r="AD587" s="27">
        <v>0</v>
      </c>
      <c r="AE587" s="27">
        <v>0</v>
      </c>
      <c r="AF587" s="27">
        <v>1</v>
      </c>
      <c r="AG587" s="27">
        <v>0</v>
      </c>
      <c r="AH587" s="27">
        <v>0</v>
      </c>
      <c r="AI587" s="27">
        <v>0</v>
      </c>
      <c r="AJ587" s="27">
        <v>0</v>
      </c>
      <c r="AK587" s="27">
        <v>0</v>
      </c>
      <c r="AL587" s="27">
        <v>0</v>
      </c>
      <c r="AM587" s="27">
        <v>0</v>
      </c>
      <c r="AN587" s="27">
        <v>0</v>
      </c>
      <c r="AO587" s="27">
        <v>0</v>
      </c>
      <c r="AP587" s="27">
        <v>0</v>
      </c>
      <c r="AQ587" s="27">
        <v>0</v>
      </c>
      <c r="AR587" s="27">
        <v>0</v>
      </c>
      <c r="AS587" s="27">
        <v>0</v>
      </c>
      <c r="AT587" s="27">
        <v>0</v>
      </c>
      <c r="AU587" s="27">
        <v>0</v>
      </c>
      <c r="AV587" s="27">
        <v>0</v>
      </c>
      <c r="AW587" s="27">
        <v>0</v>
      </c>
      <c r="AX587" s="27">
        <v>0</v>
      </c>
      <c r="AZ587" s="27">
        <v>1</v>
      </c>
      <c r="BA587" s="27">
        <v>0</v>
      </c>
      <c r="BB587" s="27">
        <v>44.34</v>
      </c>
      <c r="BC587" s="27" t="s">
        <v>597</v>
      </c>
      <c r="BD587" s="27" t="s">
        <v>598</v>
      </c>
      <c r="BE587" s="27" t="s">
        <v>113</v>
      </c>
      <c r="BF587" s="27" t="s">
        <v>77</v>
      </c>
      <c r="BG587" s="27">
        <v>162</v>
      </c>
      <c r="BH587" s="27">
        <v>19</v>
      </c>
      <c r="BI587" s="27">
        <v>0.895</v>
      </c>
      <c r="BJ587" s="27">
        <v>0</v>
      </c>
      <c r="BK587" s="27">
        <v>8</v>
      </c>
      <c r="BL587" s="27">
        <v>97.8</v>
      </c>
    </row>
    <row r="588" customHeight="1" spans="1:64">
      <c r="A588" s="27" t="s">
        <v>1847</v>
      </c>
      <c r="B588" s="27" t="s">
        <v>104</v>
      </c>
      <c r="C588" s="27" t="s">
        <v>1848</v>
      </c>
      <c r="D588" s="27">
        <v>194644104160</v>
      </c>
      <c r="E588" s="27" t="s">
        <v>1849</v>
      </c>
      <c r="F588" s="27" t="s">
        <v>160</v>
      </c>
      <c r="G588" s="27" t="s">
        <v>106</v>
      </c>
      <c r="H588" s="27" t="s">
        <v>107</v>
      </c>
      <c r="I588" s="27" t="s">
        <v>153</v>
      </c>
      <c r="J588" s="27">
        <v>2</v>
      </c>
      <c r="K588" s="27">
        <v>99.99</v>
      </c>
      <c r="M588" s="27">
        <v>0</v>
      </c>
      <c r="N588" s="27">
        <v>0</v>
      </c>
      <c r="O588" s="27">
        <v>0</v>
      </c>
      <c r="P588" s="27" t="s">
        <v>95</v>
      </c>
      <c r="Q588" s="27">
        <v>4.615022</v>
      </c>
      <c r="S588" s="27">
        <v>68</v>
      </c>
      <c r="T588" s="27">
        <v>2</v>
      </c>
      <c r="U588" s="27">
        <v>0.9714</v>
      </c>
      <c r="V588" s="27" t="s">
        <v>72</v>
      </c>
      <c r="W588" s="27">
        <v>6799.32</v>
      </c>
      <c r="X588" s="27">
        <v>4.234107</v>
      </c>
      <c r="Y588" s="27">
        <v>8.824725</v>
      </c>
      <c r="Z588" s="27">
        <v>1.4142</v>
      </c>
      <c r="AA588" s="27" t="s">
        <v>125</v>
      </c>
      <c r="AB588" s="27">
        <v>0</v>
      </c>
      <c r="AC588" s="27">
        <v>0</v>
      </c>
      <c r="AD588" s="27">
        <v>0</v>
      </c>
      <c r="AE588" s="27">
        <v>0</v>
      </c>
      <c r="AF588" s="27">
        <v>0</v>
      </c>
      <c r="AG588" s="27">
        <v>0</v>
      </c>
      <c r="AH588" s="27">
        <v>0</v>
      </c>
      <c r="AI588" s="27">
        <v>0</v>
      </c>
      <c r="AJ588" s="27">
        <v>0</v>
      </c>
      <c r="AK588" s="27">
        <v>0</v>
      </c>
      <c r="AL588" s="27">
        <v>0</v>
      </c>
      <c r="AM588" s="27">
        <v>0</v>
      </c>
      <c r="AN588" s="27">
        <v>0</v>
      </c>
      <c r="AO588" s="27">
        <v>0</v>
      </c>
      <c r="AP588" s="27">
        <v>0</v>
      </c>
      <c r="AQ588" s="27">
        <v>0</v>
      </c>
      <c r="AR588" s="27">
        <v>0</v>
      </c>
      <c r="AS588" s="27">
        <v>0</v>
      </c>
      <c r="AT588" s="27">
        <v>0</v>
      </c>
      <c r="AU588" s="27">
        <v>0</v>
      </c>
      <c r="AV588" s="27">
        <v>0</v>
      </c>
      <c r="AW588" s="27">
        <v>0</v>
      </c>
      <c r="AX588" s="27">
        <v>0</v>
      </c>
      <c r="AZ588" s="27">
        <v>1</v>
      </c>
      <c r="BA588" s="27">
        <v>0</v>
      </c>
      <c r="BB588" s="27">
        <v>68.71</v>
      </c>
      <c r="BC588" s="27" t="s">
        <v>597</v>
      </c>
      <c r="BD588" s="27" t="s">
        <v>598</v>
      </c>
      <c r="BE588" s="27" t="s">
        <v>113</v>
      </c>
      <c r="BF588" s="27" t="s">
        <v>77</v>
      </c>
      <c r="BG588" s="27">
        <v>162</v>
      </c>
      <c r="BH588" s="27">
        <v>19</v>
      </c>
      <c r="BI588" s="27">
        <v>0.895</v>
      </c>
      <c r="BJ588" s="27">
        <v>0</v>
      </c>
      <c r="BK588" s="27">
        <v>2</v>
      </c>
      <c r="BL588" s="27">
        <v>99.5</v>
      </c>
    </row>
    <row r="589" customHeight="1" spans="1:64">
      <c r="A589" s="27" t="s">
        <v>1850</v>
      </c>
      <c r="B589" s="27" t="s">
        <v>1851</v>
      </c>
      <c r="E589" s="27" t="s">
        <v>217</v>
      </c>
      <c r="F589" s="27" t="s">
        <v>132</v>
      </c>
      <c r="G589" s="27" t="s">
        <v>83</v>
      </c>
      <c r="H589" s="27" t="s">
        <v>84</v>
      </c>
      <c r="I589" s="27" t="s">
        <v>85</v>
      </c>
      <c r="J589" s="27">
        <v>5</v>
      </c>
      <c r="K589" s="27">
        <v>9.99</v>
      </c>
      <c r="M589" s="27">
        <v>0</v>
      </c>
      <c r="N589" s="27">
        <v>0</v>
      </c>
      <c r="O589" s="27">
        <v>0</v>
      </c>
      <c r="P589" s="27" t="s">
        <v>133</v>
      </c>
      <c r="Q589" s="27">
        <v>2.396986</v>
      </c>
      <c r="S589" s="27">
        <v>5</v>
      </c>
      <c r="T589" s="27">
        <v>6</v>
      </c>
      <c r="U589" s="27">
        <v>0.4545</v>
      </c>
      <c r="V589" s="27" t="s">
        <v>87</v>
      </c>
      <c r="W589" s="27">
        <v>49.95</v>
      </c>
      <c r="X589" s="27">
        <v>1.791759</v>
      </c>
      <c r="Y589" s="27">
        <v>3.930845</v>
      </c>
      <c r="Z589" s="27">
        <v>2.4495</v>
      </c>
      <c r="AA589" s="27" t="s">
        <v>125</v>
      </c>
      <c r="AB589" s="27">
        <v>0</v>
      </c>
      <c r="AC589" s="27">
        <v>0</v>
      </c>
      <c r="AD589" s="27">
        <v>0</v>
      </c>
      <c r="AE589" s="27">
        <v>0</v>
      </c>
      <c r="AF589" s="27">
        <v>0</v>
      </c>
      <c r="AG589" s="27">
        <v>0</v>
      </c>
      <c r="AH589" s="27">
        <v>0</v>
      </c>
      <c r="AI589" s="27">
        <v>0</v>
      </c>
      <c r="AJ589" s="27">
        <v>0</v>
      </c>
      <c r="AK589" s="27">
        <v>0</v>
      </c>
      <c r="AL589" s="27">
        <v>0</v>
      </c>
      <c r="AM589" s="27">
        <v>0</v>
      </c>
      <c r="AN589" s="27">
        <v>0</v>
      </c>
      <c r="AO589" s="27">
        <v>0</v>
      </c>
      <c r="AP589" s="27">
        <v>0</v>
      </c>
      <c r="AQ589" s="27">
        <v>0</v>
      </c>
      <c r="AR589" s="27">
        <v>0</v>
      </c>
      <c r="AS589" s="27">
        <v>0</v>
      </c>
      <c r="AT589" s="27">
        <v>0</v>
      </c>
      <c r="AU589" s="27">
        <v>0</v>
      </c>
      <c r="AV589" s="27">
        <v>0</v>
      </c>
      <c r="AW589" s="27">
        <v>0</v>
      </c>
      <c r="AX589" s="27">
        <v>0</v>
      </c>
      <c r="AZ589" s="27">
        <v>1</v>
      </c>
      <c r="BA589" s="27">
        <v>0</v>
      </c>
      <c r="BB589" s="27">
        <v>18.18</v>
      </c>
      <c r="BC589" s="27" t="s">
        <v>1852</v>
      </c>
      <c r="BD589" s="27" t="s">
        <v>1853</v>
      </c>
      <c r="BE589" s="27" t="s">
        <v>407</v>
      </c>
      <c r="BF589" s="27" t="s">
        <v>77</v>
      </c>
      <c r="BG589" s="27">
        <v>168</v>
      </c>
      <c r="BH589" s="27">
        <v>11</v>
      </c>
      <c r="BI589" s="27">
        <v>0.9385</v>
      </c>
      <c r="BJ589" s="27">
        <v>0</v>
      </c>
    </row>
    <row r="590" customHeight="1" spans="1:64">
      <c r="A590" s="27" t="s">
        <v>1854</v>
      </c>
      <c r="B590" s="27" t="s">
        <v>1855</v>
      </c>
      <c r="C590" s="27" t="s">
        <v>1856</v>
      </c>
      <c r="E590" s="27" t="s">
        <v>1857</v>
      </c>
      <c r="F590" s="27" t="s">
        <v>132</v>
      </c>
      <c r="G590" s="27" t="s">
        <v>83</v>
      </c>
      <c r="H590" s="27" t="s">
        <v>84</v>
      </c>
      <c r="I590" s="27" t="s">
        <v>85</v>
      </c>
      <c r="J590" s="27">
        <v>5</v>
      </c>
      <c r="K590" s="27">
        <v>29.99</v>
      </c>
      <c r="M590" s="27">
        <v>0</v>
      </c>
      <c r="N590" s="27">
        <v>0</v>
      </c>
      <c r="O590" s="27">
        <v>0</v>
      </c>
      <c r="P590" s="27" t="s">
        <v>86</v>
      </c>
      <c r="Q590" s="27">
        <v>3.433665</v>
      </c>
      <c r="S590" s="27">
        <v>44</v>
      </c>
      <c r="T590" s="27">
        <v>10</v>
      </c>
      <c r="U590" s="27">
        <v>0.8148</v>
      </c>
      <c r="V590" s="27" t="s">
        <v>72</v>
      </c>
      <c r="W590" s="27">
        <v>1319.56</v>
      </c>
      <c r="X590" s="27">
        <v>3.806662</v>
      </c>
      <c r="Y590" s="27">
        <v>7.185811</v>
      </c>
      <c r="Z590" s="27">
        <v>3.1623</v>
      </c>
      <c r="AA590" s="27" t="s">
        <v>73</v>
      </c>
      <c r="AB590" s="27">
        <v>0</v>
      </c>
      <c r="AC590" s="27">
        <v>0</v>
      </c>
      <c r="AD590" s="27">
        <v>0</v>
      </c>
      <c r="AE590" s="27">
        <v>0</v>
      </c>
      <c r="AF590" s="27">
        <v>0</v>
      </c>
      <c r="AG590" s="27">
        <v>0</v>
      </c>
      <c r="AH590" s="27">
        <v>0</v>
      </c>
      <c r="AI590" s="27">
        <v>0</v>
      </c>
      <c r="AJ590" s="27">
        <v>0</v>
      </c>
      <c r="AK590" s="27">
        <v>0</v>
      </c>
      <c r="AL590" s="27">
        <v>0</v>
      </c>
      <c r="AM590" s="27">
        <v>0</v>
      </c>
      <c r="AN590" s="27">
        <v>0</v>
      </c>
      <c r="AO590" s="27">
        <v>0</v>
      </c>
      <c r="AP590" s="27">
        <v>0</v>
      </c>
      <c r="AQ590" s="27">
        <v>0</v>
      </c>
      <c r="AR590" s="27">
        <v>0</v>
      </c>
      <c r="AS590" s="27">
        <v>0</v>
      </c>
      <c r="AT590" s="27">
        <v>0</v>
      </c>
      <c r="AU590" s="27">
        <v>0</v>
      </c>
      <c r="AV590" s="27">
        <v>0</v>
      </c>
      <c r="AW590" s="27">
        <v>0</v>
      </c>
      <c r="AX590" s="27">
        <v>0</v>
      </c>
      <c r="AZ590" s="27">
        <v>1</v>
      </c>
      <c r="BA590" s="27">
        <v>0</v>
      </c>
      <c r="BB590" s="27">
        <v>57.67</v>
      </c>
      <c r="BC590" s="27" t="s">
        <v>1858</v>
      </c>
      <c r="BD590" s="27" t="s">
        <v>1859</v>
      </c>
      <c r="BE590" s="27" t="s">
        <v>150</v>
      </c>
      <c r="BF590" s="27" t="s">
        <v>77</v>
      </c>
      <c r="BG590" s="27">
        <v>1</v>
      </c>
      <c r="BH590" s="27">
        <v>94</v>
      </c>
      <c r="BI590" s="27">
        <v>0.0105</v>
      </c>
      <c r="BJ590" s="27">
        <v>1</v>
      </c>
      <c r="BK590" s="27">
        <v>60</v>
      </c>
      <c r="BL590" s="27">
        <v>83.6</v>
      </c>
    </row>
    <row r="591" customHeight="1" spans="1:64">
      <c r="A591" s="27" t="s">
        <v>1860</v>
      </c>
      <c r="B591" s="27" t="s">
        <v>65</v>
      </c>
      <c r="C591" s="27" t="s">
        <v>1861</v>
      </c>
      <c r="E591" s="27" t="s">
        <v>163</v>
      </c>
      <c r="F591" s="27" t="s">
        <v>82</v>
      </c>
      <c r="G591" s="27" t="s">
        <v>65</v>
      </c>
      <c r="H591" s="27" t="s">
        <v>69</v>
      </c>
      <c r="I591" s="27" t="s">
        <v>85</v>
      </c>
      <c r="J591" s="27">
        <v>5</v>
      </c>
      <c r="K591" s="27">
        <v>110.99</v>
      </c>
      <c r="M591" s="27">
        <v>0</v>
      </c>
      <c r="N591" s="27">
        <v>0</v>
      </c>
      <c r="O591" s="27">
        <v>0</v>
      </c>
      <c r="P591" s="27" t="s">
        <v>95</v>
      </c>
      <c r="Q591" s="27">
        <v>4.71841</v>
      </c>
      <c r="S591" s="27">
        <v>7</v>
      </c>
      <c r="T591" s="27">
        <v>10</v>
      </c>
      <c r="U591" s="27">
        <v>0.4118</v>
      </c>
      <c r="V591" s="27" t="s">
        <v>87</v>
      </c>
      <c r="W591" s="27">
        <v>776.93</v>
      </c>
      <c r="X591" s="27">
        <v>2.079442</v>
      </c>
      <c r="Y591" s="27">
        <v>6.656637</v>
      </c>
      <c r="Z591" s="27">
        <v>3.1623</v>
      </c>
      <c r="AA591" s="27" t="s">
        <v>125</v>
      </c>
      <c r="AB591" s="27">
        <v>0</v>
      </c>
      <c r="AC591" s="27">
        <v>0</v>
      </c>
      <c r="AD591" s="27">
        <v>0</v>
      </c>
      <c r="AE591" s="27">
        <v>0</v>
      </c>
      <c r="AF591" s="27">
        <v>0</v>
      </c>
      <c r="AG591" s="27">
        <v>1</v>
      </c>
      <c r="AH591" s="27">
        <v>0</v>
      </c>
      <c r="AI591" s="27">
        <v>0</v>
      </c>
      <c r="AJ591" s="27">
        <v>0</v>
      </c>
      <c r="AK591" s="27">
        <v>0</v>
      </c>
      <c r="AL591" s="27">
        <v>0</v>
      </c>
      <c r="AM591" s="27">
        <v>0</v>
      </c>
      <c r="AN591" s="27">
        <v>0</v>
      </c>
      <c r="AO591" s="27">
        <v>0</v>
      </c>
      <c r="AP591" s="27">
        <v>0</v>
      </c>
      <c r="AQ591" s="27">
        <v>0</v>
      </c>
      <c r="AR591" s="27">
        <v>0</v>
      </c>
      <c r="AS591" s="27">
        <v>0</v>
      </c>
      <c r="AT591" s="27">
        <v>0</v>
      </c>
      <c r="AU591" s="27">
        <v>0</v>
      </c>
      <c r="AV591" s="27">
        <v>0</v>
      </c>
      <c r="AW591" s="27">
        <v>0</v>
      </c>
      <c r="AX591" s="27">
        <v>0</v>
      </c>
      <c r="AZ591" s="27">
        <v>1</v>
      </c>
      <c r="BA591" s="27">
        <v>0</v>
      </c>
      <c r="BB591" s="27">
        <v>46.32</v>
      </c>
      <c r="BC591" s="27" t="s">
        <v>784</v>
      </c>
      <c r="BD591" s="27" t="s">
        <v>785</v>
      </c>
      <c r="BE591" s="27" t="s">
        <v>774</v>
      </c>
      <c r="BF591" s="27" t="s">
        <v>77</v>
      </c>
      <c r="BG591" s="27">
        <v>1</v>
      </c>
      <c r="BH591" s="27">
        <v>27</v>
      </c>
      <c r="BI591" s="27">
        <v>0.0357</v>
      </c>
      <c r="BJ591" s="27">
        <v>1</v>
      </c>
      <c r="BK591" s="27">
        <v>2</v>
      </c>
      <c r="BL591" s="27">
        <v>99.5</v>
      </c>
    </row>
    <row r="592" customHeight="1" spans="1:64">
      <c r="A592" s="27" t="s">
        <v>1862</v>
      </c>
      <c r="B592" s="27" t="s">
        <v>171</v>
      </c>
      <c r="C592" s="27" t="s">
        <v>1863</v>
      </c>
      <c r="E592" s="27" t="s">
        <v>250</v>
      </c>
      <c r="F592" s="27" t="s">
        <v>160</v>
      </c>
      <c r="G592" s="27" t="s">
        <v>83</v>
      </c>
      <c r="H592" s="27" t="s">
        <v>84</v>
      </c>
      <c r="I592" s="27" t="s">
        <v>85</v>
      </c>
      <c r="J592" s="27">
        <v>5</v>
      </c>
      <c r="K592" s="27">
        <v>149.99</v>
      </c>
      <c r="M592" s="27">
        <v>0</v>
      </c>
      <c r="N592" s="27">
        <v>0</v>
      </c>
      <c r="O592" s="27">
        <v>0</v>
      </c>
      <c r="P592" s="27" t="s">
        <v>95</v>
      </c>
      <c r="Q592" s="27">
        <v>5.017214</v>
      </c>
      <c r="R592" s="27">
        <v>18.75</v>
      </c>
      <c r="S592" s="27">
        <v>53</v>
      </c>
      <c r="T592" s="27">
        <v>10</v>
      </c>
      <c r="U592" s="27">
        <v>0.8413</v>
      </c>
      <c r="V592" s="27" t="s">
        <v>72</v>
      </c>
      <c r="W592" s="27">
        <v>7949.47</v>
      </c>
      <c r="X592" s="27">
        <v>3.988984</v>
      </c>
      <c r="Y592" s="27">
        <v>8.980986</v>
      </c>
      <c r="Z592" s="27">
        <v>3.1623</v>
      </c>
      <c r="AA592" s="27" t="s">
        <v>110</v>
      </c>
      <c r="AB592" s="27">
        <v>0</v>
      </c>
      <c r="AC592" s="27">
        <v>0</v>
      </c>
      <c r="AD592" s="27">
        <v>0</v>
      </c>
      <c r="AE592" s="27">
        <v>0</v>
      </c>
      <c r="AF592" s="27">
        <v>0</v>
      </c>
      <c r="AG592" s="27">
        <v>0</v>
      </c>
      <c r="AH592" s="27">
        <v>0</v>
      </c>
      <c r="AI592" s="27">
        <v>0</v>
      </c>
      <c r="AJ592" s="27">
        <v>0</v>
      </c>
      <c r="AK592" s="27">
        <v>0</v>
      </c>
      <c r="AL592" s="27">
        <v>0</v>
      </c>
      <c r="AM592" s="27">
        <v>1</v>
      </c>
      <c r="AN592" s="27">
        <v>0</v>
      </c>
      <c r="AO592" s="27">
        <v>0</v>
      </c>
      <c r="AP592" s="27">
        <v>0</v>
      </c>
      <c r="AQ592" s="27">
        <v>1</v>
      </c>
      <c r="AR592" s="27">
        <v>0</v>
      </c>
      <c r="AS592" s="27">
        <v>0</v>
      </c>
      <c r="AT592" s="27">
        <v>1</v>
      </c>
      <c r="AU592" s="27">
        <v>0</v>
      </c>
      <c r="AV592" s="27">
        <v>1</v>
      </c>
      <c r="AW592" s="27">
        <v>1</v>
      </c>
      <c r="AX592" s="27">
        <v>0</v>
      </c>
      <c r="AY592" s="27">
        <v>8</v>
      </c>
      <c r="AZ592" s="27">
        <v>1</v>
      </c>
      <c r="BA592" s="27">
        <v>2</v>
      </c>
      <c r="BB592" s="27">
        <v>62.75</v>
      </c>
      <c r="BC592" s="27" t="s">
        <v>506</v>
      </c>
      <c r="BG592" s="27">
        <v>0</v>
      </c>
      <c r="BH592" s="27">
        <v>0</v>
      </c>
      <c r="BJ592" s="27">
        <v>0</v>
      </c>
      <c r="BK592" s="27">
        <v>11</v>
      </c>
      <c r="BL592" s="27">
        <v>97</v>
      </c>
    </row>
    <row r="593" customHeight="1" spans="1:64">
      <c r="A593" s="27" t="s">
        <v>1864</v>
      </c>
      <c r="B593" s="27" t="s">
        <v>1865</v>
      </c>
      <c r="E593" s="27" t="s">
        <v>163</v>
      </c>
      <c r="F593" s="27" t="s">
        <v>82</v>
      </c>
      <c r="G593" s="27" t="s">
        <v>83</v>
      </c>
      <c r="H593" s="27" t="s">
        <v>84</v>
      </c>
      <c r="I593" s="27" t="s">
        <v>85</v>
      </c>
      <c r="J593" s="27">
        <v>5</v>
      </c>
      <c r="K593" s="27">
        <v>16.99</v>
      </c>
      <c r="M593" s="27">
        <v>0</v>
      </c>
      <c r="N593" s="27">
        <v>0</v>
      </c>
      <c r="O593" s="27">
        <v>0</v>
      </c>
      <c r="P593" s="27" t="s">
        <v>133</v>
      </c>
      <c r="Q593" s="27">
        <v>2.889816</v>
      </c>
      <c r="S593" s="27">
        <v>9</v>
      </c>
      <c r="T593" s="27">
        <v>3</v>
      </c>
      <c r="U593" s="27">
        <v>0.75</v>
      </c>
      <c r="V593" s="27" t="s">
        <v>87</v>
      </c>
      <c r="W593" s="27">
        <v>152.91</v>
      </c>
      <c r="X593" s="27">
        <v>2.302585</v>
      </c>
      <c r="Y593" s="27">
        <v>5.036368</v>
      </c>
      <c r="Z593" s="27">
        <v>1.7321</v>
      </c>
      <c r="AA593" s="27" t="s">
        <v>125</v>
      </c>
      <c r="AB593" s="27">
        <v>0</v>
      </c>
      <c r="AC593" s="27">
        <v>0</v>
      </c>
      <c r="AD593" s="27">
        <v>0</v>
      </c>
      <c r="AE593" s="27">
        <v>1</v>
      </c>
      <c r="AF593" s="27">
        <v>0</v>
      </c>
      <c r="AG593" s="27">
        <v>0</v>
      </c>
      <c r="AH593" s="27">
        <v>0</v>
      </c>
      <c r="AI593" s="27">
        <v>0</v>
      </c>
      <c r="AJ593" s="27">
        <v>0</v>
      </c>
      <c r="AK593" s="27">
        <v>0</v>
      </c>
      <c r="AL593" s="27">
        <v>0</v>
      </c>
      <c r="AM593" s="27">
        <v>0</v>
      </c>
      <c r="AN593" s="27">
        <v>0</v>
      </c>
      <c r="AO593" s="27">
        <v>0</v>
      </c>
      <c r="AP593" s="27">
        <v>0</v>
      </c>
      <c r="AQ593" s="27">
        <v>0</v>
      </c>
      <c r="AR593" s="27">
        <v>0</v>
      </c>
      <c r="AS593" s="27">
        <v>0</v>
      </c>
      <c r="AT593" s="27">
        <v>1</v>
      </c>
      <c r="AU593" s="27">
        <v>0</v>
      </c>
      <c r="AV593" s="27">
        <v>0</v>
      </c>
      <c r="AW593" s="27">
        <v>0</v>
      </c>
      <c r="AX593" s="27">
        <v>0</v>
      </c>
      <c r="AZ593" s="27">
        <v>1</v>
      </c>
      <c r="BA593" s="27">
        <v>1</v>
      </c>
      <c r="BB593" s="27">
        <v>59.85</v>
      </c>
      <c r="BC593" s="27" t="s">
        <v>1866</v>
      </c>
      <c r="BG593" s="27">
        <v>0</v>
      </c>
      <c r="BH593" s="27">
        <v>0</v>
      </c>
      <c r="BJ593" s="27">
        <v>0</v>
      </c>
      <c r="BK593" s="27">
        <v>2</v>
      </c>
      <c r="BL593" s="27">
        <v>99.5</v>
      </c>
    </row>
    <row r="594" customHeight="1" spans="1:64">
      <c r="A594" s="27" t="s">
        <v>1867</v>
      </c>
      <c r="B594" s="27" t="s">
        <v>125</v>
      </c>
      <c r="E594" s="27" t="s">
        <v>1868</v>
      </c>
      <c r="F594" s="27" t="s">
        <v>82</v>
      </c>
      <c r="G594" s="27" t="s">
        <v>83</v>
      </c>
      <c r="H594" s="27" t="s">
        <v>138</v>
      </c>
      <c r="I594" s="27" t="s">
        <v>85</v>
      </c>
      <c r="J594" s="27">
        <v>5</v>
      </c>
      <c r="K594" s="27">
        <v>16.26</v>
      </c>
      <c r="M594" s="27">
        <v>0</v>
      </c>
      <c r="N594" s="27">
        <v>0</v>
      </c>
      <c r="O594" s="27">
        <v>0</v>
      </c>
      <c r="P594" s="27" t="s">
        <v>133</v>
      </c>
      <c r="Q594" s="27">
        <v>2.848392</v>
      </c>
      <c r="S594" s="27">
        <v>2</v>
      </c>
      <c r="T594" s="27">
        <v>10</v>
      </c>
      <c r="U594" s="27">
        <v>0.1667</v>
      </c>
      <c r="V594" s="27" t="s">
        <v>87</v>
      </c>
      <c r="W594" s="27">
        <v>32.52</v>
      </c>
      <c r="X594" s="27">
        <v>1.098612</v>
      </c>
      <c r="Y594" s="27">
        <v>3.512142</v>
      </c>
      <c r="Z594" s="27">
        <v>3.1623</v>
      </c>
      <c r="AA594" s="27" t="s">
        <v>125</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1</v>
      </c>
      <c r="AR594" s="27">
        <v>0</v>
      </c>
      <c r="AS594" s="27">
        <v>0</v>
      </c>
      <c r="AT594" s="27">
        <v>0</v>
      </c>
      <c r="AU594" s="27">
        <v>0</v>
      </c>
      <c r="AV594" s="27">
        <v>1</v>
      </c>
      <c r="AW594" s="27">
        <v>0</v>
      </c>
      <c r="AX594" s="27">
        <v>0</v>
      </c>
      <c r="AZ594" s="27">
        <v>1</v>
      </c>
      <c r="BA594" s="27">
        <v>1</v>
      </c>
      <c r="BB594" s="27">
        <v>34.87</v>
      </c>
      <c r="BC594" s="27" t="s">
        <v>1869</v>
      </c>
      <c r="BG594" s="27">
        <v>0</v>
      </c>
      <c r="BH594" s="27">
        <v>0</v>
      </c>
      <c r="BJ594" s="27">
        <v>0</v>
      </c>
      <c r="BK594" s="27">
        <v>22</v>
      </c>
      <c r="BL594" s="27">
        <v>94</v>
      </c>
    </row>
    <row r="595" customHeight="1" spans="1:64">
      <c r="A595" s="27" t="s">
        <v>1870</v>
      </c>
      <c r="B595" s="27" t="s">
        <v>448</v>
      </c>
      <c r="E595" s="27" t="s">
        <v>1871</v>
      </c>
      <c r="F595" s="27" t="s">
        <v>82</v>
      </c>
      <c r="G595" s="27" t="s">
        <v>83</v>
      </c>
      <c r="H595" s="27" t="s">
        <v>450</v>
      </c>
      <c r="I595" s="27" t="s">
        <v>85</v>
      </c>
      <c r="J595" s="27">
        <v>5</v>
      </c>
      <c r="K595" s="27">
        <v>49.5</v>
      </c>
      <c r="M595" s="27">
        <v>0</v>
      </c>
      <c r="N595" s="27">
        <v>0</v>
      </c>
      <c r="O595" s="27">
        <v>0</v>
      </c>
      <c r="P595" s="27" t="s">
        <v>86</v>
      </c>
      <c r="Q595" s="27">
        <v>3.921973</v>
      </c>
      <c r="S595" s="27">
        <v>3</v>
      </c>
      <c r="T595" s="27">
        <v>10</v>
      </c>
      <c r="U595" s="27">
        <v>0.2308</v>
      </c>
      <c r="V595" s="27" t="s">
        <v>87</v>
      </c>
      <c r="W595" s="27">
        <v>148.5</v>
      </c>
      <c r="X595" s="27">
        <v>1.386294</v>
      </c>
      <c r="Y595" s="27">
        <v>5.007296</v>
      </c>
      <c r="Z595" s="27">
        <v>3.1623</v>
      </c>
      <c r="AA595" s="27" t="s">
        <v>125</v>
      </c>
      <c r="AB595" s="27">
        <v>0</v>
      </c>
      <c r="AC595" s="27">
        <v>0</v>
      </c>
      <c r="AD595" s="27">
        <v>0</v>
      </c>
      <c r="AE595" s="27">
        <v>0</v>
      </c>
      <c r="AF595" s="27">
        <v>0</v>
      </c>
      <c r="AG595" s="27">
        <v>0</v>
      </c>
      <c r="AH595" s="27">
        <v>0</v>
      </c>
      <c r="AI595" s="27">
        <v>0</v>
      </c>
      <c r="AJ595" s="27">
        <v>0</v>
      </c>
      <c r="AK595" s="27">
        <v>0</v>
      </c>
      <c r="AL595" s="27">
        <v>0</v>
      </c>
      <c r="AM595" s="27">
        <v>0</v>
      </c>
      <c r="AN595" s="27">
        <v>0</v>
      </c>
      <c r="AO595" s="27">
        <v>0</v>
      </c>
      <c r="AP595" s="27">
        <v>0</v>
      </c>
      <c r="AQ595" s="27">
        <v>0</v>
      </c>
      <c r="AR595" s="27">
        <v>0</v>
      </c>
      <c r="AS595" s="27">
        <v>0</v>
      </c>
      <c r="AT595" s="27">
        <v>0</v>
      </c>
      <c r="AU595" s="27">
        <v>0</v>
      </c>
      <c r="AV595" s="27">
        <v>0</v>
      </c>
      <c r="AW595" s="27">
        <v>0</v>
      </c>
      <c r="AX595" s="27">
        <v>0</v>
      </c>
      <c r="AZ595" s="27">
        <v>1</v>
      </c>
      <c r="BA595" s="27">
        <v>0</v>
      </c>
      <c r="BB595" s="27">
        <v>38.9</v>
      </c>
      <c r="BC595" s="27" t="s">
        <v>1872</v>
      </c>
      <c r="BG595" s="27">
        <v>0</v>
      </c>
      <c r="BH595" s="27">
        <v>0</v>
      </c>
      <c r="BJ595" s="27">
        <v>0</v>
      </c>
      <c r="BK595" s="27">
        <v>4</v>
      </c>
      <c r="BL595" s="27">
        <v>98.9</v>
      </c>
    </row>
    <row r="596" customHeight="1" spans="1:64">
      <c r="A596" s="27" t="s">
        <v>1873</v>
      </c>
      <c r="B596" s="27" t="s">
        <v>171</v>
      </c>
      <c r="C596" s="27" t="s">
        <v>1874</v>
      </c>
      <c r="E596" s="27" t="s">
        <v>250</v>
      </c>
      <c r="F596" s="27" t="s">
        <v>82</v>
      </c>
      <c r="G596" s="27" t="s">
        <v>83</v>
      </c>
      <c r="H596" s="27" t="s">
        <v>84</v>
      </c>
      <c r="I596" s="27" t="s">
        <v>85</v>
      </c>
      <c r="J596" s="27">
        <v>5</v>
      </c>
      <c r="K596" s="27">
        <v>26.26</v>
      </c>
      <c r="M596" s="27">
        <v>0</v>
      </c>
      <c r="N596" s="27">
        <v>0</v>
      </c>
      <c r="O596" s="27">
        <v>0</v>
      </c>
      <c r="P596" s="27" t="s">
        <v>86</v>
      </c>
      <c r="Q596" s="27">
        <v>3.30542</v>
      </c>
      <c r="S596" s="27">
        <v>482</v>
      </c>
      <c r="T596" s="27">
        <v>10</v>
      </c>
      <c r="U596" s="27">
        <v>0.9797</v>
      </c>
      <c r="V596" s="27" t="s">
        <v>154</v>
      </c>
      <c r="W596" s="27">
        <v>12657.32</v>
      </c>
      <c r="X596" s="27">
        <v>6.180017</v>
      </c>
      <c r="Y596" s="27">
        <v>9.44607</v>
      </c>
      <c r="Z596" s="27">
        <v>3.1623</v>
      </c>
      <c r="AA596" s="27" t="s">
        <v>313</v>
      </c>
      <c r="AB596" s="27">
        <v>1</v>
      </c>
      <c r="AC596" s="27">
        <v>1</v>
      </c>
      <c r="AD596" s="27">
        <v>0</v>
      </c>
      <c r="AE596" s="27">
        <v>0</v>
      </c>
      <c r="AF596" s="27">
        <v>0</v>
      </c>
      <c r="AG596" s="27">
        <v>0</v>
      </c>
      <c r="AH596" s="27">
        <v>0</v>
      </c>
      <c r="AI596" s="27">
        <v>0</v>
      </c>
      <c r="AJ596" s="27">
        <v>0</v>
      </c>
      <c r="AK596" s="27">
        <v>0</v>
      </c>
      <c r="AL596" s="27">
        <v>0</v>
      </c>
      <c r="AM596" s="27">
        <v>0</v>
      </c>
      <c r="AN596" s="27">
        <v>0</v>
      </c>
      <c r="AO596" s="27">
        <v>0</v>
      </c>
      <c r="AP596" s="27">
        <v>0</v>
      </c>
      <c r="AQ596" s="27">
        <v>0</v>
      </c>
      <c r="AR596" s="27">
        <v>0</v>
      </c>
      <c r="AS596" s="27">
        <v>0</v>
      </c>
      <c r="AT596" s="27">
        <v>1</v>
      </c>
      <c r="AU596" s="27">
        <v>0</v>
      </c>
      <c r="AV596" s="27">
        <v>0</v>
      </c>
      <c r="AW596" s="27">
        <v>0</v>
      </c>
      <c r="AX596" s="27">
        <v>0</v>
      </c>
      <c r="AZ596" s="27">
        <v>1</v>
      </c>
      <c r="BA596" s="27">
        <v>2</v>
      </c>
      <c r="BB596" s="27">
        <v>68.2</v>
      </c>
      <c r="BC596" s="27" t="s">
        <v>326</v>
      </c>
      <c r="BD596" s="27" t="s">
        <v>175</v>
      </c>
      <c r="BE596" s="27" t="s">
        <v>91</v>
      </c>
      <c r="BF596" s="27" t="s">
        <v>77</v>
      </c>
      <c r="BG596" s="27">
        <v>162</v>
      </c>
      <c r="BH596" s="27">
        <v>60</v>
      </c>
      <c r="BI596" s="27">
        <v>0.7297</v>
      </c>
      <c r="BJ596" s="27">
        <v>0</v>
      </c>
      <c r="BK596" s="27">
        <v>12</v>
      </c>
      <c r="BL596" s="27">
        <v>96.7</v>
      </c>
    </row>
    <row r="597" customHeight="1" spans="1:64">
      <c r="A597" s="27" t="s">
        <v>1875</v>
      </c>
      <c r="B597" s="27" t="s">
        <v>1876</v>
      </c>
      <c r="E597" s="27" t="s">
        <v>1877</v>
      </c>
      <c r="F597" s="27" t="s">
        <v>82</v>
      </c>
      <c r="G597" s="27" t="s">
        <v>83</v>
      </c>
      <c r="H597" s="27" t="s">
        <v>84</v>
      </c>
      <c r="I597" s="27" t="s">
        <v>85</v>
      </c>
      <c r="J597" s="27">
        <v>5</v>
      </c>
      <c r="K597" s="27">
        <v>27.51</v>
      </c>
      <c r="M597" s="27">
        <v>0</v>
      </c>
      <c r="N597" s="27">
        <v>0</v>
      </c>
      <c r="O597" s="27">
        <v>0</v>
      </c>
      <c r="P597" s="27" t="s">
        <v>86</v>
      </c>
      <c r="Q597" s="27">
        <v>3.350255</v>
      </c>
      <c r="S597" s="27">
        <v>400</v>
      </c>
      <c r="T597" s="27">
        <v>10</v>
      </c>
      <c r="U597" s="27">
        <v>0.9756</v>
      </c>
      <c r="V597" s="27" t="s">
        <v>154</v>
      </c>
      <c r="W597" s="27">
        <v>11004</v>
      </c>
      <c r="X597" s="27">
        <v>5.993961</v>
      </c>
      <c r="Y597" s="27">
        <v>9.306105</v>
      </c>
      <c r="Z597" s="27">
        <v>3.1623</v>
      </c>
      <c r="AA597" s="27" t="s">
        <v>139</v>
      </c>
      <c r="AB597" s="27">
        <v>1</v>
      </c>
      <c r="AC597" s="27">
        <v>0</v>
      </c>
      <c r="AD597" s="27">
        <v>0</v>
      </c>
      <c r="AE597" s="27">
        <v>0</v>
      </c>
      <c r="AF597" s="27">
        <v>0</v>
      </c>
      <c r="AG597" s="27">
        <v>0</v>
      </c>
      <c r="AH597" s="27">
        <v>1</v>
      </c>
      <c r="AI597" s="27">
        <v>0</v>
      </c>
      <c r="AJ597" s="27">
        <v>0</v>
      </c>
      <c r="AK597" s="27">
        <v>1</v>
      </c>
      <c r="AL597" s="27">
        <v>0</v>
      </c>
      <c r="AM597" s="27">
        <v>0</v>
      </c>
      <c r="AN597" s="27">
        <v>0</v>
      </c>
      <c r="AO597" s="27">
        <v>0</v>
      </c>
      <c r="AP597" s="27">
        <v>0</v>
      </c>
      <c r="AQ597" s="27">
        <v>0</v>
      </c>
      <c r="AR597" s="27">
        <v>0</v>
      </c>
      <c r="AS597" s="27">
        <v>0</v>
      </c>
      <c r="AT597" s="27">
        <v>0</v>
      </c>
      <c r="AU597" s="27">
        <v>0</v>
      </c>
      <c r="AV597" s="27">
        <v>0</v>
      </c>
      <c r="AW597" s="27">
        <v>0</v>
      </c>
      <c r="AX597" s="27">
        <v>0</v>
      </c>
      <c r="AZ597" s="27">
        <v>1</v>
      </c>
      <c r="BA597" s="27">
        <v>3</v>
      </c>
      <c r="BB597" s="27">
        <v>68.6</v>
      </c>
      <c r="BC597" s="27" t="s">
        <v>1878</v>
      </c>
      <c r="BD597" s="27" t="s">
        <v>226</v>
      </c>
      <c r="BE597" s="27" t="s">
        <v>77</v>
      </c>
      <c r="BF597" s="27" t="s">
        <v>77</v>
      </c>
      <c r="BG597" s="27">
        <v>1</v>
      </c>
      <c r="BH597" s="27">
        <v>15</v>
      </c>
      <c r="BI597" s="27">
        <v>0.0625</v>
      </c>
      <c r="BJ597" s="27">
        <v>1</v>
      </c>
      <c r="BK597" s="27">
        <v>5</v>
      </c>
      <c r="BL597" s="27">
        <v>98.6</v>
      </c>
    </row>
    <row r="598" customHeight="1" spans="1:64">
      <c r="A598" s="27" t="s">
        <v>1879</v>
      </c>
      <c r="B598" s="27" t="s">
        <v>171</v>
      </c>
      <c r="C598" s="27" t="s">
        <v>1880</v>
      </c>
      <c r="E598" s="27" t="s">
        <v>173</v>
      </c>
      <c r="F598" s="27" t="s">
        <v>160</v>
      </c>
      <c r="G598" s="27" t="s">
        <v>83</v>
      </c>
      <c r="H598" s="27" t="s">
        <v>84</v>
      </c>
      <c r="I598" s="27" t="s">
        <v>85</v>
      </c>
      <c r="J598" s="27">
        <v>5</v>
      </c>
      <c r="K598" s="27">
        <v>87.07</v>
      </c>
      <c r="M598" s="27">
        <v>0</v>
      </c>
      <c r="N598" s="27">
        <v>0</v>
      </c>
      <c r="O598" s="27">
        <v>0</v>
      </c>
      <c r="P598" s="27" t="s">
        <v>95</v>
      </c>
      <c r="Q598" s="27">
        <v>4.478132</v>
      </c>
      <c r="S598" s="27">
        <v>37</v>
      </c>
      <c r="T598" s="27">
        <v>10</v>
      </c>
      <c r="U598" s="27">
        <v>0.7872</v>
      </c>
      <c r="V598" s="27" t="s">
        <v>72</v>
      </c>
      <c r="W598" s="27">
        <v>3221.59</v>
      </c>
      <c r="X598" s="27">
        <v>3.637586</v>
      </c>
      <c r="Y598" s="27">
        <v>8.077941</v>
      </c>
      <c r="Z598" s="27">
        <v>3.1623</v>
      </c>
      <c r="AA598" s="27" t="s">
        <v>73</v>
      </c>
      <c r="AB598" s="27">
        <v>1</v>
      </c>
      <c r="AC598" s="27">
        <v>1</v>
      </c>
      <c r="AD598" s="27">
        <v>1</v>
      </c>
      <c r="AE598" s="27">
        <v>0</v>
      </c>
      <c r="AF598" s="27">
        <v>0</v>
      </c>
      <c r="AG598" s="27">
        <v>1</v>
      </c>
      <c r="AH598" s="27">
        <v>0</v>
      </c>
      <c r="AI598" s="27">
        <v>1</v>
      </c>
      <c r="AJ598" s="27">
        <v>0</v>
      </c>
      <c r="AK598" s="27">
        <v>0</v>
      </c>
      <c r="AL598" s="27">
        <v>0</v>
      </c>
      <c r="AM598" s="27">
        <v>0</v>
      </c>
      <c r="AN598" s="27">
        <v>1</v>
      </c>
      <c r="AO598" s="27">
        <v>0</v>
      </c>
      <c r="AP598" s="27">
        <v>0</v>
      </c>
      <c r="AQ598" s="27">
        <v>0</v>
      </c>
      <c r="AR598" s="27">
        <v>0</v>
      </c>
      <c r="AS598" s="27">
        <v>0</v>
      </c>
      <c r="AT598" s="27">
        <v>0</v>
      </c>
      <c r="AU598" s="27">
        <v>0</v>
      </c>
      <c r="AV598" s="27">
        <v>0</v>
      </c>
      <c r="AW598" s="27">
        <v>0</v>
      </c>
      <c r="AX598" s="27">
        <v>0</v>
      </c>
      <c r="AZ598" s="27">
        <v>1</v>
      </c>
      <c r="BA598" s="27">
        <v>3</v>
      </c>
      <c r="BB598" s="27">
        <v>60.59</v>
      </c>
      <c r="BC598" s="27" t="s">
        <v>326</v>
      </c>
      <c r="BD598" s="27" t="s">
        <v>175</v>
      </c>
      <c r="BE598" s="27" t="s">
        <v>91</v>
      </c>
      <c r="BF598" s="27" t="s">
        <v>77</v>
      </c>
      <c r="BG598" s="27">
        <v>162</v>
      </c>
      <c r="BH598" s="27">
        <v>60</v>
      </c>
      <c r="BI598" s="27">
        <v>0.7297</v>
      </c>
      <c r="BJ598" s="27">
        <v>0</v>
      </c>
      <c r="BK598" s="27">
        <v>11</v>
      </c>
      <c r="BL598" s="27">
        <v>97</v>
      </c>
    </row>
    <row r="599" customHeight="1" spans="1:64">
      <c r="A599" s="27" t="s">
        <v>1881</v>
      </c>
      <c r="B599" s="27" t="s">
        <v>171</v>
      </c>
      <c r="C599" s="27" t="s">
        <v>1882</v>
      </c>
      <c r="E599" s="27" t="s">
        <v>1883</v>
      </c>
      <c r="F599" s="27" t="s">
        <v>160</v>
      </c>
      <c r="G599" s="27" t="s">
        <v>83</v>
      </c>
      <c r="H599" s="27" t="s">
        <v>84</v>
      </c>
      <c r="I599" s="27" t="s">
        <v>85</v>
      </c>
      <c r="J599" s="27">
        <v>5</v>
      </c>
      <c r="K599" s="27">
        <v>109.19</v>
      </c>
      <c r="L599" s="27">
        <v>129.99</v>
      </c>
      <c r="M599" s="27">
        <v>16</v>
      </c>
      <c r="N599" s="27">
        <v>20.8</v>
      </c>
      <c r="O599" s="27">
        <v>1</v>
      </c>
      <c r="P599" s="27" t="s">
        <v>95</v>
      </c>
      <c r="Q599" s="27">
        <v>4.702206</v>
      </c>
      <c r="R599" s="27">
        <v>13.65</v>
      </c>
      <c r="S599" s="27">
        <v>8</v>
      </c>
      <c r="T599" s="27">
        <v>10</v>
      </c>
      <c r="U599" s="27">
        <v>0.4444</v>
      </c>
      <c r="V599" s="27" t="s">
        <v>87</v>
      </c>
      <c r="W599" s="27">
        <v>873.52</v>
      </c>
      <c r="X599" s="27">
        <v>2.197225</v>
      </c>
      <c r="Y599" s="27">
        <v>6.773675</v>
      </c>
      <c r="Z599" s="27">
        <v>3.1623</v>
      </c>
      <c r="AA599" s="27" t="s">
        <v>313</v>
      </c>
      <c r="AB599" s="27">
        <v>1</v>
      </c>
      <c r="AC599" s="27">
        <v>1</v>
      </c>
      <c r="AD599" s="27">
        <v>0</v>
      </c>
      <c r="AE599" s="27">
        <v>0</v>
      </c>
      <c r="AF599" s="27">
        <v>0</v>
      </c>
      <c r="AG599" s="27">
        <v>0</v>
      </c>
      <c r="AH599" s="27">
        <v>0</v>
      </c>
      <c r="AI599" s="27">
        <v>0</v>
      </c>
      <c r="AJ599" s="27">
        <v>0</v>
      </c>
      <c r="AK599" s="27">
        <v>0</v>
      </c>
      <c r="AL599" s="27">
        <v>0</v>
      </c>
      <c r="AM599" s="27">
        <v>0</v>
      </c>
      <c r="AN599" s="27">
        <v>0</v>
      </c>
      <c r="AO599" s="27">
        <v>0</v>
      </c>
      <c r="AP599" s="27">
        <v>0</v>
      </c>
      <c r="AQ599" s="27">
        <v>1</v>
      </c>
      <c r="AR599" s="27">
        <v>0</v>
      </c>
      <c r="AS599" s="27">
        <v>0</v>
      </c>
      <c r="AT599" s="27">
        <v>1</v>
      </c>
      <c r="AU599" s="27">
        <v>0</v>
      </c>
      <c r="AV599" s="27">
        <v>1</v>
      </c>
      <c r="AW599" s="27">
        <v>1</v>
      </c>
      <c r="AX599" s="27">
        <v>0</v>
      </c>
      <c r="AY599" s="27">
        <v>8</v>
      </c>
      <c r="AZ599" s="27">
        <v>1</v>
      </c>
      <c r="BA599" s="27">
        <v>3</v>
      </c>
      <c r="BB599" s="27">
        <v>51.68</v>
      </c>
      <c r="BC599" s="27" t="s">
        <v>174</v>
      </c>
      <c r="BD599" s="27" t="s">
        <v>175</v>
      </c>
      <c r="BE599" s="27" t="s">
        <v>91</v>
      </c>
      <c r="BF599" s="27" t="s">
        <v>77</v>
      </c>
      <c r="BG599" s="27">
        <v>161</v>
      </c>
      <c r="BH599" s="27">
        <v>61</v>
      </c>
      <c r="BI599" s="27">
        <v>0.7252</v>
      </c>
      <c r="BJ599" s="27">
        <v>0</v>
      </c>
      <c r="BK599" s="27">
        <v>11</v>
      </c>
      <c r="BL599" s="27">
        <v>97</v>
      </c>
    </row>
    <row r="600" customHeight="1" spans="1:64">
      <c r="A600" s="27" t="s">
        <v>1884</v>
      </c>
      <c r="B600" s="27" t="s">
        <v>1885</v>
      </c>
      <c r="E600" s="27" t="s">
        <v>1886</v>
      </c>
      <c r="F600" s="27" t="s">
        <v>160</v>
      </c>
      <c r="G600" s="27" t="s">
        <v>83</v>
      </c>
      <c r="H600" s="27" t="s">
        <v>84</v>
      </c>
      <c r="I600" s="27" t="s">
        <v>203</v>
      </c>
      <c r="J600" s="27">
        <v>4</v>
      </c>
      <c r="K600" s="27">
        <v>69.99</v>
      </c>
      <c r="M600" s="27">
        <v>0</v>
      </c>
      <c r="N600" s="27">
        <v>0</v>
      </c>
      <c r="O600" s="27">
        <v>0</v>
      </c>
      <c r="P600" s="27" t="s">
        <v>86</v>
      </c>
      <c r="Q600" s="27">
        <v>4.262539</v>
      </c>
      <c r="S600" s="27">
        <v>26</v>
      </c>
      <c r="T600" s="27">
        <v>1</v>
      </c>
      <c r="U600" s="27">
        <v>0.963</v>
      </c>
      <c r="V600" s="27" t="s">
        <v>72</v>
      </c>
      <c r="W600" s="27">
        <v>1819.74</v>
      </c>
      <c r="X600" s="27">
        <v>3.295837</v>
      </c>
      <c r="Y600" s="27">
        <v>7.506998</v>
      </c>
      <c r="Z600" s="27">
        <v>1</v>
      </c>
      <c r="AA600" s="27" t="s">
        <v>110</v>
      </c>
      <c r="AB600" s="27">
        <v>0</v>
      </c>
      <c r="AC600" s="27">
        <v>0</v>
      </c>
      <c r="AD600" s="27">
        <v>0</v>
      </c>
      <c r="AE600" s="27">
        <v>0</v>
      </c>
      <c r="AF600" s="27">
        <v>0</v>
      </c>
      <c r="AG600" s="27">
        <v>0</v>
      </c>
      <c r="AH600" s="27">
        <v>1</v>
      </c>
      <c r="AI600" s="27">
        <v>0</v>
      </c>
      <c r="AJ600" s="27">
        <v>0</v>
      </c>
      <c r="AK600" s="27">
        <v>1</v>
      </c>
      <c r="AL600" s="27">
        <v>0</v>
      </c>
      <c r="AM600" s="27">
        <v>0</v>
      </c>
      <c r="AN600" s="27">
        <v>0</v>
      </c>
      <c r="AO600" s="27">
        <v>0</v>
      </c>
      <c r="AP600" s="27">
        <v>0</v>
      </c>
      <c r="AQ600" s="27">
        <v>1</v>
      </c>
      <c r="AR600" s="27">
        <v>0</v>
      </c>
      <c r="AS600" s="27">
        <v>0</v>
      </c>
      <c r="AT600" s="27">
        <v>0</v>
      </c>
      <c r="AU600" s="27">
        <v>0</v>
      </c>
      <c r="AV600" s="27">
        <v>1</v>
      </c>
      <c r="AW600" s="27">
        <v>1</v>
      </c>
      <c r="AX600" s="27">
        <v>0</v>
      </c>
      <c r="AZ600" s="27">
        <v>1</v>
      </c>
      <c r="BA600" s="27">
        <v>3</v>
      </c>
      <c r="BB600" s="27">
        <v>68.19</v>
      </c>
      <c r="BC600" s="27" t="s">
        <v>1887</v>
      </c>
      <c r="BD600" s="27" t="s">
        <v>1888</v>
      </c>
      <c r="BE600" s="27" t="s">
        <v>113</v>
      </c>
      <c r="BF600" s="27" t="s">
        <v>77</v>
      </c>
      <c r="BG600" s="27">
        <v>162</v>
      </c>
      <c r="BH600" s="27">
        <v>18</v>
      </c>
      <c r="BI600" s="27">
        <v>0.9</v>
      </c>
      <c r="BJ600" s="27">
        <v>0</v>
      </c>
      <c r="BK600" s="27">
        <v>4</v>
      </c>
      <c r="BL600" s="27">
        <v>98.9</v>
      </c>
    </row>
    <row r="601" customHeight="1" spans="1:64">
      <c r="A601" s="27" t="s">
        <v>1889</v>
      </c>
      <c r="B601" s="27" t="s">
        <v>384</v>
      </c>
      <c r="E601" s="27" t="s">
        <v>81</v>
      </c>
      <c r="F601" s="27" t="s">
        <v>160</v>
      </c>
      <c r="G601" s="27" t="s">
        <v>83</v>
      </c>
      <c r="H601" s="27" t="s">
        <v>84</v>
      </c>
      <c r="I601" s="27" t="s">
        <v>85</v>
      </c>
      <c r="J601" s="27">
        <v>5</v>
      </c>
      <c r="K601" s="27">
        <v>36.99</v>
      </c>
      <c r="L601" s="27">
        <v>52.84</v>
      </c>
      <c r="M601" s="27">
        <v>30</v>
      </c>
      <c r="N601" s="27">
        <v>15.85</v>
      </c>
      <c r="O601" s="27">
        <v>1</v>
      </c>
      <c r="P601" s="27" t="s">
        <v>86</v>
      </c>
      <c r="Q601" s="27">
        <v>3.637323</v>
      </c>
      <c r="S601" s="27">
        <v>49</v>
      </c>
      <c r="T601" s="27">
        <v>10</v>
      </c>
      <c r="U601" s="27">
        <v>0.8305</v>
      </c>
      <c r="V601" s="27" t="s">
        <v>72</v>
      </c>
      <c r="W601" s="27">
        <v>1812.51</v>
      </c>
      <c r="X601" s="27">
        <v>3.912023</v>
      </c>
      <c r="Y601" s="27">
        <v>7.503019</v>
      </c>
      <c r="Z601" s="27">
        <v>3.1623</v>
      </c>
      <c r="AA601" s="27" t="s">
        <v>88</v>
      </c>
      <c r="AB601" s="27">
        <v>0</v>
      </c>
      <c r="AC601" s="27">
        <v>0</v>
      </c>
      <c r="AD601" s="27">
        <v>0</v>
      </c>
      <c r="AE601" s="27">
        <v>1</v>
      </c>
      <c r="AF601" s="27">
        <v>0</v>
      </c>
      <c r="AG601" s="27">
        <v>0</v>
      </c>
      <c r="AH601" s="27">
        <v>1</v>
      </c>
      <c r="AI601" s="27">
        <v>0</v>
      </c>
      <c r="AJ601" s="27">
        <v>0</v>
      </c>
      <c r="AK601" s="27">
        <v>1</v>
      </c>
      <c r="AL601" s="27">
        <v>0</v>
      </c>
      <c r="AM601" s="27">
        <v>0</v>
      </c>
      <c r="AN601" s="27">
        <v>0</v>
      </c>
      <c r="AO601" s="27">
        <v>0</v>
      </c>
      <c r="AP601" s="27">
        <v>0</v>
      </c>
      <c r="AQ601" s="27">
        <v>0</v>
      </c>
      <c r="AR601" s="27">
        <v>0</v>
      </c>
      <c r="AS601" s="27">
        <v>0</v>
      </c>
      <c r="AT601" s="27">
        <v>1</v>
      </c>
      <c r="AU601" s="27">
        <v>0</v>
      </c>
      <c r="AV601" s="27">
        <v>0</v>
      </c>
      <c r="AW601" s="27">
        <v>0</v>
      </c>
      <c r="AX601" s="27">
        <v>0</v>
      </c>
      <c r="AZ601" s="27">
        <v>3</v>
      </c>
      <c r="BA601" s="27">
        <v>3</v>
      </c>
      <c r="BB601" s="27">
        <v>71.74</v>
      </c>
      <c r="BC601" s="27" t="s">
        <v>309</v>
      </c>
      <c r="BD601" s="27" t="s">
        <v>773</v>
      </c>
      <c r="BE601" s="27" t="s">
        <v>774</v>
      </c>
      <c r="BF601" s="27" t="s">
        <v>77</v>
      </c>
      <c r="BG601" s="27">
        <v>1</v>
      </c>
      <c r="BH601" s="27">
        <v>43</v>
      </c>
      <c r="BI601" s="27">
        <v>0.0227</v>
      </c>
      <c r="BJ601" s="27">
        <v>1</v>
      </c>
      <c r="BK601" s="27">
        <v>6</v>
      </c>
      <c r="BL601" s="27">
        <v>98.4</v>
      </c>
    </row>
    <row r="602" customHeight="1" spans="1:64">
      <c r="A602" s="27" t="s">
        <v>1890</v>
      </c>
      <c r="B602" s="27" t="s">
        <v>125</v>
      </c>
      <c r="E602" s="27" t="s">
        <v>163</v>
      </c>
      <c r="F602" s="27" t="s">
        <v>82</v>
      </c>
      <c r="G602" s="27" t="s">
        <v>346</v>
      </c>
      <c r="H602" s="27" t="s">
        <v>138</v>
      </c>
      <c r="I602" s="27" t="s">
        <v>85</v>
      </c>
      <c r="J602" s="27">
        <v>5</v>
      </c>
      <c r="K602" s="27">
        <v>17.99</v>
      </c>
      <c r="M602" s="27">
        <v>0</v>
      </c>
      <c r="N602" s="27">
        <v>0</v>
      </c>
      <c r="O602" s="27">
        <v>0</v>
      </c>
      <c r="P602" s="27" t="s">
        <v>133</v>
      </c>
      <c r="Q602" s="27">
        <v>2.943913</v>
      </c>
      <c r="S602" s="27">
        <v>17</v>
      </c>
      <c r="T602" s="27">
        <v>4</v>
      </c>
      <c r="U602" s="27">
        <v>0.8095</v>
      </c>
      <c r="V602" s="27" t="s">
        <v>72</v>
      </c>
      <c r="W602" s="27">
        <v>305.83</v>
      </c>
      <c r="X602" s="27">
        <v>2.890372</v>
      </c>
      <c r="Y602" s="27">
        <v>5.726294</v>
      </c>
      <c r="Z602" s="27">
        <v>2</v>
      </c>
      <c r="AA602" s="27" t="s">
        <v>125</v>
      </c>
      <c r="AB602" s="27">
        <v>0</v>
      </c>
      <c r="AC602" s="27">
        <v>0</v>
      </c>
      <c r="AD602" s="27">
        <v>0</v>
      </c>
      <c r="AE602" s="27">
        <v>0</v>
      </c>
      <c r="AF602" s="27">
        <v>0</v>
      </c>
      <c r="AG602" s="27">
        <v>0</v>
      </c>
      <c r="AH602" s="27">
        <v>0</v>
      </c>
      <c r="AI602" s="27">
        <v>0</v>
      </c>
      <c r="AJ602" s="27">
        <v>0</v>
      </c>
      <c r="AK602" s="27">
        <v>0</v>
      </c>
      <c r="AL602" s="27">
        <v>0</v>
      </c>
      <c r="AM602" s="27">
        <v>0</v>
      </c>
      <c r="AN602" s="27">
        <v>0</v>
      </c>
      <c r="AO602" s="27">
        <v>0</v>
      </c>
      <c r="AP602" s="27">
        <v>0</v>
      </c>
      <c r="AQ602" s="27">
        <v>0</v>
      </c>
      <c r="AR602" s="27">
        <v>0</v>
      </c>
      <c r="AS602" s="27">
        <v>0</v>
      </c>
      <c r="AT602" s="27">
        <v>0</v>
      </c>
      <c r="AU602" s="27">
        <v>0</v>
      </c>
      <c r="AV602" s="27">
        <v>0</v>
      </c>
      <c r="AW602" s="27">
        <v>0</v>
      </c>
      <c r="AX602" s="27">
        <v>0</v>
      </c>
      <c r="AZ602" s="27">
        <v>1</v>
      </c>
      <c r="BA602" s="27">
        <v>0</v>
      </c>
      <c r="BB602" s="27">
        <v>61.96</v>
      </c>
      <c r="BC602" s="27" t="s">
        <v>1891</v>
      </c>
      <c r="BD602" s="27" t="s">
        <v>156</v>
      </c>
      <c r="BE602" s="27" t="s">
        <v>98</v>
      </c>
      <c r="BF602" s="27" t="s">
        <v>77</v>
      </c>
      <c r="BG602" s="27">
        <v>1</v>
      </c>
      <c r="BH602" s="27">
        <v>27</v>
      </c>
      <c r="BI602" s="27">
        <v>0.0357</v>
      </c>
      <c r="BJ602" s="27">
        <v>1</v>
      </c>
      <c r="BK602" s="27">
        <v>5</v>
      </c>
      <c r="BL602" s="27">
        <v>98.6</v>
      </c>
    </row>
    <row r="603" customHeight="1" spans="1:64">
      <c r="A603" s="27" t="s">
        <v>1892</v>
      </c>
      <c r="B603" s="27" t="s">
        <v>125</v>
      </c>
      <c r="E603" s="27" t="s">
        <v>876</v>
      </c>
      <c r="F603" s="27" t="s">
        <v>132</v>
      </c>
      <c r="G603" s="27" t="s">
        <v>427</v>
      </c>
      <c r="H603" s="27" t="s">
        <v>138</v>
      </c>
      <c r="I603" s="27" t="s">
        <v>85</v>
      </c>
      <c r="J603" s="27">
        <v>5</v>
      </c>
      <c r="K603" s="27">
        <v>35.99</v>
      </c>
      <c r="L603" s="27">
        <v>39.99</v>
      </c>
      <c r="M603" s="27">
        <v>10</v>
      </c>
      <c r="N603" s="27">
        <v>4</v>
      </c>
      <c r="O603" s="27">
        <v>1</v>
      </c>
      <c r="P603" s="27" t="s">
        <v>86</v>
      </c>
      <c r="Q603" s="27">
        <v>3.610648</v>
      </c>
      <c r="S603" s="27">
        <v>280</v>
      </c>
      <c r="T603" s="27">
        <v>10</v>
      </c>
      <c r="U603" s="27">
        <v>0.9655</v>
      </c>
      <c r="V603" s="27" t="s">
        <v>154</v>
      </c>
      <c r="W603" s="27">
        <v>10077.2</v>
      </c>
      <c r="X603" s="27">
        <v>5.638355</v>
      </c>
      <c r="Y603" s="27">
        <v>9.21813</v>
      </c>
      <c r="Z603" s="27">
        <v>3.1623</v>
      </c>
      <c r="AA603" s="27" t="s">
        <v>125</v>
      </c>
      <c r="AB603" s="27">
        <v>0</v>
      </c>
      <c r="AC603" s="27">
        <v>0</v>
      </c>
      <c r="AD603" s="27">
        <v>0</v>
      </c>
      <c r="AE603" s="27">
        <v>0</v>
      </c>
      <c r="AF603" s="27">
        <v>1</v>
      </c>
      <c r="AG603" s="27">
        <v>0</v>
      </c>
      <c r="AH603" s="27">
        <v>0</v>
      </c>
      <c r="AI603" s="27">
        <v>0</v>
      </c>
      <c r="AJ603" s="27">
        <v>0</v>
      </c>
      <c r="AK603" s="27">
        <v>0</v>
      </c>
      <c r="AL603" s="27">
        <v>0</v>
      </c>
      <c r="AM603" s="27">
        <v>0</v>
      </c>
      <c r="AN603" s="27">
        <v>0</v>
      </c>
      <c r="AO603" s="27">
        <v>0</v>
      </c>
      <c r="AP603" s="27">
        <v>0</v>
      </c>
      <c r="AQ603" s="27">
        <v>0</v>
      </c>
      <c r="AR603" s="27">
        <v>0</v>
      </c>
      <c r="AS603" s="27">
        <v>0</v>
      </c>
      <c r="AT603" s="27">
        <v>0</v>
      </c>
      <c r="AU603" s="27">
        <v>0</v>
      </c>
      <c r="AV603" s="27">
        <v>0</v>
      </c>
      <c r="AW603" s="27">
        <v>1</v>
      </c>
      <c r="AX603" s="27">
        <v>0</v>
      </c>
      <c r="AZ603" s="27">
        <v>1</v>
      </c>
      <c r="BA603" s="27">
        <v>0</v>
      </c>
      <c r="BB603" s="27">
        <v>69.07</v>
      </c>
      <c r="BC603" s="27" t="s">
        <v>1893</v>
      </c>
      <c r="BD603" s="27" t="s">
        <v>112</v>
      </c>
      <c r="BE603" s="27" t="s">
        <v>128</v>
      </c>
      <c r="BF603" s="27" t="s">
        <v>77</v>
      </c>
      <c r="BG603" s="27">
        <v>1</v>
      </c>
      <c r="BH603" s="27">
        <v>14</v>
      </c>
      <c r="BI603" s="27">
        <v>0.0667</v>
      </c>
      <c r="BJ603" s="27">
        <v>1</v>
      </c>
      <c r="BK603" s="27">
        <v>31</v>
      </c>
      <c r="BL603" s="27">
        <v>91.5</v>
      </c>
    </row>
    <row r="604" customHeight="1" spans="1:64">
      <c r="A604" s="27" t="s">
        <v>1894</v>
      </c>
      <c r="B604" s="27" t="s">
        <v>245</v>
      </c>
      <c r="C604" s="27" t="s">
        <v>1895</v>
      </c>
      <c r="E604" s="27" t="s">
        <v>255</v>
      </c>
      <c r="F604" s="27" t="s">
        <v>160</v>
      </c>
      <c r="G604" s="27" t="s">
        <v>83</v>
      </c>
      <c r="H604" s="27" t="s">
        <v>84</v>
      </c>
      <c r="I604" s="27" t="s">
        <v>85</v>
      </c>
      <c r="J604" s="27">
        <v>5</v>
      </c>
      <c r="K604" s="27">
        <v>319.79</v>
      </c>
      <c r="M604" s="27">
        <v>0</v>
      </c>
      <c r="N604" s="27">
        <v>0</v>
      </c>
      <c r="O604" s="27">
        <v>0</v>
      </c>
      <c r="P604" s="27" t="s">
        <v>71</v>
      </c>
      <c r="Q604" s="27">
        <v>5.770787</v>
      </c>
      <c r="R604" s="27">
        <v>19.99</v>
      </c>
      <c r="S604" s="27">
        <v>53</v>
      </c>
      <c r="T604" s="27">
        <v>20</v>
      </c>
      <c r="U604" s="27">
        <v>0.726</v>
      </c>
      <c r="V604" s="27" t="s">
        <v>72</v>
      </c>
      <c r="W604" s="27">
        <v>16948.87</v>
      </c>
      <c r="X604" s="27">
        <v>3.988984</v>
      </c>
      <c r="Y604" s="27">
        <v>9.738015</v>
      </c>
      <c r="Z604" s="27">
        <v>4.4721</v>
      </c>
      <c r="AA604" s="27" t="s">
        <v>73</v>
      </c>
      <c r="AB604" s="27">
        <v>0</v>
      </c>
      <c r="AC604" s="27">
        <v>0</v>
      </c>
      <c r="AD604" s="27">
        <v>0</v>
      </c>
      <c r="AE604" s="27">
        <v>0</v>
      </c>
      <c r="AF604" s="27">
        <v>0</v>
      </c>
      <c r="AG604" s="27">
        <v>1</v>
      </c>
      <c r="AH604" s="27">
        <v>0</v>
      </c>
      <c r="AI604" s="27">
        <v>1</v>
      </c>
      <c r="AJ604" s="27">
        <v>0</v>
      </c>
      <c r="AK604" s="27">
        <v>0</v>
      </c>
      <c r="AL604" s="27">
        <v>0</v>
      </c>
      <c r="AM604" s="27">
        <v>0</v>
      </c>
      <c r="AN604" s="27">
        <v>1</v>
      </c>
      <c r="AO604" s="27">
        <v>0</v>
      </c>
      <c r="AP604" s="27">
        <v>0</v>
      </c>
      <c r="AQ604" s="27">
        <v>1</v>
      </c>
      <c r="AR604" s="27">
        <v>0</v>
      </c>
      <c r="AS604" s="27">
        <v>0</v>
      </c>
      <c r="AT604" s="27">
        <v>0</v>
      </c>
      <c r="AU604" s="27">
        <v>0</v>
      </c>
      <c r="AV604" s="27">
        <v>1</v>
      </c>
      <c r="AW604" s="27">
        <v>1</v>
      </c>
      <c r="AX604" s="27">
        <v>0</v>
      </c>
      <c r="AY604" s="27">
        <v>16</v>
      </c>
      <c r="AZ604" s="27">
        <v>1</v>
      </c>
      <c r="BA604" s="27">
        <v>2</v>
      </c>
      <c r="BB604" s="27">
        <v>58.8</v>
      </c>
      <c r="BC604" s="27" t="s">
        <v>251</v>
      </c>
      <c r="BG604" s="27">
        <v>0</v>
      </c>
      <c r="BH604" s="27">
        <v>0</v>
      </c>
      <c r="BJ604" s="27">
        <v>0</v>
      </c>
      <c r="BK604" s="27">
        <v>3</v>
      </c>
      <c r="BL604" s="27">
        <v>99.2</v>
      </c>
    </row>
    <row r="605" customHeight="1" spans="1:64">
      <c r="A605" s="27" t="s">
        <v>200</v>
      </c>
      <c r="B605" s="27" t="s">
        <v>125</v>
      </c>
      <c r="E605" s="27" t="s">
        <v>81</v>
      </c>
      <c r="F605" s="27" t="s">
        <v>82</v>
      </c>
      <c r="G605" s="27" t="s">
        <v>83</v>
      </c>
      <c r="H605" s="27" t="s">
        <v>138</v>
      </c>
      <c r="I605" s="27" t="s">
        <v>85</v>
      </c>
      <c r="J605" s="27">
        <v>5</v>
      </c>
      <c r="K605" s="27">
        <v>52.99</v>
      </c>
      <c r="M605" s="27">
        <v>0</v>
      </c>
      <c r="N605" s="27">
        <v>0</v>
      </c>
      <c r="O605" s="27">
        <v>0</v>
      </c>
      <c r="P605" s="27" t="s">
        <v>86</v>
      </c>
      <c r="Q605" s="27">
        <v>3.988799</v>
      </c>
      <c r="S605" s="27">
        <v>39</v>
      </c>
      <c r="T605" s="27">
        <v>100</v>
      </c>
      <c r="U605" s="27">
        <v>0.2806</v>
      </c>
      <c r="V605" s="27" t="s">
        <v>72</v>
      </c>
      <c r="W605" s="27">
        <v>2066.61</v>
      </c>
      <c r="X605" s="27">
        <v>3.688879</v>
      </c>
      <c r="Y605" s="27">
        <v>7.634149</v>
      </c>
      <c r="Z605" s="27">
        <v>10</v>
      </c>
      <c r="AA605" s="27" t="s">
        <v>139</v>
      </c>
      <c r="AB605" s="27">
        <v>1</v>
      </c>
      <c r="AC605" s="27">
        <v>0</v>
      </c>
      <c r="AD605" s="27">
        <v>0</v>
      </c>
      <c r="AE605" s="27">
        <v>0</v>
      </c>
      <c r="AF605" s="27">
        <v>0</v>
      </c>
      <c r="AG605" s="27">
        <v>0</v>
      </c>
      <c r="AH605" s="27">
        <v>1</v>
      </c>
      <c r="AI605" s="27">
        <v>0</v>
      </c>
      <c r="AJ605" s="27">
        <v>1</v>
      </c>
      <c r="AK605" s="27">
        <v>0</v>
      </c>
      <c r="AL605" s="27">
        <v>0</v>
      </c>
      <c r="AM605" s="27">
        <v>0</v>
      </c>
      <c r="AN605" s="27">
        <v>0</v>
      </c>
      <c r="AO605" s="27">
        <v>0</v>
      </c>
      <c r="AP605" s="27">
        <v>0</v>
      </c>
      <c r="AQ605" s="27">
        <v>0</v>
      </c>
      <c r="AR605" s="27">
        <v>0</v>
      </c>
      <c r="AS605" s="27">
        <v>0</v>
      </c>
      <c r="AT605" s="27">
        <v>1</v>
      </c>
      <c r="AU605" s="27">
        <v>0</v>
      </c>
      <c r="AV605" s="27">
        <v>0</v>
      </c>
      <c r="AW605" s="27">
        <v>1</v>
      </c>
      <c r="AX605" s="27">
        <v>0</v>
      </c>
      <c r="AZ605" s="27">
        <v>1</v>
      </c>
      <c r="BA605" s="27">
        <v>2</v>
      </c>
      <c r="BB605" s="27">
        <v>40.41</v>
      </c>
      <c r="BC605" s="27" t="s">
        <v>1896</v>
      </c>
      <c r="BD605" s="27" t="s">
        <v>741</v>
      </c>
      <c r="BE605" s="27" t="s">
        <v>128</v>
      </c>
      <c r="BF605" s="27" t="s">
        <v>77</v>
      </c>
      <c r="BG605" s="27">
        <v>1</v>
      </c>
      <c r="BH605" s="27">
        <v>11</v>
      </c>
      <c r="BI605" s="27">
        <v>0.0833</v>
      </c>
      <c r="BJ605" s="27">
        <v>1</v>
      </c>
      <c r="BK605" s="27">
        <v>10</v>
      </c>
      <c r="BL605" s="27">
        <v>97.3</v>
      </c>
    </row>
    <row r="606" customHeight="1" spans="1:64">
      <c r="A606" s="27" t="s">
        <v>1897</v>
      </c>
      <c r="B606" s="27" t="s">
        <v>1898</v>
      </c>
      <c r="E606" s="27" t="s">
        <v>81</v>
      </c>
      <c r="F606" s="27" t="s">
        <v>82</v>
      </c>
      <c r="G606" s="27" t="s">
        <v>83</v>
      </c>
      <c r="H606" s="27" t="s">
        <v>84</v>
      </c>
      <c r="I606" s="27" t="s">
        <v>85</v>
      </c>
      <c r="J606" s="27">
        <v>5</v>
      </c>
      <c r="K606" s="27">
        <v>49.94</v>
      </c>
      <c r="M606" s="27">
        <v>0</v>
      </c>
      <c r="N606" s="27">
        <v>0</v>
      </c>
      <c r="O606" s="27">
        <v>0</v>
      </c>
      <c r="P606" s="27" t="s">
        <v>86</v>
      </c>
      <c r="Q606" s="27">
        <v>3.930648</v>
      </c>
      <c r="S606" s="27">
        <v>1</v>
      </c>
      <c r="T606" s="27">
        <v>1</v>
      </c>
      <c r="U606" s="27">
        <v>0.5</v>
      </c>
      <c r="V606" s="27" t="s">
        <v>87</v>
      </c>
      <c r="W606" s="27">
        <v>49.94</v>
      </c>
      <c r="X606" s="27">
        <v>0.693147</v>
      </c>
      <c r="Y606" s="27">
        <v>3.930648</v>
      </c>
      <c r="Z606" s="27">
        <v>1</v>
      </c>
      <c r="AA606" s="27" t="s">
        <v>125</v>
      </c>
      <c r="AB606" s="27">
        <v>0</v>
      </c>
      <c r="AC606" s="27">
        <v>0</v>
      </c>
      <c r="AD606" s="27">
        <v>0</v>
      </c>
      <c r="AE606" s="27">
        <v>1</v>
      </c>
      <c r="AF606" s="27">
        <v>0</v>
      </c>
      <c r="AG606" s="27">
        <v>0</v>
      </c>
      <c r="AH606" s="27">
        <v>1</v>
      </c>
      <c r="AI606" s="27">
        <v>0</v>
      </c>
      <c r="AJ606" s="27">
        <v>0</v>
      </c>
      <c r="AK606" s="27">
        <v>0</v>
      </c>
      <c r="AL606" s="27">
        <v>0</v>
      </c>
      <c r="AM606" s="27">
        <v>0</v>
      </c>
      <c r="AN606" s="27">
        <v>0</v>
      </c>
      <c r="AO606" s="27">
        <v>0</v>
      </c>
      <c r="AP606" s="27">
        <v>0</v>
      </c>
      <c r="AQ606" s="27">
        <v>0</v>
      </c>
      <c r="AR606" s="27">
        <v>0</v>
      </c>
      <c r="AS606" s="27">
        <v>0</v>
      </c>
      <c r="AT606" s="27">
        <v>1</v>
      </c>
      <c r="AU606" s="27">
        <v>0</v>
      </c>
      <c r="AV606" s="27">
        <v>0</v>
      </c>
      <c r="AW606" s="27">
        <v>0</v>
      </c>
      <c r="AX606" s="27">
        <v>0</v>
      </c>
      <c r="AZ606" s="27">
        <v>1</v>
      </c>
      <c r="BA606" s="27">
        <v>2</v>
      </c>
      <c r="BB606" s="27">
        <v>48.53</v>
      </c>
      <c r="BC606" s="27" t="s">
        <v>1899</v>
      </c>
      <c r="BD606" s="27" t="s">
        <v>1900</v>
      </c>
      <c r="BE606" s="27" t="s">
        <v>781</v>
      </c>
      <c r="BF606" s="27" t="s">
        <v>77</v>
      </c>
      <c r="BG606" s="27">
        <v>161</v>
      </c>
      <c r="BH606" s="27">
        <v>20</v>
      </c>
      <c r="BI606" s="27">
        <v>0.8895</v>
      </c>
      <c r="BJ606" s="27">
        <v>0</v>
      </c>
      <c r="BK606" s="27">
        <v>18</v>
      </c>
      <c r="BL606" s="27">
        <v>95.1</v>
      </c>
    </row>
    <row r="607" customHeight="1" spans="1:64">
      <c r="A607" s="27" t="s">
        <v>1901</v>
      </c>
      <c r="B607" s="27" t="s">
        <v>104</v>
      </c>
      <c r="C607" s="27" t="s">
        <v>1902</v>
      </c>
      <c r="D607" s="27">
        <v>194644239725</v>
      </c>
      <c r="E607" s="27" t="s">
        <v>81</v>
      </c>
      <c r="F607" s="27" t="s">
        <v>82</v>
      </c>
      <c r="G607" s="27" t="s">
        <v>106</v>
      </c>
      <c r="H607" s="27" t="s">
        <v>107</v>
      </c>
      <c r="I607" s="27" t="s">
        <v>85</v>
      </c>
      <c r="J607" s="27">
        <v>5</v>
      </c>
      <c r="K607" s="27">
        <v>129.99</v>
      </c>
      <c r="M607" s="27">
        <v>0</v>
      </c>
      <c r="N607" s="27">
        <v>0</v>
      </c>
      <c r="O607" s="27">
        <v>0</v>
      </c>
      <c r="P607" s="27" t="s">
        <v>95</v>
      </c>
      <c r="Q607" s="27">
        <v>4.875121</v>
      </c>
      <c r="S607" s="27">
        <v>21</v>
      </c>
      <c r="T607" s="27">
        <v>10</v>
      </c>
      <c r="U607" s="27">
        <v>0.6774</v>
      </c>
      <c r="V607" s="27" t="s">
        <v>72</v>
      </c>
      <c r="W607" s="27">
        <v>2729.79</v>
      </c>
      <c r="X607" s="27">
        <v>3.091042</v>
      </c>
      <c r="Y607" s="27">
        <v>7.912346</v>
      </c>
      <c r="Z607" s="27">
        <v>3.1623</v>
      </c>
      <c r="AA607" s="27" t="s">
        <v>73</v>
      </c>
      <c r="AB607" s="27">
        <v>1</v>
      </c>
      <c r="AC607" s="27">
        <v>1</v>
      </c>
      <c r="AD607" s="27">
        <v>0</v>
      </c>
      <c r="AE607" s="27">
        <v>0</v>
      </c>
      <c r="AF607" s="27">
        <v>0</v>
      </c>
      <c r="AG607" s="27">
        <v>1</v>
      </c>
      <c r="AH607" s="27">
        <v>0</v>
      </c>
      <c r="AI607" s="27">
        <v>1</v>
      </c>
      <c r="AJ607" s="27">
        <v>0</v>
      </c>
      <c r="AK607" s="27">
        <v>0</v>
      </c>
      <c r="AL607" s="27">
        <v>0</v>
      </c>
      <c r="AM607" s="27">
        <v>0</v>
      </c>
      <c r="AN607" s="27">
        <v>0</v>
      </c>
      <c r="AO607" s="27">
        <v>0</v>
      </c>
      <c r="AP607" s="27">
        <v>0</v>
      </c>
      <c r="AQ607" s="27">
        <v>1</v>
      </c>
      <c r="AR607" s="27">
        <v>0</v>
      </c>
      <c r="AS607" s="27">
        <v>0</v>
      </c>
      <c r="AT607" s="27">
        <v>0</v>
      </c>
      <c r="AU607" s="27">
        <v>0</v>
      </c>
      <c r="AV607" s="27">
        <v>1</v>
      </c>
      <c r="AW607" s="27">
        <v>0</v>
      </c>
      <c r="AX607" s="27">
        <v>0</v>
      </c>
      <c r="AZ607" s="27">
        <v>1</v>
      </c>
      <c r="BA607" s="27">
        <v>3</v>
      </c>
      <c r="BB607" s="27">
        <v>52.84</v>
      </c>
      <c r="BC607" s="27" t="s">
        <v>161</v>
      </c>
      <c r="BD607" s="27" t="s">
        <v>112</v>
      </c>
      <c r="BE607" s="27" t="s">
        <v>113</v>
      </c>
      <c r="BF607" s="27" t="s">
        <v>77</v>
      </c>
      <c r="BG607" s="27">
        <v>147</v>
      </c>
      <c r="BH607" s="27">
        <v>39</v>
      </c>
      <c r="BI607" s="27">
        <v>0.7903</v>
      </c>
      <c r="BJ607" s="27">
        <v>0</v>
      </c>
      <c r="BK607" s="27">
        <v>52</v>
      </c>
      <c r="BL607" s="27">
        <v>85.8</v>
      </c>
    </row>
    <row r="608" customHeight="1" spans="1:64">
      <c r="A608" s="27" t="s">
        <v>1903</v>
      </c>
      <c r="B608" s="27" t="s">
        <v>144</v>
      </c>
      <c r="C608" s="27">
        <v>503421</v>
      </c>
      <c r="D608" s="27">
        <v>636391130066</v>
      </c>
      <c r="E608" s="27" t="s">
        <v>131</v>
      </c>
      <c r="F608" s="27" t="s">
        <v>132</v>
      </c>
      <c r="G608" s="27" t="s">
        <v>83</v>
      </c>
      <c r="H608" s="27" t="s">
        <v>84</v>
      </c>
      <c r="I608" s="27" t="s">
        <v>85</v>
      </c>
      <c r="J608" s="27">
        <v>5</v>
      </c>
      <c r="K608" s="27">
        <v>5.99</v>
      </c>
      <c r="M608" s="27">
        <v>0</v>
      </c>
      <c r="N608" s="27">
        <v>0</v>
      </c>
      <c r="O608" s="27">
        <v>0</v>
      </c>
      <c r="P608" s="27" t="s">
        <v>133</v>
      </c>
      <c r="Q608" s="27">
        <v>1.944481</v>
      </c>
      <c r="S608" s="27">
        <v>28</v>
      </c>
      <c r="T608" s="27">
        <v>10</v>
      </c>
      <c r="U608" s="27">
        <v>0.7368</v>
      </c>
      <c r="V608" s="27" t="s">
        <v>72</v>
      </c>
      <c r="W608" s="27">
        <v>167.72</v>
      </c>
      <c r="X608" s="27">
        <v>3.367296</v>
      </c>
      <c r="Y608" s="27">
        <v>5.128241</v>
      </c>
      <c r="Z608" s="27">
        <v>3.1623</v>
      </c>
      <c r="AA608" s="27" t="s">
        <v>125</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v>0</v>
      </c>
      <c r="AS608" s="27">
        <v>0</v>
      </c>
      <c r="AT608" s="27">
        <v>0</v>
      </c>
      <c r="AU608" s="27">
        <v>0</v>
      </c>
      <c r="AV608" s="27">
        <v>0</v>
      </c>
      <c r="AW608" s="27">
        <v>1</v>
      </c>
      <c r="AX608" s="27">
        <v>0</v>
      </c>
      <c r="AZ608" s="27">
        <v>3</v>
      </c>
      <c r="BA608" s="27">
        <v>0</v>
      </c>
      <c r="BB608" s="27">
        <v>29.47</v>
      </c>
      <c r="BC608" s="27" t="s">
        <v>1049</v>
      </c>
      <c r="BD608" s="27" t="s">
        <v>1050</v>
      </c>
      <c r="BE608" s="27" t="s">
        <v>1051</v>
      </c>
      <c r="BF608" s="27" t="s">
        <v>77</v>
      </c>
      <c r="BG608" s="27">
        <v>163</v>
      </c>
      <c r="BH608" s="27">
        <v>43</v>
      </c>
      <c r="BI608" s="27">
        <v>0.7913</v>
      </c>
      <c r="BJ608" s="27">
        <v>0</v>
      </c>
      <c r="BK608" s="27">
        <v>374</v>
      </c>
      <c r="BL608" s="27">
        <v>0</v>
      </c>
    </row>
    <row r="609" customHeight="1" spans="1:64">
      <c r="A609" s="27" t="s">
        <v>1904</v>
      </c>
      <c r="B609" s="27" t="s">
        <v>1905</v>
      </c>
      <c r="E609" s="27" t="s">
        <v>554</v>
      </c>
      <c r="F609" s="27" t="s">
        <v>240</v>
      </c>
      <c r="G609" s="27" t="s">
        <v>83</v>
      </c>
      <c r="H609" s="27" t="s">
        <v>84</v>
      </c>
      <c r="I609" s="27" t="s">
        <v>153</v>
      </c>
      <c r="J609" s="27">
        <v>2</v>
      </c>
      <c r="K609" s="27">
        <v>69.99</v>
      </c>
      <c r="M609" s="27">
        <v>0</v>
      </c>
      <c r="N609" s="27">
        <v>0</v>
      </c>
      <c r="O609" s="27">
        <v>0</v>
      </c>
      <c r="P609" s="27" t="s">
        <v>86</v>
      </c>
      <c r="Q609" s="27">
        <v>4.262539</v>
      </c>
      <c r="V609" s="27" t="s">
        <v>231</v>
      </c>
      <c r="W609" s="27">
        <v>0</v>
      </c>
      <c r="X609" s="27">
        <v>0</v>
      </c>
      <c r="Y609" s="27">
        <v>0</v>
      </c>
      <c r="Z609" s="27">
        <v>0</v>
      </c>
      <c r="AA609" s="27" t="s">
        <v>125</v>
      </c>
      <c r="AB609" s="27">
        <v>0</v>
      </c>
      <c r="AC609" s="27">
        <v>0</v>
      </c>
      <c r="AD609" s="27">
        <v>0</v>
      </c>
      <c r="AE609" s="27">
        <v>0</v>
      </c>
      <c r="AF609" s="27">
        <v>0</v>
      </c>
      <c r="AG609" s="27">
        <v>0</v>
      </c>
      <c r="AH609" s="27">
        <v>0</v>
      </c>
      <c r="AI609" s="27">
        <v>0</v>
      </c>
      <c r="AJ609" s="27">
        <v>0</v>
      </c>
      <c r="AK609" s="27">
        <v>0</v>
      </c>
      <c r="AL609" s="27">
        <v>0</v>
      </c>
      <c r="AM609" s="27">
        <v>0</v>
      </c>
      <c r="AN609" s="27">
        <v>0</v>
      </c>
      <c r="AO609" s="27">
        <v>0</v>
      </c>
      <c r="AP609" s="27">
        <v>0</v>
      </c>
      <c r="AQ609" s="27">
        <v>1</v>
      </c>
      <c r="AR609" s="27">
        <v>0</v>
      </c>
      <c r="AS609" s="27">
        <v>0</v>
      </c>
      <c r="AT609" s="27">
        <v>0</v>
      </c>
      <c r="AU609" s="27">
        <v>0</v>
      </c>
      <c r="AV609" s="27">
        <v>1</v>
      </c>
      <c r="AW609" s="27">
        <v>1</v>
      </c>
      <c r="AX609" s="27">
        <v>0</v>
      </c>
      <c r="AZ609" s="27">
        <v>1</v>
      </c>
      <c r="BA609" s="27">
        <v>1</v>
      </c>
      <c r="BB609" s="27">
        <v>0</v>
      </c>
      <c r="BC609" s="27" t="s">
        <v>1906</v>
      </c>
      <c r="BD609" s="27" t="s">
        <v>827</v>
      </c>
      <c r="BE609" s="27" t="s">
        <v>113</v>
      </c>
      <c r="BF609" s="27" t="s">
        <v>77</v>
      </c>
      <c r="BG609" s="27">
        <v>168</v>
      </c>
      <c r="BH609" s="27">
        <v>11</v>
      </c>
      <c r="BI609" s="27">
        <v>0.9385</v>
      </c>
      <c r="BJ609" s="27">
        <v>0</v>
      </c>
    </row>
    <row r="610" customHeight="1" spans="1:64">
      <c r="A610" s="27" t="s">
        <v>1907</v>
      </c>
      <c r="B610" s="27" t="s">
        <v>1908</v>
      </c>
      <c r="E610" s="27" t="s">
        <v>250</v>
      </c>
      <c r="F610" s="27" t="s">
        <v>82</v>
      </c>
      <c r="G610" s="27" t="s">
        <v>83</v>
      </c>
      <c r="H610" s="27" t="s">
        <v>84</v>
      </c>
      <c r="I610" s="27" t="s">
        <v>85</v>
      </c>
      <c r="J610" s="27">
        <v>5</v>
      </c>
      <c r="K610" s="27">
        <v>150</v>
      </c>
      <c r="M610" s="27">
        <v>0</v>
      </c>
      <c r="N610" s="27">
        <v>0</v>
      </c>
      <c r="O610" s="27">
        <v>0</v>
      </c>
      <c r="P610" s="27" t="s">
        <v>95</v>
      </c>
      <c r="Q610" s="27">
        <v>5.01728</v>
      </c>
      <c r="T610" s="27">
        <v>10</v>
      </c>
      <c r="U610" s="27">
        <v>0</v>
      </c>
      <c r="V610" s="27" t="s">
        <v>231</v>
      </c>
      <c r="W610" s="27">
        <v>0</v>
      </c>
      <c r="X610" s="27">
        <v>0</v>
      </c>
      <c r="Y610" s="27">
        <v>0</v>
      </c>
      <c r="Z610" s="27">
        <v>3.1623</v>
      </c>
      <c r="AA610" s="27" t="s">
        <v>187</v>
      </c>
      <c r="AB610" s="27">
        <v>1</v>
      </c>
      <c r="AC610" s="27">
        <v>0</v>
      </c>
      <c r="AD610" s="27">
        <v>0</v>
      </c>
      <c r="AE610" s="27">
        <v>0</v>
      </c>
      <c r="AF610" s="27">
        <v>0</v>
      </c>
      <c r="AG610" s="27">
        <v>1</v>
      </c>
      <c r="AH610" s="27">
        <v>0</v>
      </c>
      <c r="AI610" s="27">
        <v>1</v>
      </c>
      <c r="AJ610" s="27">
        <v>0</v>
      </c>
      <c r="AK610" s="27">
        <v>0</v>
      </c>
      <c r="AL610" s="27">
        <v>0</v>
      </c>
      <c r="AM610" s="27">
        <v>0</v>
      </c>
      <c r="AN610" s="27">
        <v>0</v>
      </c>
      <c r="AO610" s="27">
        <v>0</v>
      </c>
      <c r="AP610" s="27">
        <v>0</v>
      </c>
      <c r="AQ610" s="27">
        <v>0</v>
      </c>
      <c r="AR610" s="27">
        <v>0</v>
      </c>
      <c r="AS610" s="27">
        <v>0</v>
      </c>
      <c r="AT610" s="27">
        <v>0</v>
      </c>
      <c r="AU610" s="27">
        <v>0</v>
      </c>
      <c r="AV610" s="27">
        <v>0</v>
      </c>
      <c r="AW610" s="27">
        <v>1</v>
      </c>
      <c r="AX610" s="27">
        <v>0</v>
      </c>
      <c r="AZ610" s="27">
        <v>8</v>
      </c>
      <c r="BA610" s="27">
        <v>1</v>
      </c>
      <c r="BB610" s="27">
        <v>28.35</v>
      </c>
      <c r="BC610" s="27" t="s">
        <v>1909</v>
      </c>
      <c r="BD610" s="27" t="s">
        <v>128</v>
      </c>
      <c r="BE610" s="27" t="s">
        <v>77</v>
      </c>
      <c r="BF610" s="27" t="s">
        <v>77</v>
      </c>
      <c r="BG610" s="27">
        <v>162</v>
      </c>
      <c r="BH610" s="27">
        <v>54</v>
      </c>
      <c r="BI610" s="27">
        <v>0.75</v>
      </c>
      <c r="BJ610" s="27">
        <v>0</v>
      </c>
      <c r="BK610" s="27">
        <v>20</v>
      </c>
      <c r="BL610" s="27">
        <v>94.5</v>
      </c>
    </row>
    <row r="611" customHeight="1" spans="1:64">
      <c r="A611" s="27" t="s">
        <v>1910</v>
      </c>
      <c r="B611" s="27" t="s">
        <v>1911</v>
      </c>
      <c r="E611" s="27" t="s">
        <v>239</v>
      </c>
      <c r="F611" s="27" t="s">
        <v>240</v>
      </c>
      <c r="G611" s="27" t="s">
        <v>83</v>
      </c>
      <c r="H611" s="27" t="s">
        <v>84</v>
      </c>
      <c r="I611" s="27" t="s">
        <v>153</v>
      </c>
      <c r="J611" s="27">
        <v>2</v>
      </c>
      <c r="K611" s="27">
        <v>95</v>
      </c>
      <c r="M611" s="27">
        <v>0</v>
      </c>
      <c r="N611" s="27">
        <v>0</v>
      </c>
      <c r="O611" s="27">
        <v>0</v>
      </c>
      <c r="P611" s="27" t="s">
        <v>95</v>
      </c>
      <c r="Q611" s="27">
        <v>4.564348</v>
      </c>
      <c r="R611" s="27">
        <v>5.94</v>
      </c>
      <c r="V611" s="27" t="s">
        <v>231</v>
      </c>
      <c r="W611" s="27">
        <v>0</v>
      </c>
      <c r="X611" s="27">
        <v>0</v>
      </c>
      <c r="Y611" s="27">
        <v>0</v>
      </c>
      <c r="Z611" s="27">
        <v>0</v>
      </c>
      <c r="AA611" s="27" t="s">
        <v>125</v>
      </c>
      <c r="AB611" s="27">
        <v>0</v>
      </c>
      <c r="AC611" s="27">
        <v>0</v>
      </c>
      <c r="AD611" s="27">
        <v>0</v>
      </c>
      <c r="AE611" s="27">
        <v>0</v>
      </c>
      <c r="AF611" s="27">
        <v>0</v>
      </c>
      <c r="AG611" s="27">
        <v>0</v>
      </c>
      <c r="AH611" s="27">
        <v>0</v>
      </c>
      <c r="AI611" s="27">
        <v>0</v>
      </c>
      <c r="AJ611" s="27">
        <v>0</v>
      </c>
      <c r="AK611" s="27">
        <v>0</v>
      </c>
      <c r="AL611" s="27">
        <v>0</v>
      </c>
      <c r="AM611" s="27">
        <v>0</v>
      </c>
      <c r="AN611" s="27">
        <v>0</v>
      </c>
      <c r="AO611" s="27">
        <v>0</v>
      </c>
      <c r="AP611" s="27">
        <v>0</v>
      </c>
      <c r="AQ611" s="27">
        <v>1</v>
      </c>
      <c r="AR611" s="27">
        <v>0</v>
      </c>
      <c r="AS611" s="27">
        <v>0</v>
      </c>
      <c r="AT611" s="27">
        <v>0</v>
      </c>
      <c r="AU611" s="27">
        <v>0</v>
      </c>
      <c r="AV611" s="27">
        <v>1</v>
      </c>
      <c r="AW611" s="27">
        <v>0</v>
      </c>
      <c r="AX611" s="27">
        <v>0</v>
      </c>
      <c r="AY611" s="27">
        <v>16</v>
      </c>
      <c r="AZ611" s="27">
        <v>1</v>
      </c>
      <c r="BA611" s="27">
        <v>1</v>
      </c>
      <c r="BB611" s="27">
        <v>29.52</v>
      </c>
      <c r="BC611" s="27" t="s">
        <v>1912</v>
      </c>
      <c r="BD611" s="27" t="s">
        <v>1913</v>
      </c>
      <c r="BE611" s="27" t="s">
        <v>243</v>
      </c>
      <c r="BF611" s="27" t="s">
        <v>77</v>
      </c>
      <c r="BG611" s="27">
        <v>168</v>
      </c>
      <c r="BH611" s="27">
        <v>11</v>
      </c>
      <c r="BI611" s="27">
        <v>0.9385</v>
      </c>
      <c r="BJ611" s="27">
        <v>0</v>
      </c>
      <c r="BK611" s="27">
        <v>6</v>
      </c>
      <c r="BL611" s="27">
        <v>98.4</v>
      </c>
    </row>
    <row r="612" customHeight="1" spans="1:64">
      <c r="A612" s="27" t="s">
        <v>1914</v>
      </c>
      <c r="B612" s="27" t="s">
        <v>104</v>
      </c>
      <c r="D612" s="27">
        <v>194644259600</v>
      </c>
      <c r="E612" s="27" t="s">
        <v>81</v>
      </c>
      <c r="F612" s="27" t="s">
        <v>82</v>
      </c>
      <c r="G612" s="27" t="s">
        <v>106</v>
      </c>
      <c r="H612" s="27" t="s">
        <v>107</v>
      </c>
      <c r="I612" s="27" t="s">
        <v>85</v>
      </c>
      <c r="J612" s="27">
        <v>5</v>
      </c>
      <c r="K612" s="27">
        <v>919.99</v>
      </c>
      <c r="L612" s="27">
        <v>1199.99</v>
      </c>
      <c r="M612" s="27">
        <v>23.33</v>
      </c>
      <c r="N612" s="27">
        <v>280</v>
      </c>
      <c r="O612" s="27">
        <v>1</v>
      </c>
      <c r="P612" s="27" t="s">
        <v>147</v>
      </c>
      <c r="Q612" s="27">
        <v>6.825449</v>
      </c>
      <c r="S612" s="27">
        <v>16</v>
      </c>
      <c r="T612" s="27">
        <v>10</v>
      </c>
      <c r="U612" s="27">
        <v>0.6154</v>
      </c>
      <c r="V612" s="27" t="s">
        <v>72</v>
      </c>
      <c r="W612" s="27">
        <v>14719.84</v>
      </c>
      <c r="X612" s="27">
        <v>2.833213</v>
      </c>
      <c r="Y612" s="27">
        <v>9.597019</v>
      </c>
      <c r="Z612" s="27">
        <v>3.1623</v>
      </c>
      <c r="AA612" s="27" t="s">
        <v>73</v>
      </c>
      <c r="AB612" s="27">
        <v>0</v>
      </c>
      <c r="AC612" s="27">
        <v>0</v>
      </c>
      <c r="AD612" s="27">
        <v>0</v>
      </c>
      <c r="AE612" s="27">
        <v>1</v>
      </c>
      <c r="AF612" s="27">
        <v>0</v>
      </c>
      <c r="AG612" s="27">
        <v>0</v>
      </c>
      <c r="AH612" s="27">
        <v>1</v>
      </c>
      <c r="AI612" s="27">
        <v>0</v>
      </c>
      <c r="AJ612" s="27">
        <v>0</v>
      </c>
      <c r="AK612" s="27">
        <v>0</v>
      </c>
      <c r="AL612" s="27">
        <v>0</v>
      </c>
      <c r="AM612" s="27">
        <v>0</v>
      </c>
      <c r="AN612" s="27">
        <v>0</v>
      </c>
      <c r="AO612" s="27">
        <v>0</v>
      </c>
      <c r="AP612" s="27">
        <v>0</v>
      </c>
      <c r="AQ612" s="27">
        <v>0</v>
      </c>
      <c r="AR612" s="27">
        <v>0</v>
      </c>
      <c r="AS612" s="27">
        <v>0</v>
      </c>
      <c r="AT612" s="27">
        <v>1</v>
      </c>
      <c r="AU612" s="27">
        <v>0</v>
      </c>
      <c r="AV612" s="27">
        <v>0</v>
      </c>
      <c r="AW612" s="27">
        <v>1</v>
      </c>
      <c r="AX612" s="27">
        <v>0</v>
      </c>
      <c r="AZ612" s="27">
        <v>1</v>
      </c>
      <c r="BA612" s="27">
        <v>2</v>
      </c>
      <c r="BB612" s="27">
        <v>61.19</v>
      </c>
      <c r="BC612" s="27" t="s">
        <v>161</v>
      </c>
      <c r="BD612" s="27" t="s">
        <v>112</v>
      </c>
      <c r="BE612" s="27" t="s">
        <v>113</v>
      </c>
      <c r="BF612" s="27" t="s">
        <v>77</v>
      </c>
      <c r="BG612" s="27">
        <v>146</v>
      </c>
      <c r="BH612" s="27">
        <v>39</v>
      </c>
      <c r="BI612" s="27">
        <v>0.7892</v>
      </c>
      <c r="BJ612" s="27">
        <v>0</v>
      </c>
      <c r="BK612" s="27">
        <v>5</v>
      </c>
      <c r="BL612" s="27">
        <v>98.6</v>
      </c>
    </row>
    <row r="613" customHeight="1" spans="1:64">
      <c r="A613" s="27" t="s">
        <v>1915</v>
      </c>
      <c r="B613" s="27" t="s">
        <v>1387</v>
      </c>
      <c r="C613" s="27" t="s">
        <v>1916</v>
      </c>
      <c r="D613" s="27">
        <v>194160005491</v>
      </c>
      <c r="E613" s="27" t="s">
        <v>235</v>
      </c>
      <c r="F613" s="27" t="s">
        <v>198</v>
      </c>
      <c r="G613" s="27" t="s">
        <v>83</v>
      </c>
      <c r="H613" s="27" t="s">
        <v>84</v>
      </c>
      <c r="I613" s="27" t="s">
        <v>85</v>
      </c>
      <c r="J613" s="27">
        <v>5</v>
      </c>
      <c r="K613" s="27">
        <v>44</v>
      </c>
      <c r="M613" s="27">
        <v>0</v>
      </c>
      <c r="N613" s="27">
        <v>0</v>
      </c>
      <c r="O613" s="27">
        <v>0</v>
      </c>
      <c r="P613" s="27" t="s">
        <v>86</v>
      </c>
      <c r="Q613" s="27">
        <v>3.806662</v>
      </c>
      <c r="S613" s="27">
        <v>3</v>
      </c>
      <c r="T613" s="27">
        <v>10</v>
      </c>
      <c r="U613" s="27">
        <v>0.2308</v>
      </c>
      <c r="V613" s="27" t="s">
        <v>87</v>
      </c>
      <c r="W613" s="27">
        <v>132</v>
      </c>
      <c r="X613" s="27">
        <v>1.386294</v>
      </c>
      <c r="Y613" s="27">
        <v>4.890349</v>
      </c>
      <c r="Z613" s="27">
        <v>3.1623</v>
      </c>
      <c r="AA613" s="27" t="s">
        <v>125</v>
      </c>
      <c r="AB613" s="27">
        <v>0</v>
      </c>
      <c r="AC613" s="27">
        <v>0</v>
      </c>
      <c r="AD613" s="27">
        <v>0</v>
      </c>
      <c r="AE613" s="27">
        <v>0</v>
      </c>
      <c r="AF613" s="27">
        <v>0</v>
      </c>
      <c r="AG613" s="27">
        <v>0</v>
      </c>
      <c r="AH613" s="27">
        <v>0</v>
      </c>
      <c r="AI613" s="27">
        <v>0</v>
      </c>
      <c r="AJ613" s="27">
        <v>0</v>
      </c>
      <c r="AK613" s="27">
        <v>0</v>
      </c>
      <c r="AL613" s="27">
        <v>0</v>
      </c>
      <c r="AM613" s="27">
        <v>0</v>
      </c>
      <c r="AN613" s="27">
        <v>0</v>
      </c>
      <c r="AO613" s="27">
        <v>0</v>
      </c>
      <c r="AP613" s="27">
        <v>0</v>
      </c>
      <c r="AQ613" s="27">
        <v>0</v>
      </c>
      <c r="AR613" s="27">
        <v>0</v>
      </c>
      <c r="AS613" s="27">
        <v>0</v>
      </c>
      <c r="AT613" s="27">
        <v>0</v>
      </c>
      <c r="AU613" s="27">
        <v>0</v>
      </c>
      <c r="AV613" s="27">
        <v>0</v>
      </c>
      <c r="AW613" s="27">
        <v>0</v>
      </c>
      <c r="AX613" s="27">
        <v>0</v>
      </c>
      <c r="AZ613" s="27">
        <v>1</v>
      </c>
      <c r="BA613" s="27">
        <v>0</v>
      </c>
      <c r="BB613" s="27">
        <v>38.81</v>
      </c>
      <c r="BC613" s="27" t="s">
        <v>1917</v>
      </c>
      <c r="BD613" s="27" t="s">
        <v>1918</v>
      </c>
      <c r="BE613" s="27" t="s">
        <v>1689</v>
      </c>
      <c r="BF613" s="27" t="s">
        <v>77</v>
      </c>
      <c r="BG613" s="27">
        <v>168</v>
      </c>
      <c r="BH613" s="27">
        <v>54</v>
      </c>
      <c r="BI613" s="27">
        <v>0.7568</v>
      </c>
      <c r="BJ613" s="27">
        <v>0</v>
      </c>
      <c r="BK613" s="27">
        <v>5</v>
      </c>
      <c r="BL613" s="27">
        <v>98.6</v>
      </c>
    </row>
    <row r="614" customHeight="1" spans="1:64">
      <c r="A614" s="27" t="s">
        <v>1919</v>
      </c>
      <c r="B614" s="27" t="s">
        <v>245</v>
      </c>
      <c r="C614" s="27" t="s">
        <v>1920</v>
      </c>
      <c r="E614" s="27" t="s">
        <v>250</v>
      </c>
      <c r="F614" s="27" t="s">
        <v>160</v>
      </c>
      <c r="G614" s="27" t="s">
        <v>83</v>
      </c>
      <c r="H614" s="27" t="s">
        <v>84</v>
      </c>
      <c r="I614" s="27" t="s">
        <v>85</v>
      </c>
      <c r="J614" s="27">
        <v>5</v>
      </c>
      <c r="K614" s="27">
        <v>129.49</v>
      </c>
      <c r="L614" s="27">
        <v>184.99</v>
      </c>
      <c r="M614" s="27">
        <v>30</v>
      </c>
      <c r="N614" s="27">
        <v>55.5</v>
      </c>
      <c r="O614" s="27">
        <v>1</v>
      </c>
      <c r="P614" s="27" t="s">
        <v>95</v>
      </c>
      <c r="Q614" s="27">
        <v>4.871297</v>
      </c>
      <c r="R614" s="27">
        <v>16.19</v>
      </c>
      <c r="S614" s="27">
        <v>91</v>
      </c>
      <c r="T614" s="27">
        <v>10</v>
      </c>
      <c r="U614" s="27">
        <v>0.901</v>
      </c>
      <c r="V614" s="27" t="s">
        <v>72</v>
      </c>
      <c r="W614" s="27">
        <v>11783.59</v>
      </c>
      <c r="X614" s="27">
        <v>4.521789</v>
      </c>
      <c r="Y614" s="27">
        <v>9.374548</v>
      </c>
      <c r="Z614" s="27">
        <v>3.1623</v>
      </c>
      <c r="AA614" s="27" t="s">
        <v>313</v>
      </c>
      <c r="AB614" s="27">
        <v>0</v>
      </c>
      <c r="AC614" s="27">
        <v>0</v>
      </c>
      <c r="AD614" s="27">
        <v>0</v>
      </c>
      <c r="AE614" s="27">
        <v>0</v>
      </c>
      <c r="AF614" s="27">
        <v>0</v>
      </c>
      <c r="AG614" s="27">
        <v>0</v>
      </c>
      <c r="AH614" s="27">
        <v>1</v>
      </c>
      <c r="AI614" s="27">
        <v>0</v>
      </c>
      <c r="AJ614" s="27">
        <v>0</v>
      </c>
      <c r="AK614" s="27">
        <v>0</v>
      </c>
      <c r="AL614" s="27">
        <v>0</v>
      </c>
      <c r="AM614" s="27">
        <v>0</v>
      </c>
      <c r="AN614" s="27">
        <v>1</v>
      </c>
      <c r="AO614" s="27">
        <v>0</v>
      </c>
      <c r="AP614" s="27">
        <v>0</v>
      </c>
      <c r="AQ614" s="27">
        <v>1</v>
      </c>
      <c r="AR614" s="27">
        <v>0</v>
      </c>
      <c r="AS614" s="27">
        <v>0</v>
      </c>
      <c r="AT614" s="27">
        <v>1</v>
      </c>
      <c r="AU614" s="27">
        <v>0</v>
      </c>
      <c r="AV614" s="27">
        <v>1</v>
      </c>
      <c r="AW614" s="27">
        <v>1</v>
      </c>
      <c r="AX614" s="27">
        <v>0</v>
      </c>
      <c r="AY614" s="27">
        <v>8</v>
      </c>
      <c r="AZ614" s="27">
        <v>1</v>
      </c>
      <c r="BA614" s="27">
        <v>3</v>
      </c>
      <c r="BB614" s="27">
        <v>74.23</v>
      </c>
      <c r="BC614" s="27" t="s">
        <v>732</v>
      </c>
      <c r="BD614" s="27" t="s">
        <v>175</v>
      </c>
      <c r="BE614" s="27" t="s">
        <v>91</v>
      </c>
      <c r="BF614" s="27" t="s">
        <v>77</v>
      </c>
      <c r="BG614" s="27">
        <v>161</v>
      </c>
      <c r="BH614" s="27">
        <v>61</v>
      </c>
      <c r="BI614" s="27">
        <v>0.7252</v>
      </c>
      <c r="BJ614" s="27">
        <v>0</v>
      </c>
      <c r="BK614" s="27">
        <v>10</v>
      </c>
      <c r="BL614" s="27">
        <v>97.3</v>
      </c>
    </row>
    <row r="615" customHeight="1" spans="1:64">
      <c r="A615" s="27" t="s">
        <v>1921</v>
      </c>
      <c r="B615" s="27" t="s">
        <v>282</v>
      </c>
      <c r="E615" s="27" t="s">
        <v>1080</v>
      </c>
      <c r="F615" s="27" t="s">
        <v>160</v>
      </c>
      <c r="G615" s="27" t="s">
        <v>83</v>
      </c>
      <c r="H615" s="27" t="s">
        <v>84</v>
      </c>
      <c r="I615" s="27" t="s">
        <v>85</v>
      </c>
      <c r="J615" s="27">
        <v>5</v>
      </c>
      <c r="K615" s="27">
        <v>103.99</v>
      </c>
      <c r="M615" s="27">
        <v>0</v>
      </c>
      <c r="N615" s="27">
        <v>0</v>
      </c>
      <c r="O615" s="27">
        <v>0</v>
      </c>
      <c r="P615" s="27" t="s">
        <v>95</v>
      </c>
      <c r="Q615" s="27">
        <v>4.653865</v>
      </c>
      <c r="R615" s="27">
        <v>13</v>
      </c>
      <c r="S615" s="27">
        <v>129</v>
      </c>
      <c r="T615" s="27">
        <v>10</v>
      </c>
      <c r="U615" s="27">
        <v>0.9281</v>
      </c>
      <c r="V615" s="27" t="s">
        <v>72</v>
      </c>
      <c r="W615" s="27">
        <v>13414.71</v>
      </c>
      <c r="X615" s="27">
        <v>4.867534</v>
      </c>
      <c r="Y615" s="27">
        <v>9.504182</v>
      </c>
      <c r="Z615" s="27">
        <v>3.1623</v>
      </c>
      <c r="AA615" s="27" t="s">
        <v>313</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1</v>
      </c>
      <c r="AR615" s="27">
        <v>0</v>
      </c>
      <c r="AS615" s="27">
        <v>0</v>
      </c>
      <c r="AT615" s="27">
        <v>1</v>
      </c>
      <c r="AU615" s="27">
        <v>0</v>
      </c>
      <c r="AV615" s="27">
        <v>1</v>
      </c>
      <c r="AW615" s="27">
        <v>1</v>
      </c>
      <c r="AX615" s="27">
        <v>0</v>
      </c>
      <c r="AY615" s="27">
        <v>8</v>
      </c>
      <c r="AZ615" s="27">
        <v>1</v>
      </c>
      <c r="BA615" s="27">
        <v>1</v>
      </c>
      <c r="BB615" s="27">
        <v>66.97</v>
      </c>
      <c r="BC615" s="27" t="s">
        <v>285</v>
      </c>
      <c r="BD615" s="27" t="s">
        <v>286</v>
      </c>
      <c r="BE615" s="27" t="s">
        <v>287</v>
      </c>
      <c r="BF615" s="27" t="s">
        <v>77</v>
      </c>
      <c r="BG615" s="27">
        <v>1</v>
      </c>
      <c r="BH615" s="27">
        <v>28</v>
      </c>
      <c r="BI615" s="27">
        <v>0.0345</v>
      </c>
      <c r="BJ615" s="27">
        <v>1</v>
      </c>
      <c r="BK615" s="27">
        <v>2</v>
      </c>
      <c r="BL615" s="27">
        <v>99.5</v>
      </c>
    </row>
    <row r="616" customHeight="1" spans="1:64">
      <c r="A616" s="27" t="s">
        <v>1922</v>
      </c>
      <c r="B616" s="27" t="s">
        <v>370</v>
      </c>
      <c r="C616" s="27" t="s">
        <v>1923</v>
      </c>
      <c r="D616" s="27">
        <v>765066008673</v>
      </c>
      <c r="E616" s="27" t="s">
        <v>239</v>
      </c>
      <c r="F616" s="27" t="s">
        <v>240</v>
      </c>
      <c r="G616" s="27" t="s">
        <v>83</v>
      </c>
      <c r="H616" s="27" t="s">
        <v>84</v>
      </c>
      <c r="I616" s="27" t="s">
        <v>203</v>
      </c>
      <c r="J616" s="27">
        <v>4</v>
      </c>
      <c r="K616" s="27">
        <v>305.99</v>
      </c>
      <c r="M616" s="27">
        <v>0</v>
      </c>
      <c r="N616" s="27">
        <v>0</v>
      </c>
      <c r="O616" s="27">
        <v>0</v>
      </c>
      <c r="P616" s="27" t="s">
        <v>71</v>
      </c>
      <c r="Q616" s="27">
        <v>5.726815</v>
      </c>
      <c r="V616" s="27" t="s">
        <v>231</v>
      </c>
      <c r="W616" s="27">
        <v>0</v>
      </c>
      <c r="X616" s="27">
        <v>0</v>
      </c>
      <c r="Y616" s="27">
        <v>0</v>
      </c>
      <c r="Z616" s="27">
        <v>0</v>
      </c>
      <c r="AA616" s="27" t="s">
        <v>125</v>
      </c>
      <c r="AB616" s="27">
        <v>0</v>
      </c>
      <c r="AC616" s="27">
        <v>0</v>
      </c>
      <c r="AD616" s="27">
        <v>0</v>
      </c>
      <c r="AE616" s="27">
        <v>0</v>
      </c>
      <c r="AF616" s="27">
        <v>0</v>
      </c>
      <c r="AG616" s="27">
        <v>0</v>
      </c>
      <c r="AH616" s="27">
        <v>0</v>
      </c>
      <c r="AI616" s="27">
        <v>0</v>
      </c>
      <c r="AJ616" s="27">
        <v>0</v>
      </c>
      <c r="AK616" s="27">
        <v>0</v>
      </c>
      <c r="AL616" s="27">
        <v>0</v>
      </c>
      <c r="AM616" s="27">
        <v>0</v>
      </c>
      <c r="AN616" s="27">
        <v>0</v>
      </c>
      <c r="AO616" s="27">
        <v>0</v>
      </c>
      <c r="AP616" s="27">
        <v>0</v>
      </c>
      <c r="AQ616" s="27">
        <v>1</v>
      </c>
      <c r="AR616" s="27">
        <v>0</v>
      </c>
      <c r="AS616" s="27">
        <v>0</v>
      </c>
      <c r="AT616" s="27">
        <v>0</v>
      </c>
      <c r="AU616" s="27">
        <v>0</v>
      </c>
      <c r="AV616" s="27">
        <v>1</v>
      </c>
      <c r="AW616" s="27">
        <v>0</v>
      </c>
      <c r="AX616" s="27">
        <v>0</v>
      </c>
      <c r="AZ616" s="27">
        <v>1</v>
      </c>
      <c r="BA616" s="27">
        <v>1</v>
      </c>
      <c r="BB616" s="27">
        <v>29.85</v>
      </c>
      <c r="BC616" s="27" t="s">
        <v>468</v>
      </c>
      <c r="BD616" s="27" t="s">
        <v>469</v>
      </c>
      <c r="BE616" s="27" t="s">
        <v>267</v>
      </c>
      <c r="BF616" s="27" t="s">
        <v>77</v>
      </c>
      <c r="BG616" s="27">
        <v>39</v>
      </c>
      <c r="BH616" s="27">
        <v>14</v>
      </c>
      <c r="BI616" s="27">
        <v>0.7358</v>
      </c>
      <c r="BJ616" s="27">
        <v>0</v>
      </c>
      <c r="BK616" s="27">
        <v>2</v>
      </c>
      <c r="BL616" s="27">
        <v>99.5</v>
      </c>
    </row>
    <row r="617" customHeight="1" spans="1:64">
      <c r="A617" s="27" t="s">
        <v>1924</v>
      </c>
      <c r="B617" s="27" t="s">
        <v>125</v>
      </c>
      <c r="E617" s="27" t="s">
        <v>1925</v>
      </c>
      <c r="F617" s="27" t="s">
        <v>82</v>
      </c>
      <c r="G617" s="27" t="s">
        <v>83</v>
      </c>
      <c r="H617" s="27" t="s">
        <v>138</v>
      </c>
      <c r="I617" s="27" t="s">
        <v>85</v>
      </c>
      <c r="J617" s="27">
        <v>5</v>
      </c>
      <c r="K617" s="27">
        <v>58.98</v>
      </c>
      <c r="M617" s="27">
        <v>0</v>
      </c>
      <c r="N617" s="27">
        <v>0</v>
      </c>
      <c r="O617" s="27">
        <v>0</v>
      </c>
      <c r="P617" s="27" t="s">
        <v>86</v>
      </c>
      <c r="Q617" s="27">
        <v>4.094011</v>
      </c>
      <c r="S617" s="27">
        <v>27</v>
      </c>
      <c r="T617" s="27">
        <v>6</v>
      </c>
      <c r="U617" s="27">
        <v>0.8182</v>
      </c>
      <c r="V617" s="27" t="s">
        <v>72</v>
      </c>
      <c r="W617" s="27">
        <v>1592.46</v>
      </c>
      <c r="X617" s="27">
        <v>3.332205</v>
      </c>
      <c r="Y617" s="27">
        <v>7.373663</v>
      </c>
      <c r="Z617" s="27">
        <v>2.4495</v>
      </c>
      <c r="AA617" s="27" t="s">
        <v>139</v>
      </c>
      <c r="AB617" s="27">
        <v>0</v>
      </c>
      <c r="AC617" s="27">
        <v>0</v>
      </c>
      <c r="AD617" s="27">
        <v>0</v>
      </c>
      <c r="AE617" s="27">
        <v>0</v>
      </c>
      <c r="AF617" s="27">
        <v>0</v>
      </c>
      <c r="AG617" s="27">
        <v>0</v>
      </c>
      <c r="AH617" s="27">
        <v>1</v>
      </c>
      <c r="AI617" s="27">
        <v>0</v>
      </c>
      <c r="AJ617" s="27">
        <v>0</v>
      </c>
      <c r="AK617" s="27">
        <v>0</v>
      </c>
      <c r="AL617" s="27">
        <v>0</v>
      </c>
      <c r="AM617" s="27">
        <v>0</v>
      </c>
      <c r="AN617" s="27">
        <v>0</v>
      </c>
      <c r="AO617" s="27">
        <v>0</v>
      </c>
      <c r="AP617" s="27">
        <v>0</v>
      </c>
      <c r="AQ617" s="27">
        <v>0</v>
      </c>
      <c r="AR617" s="27">
        <v>0</v>
      </c>
      <c r="AS617" s="27">
        <v>0</v>
      </c>
      <c r="AT617" s="27">
        <v>0</v>
      </c>
      <c r="AU617" s="27">
        <v>0</v>
      </c>
      <c r="AV617" s="27">
        <v>0</v>
      </c>
      <c r="AW617" s="27">
        <v>0</v>
      </c>
      <c r="AX617" s="27">
        <v>0</v>
      </c>
      <c r="AZ617" s="27">
        <v>1</v>
      </c>
      <c r="BA617" s="27">
        <v>1</v>
      </c>
      <c r="BB617" s="27">
        <v>62.49</v>
      </c>
      <c r="BC617" s="27" t="s">
        <v>1926</v>
      </c>
      <c r="BD617" s="27" t="s">
        <v>1927</v>
      </c>
      <c r="BE617" s="27" t="s">
        <v>206</v>
      </c>
      <c r="BF617" s="27" t="s">
        <v>77</v>
      </c>
      <c r="BG617" s="27">
        <v>6</v>
      </c>
      <c r="BH617" s="27">
        <v>213</v>
      </c>
      <c r="BI617" s="27">
        <v>0.0274</v>
      </c>
      <c r="BJ617" s="27">
        <v>0</v>
      </c>
      <c r="BK617" s="27">
        <v>3</v>
      </c>
      <c r="BL617" s="27">
        <v>99.2</v>
      </c>
    </row>
    <row r="618" customHeight="1" spans="1:64">
      <c r="A618" s="27" t="s">
        <v>1928</v>
      </c>
      <c r="B618" s="27" t="s">
        <v>104</v>
      </c>
      <c r="C618" s="27" t="s">
        <v>499</v>
      </c>
      <c r="D618" s="27">
        <v>194644245757</v>
      </c>
      <c r="E618" s="27" t="s">
        <v>81</v>
      </c>
      <c r="F618" s="27" t="s">
        <v>82</v>
      </c>
      <c r="G618" s="27" t="s">
        <v>106</v>
      </c>
      <c r="H618" s="27" t="s">
        <v>107</v>
      </c>
      <c r="I618" s="27" t="s">
        <v>85</v>
      </c>
      <c r="J618" s="27">
        <v>5</v>
      </c>
      <c r="K618" s="27">
        <v>349.99</v>
      </c>
      <c r="M618" s="27">
        <v>0</v>
      </c>
      <c r="N618" s="27">
        <v>0</v>
      </c>
      <c r="O618" s="27">
        <v>0</v>
      </c>
      <c r="P618" s="27" t="s">
        <v>71</v>
      </c>
      <c r="Q618" s="27">
        <v>5.860758</v>
      </c>
      <c r="S618" s="27">
        <v>145</v>
      </c>
      <c r="T618" s="27">
        <v>10</v>
      </c>
      <c r="U618" s="27">
        <v>0.9355</v>
      </c>
      <c r="V618" s="27" t="s">
        <v>72</v>
      </c>
      <c r="W618" s="27">
        <v>50748.55</v>
      </c>
      <c r="X618" s="27">
        <v>4.983607</v>
      </c>
      <c r="Y618" s="27">
        <v>10.834658</v>
      </c>
      <c r="Z618" s="27">
        <v>3.1623</v>
      </c>
      <c r="AA618" s="27" t="s">
        <v>73</v>
      </c>
      <c r="AB618" s="27">
        <v>1</v>
      </c>
      <c r="AC618" s="27">
        <v>1</v>
      </c>
      <c r="AD618" s="27">
        <v>0</v>
      </c>
      <c r="AE618" s="27">
        <v>1</v>
      </c>
      <c r="AF618" s="27">
        <v>0</v>
      </c>
      <c r="AG618" s="27">
        <v>0</v>
      </c>
      <c r="AH618" s="27">
        <v>1</v>
      </c>
      <c r="AI618" s="27">
        <v>0</v>
      </c>
      <c r="AJ618" s="27">
        <v>0</v>
      </c>
      <c r="AK618" s="27">
        <v>0</v>
      </c>
      <c r="AL618" s="27">
        <v>0</v>
      </c>
      <c r="AM618" s="27">
        <v>0</v>
      </c>
      <c r="AN618" s="27">
        <v>0</v>
      </c>
      <c r="AO618" s="27">
        <v>0</v>
      </c>
      <c r="AP618" s="27">
        <v>0</v>
      </c>
      <c r="AQ618" s="27">
        <v>0</v>
      </c>
      <c r="AR618" s="27">
        <v>0</v>
      </c>
      <c r="AS618" s="27">
        <v>0</v>
      </c>
      <c r="AT618" s="27">
        <v>1</v>
      </c>
      <c r="AU618" s="27">
        <v>0</v>
      </c>
      <c r="AV618" s="27">
        <v>0</v>
      </c>
      <c r="AW618" s="27">
        <v>0</v>
      </c>
      <c r="AX618" s="27">
        <v>0</v>
      </c>
      <c r="AZ618" s="27">
        <v>1</v>
      </c>
      <c r="BA618" s="27">
        <v>4</v>
      </c>
      <c r="BB618" s="27">
        <v>63.16</v>
      </c>
      <c r="BC618" s="27" t="s">
        <v>161</v>
      </c>
      <c r="BD618" s="27" t="s">
        <v>112</v>
      </c>
      <c r="BE618" s="27" t="s">
        <v>113</v>
      </c>
      <c r="BF618" s="27" t="s">
        <v>77</v>
      </c>
      <c r="BG618" s="27">
        <v>147</v>
      </c>
      <c r="BH618" s="27">
        <v>39</v>
      </c>
      <c r="BI618" s="27">
        <v>0.7903</v>
      </c>
      <c r="BJ618" s="27">
        <v>0</v>
      </c>
      <c r="BK618" s="27">
        <v>52</v>
      </c>
      <c r="BL618" s="27">
        <v>85.8</v>
      </c>
    </row>
    <row r="619" customHeight="1" spans="1:64">
      <c r="A619" s="27" t="s">
        <v>1929</v>
      </c>
      <c r="B619" s="27" t="s">
        <v>739</v>
      </c>
      <c r="E619" s="27" t="s">
        <v>81</v>
      </c>
      <c r="F619" s="27" t="s">
        <v>82</v>
      </c>
      <c r="G619" s="27" t="s">
        <v>83</v>
      </c>
      <c r="H619" s="27" t="s">
        <v>84</v>
      </c>
      <c r="I619" s="27" t="s">
        <v>203</v>
      </c>
      <c r="J619" s="27">
        <v>4</v>
      </c>
      <c r="K619" s="27">
        <v>54.99</v>
      </c>
      <c r="M619" s="27">
        <v>0</v>
      </c>
      <c r="N619" s="27">
        <v>0</v>
      </c>
      <c r="O619" s="27">
        <v>0</v>
      </c>
      <c r="P619" s="27" t="s">
        <v>86</v>
      </c>
      <c r="Q619" s="27">
        <v>4.025173</v>
      </c>
      <c r="S619" s="27">
        <v>39</v>
      </c>
      <c r="T619" s="27">
        <v>10</v>
      </c>
      <c r="U619" s="27">
        <v>0.7959</v>
      </c>
      <c r="V619" s="27" t="s">
        <v>72</v>
      </c>
      <c r="W619" s="27">
        <v>2144.61</v>
      </c>
      <c r="X619" s="27">
        <v>3.688879</v>
      </c>
      <c r="Y619" s="27">
        <v>7.671179</v>
      </c>
      <c r="Z619" s="27">
        <v>3.1623</v>
      </c>
      <c r="AA619" s="27" t="s">
        <v>313</v>
      </c>
      <c r="AB619" s="27">
        <v>0</v>
      </c>
      <c r="AC619" s="27">
        <v>0</v>
      </c>
      <c r="AD619" s="27">
        <v>0</v>
      </c>
      <c r="AE619" s="27">
        <v>1</v>
      </c>
      <c r="AF619" s="27">
        <v>0</v>
      </c>
      <c r="AG619" s="27">
        <v>0</v>
      </c>
      <c r="AH619" s="27">
        <v>1</v>
      </c>
      <c r="AI619" s="27">
        <v>0</v>
      </c>
      <c r="AJ619" s="27">
        <v>0</v>
      </c>
      <c r="AK619" s="27">
        <v>0</v>
      </c>
      <c r="AL619" s="27">
        <v>0</v>
      </c>
      <c r="AM619" s="27">
        <v>0</v>
      </c>
      <c r="AN619" s="27">
        <v>0</v>
      </c>
      <c r="AO619" s="27">
        <v>0</v>
      </c>
      <c r="AP619" s="27">
        <v>0</v>
      </c>
      <c r="AQ619" s="27">
        <v>0</v>
      </c>
      <c r="AR619" s="27">
        <v>0</v>
      </c>
      <c r="AS619" s="27">
        <v>0</v>
      </c>
      <c r="AT619" s="27">
        <v>0</v>
      </c>
      <c r="AU619" s="27">
        <v>0</v>
      </c>
      <c r="AV619" s="27">
        <v>0</v>
      </c>
      <c r="AW619" s="27">
        <v>0</v>
      </c>
      <c r="AX619" s="27">
        <v>0</v>
      </c>
      <c r="AZ619" s="27">
        <v>1</v>
      </c>
      <c r="BA619" s="27">
        <v>2</v>
      </c>
      <c r="BB619" s="27">
        <v>60.85</v>
      </c>
      <c r="BC619" s="27" t="s">
        <v>1037</v>
      </c>
      <c r="BD619" s="27" t="s">
        <v>1038</v>
      </c>
      <c r="BE619" s="27" t="s">
        <v>1039</v>
      </c>
      <c r="BF619" s="27" t="s">
        <v>77</v>
      </c>
      <c r="BG619" s="27">
        <v>168</v>
      </c>
      <c r="BH619" s="27">
        <v>11</v>
      </c>
      <c r="BI619" s="27">
        <v>0.9385</v>
      </c>
      <c r="BJ619" s="27">
        <v>0</v>
      </c>
      <c r="BK619" s="27">
        <v>12</v>
      </c>
      <c r="BL619" s="27">
        <v>96.7</v>
      </c>
    </row>
    <row r="620" customHeight="1" spans="1:64">
      <c r="A620" s="27" t="s">
        <v>1930</v>
      </c>
      <c r="B620" s="27" t="s">
        <v>124</v>
      </c>
      <c r="D620" s="27">
        <v>840268955465</v>
      </c>
      <c r="E620" s="27" t="s">
        <v>81</v>
      </c>
      <c r="F620" s="27" t="s">
        <v>82</v>
      </c>
      <c r="G620" s="27" t="s">
        <v>117</v>
      </c>
      <c r="H620" s="27" t="s">
        <v>84</v>
      </c>
      <c r="I620" s="27" t="s">
        <v>85</v>
      </c>
      <c r="J620" s="27">
        <v>5</v>
      </c>
      <c r="K620" s="27">
        <v>39.95</v>
      </c>
      <c r="M620" s="27">
        <v>0</v>
      </c>
      <c r="N620" s="27">
        <v>0</v>
      </c>
      <c r="O620" s="27">
        <v>0</v>
      </c>
      <c r="P620" s="27" t="s">
        <v>86</v>
      </c>
      <c r="Q620" s="27">
        <v>3.712352</v>
      </c>
      <c r="S620" s="27">
        <v>3</v>
      </c>
      <c r="T620" s="27">
        <v>10</v>
      </c>
      <c r="U620" s="27">
        <v>0.2308</v>
      </c>
      <c r="V620" s="27" t="s">
        <v>87</v>
      </c>
      <c r="W620" s="27">
        <v>119.85</v>
      </c>
      <c r="X620" s="27">
        <v>1.386294</v>
      </c>
      <c r="Y620" s="27">
        <v>4.79455</v>
      </c>
      <c r="Z620" s="27">
        <v>3.1623</v>
      </c>
      <c r="AA620" s="27" t="s">
        <v>483</v>
      </c>
      <c r="AB620" s="27">
        <v>0</v>
      </c>
      <c r="AC620" s="27">
        <v>0</v>
      </c>
      <c r="AD620" s="27">
        <v>0</v>
      </c>
      <c r="AE620" s="27">
        <v>0</v>
      </c>
      <c r="AF620" s="27">
        <v>0</v>
      </c>
      <c r="AG620" s="27">
        <v>0</v>
      </c>
      <c r="AH620" s="27">
        <v>0</v>
      </c>
      <c r="AI620" s="27">
        <v>0</v>
      </c>
      <c r="AJ620" s="27">
        <v>0</v>
      </c>
      <c r="AK620" s="27">
        <v>1</v>
      </c>
      <c r="AL620" s="27">
        <v>0</v>
      </c>
      <c r="AM620" s="27">
        <v>0</v>
      </c>
      <c r="AN620" s="27">
        <v>1</v>
      </c>
      <c r="AO620" s="27">
        <v>0</v>
      </c>
      <c r="AP620" s="27">
        <v>0</v>
      </c>
      <c r="AQ620" s="27">
        <v>0</v>
      </c>
      <c r="AR620" s="27">
        <v>0</v>
      </c>
      <c r="AS620" s="27">
        <v>0</v>
      </c>
      <c r="AT620" s="27">
        <v>0</v>
      </c>
      <c r="AU620" s="27">
        <v>1</v>
      </c>
      <c r="AV620" s="27">
        <v>0</v>
      </c>
      <c r="AW620" s="27">
        <v>0</v>
      </c>
      <c r="AX620" s="27">
        <v>0</v>
      </c>
      <c r="AZ620" s="27">
        <v>1</v>
      </c>
      <c r="BA620" s="27">
        <v>2</v>
      </c>
      <c r="BB620" s="27">
        <v>38.57</v>
      </c>
      <c r="BC620" s="27" t="s">
        <v>126</v>
      </c>
      <c r="BD620" s="27" t="s">
        <v>127</v>
      </c>
      <c r="BE620" s="27" t="s">
        <v>128</v>
      </c>
      <c r="BF620" s="27" t="s">
        <v>77</v>
      </c>
      <c r="BG620" s="27">
        <v>1</v>
      </c>
      <c r="BH620" s="27">
        <v>27</v>
      </c>
      <c r="BI620" s="27">
        <v>0.0357</v>
      </c>
      <c r="BJ620" s="27">
        <v>1</v>
      </c>
      <c r="BK620" s="27">
        <v>8</v>
      </c>
      <c r="BL620" s="27">
        <v>97.8</v>
      </c>
    </row>
    <row r="621" customHeight="1" spans="1:64">
      <c r="A621" s="27" t="s">
        <v>1931</v>
      </c>
      <c r="B621" s="27" t="s">
        <v>115</v>
      </c>
      <c r="C621" s="27" t="s">
        <v>1932</v>
      </c>
      <c r="D621" s="27">
        <v>840414663411</v>
      </c>
      <c r="E621" s="27" t="s">
        <v>1933</v>
      </c>
      <c r="F621" s="27" t="s">
        <v>82</v>
      </c>
      <c r="G621" s="27" t="s">
        <v>117</v>
      </c>
      <c r="H621" s="27" t="s">
        <v>107</v>
      </c>
      <c r="I621" s="27" t="s">
        <v>85</v>
      </c>
      <c r="J621" s="27">
        <v>5</v>
      </c>
      <c r="K621" s="27">
        <v>24.99</v>
      </c>
      <c r="M621" s="27">
        <v>0</v>
      </c>
      <c r="N621" s="27">
        <v>0</v>
      </c>
      <c r="O621" s="27">
        <v>0</v>
      </c>
      <c r="P621" s="27" t="s">
        <v>133</v>
      </c>
      <c r="Q621" s="27">
        <v>3.257712</v>
      </c>
      <c r="S621" s="27">
        <v>2</v>
      </c>
      <c r="T621" s="27">
        <v>4</v>
      </c>
      <c r="U621" s="27">
        <v>0.3333</v>
      </c>
      <c r="V621" s="27" t="s">
        <v>87</v>
      </c>
      <c r="W621" s="27">
        <v>49.98</v>
      </c>
      <c r="X621" s="27">
        <v>1.098612</v>
      </c>
      <c r="Y621" s="27">
        <v>3.931433</v>
      </c>
      <c r="Z621" s="27">
        <v>2</v>
      </c>
      <c r="AA621" s="27" t="s">
        <v>125</v>
      </c>
      <c r="AB621" s="27">
        <v>0</v>
      </c>
      <c r="AC621" s="27">
        <v>0</v>
      </c>
      <c r="AD621" s="27">
        <v>0</v>
      </c>
      <c r="AE621" s="27">
        <v>0</v>
      </c>
      <c r="AF621" s="27">
        <v>0</v>
      </c>
      <c r="AG621" s="27">
        <v>0</v>
      </c>
      <c r="AH621" s="27">
        <v>0</v>
      </c>
      <c r="AI621" s="27">
        <v>0</v>
      </c>
      <c r="AJ621" s="27">
        <v>0</v>
      </c>
      <c r="AK621" s="27">
        <v>0</v>
      </c>
      <c r="AL621" s="27">
        <v>0</v>
      </c>
      <c r="AM621" s="27">
        <v>0</v>
      </c>
      <c r="AN621" s="27">
        <v>0</v>
      </c>
      <c r="AO621" s="27">
        <v>0</v>
      </c>
      <c r="AP621" s="27">
        <v>0</v>
      </c>
      <c r="AQ621" s="27">
        <v>0</v>
      </c>
      <c r="AR621" s="27">
        <v>0</v>
      </c>
      <c r="AS621" s="27">
        <v>0</v>
      </c>
      <c r="AT621" s="27">
        <v>0</v>
      </c>
      <c r="AU621" s="27">
        <v>0</v>
      </c>
      <c r="AV621" s="27">
        <v>0</v>
      </c>
      <c r="AW621" s="27">
        <v>0</v>
      </c>
      <c r="AX621" s="27">
        <v>0</v>
      </c>
      <c r="AZ621" s="27">
        <v>1</v>
      </c>
      <c r="BA621" s="27">
        <v>0</v>
      </c>
      <c r="BB621" s="27">
        <v>13.33</v>
      </c>
      <c r="BC621" s="27" t="s">
        <v>1934</v>
      </c>
      <c r="BD621" s="27" t="s">
        <v>1935</v>
      </c>
      <c r="BE621" s="27" t="s">
        <v>136</v>
      </c>
      <c r="BF621" s="27" t="s">
        <v>77</v>
      </c>
      <c r="BG621" s="27">
        <v>162</v>
      </c>
      <c r="BH621" s="27">
        <v>19</v>
      </c>
      <c r="BI621" s="27">
        <v>0.895</v>
      </c>
      <c r="BJ621" s="27">
        <v>0</v>
      </c>
    </row>
    <row r="622" customHeight="1" spans="1:64">
      <c r="A622" s="27" t="s">
        <v>1936</v>
      </c>
      <c r="B622" s="27" t="s">
        <v>104</v>
      </c>
      <c r="C622" s="27" t="s">
        <v>1937</v>
      </c>
      <c r="D622" s="27">
        <v>194644290856</v>
      </c>
      <c r="E622" s="27" t="s">
        <v>209</v>
      </c>
      <c r="F622" s="27" t="s">
        <v>160</v>
      </c>
      <c r="G622" s="27" t="s">
        <v>106</v>
      </c>
      <c r="H622" s="27" t="s">
        <v>107</v>
      </c>
      <c r="I622" s="27" t="s">
        <v>108</v>
      </c>
      <c r="J622" s="27">
        <v>3</v>
      </c>
      <c r="K622" s="27">
        <v>138.74</v>
      </c>
      <c r="L622" s="27">
        <v>219.99</v>
      </c>
      <c r="M622" s="27">
        <v>36.93</v>
      </c>
      <c r="N622" s="27">
        <v>81.25</v>
      </c>
      <c r="O622" s="27">
        <v>1</v>
      </c>
      <c r="P622" s="27" t="s">
        <v>95</v>
      </c>
      <c r="Q622" s="27">
        <v>4.939784</v>
      </c>
      <c r="S622" s="27">
        <v>356</v>
      </c>
      <c r="T622" s="27">
        <v>7</v>
      </c>
      <c r="U622" s="27">
        <v>0.9807</v>
      </c>
      <c r="V622" s="27" t="s">
        <v>154</v>
      </c>
      <c r="W622" s="27">
        <v>49391.44</v>
      </c>
      <c r="X622" s="27">
        <v>5.877736</v>
      </c>
      <c r="Y622" s="27">
        <v>10.807553</v>
      </c>
      <c r="Z622" s="27">
        <v>2.6458</v>
      </c>
      <c r="AA622" s="27" t="s">
        <v>139</v>
      </c>
      <c r="AB622" s="27">
        <v>0</v>
      </c>
      <c r="AC622" s="27">
        <v>0</v>
      </c>
      <c r="AD622" s="27">
        <v>0</v>
      </c>
      <c r="AE622" s="27">
        <v>1</v>
      </c>
      <c r="AF622" s="27">
        <v>0</v>
      </c>
      <c r="AG622" s="27">
        <v>0</v>
      </c>
      <c r="AH622" s="27">
        <v>1</v>
      </c>
      <c r="AI622" s="27">
        <v>0</v>
      </c>
      <c r="AJ622" s="27">
        <v>0</v>
      </c>
      <c r="AK622" s="27">
        <v>0</v>
      </c>
      <c r="AL622" s="27">
        <v>0</v>
      </c>
      <c r="AM622" s="27">
        <v>0</v>
      </c>
      <c r="AN622" s="27">
        <v>0</v>
      </c>
      <c r="AO622" s="27">
        <v>0</v>
      </c>
      <c r="AP622" s="27">
        <v>0</v>
      </c>
      <c r="AQ622" s="27">
        <v>0</v>
      </c>
      <c r="AR622" s="27">
        <v>0</v>
      </c>
      <c r="AS622" s="27">
        <v>0</v>
      </c>
      <c r="AT622" s="27">
        <v>1</v>
      </c>
      <c r="AU622" s="27">
        <v>0</v>
      </c>
      <c r="AV622" s="27">
        <v>0</v>
      </c>
      <c r="AW622" s="27">
        <v>1</v>
      </c>
      <c r="AX622" s="27">
        <v>0</v>
      </c>
      <c r="AZ622" s="27">
        <v>1</v>
      </c>
      <c r="BA622" s="27">
        <v>2</v>
      </c>
      <c r="BB622" s="27">
        <v>80.16</v>
      </c>
      <c r="BC622" s="27" t="s">
        <v>111</v>
      </c>
      <c r="BD622" s="27" t="s">
        <v>112</v>
      </c>
      <c r="BE622" s="27" t="s">
        <v>113</v>
      </c>
      <c r="BF622" s="27" t="s">
        <v>77</v>
      </c>
      <c r="BG622" s="27">
        <v>162</v>
      </c>
      <c r="BH622" s="27">
        <v>24</v>
      </c>
      <c r="BI622" s="27">
        <v>0.871</v>
      </c>
      <c r="BJ622" s="27">
        <v>0</v>
      </c>
      <c r="BK622" s="27">
        <v>2</v>
      </c>
      <c r="BL622" s="27">
        <v>99.5</v>
      </c>
    </row>
    <row r="623" customHeight="1" spans="1:64">
      <c r="A623" s="27" t="s">
        <v>1938</v>
      </c>
      <c r="B623" s="27" t="s">
        <v>171</v>
      </c>
      <c r="C623" s="27" t="s">
        <v>1708</v>
      </c>
      <c r="E623" s="27" t="s">
        <v>559</v>
      </c>
      <c r="F623" s="27" t="s">
        <v>160</v>
      </c>
      <c r="G623" s="27" t="s">
        <v>83</v>
      </c>
      <c r="H623" s="27" t="s">
        <v>84</v>
      </c>
      <c r="I623" s="27" t="s">
        <v>85</v>
      </c>
      <c r="J623" s="27">
        <v>5</v>
      </c>
      <c r="K623" s="27">
        <v>63.85</v>
      </c>
      <c r="L623" s="27">
        <v>93.89</v>
      </c>
      <c r="M623" s="27">
        <v>31.99</v>
      </c>
      <c r="N623" s="27">
        <v>30.04</v>
      </c>
      <c r="O623" s="27">
        <v>1</v>
      </c>
      <c r="P623" s="27" t="s">
        <v>86</v>
      </c>
      <c r="Q623" s="27">
        <v>4.172077</v>
      </c>
      <c r="R623" s="27">
        <v>7.98</v>
      </c>
      <c r="S623" s="27">
        <v>62</v>
      </c>
      <c r="T623" s="27">
        <v>10</v>
      </c>
      <c r="U623" s="27">
        <v>0.8611</v>
      </c>
      <c r="V623" s="27" t="s">
        <v>72</v>
      </c>
      <c r="W623" s="27">
        <v>3958.7</v>
      </c>
      <c r="X623" s="27">
        <v>4.143135</v>
      </c>
      <c r="Y623" s="27">
        <v>8.283924</v>
      </c>
      <c r="Z623" s="27">
        <v>3.1623</v>
      </c>
      <c r="AA623" s="27" t="s">
        <v>73</v>
      </c>
      <c r="AB623" s="27">
        <v>0</v>
      </c>
      <c r="AC623" s="27">
        <v>0</v>
      </c>
      <c r="AD623" s="27">
        <v>0</v>
      </c>
      <c r="AE623" s="27">
        <v>0</v>
      </c>
      <c r="AF623" s="27">
        <v>0</v>
      </c>
      <c r="AG623" s="27">
        <v>1</v>
      </c>
      <c r="AH623" s="27">
        <v>0</v>
      </c>
      <c r="AI623" s="27">
        <v>1</v>
      </c>
      <c r="AJ623" s="27">
        <v>0</v>
      </c>
      <c r="AK623" s="27">
        <v>0</v>
      </c>
      <c r="AL623" s="27">
        <v>0</v>
      </c>
      <c r="AM623" s="27">
        <v>0</v>
      </c>
      <c r="AN623" s="27">
        <v>0</v>
      </c>
      <c r="AO623" s="27">
        <v>0</v>
      </c>
      <c r="AP623" s="27">
        <v>0</v>
      </c>
      <c r="AQ623" s="27">
        <v>1</v>
      </c>
      <c r="AR623" s="27">
        <v>0</v>
      </c>
      <c r="AS623" s="27">
        <v>0</v>
      </c>
      <c r="AT623" s="27">
        <v>0</v>
      </c>
      <c r="AU623" s="27">
        <v>0</v>
      </c>
      <c r="AV623" s="27">
        <v>1</v>
      </c>
      <c r="AW623" s="27">
        <v>1</v>
      </c>
      <c r="AX623" s="27">
        <v>0</v>
      </c>
      <c r="AY623" s="27">
        <v>8</v>
      </c>
      <c r="AZ623" s="27">
        <v>1</v>
      </c>
      <c r="BA623" s="27">
        <v>1</v>
      </c>
      <c r="BB623" s="27">
        <v>73.47</v>
      </c>
      <c r="BC623" s="27" t="s">
        <v>326</v>
      </c>
      <c r="BD623" s="27" t="s">
        <v>175</v>
      </c>
      <c r="BE623" s="27" t="s">
        <v>91</v>
      </c>
      <c r="BF623" s="27" t="s">
        <v>77</v>
      </c>
      <c r="BG623" s="27">
        <v>162</v>
      </c>
      <c r="BH623" s="27">
        <v>60</v>
      </c>
      <c r="BI623" s="27">
        <v>0.7297</v>
      </c>
      <c r="BJ623" s="27">
        <v>0</v>
      </c>
      <c r="BK623" s="27">
        <v>7</v>
      </c>
      <c r="BL623" s="27">
        <v>98.1</v>
      </c>
    </row>
    <row r="624" customHeight="1" spans="1:64">
      <c r="A624" s="27" t="s">
        <v>1939</v>
      </c>
      <c r="B624" s="27" t="s">
        <v>301</v>
      </c>
      <c r="C624" s="27" t="s">
        <v>1940</v>
      </c>
      <c r="E624" s="27" t="s">
        <v>81</v>
      </c>
      <c r="F624" s="27" t="s">
        <v>240</v>
      </c>
      <c r="G624" s="27" t="s">
        <v>83</v>
      </c>
      <c r="H624" s="27" t="s">
        <v>84</v>
      </c>
      <c r="I624" s="27" t="s">
        <v>203</v>
      </c>
      <c r="J624" s="27">
        <v>4</v>
      </c>
      <c r="K624" s="27">
        <v>187.5</v>
      </c>
      <c r="M624" s="27">
        <v>0</v>
      </c>
      <c r="N624" s="27">
        <v>0</v>
      </c>
      <c r="O624" s="27">
        <v>0</v>
      </c>
      <c r="P624" s="27" t="s">
        <v>95</v>
      </c>
      <c r="Q624" s="27">
        <v>5.239098</v>
      </c>
      <c r="R624" s="27">
        <v>46.88</v>
      </c>
      <c r="V624" s="27" t="s">
        <v>231</v>
      </c>
      <c r="W624" s="27">
        <v>0</v>
      </c>
      <c r="X624" s="27">
        <v>0</v>
      </c>
      <c r="Y624" s="27">
        <v>0</v>
      </c>
      <c r="Z624" s="27">
        <v>0</v>
      </c>
      <c r="AA624" s="27" t="s">
        <v>125</v>
      </c>
      <c r="AB624" s="27">
        <v>0</v>
      </c>
      <c r="AC624" s="27">
        <v>0</v>
      </c>
      <c r="AD624" s="27">
        <v>0</v>
      </c>
      <c r="AE624" s="27">
        <v>0</v>
      </c>
      <c r="AF624" s="27">
        <v>0</v>
      </c>
      <c r="AG624" s="27">
        <v>1</v>
      </c>
      <c r="AH624" s="27">
        <v>0</v>
      </c>
      <c r="AI624" s="27">
        <v>1</v>
      </c>
      <c r="AJ624" s="27">
        <v>0</v>
      </c>
      <c r="AK624" s="27">
        <v>0</v>
      </c>
      <c r="AL624" s="27">
        <v>0</v>
      </c>
      <c r="AM624" s="27">
        <v>0</v>
      </c>
      <c r="AN624" s="27">
        <v>0</v>
      </c>
      <c r="AO624" s="27">
        <v>0</v>
      </c>
      <c r="AP624" s="27">
        <v>0</v>
      </c>
      <c r="AQ624" s="27">
        <v>1</v>
      </c>
      <c r="AR624" s="27">
        <v>0</v>
      </c>
      <c r="AS624" s="27">
        <v>0</v>
      </c>
      <c r="AT624" s="27">
        <v>0</v>
      </c>
      <c r="AU624" s="27">
        <v>0</v>
      </c>
      <c r="AV624" s="27">
        <v>1</v>
      </c>
      <c r="AW624" s="27">
        <v>1</v>
      </c>
      <c r="AX624" s="27">
        <v>0</v>
      </c>
      <c r="AY624" s="27">
        <v>4</v>
      </c>
      <c r="AZ624" s="27">
        <v>1</v>
      </c>
      <c r="BA624" s="27">
        <v>1</v>
      </c>
      <c r="BB624" s="27">
        <v>0</v>
      </c>
      <c r="BC624" s="27" t="s">
        <v>1941</v>
      </c>
      <c r="BD624" s="27" t="s">
        <v>1942</v>
      </c>
      <c r="BE624" s="27" t="s">
        <v>760</v>
      </c>
      <c r="BF624" s="27" t="s">
        <v>77</v>
      </c>
      <c r="BG624" s="27">
        <v>168</v>
      </c>
      <c r="BH624" s="27">
        <v>11</v>
      </c>
      <c r="BI624" s="27">
        <v>0.9385</v>
      </c>
      <c r="BJ624" s="27">
        <v>0</v>
      </c>
    </row>
    <row r="625" customHeight="1" spans="1:64">
      <c r="A625" s="27" t="s">
        <v>1943</v>
      </c>
      <c r="B625" s="27" t="s">
        <v>171</v>
      </c>
      <c r="C625" s="27" t="s">
        <v>1944</v>
      </c>
      <c r="E625" s="27" t="s">
        <v>81</v>
      </c>
      <c r="F625" s="27" t="s">
        <v>160</v>
      </c>
      <c r="G625" s="27" t="s">
        <v>83</v>
      </c>
      <c r="H625" s="27" t="s">
        <v>84</v>
      </c>
      <c r="I625" s="27" t="s">
        <v>85</v>
      </c>
      <c r="J625" s="27">
        <v>5</v>
      </c>
      <c r="K625" s="27">
        <v>109.56</v>
      </c>
      <c r="L625" s="27">
        <v>128.89</v>
      </c>
      <c r="M625" s="27">
        <v>15</v>
      </c>
      <c r="N625" s="27">
        <v>19.33</v>
      </c>
      <c r="O625" s="27">
        <v>1</v>
      </c>
      <c r="P625" s="27" t="s">
        <v>95</v>
      </c>
      <c r="Q625" s="27">
        <v>4.705558</v>
      </c>
      <c r="R625" s="27">
        <v>13.7</v>
      </c>
      <c r="S625" s="27">
        <v>15</v>
      </c>
      <c r="T625" s="27">
        <v>10</v>
      </c>
      <c r="U625" s="27">
        <v>0.6</v>
      </c>
      <c r="V625" s="27" t="s">
        <v>72</v>
      </c>
      <c r="W625" s="27">
        <v>1643.4</v>
      </c>
      <c r="X625" s="27">
        <v>2.772589</v>
      </c>
      <c r="Y625" s="27">
        <v>7.405131</v>
      </c>
      <c r="Z625" s="27">
        <v>3.1623</v>
      </c>
      <c r="AA625" s="27" t="s">
        <v>313</v>
      </c>
      <c r="AB625" s="27">
        <v>1</v>
      </c>
      <c r="AC625" s="27">
        <v>1</v>
      </c>
      <c r="AD625" s="27">
        <v>0</v>
      </c>
      <c r="AE625" s="27">
        <v>0</v>
      </c>
      <c r="AF625" s="27">
        <v>0</v>
      </c>
      <c r="AG625" s="27">
        <v>0</v>
      </c>
      <c r="AH625" s="27">
        <v>0</v>
      </c>
      <c r="AI625" s="27">
        <v>0</v>
      </c>
      <c r="AJ625" s="27">
        <v>0</v>
      </c>
      <c r="AK625" s="27">
        <v>0</v>
      </c>
      <c r="AL625" s="27">
        <v>0</v>
      </c>
      <c r="AM625" s="27">
        <v>0</v>
      </c>
      <c r="AN625" s="27">
        <v>0</v>
      </c>
      <c r="AO625" s="27">
        <v>0</v>
      </c>
      <c r="AP625" s="27">
        <v>0</v>
      </c>
      <c r="AQ625" s="27">
        <v>1</v>
      </c>
      <c r="AR625" s="27">
        <v>0</v>
      </c>
      <c r="AS625" s="27">
        <v>0</v>
      </c>
      <c r="AT625" s="27">
        <v>1</v>
      </c>
      <c r="AU625" s="27">
        <v>0</v>
      </c>
      <c r="AV625" s="27">
        <v>1</v>
      </c>
      <c r="AW625" s="27">
        <v>1</v>
      </c>
      <c r="AX625" s="27">
        <v>0</v>
      </c>
      <c r="AY625" s="27">
        <v>8</v>
      </c>
      <c r="AZ625" s="27">
        <v>1</v>
      </c>
      <c r="BA625" s="27">
        <v>3</v>
      </c>
      <c r="BB625" s="27">
        <v>57.84</v>
      </c>
      <c r="BC625" s="27" t="s">
        <v>326</v>
      </c>
      <c r="BD625" s="27" t="s">
        <v>175</v>
      </c>
      <c r="BE625" s="27" t="s">
        <v>91</v>
      </c>
      <c r="BF625" s="27" t="s">
        <v>77</v>
      </c>
      <c r="BG625" s="27">
        <v>161</v>
      </c>
      <c r="BH625" s="27">
        <v>61</v>
      </c>
      <c r="BI625" s="27">
        <v>0.7252</v>
      </c>
      <c r="BJ625" s="27">
        <v>0</v>
      </c>
      <c r="BK625" s="27">
        <v>8</v>
      </c>
      <c r="BL625" s="27">
        <v>97.8</v>
      </c>
    </row>
    <row r="626" customHeight="1" spans="1:64">
      <c r="A626" s="27" t="s">
        <v>1945</v>
      </c>
      <c r="B626" s="27" t="s">
        <v>553</v>
      </c>
      <c r="C626" s="27" t="s">
        <v>1946</v>
      </c>
      <c r="D626" s="27">
        <v>854088008430</v>
      </c>
      <c r="E626" s="27" t="s">
        <v>1164</v>
      </c>
      <c r="F626" s="27" t="s">
        <v>240</v>
      </c>
      <c r="G626" s="27" t="s">
        <v>553</v>
      </c>
      <c r="H626" s="27" t="s">
        <v>69</v>
      </c>
      <c r="I626" s="27" t="s">
        <v>203</v>
      </c>
      <c r="J626" s="27">
        <v>4</v>
      </c>
      <c r="K626" s="27">
        <v>89.9</v>
      </c>
      <c r="M626" s="27">
        <v>0</v>
      </c>
      <c r="N626" s="27">
        <v>0</v>
      </c>
      <c r="O626" s="27">
        <v>0</v>
      </c>
      <c r="P626" s="27" t="s">
        <v>95</v>
      </c>
      <c r="Q626" s="27">
        <v>4.50976</v>
      </c>
      <c r="R626" s="27">
        <v>11.24</v>
      </c>
      <c r="S626" s="27">
        <v>15</v>
      </c>
      <c r="T626" s="27">
        <v>5</v>
      </c>
      <c r="U626" s="27">
        <v>0.75</v>
      </c>
      <c r="V626" s="27" t="s">
        <v>72</v>
      </c>
      <c r="W626" s="27">
        <v>1348.5</v>
      </c>
      <c r="X626" s="27">
        <v>2.772589</v>
      </c>
      <c r="Y626" s="27">
        <v>7.207489</v>
      </c>
      <c r="Z626" s="27">
        <v>2.2361</v>
      </c>
      <c r="AA626" s="27" t="s">
        <v>73</v>
      </c>
      <c r="AB626" s="27">
        <v>0</v>
      </c>
      <c r="AC626" s="27">
        <v>0</v>
      </c>
      <c r="AD626" s="27">
        <v>0</v>
      </c>
      <c r="AE626" s="27">
        <v>0</v>
      </c>
      <c r="AF626" s="27">
        <v>0</v>
      </c>
      <c r="AG626" s="27">
        <v>1</v>
      </c>
      <c r="AH626" s="27">
        <v>0</v>
      </c>
      <c r="AI626" s="27">
        <v>1</v>
      </c>
      <c r="AJ626" s="27">
        <v>0</v>
      </c>
      <c r="AK626" s="27">
        <v>0</v>
      </c>
      <c r="AL626" s="27">
        <v>0</v>
      </c>
      <c r="AM626" s="27">
        <v>0</v>
      </c>
      <c r="AN626" s="27">
        <v>0</v>
      </c>
      <c r="AO626" s="27">
        <v>0</v>
      </c>
      <c r="AP626" s="27">
        <v>0</v>
      </c>
      <c r="AQ626" s="27">
        <v>1</v>
      </c>
      <c r="AR626" s="27">
        <v>0</v>
      </c>
      <c r="AS626" s="27">
        <v>0</v>
      </c>
      <c r="AT626" s="27">
        <v>0</v>
      </c>
      <c r="AU626" s="27">
        <v>0</v>
      </c>
      <c r="AV626" s="27">
        <v>1</v>
      </c>
      <c r="AW626" s="27">
        <v>1</v>
      </c>
      <c r="AX626" s="27">
        <v>0</v>
      </c>
      <c r="AY626" s="27">
        <v>8</v>
      </c>
      <c r="AZ626" s="27">
        <v>1</v>
      </c>
      <c r="BA626" s="27">
        <v>1</v>
      </c>
      <c r="BB626" s="27">
        <v>30</v>
      </c>
      <c r="BC626" s="27" t="s">
        <v>555</v>
      </c>
      <c r="BD626" s="27" t="s">
        <v>556</v>
      </c>
      <c r="BE626" s="27" t="s">
        <v>557</v>
      </c>
      <c r="BF626" s="27" t="s">
        <v>77</v>
      </c>
      <c r="BG626" s="27">
        <v>1</v>
      </c>
      <c r="BH626" s="27">
        <v>28</v>
      </c>
      <c r="BI626" s="27">
        <v>0.0345</v>
      </c>
      <c r="BJ626" s="27">
        <v>1</v>
      </c>
    </row>
    <row r="627" customHeight="1" spans="1:64">
      <c r="A627" s="27" t="s">
        <v>1947</v>
      </c>
      <c r="B627" s="27" t="s">
        <v>104</v>
      </c>
      <c r="C627" s="27" t="s">
        <v>105</v>
      </c>
      <c r="D627" s="27">
        <v>194644211127</v>
      </c>
      <c r="E627" s="27" t="s">
        <v>81</v>
      </c>
      <c r="F627" s="27" t="s">
        <v>68</v>
      </c>
      <c r="G627" s="27" t="s">
        <v>106</v>
      </c>
      <c r="H627" s="27" t="s">
        <v>107</v>
      </c>
      <c r="I627" s="27" t="s">
        <v>85</v>
      </c>
      <c r="J627" s="27">
        <v>5</v>
      </c>
      <c r="K627" s="27">
        <v>239.99</v>
      </c>
      <c r="M627" s="27">
        <v>0</v>
      </c>
      <c r="N627" s="27">
        <v>0</v>
      </c>
      <c r="O627" s="27">
        <v>0</v>
      </c>
      <c r="P627" s="27" t="s">
        <v>71</v>
      </c>
      <c r="Q627" s="27">
        <v>5.484755</v>
      </c>
      <c r="S627" s="27">
        <v>13</v>
      </c>
      <c r="T627" s="27">
        <v>10</v>
      </c>
      <c r="U627" s="27">
        <v>0.5652</v>
      </c>
      <c r="V627" s="27" t="s">
        <v>72</v>
      </c>
      <c r="W627" s="27">
        <v>3119.87</v>
      </c>
      <c r="X627" s="27">
        <v>2.639057</v>
      </c>
      <c r="Y627" s="27">
        <v>8.045867</v>
      </c>
      <c r="Z627" s="27">
        <v>3.1623</v>
      </c>
      <c r="AA627" s="27" t="s">
        <v>125</v>
      </c>
      <c r="AB627" s="27">
        <v>0</v>
      </c>
      <c r="AC627" s="27">
        <v>0</v>
      </c>
      <c r="AD627" s="27">
        <v>0</v>
      </c>
      <c r="AE627" s="27">
        <v>0</v>
      </c>
      <c r="AF627" s="27">
        <v>0</v>
      </c>
      <c r="AG627" s="27">
        <v>0</v>
      </c>
      <c r="AH627" s="27">
        <v>0</v>
      </c>
      <c r="AI627" s="27">
        <v>0</v>
      </c>
      <c r="AJ627" s="27">
        <v>0</v>
      </c>
      <c r="AK627" s="27">
        <v>1</v>
      </c>
      <c r="AL627" s="27">
        <v>0</v>
      </c>
      <c r="AM627" s="27">
        <v>0</v>
      </c>
      <c r="AN627" s="27">
        <v>0</v>
      </c>
      <c r="AO627" s="27">
        <v>0</v>
      </c>
      <c r="AP627" s="27">
        <v>1</v>
      </c>
      <c r="AQ627" s="27">
        <v>0</v>
      </c>
      <c r="AR627" s="27">
        <v>0</v>
      </c>
      <c r="AS627" s="27">
        <v>0</v>
      </c>
      <c r="AT627" s="27">
        <v>1</v>
      </c>
      <c r="AU627" s="27">
        <v>0</v>
      </c>
      <c r="AV627" s="27">
        <v>0</v>
      </c>
      <c r="AW627" s="27">
        <v>0</v>
      </c>
      <c r="AX627" s="27">
        <v>0</v>
      </c>
      <c r="AZ627" s="27">
        <v>1</v>
      </c>
      <c r="BA627" s="27">
        <v>1</v>
      </c>
      <c r="BB627" s="27">
        <v>52.46</v>
      </c>
      <c r="BC627" s="27" t="s">
        <v>161</v>
      </c>
      <c r="BD627" s="27" t="s">
        <v>112</v>
      </c>
      <c r="BE627" s="27" t="s">
        <v>113</v>
      </c>
      <c r="BF627" s="27" t="s">
        <v>77</v>
      </c>
      <c r="BG627" s="27">
        <v>147</v>
      </c>
      <c r="BH627" s="27">
        <v>39</v>
      </c>
      <c r="BI627" s="27">
        <v>0.7903</v>
      </c>
      <c r="BJ627" s="27">
        <v>0</v>
      </c>
      <c r="BK627" s="27">
        <v>2</v>
      </c>
      <c r="BL627" s="27">
        <v>99.5</v>
      </c>
    </row>
    <row r="628" customHeight="1" spans="1:64">
      <c r="A628" s="27" t="s">
        <v>1948</v>
      </c>
      <c r="B628" s="27" t="s">
        <v>1135</v>
      </c>
      <c r="C628" s="27" t="s">
        <v>1949</v>
      </c>
      <c r="D628" s="27">
        <v>6973667281805</v>
      </c>
      <c r="E628" s="27" t="s">
        <v>81</v>
      </c>
      <c r="F628" s="27" t="s">
        <v>160</v>
      </c>
      <c r="G628" s="27" t="s">
        <v>83</v>
      </c>
      <c r="H628" s="27" t="s">
        <v>84</v>
      </c>
      <c r="I628" s="27" t="s">
        <v>203</v>
      </c>
      <c r="J628" s="27">
        <v>4</v>
      </c>
      <c r="K628" s="27">
        <v>179.99</v>
      </c>
      <c r="M628" s="27">
        <v>0</v>
      </c>
      <c r="N628" s="27">
        <v>0</v>
      </c>
      <c r="O628" s="27">
        <v>0</v>
      </c>
      <c r="P628" s="27" t="s">
        <v>95</v>
      </c>
      <c r="Q628" s="27">
        <v>5.198442</v>
      </c>
      <c r="S628" s="27">
        <v>91</v>
      </c>
      <c r="T628" s="27">
        <v>5</v>
      </c>
      <c r="U628" s="27">
        <v>0.9479</v>
      </c>
      <c r="V628" s="27" t="s">
        <v>72</v>
      </c>
      <c r="W628" s="27">
        <v>16379.09</v>
      </c>
      <c r="X628" s="27">
        <v>4.521789</v>
      </c>
      <c r="Y628" s="27">
        <v>9.703822</v>
      </c>
      <c r="Z628" s="27">
        <v>2.2361</v>
      </c>
      <c r="AA628" s="27" t="s">
        <v>88</v>
      </c>
      <c r="AB628" s="27">
        <v>0</v>
      </c>
      <c r="AC628" s="27">
        <v>0</v>
      </c>
      <c r="AD628" s="27">
        <v>0</v>
      </c>
      <c r="AE628" s="27">
        <v>1</v>
      </c>
      <c r="AF628" s="27">
        <v>0</v>
      </c>
      <c r="AG628" s="27">
        <v>0</v>
      </c>
      <c r="AH628" s="27">
        <v>1</v>
      </c>
      <c r="AI628" s="27">
        <v>0</v>
      </c>
      <c r="AJ628" s="27">
        <v>0</v>
      </c>
      <c r="AK628" s="27">
        <v>1</v>
      </c>
      <c r="AL628" s="27">
        <v>0</v>
      </c>
      <c r="AM628" s="27">
        <v>0</v>
      </c>
      <c r="AN628" s="27">
        <v>0</v>
      </c>
      <c r="AO628" s="27">
        <v>0</v>
      </c>
      <c r="AP628" s="27">
        <v>0</v>
      </c>
      <c r="AQ628" s="27">
        <v>0</v>
      </c>
      <c r="AR628" s="27">
        <v>0</v>
      </c>
      <c r="AS628" s="27">
        <v>0</v>
      </c>
      <c r="AT628" s="27">
        <v>1</v>
      </c>
      <c r="AU628" s="27">
        <v>0</v>
      </c>
      <c r="AV628" s="27">
        <v>0</v>
      </c>
      <c r="AW628" s="27">
        <v>1</v>
      </c>
      <c r="AX628" s="27">
        <v>0</v>
      </c>
      <c r="AZ628" s="27">
        <v>1</v>
      </c>
      <c r="BA628" s="27">
        <v>3</v>
      </c>
      <c r="BB628" s="27">
        <v>67.68</v>
      </c>
      <c r="BC628" s="27" t="s">
        <v>1950</v>
      </c>
      <c r="BD628" s="27" t="s">
        <v>225</v>
      </c>
      <c r="BE628" s="27" t="s">
        <v>226</v>
      </c>
      <c r="BF628" s="27" t="s">
        <v>77</v>
      </c>
      <c r="BG628" s="27">
        <v>1</v>
      </c>
      <c r="BH628" s="27">
        <v>14</v>
      </c>
      <c r="BI628" s="27">
        <v>0.0667</v>
      </c>
      <c r="BJ628" s="27">
        <v>1</v>
      </c>
      <c r="BK628" s="27">
        <v>3</v>
      </c>
      <c r="BL628" s="27">
        <v>99.2</v>
      </c>
    </row>
    <row r="629" customHeight="1" spans="1:64">
      <c r="A629" s="27" t="s">
        <v>1951</v>
      </c>
      <c r="B629" s="27" t="s">
        <v>104</v>
      </c>
      <c r="E629" s="27" t="s">
        <v>275</v>
      </c>
      <c r="F629" s="27" t="s">
        <v>276</v>
      </c>
      <c r="G629" s="27" t="s">
        <v>106</v>
      </c>
      <c r="H629" s="27" t="s">
        <v>107</v>
      </c>
      <c r="I629" s="27" t="s">
        <v>85</v>
      </c>
      <c r="J629" s="27">
        <v>5</v>
      </c>
      <c r="K629" s="27">
        <v>18.99</v>
      </c>
      <c r="M629" s="27">
        <v>0</v>
      </c>
      <c r="N629" s="27">
        <v>0</v>
      </c>
      <c r="O629" s="27">
        <v>0</v>
      </c>
      <c r="P629" s="27" t="s">
        <v>133</v>
      </c>
      <c r="Q629" s="27">
        <v>2.995232</v>
      </c>
      <c r="S629" s="27">
        <v>39</v>
      </c>
      <c r="T629" s="27">
        <v>10</v>
      </c>
      <c r="U629" s="27">
        <v>0.7959</v>
      </c>
      <c r="V629" s="27" t="s">
        <v>72</v>
      </c>
      <c r="W629" s="27">
        <v>740.61</v>
      </c>
      <c r="X629" s="27">
        <v>3.688879</v>
      </c>
      <c r="Y629" s="27">
        <v>6.608823</v>
      </c>
      <c r="Z629" s="27">
        <v>3.1623</v>
      </c>
      <c r="AA629" s="27" t="s">
        <v>125</v>
      </c>
      <c r="AB629" s="27">
        <v>0</v>
      </c>
      <c r="AC629" s="27">
        <v>0</v>
      </c>
      <c r="AD629" s="27">
        <v>0</v>
      </c>
      <c r="AE629" s="27">
        <v>1</v>
      </c>
      <c r="AF629" s="27">
        <v>0</v>
      </c>
      <c r="AG629" s="27">
        <v>0</v>
      </c>
      <c r="AH629" s="27">
        <v>0</v>
      </c>
      <c r="AI629" s="27">
        <v>0</v>
      </c>
      <c r="AJ629" s="27">
        <v>0</v>
      </c>
      <c r="AK629" s="27">
        <v>0</v>
      </c>
      <c r="AL629" s="27">
        <v>0</v>
      </c>
      <c r="AM629" s="27">
        <v>0</v>
      </c>
      <c r="AN629" s="27">
        <v>0</v>
      </c>
      <c r="AO629" s="27">
        <v>0</v>
      </c>
      <c r="AP629" s="27">
        <v>0</v>
      </c>
      <c r="AQ629" s="27">
        <v>0</v>
      </c>
      <c r="AR629" s="27">
        <v>0</v>
      </c>
      <c r="AS629" s="27">
        <v>0</v>
      </c>
      <c r="AT629" s="27">
        <v>0</v>
      </c>
      <c r="AU629" s="27">
        <v>0</v>
      </c>
      <c r="AV629" s="27">
        <v>0</v>
      </c>
      <c r="AW629" s="27">
        <v>0</v>
      </c>
      <c r="AX629" s="27">
        <v>0</v>
      </c>
      <c r="AZ629" s="27">
        <v>1</v>
      </c>
      <c r="BA629" s="27">
        <v>1</v>
      </c>
      <c r="BB629" s="27">
        <v>59.8</v>
      </c>
      <c r="BC629" s="27" t="s">
        <v>1952</v>
      </c>
      <c r="BD629" s="27" t="s">
        <v>97</v>
      </c>
      <c r="BE629" s="27" t="s">
        <v>98</v>
      </c>
      <c r="BF629" s="27" t="s">
        <v>77</v>
      </c>
      <c r="BG629" s="27">
        <v>1</v>
      </c>
      <c r="BH629" s="27">
        <v>11</v>
      </c>
      <c r="BI629" s="27">
        <v>0.0833</v>
      </c>
      <c r="BJ629" s="27">
        <v>1</v>
      </c>
      <c r="BK629" s="27">
        <v>25</v>
      </c>
      <c r="BL629" s="27">
        <v>93.2</v>
      </c>
    </row>
    <row r="630" customHeight="1" spans="1:64">
      <c r="A630" s="27" t="s">
        <v>1953</v>
      </c>
      <c r="B630" s="27" t="s">
        <v>65</v>
      </c>
      <c r="C630" s="27" t="s">
        <v>1954</v>
      </c>
      <c r="D630" s="27">
        <v>695529034140</v>
      </c>
      <c r="E630" s="27" t="s">
        <v>1955</v>
      </c>
      <c r="F630" s="27" t="s">
        <v>68</v>
      </c>
      <c r="G630" s="27" t="s">
        <v>65</v>
      </c>
      <c r="H630" s="27" t="s">
        <v>69</v>
      </c>
      <c r="I630" s="27" t="s">
        <v>70</v>
      </c>
      <c r="J630" s="27">
        <v>3</v>
      </c>
      <c r="K630" s="27">
        <v>254.99</v>
      </c>
      <c r="M630" s="27">
        <v>0</v>
      </c>
      <c r="N630" s="27">
        <v>0</v>
      </c>
      <c r="O630" s="27">
        <v>0</v>
      </c>
      <c r="P630" s="27" t="s">
        <v>71</v>
      </c>
      <c r="Q630" s="27">
        <v>5.545138</v>
      </c>
      <c r="R630" s="27">
        <v>31.87</v>
      </c>
      <c r="S630" s="27">
        <v>5</v>
      </c>
      <c r="T630" s="27">
        <v>332</v>
      </c>
      <c r="U630" s="27">
        <v>0.0148</v>
      </c>
      <c r="V630" s="27" t="s">
        <v>87</v>
      </c>
      <c r="W630" s="27">
        <v>1274.95</v>
      </c>
      <c r="X630" s="27">
        <v>1.791759</v>
      </c>
      <c r="Y630" s="27">
        <v>7.151446</v>
      </c>
      <c r="Z630" s="27">
        <v>18.2209</v>
      </c>
      <c r="AA630" s="27" t="s">
        <v>73</v>
      </c>
      <c r="AB630" s="27">
        <v>0</v>
      </c>
      <c r="AC630" s="27">
        <v>0</v>
      </c>
      <c r="AD630" s="27">
        <v>0</v>
      </c>
      <c r="AE630" s="27">
        <v>0</v>
      </c>
      <c r="AF630" s="27">
        <v>0</v>
      </c>
      <c r="AG630" s="27">
        <v>0</v>
      </c>
      <c r="AH630" s="27">
        <v>0</v>
      </c>
      <c r="AI630" s="27">
        <v>0</v>
      </c>
      <c r="AJ630" s="27">
        <v>0</v>
      </c>
      <c r="AK630" s="27">
        <v>0</v>
      </c>
      <c r="AL630" s="27">
        <v>1</v>
      </c>
      <c r="AM630" s="27">
        <v>0</v>
      </c>
      <c r="AN630" s="27">
        <v>0</v>
      </c>
      <c r="AO630" s="27">
        <v>0</v>
      </c>
      <c r="AP630" s="27">
        <v>0</v>
      </c>
      <c r="AQ630" s="27">
        <v>0</v>
      </c>
      <c r="AR630" s="27">
        <v>0</v>
      </c>
      <c r="AS630" s="27">
        <v>0</v>
      </c>
      <c r="AT630" s="27">
        <v>0</v>
      </c>
      <c r="AU630" s="27">
        <v>0</v>
      </c>
      <c r="AV630" s="27">
        <v>1</v>
      </c>
      <c r="AW630" s="27">
        <v>1</v>
      </c>
      <c r="AX630" s="27">
        <v>1</v>
      </c>
      <c r="AY630" s="27">
        <v>8</v>
      </c>
      <c r="AZ630" s="27">
        <v>1</v>
      </c>
      <c r="BA630" s="27">
        <v>0</v>
      </c>
      <c r="BB630" s="27">
        <v>30.44</v>
      </c>
      <c r="BC630" s="27" t="s">
        <v>74</v>
      </c>
      <c r="BD630" s="27" t="s">
        <v>75</v>
      </c>
      <c r="BE630" s="27" t="s">
        <v>76</v>
      </c>
      <c r="BF630" s="27" t="s">
        <v>77</v>
      </c>
      <c r="BG630" s="27">
        <v>168</v>
      </c>
      <c r="BH630" s="27">
        <v>13</v>
      </c>
      <c r="BI630" s="27">
        <v>0.9282</v>
      </c>
      <c r="BJ630" s="27">
        <v>0</v>
      </c>
      <c r="BK630" s="27">
        <v>2</v>
      </c>
      <c r="BL630" s="27">
        <v>99.5</v>
      </c>
    </row>
    <row r="631" customHeight="1" spans="1:64">
      <c r="A631" s="27" t="s">
        <v>1956</v>
      </c>
      <c r="B631" s="27" t="s">
        <v>115</v>
      </c>
      <c r="C631" s="27" t="s">
        <v>417</v>
      </c>
      <c r="E631" s="27" t="s">
        <v>81</v>
      </c>
      <c r="F631" s="27" t="s">
        <v>82</v>
      </c>
      <c r="G631" s="27" t="s">
        <v>117</v>
      </c>
      <c r="H631" s="27" t="s">
        <v>107</v>
      </c>
      <c r="I631" s="27" t="s">
        <v>85</v>
      </c>
      <c r="J631" s="27">
        <v>5</v>
      </c>
      <c r="K631" s="27">
        <v>175</v>
      </c>
      <c r="M631" s="27">
        <v>0</v>
      </c>
      <c r="N631" s="27">
        <v>0</v>
      </c>
      <c r="O631" s="27">
        <v>0</v>
      </c>
      <c r="P631" s="27" t="s">
        <v>95</v>
      </c>
      <c r="Q631" s="27">
        <v>5.170484</v>
      </c>
      <c r="S631" s="27">
        <v>5</v>
      </c>
      <c r="T631" s="27">
        <v>10</v>
      </c>
      <c r="U631" s="27">
        <v>0.3333</v>
      </c>
      <c r="V631" s="27" t="s">
        <v>87</v>
      </c>
      <c r="W631" s="27">
        <v>875</v>
      </c>
      <c r="X631" s="27">
        <v>1.791759</v>
      </c>
      <c r="Y631" s="27">
        <v>6.775366</v>
      </c>
      <c r="Z631" s="27">
        <v>3.1623</v>
      </c>
      <c r="AA631" s="27" t="s">
        <v>73</v>
      </c>
      <c r="AB631" s="27">
        <v>0</v>
      </c>
      <c r="AC631" s="27">
        <v>0</v>
      </c>
      <c r="AD631" s="27">
        <v>0</v>
      </c>
      <c r="AE631" s="27">
        <v>0</v>
      </c>
      <c r="AF631" s="27">
        <v>0</v>
      </c>
      <c r="AG631" s="27">
        <v>0</v>
      </c>
      <c r="AH631" s="27">
        <v>0</v>
      </c>
      <c r="AI631" s="27">
        <v>0</v>
      </c>
      <c r="AJ631" s="27">
        <v>0</v>
      </c>
      <c r="AK631" s="27">
        <v>0</v>
      </c>
      <c r="AL631" s="27">
        <v>0</v>
      </c>
      <c r="AM631" s="27">
        <v>0</v>
      </c>
      <c r="AN631" s="27">
        <v>0</v>
      </c>
      <c r="AO631" s="27">
        <v>0</v>
      </c>
      <c r="AP631" s="27">
        <v>1</v>
      </c>
      <c r="AQ631" s="27">
        <v>0</v>
      </c>
      <c r="AR631" s="27">
        <v>0</v>
      </c>
      <c r="AS631" s="27">
        <v>0</v>
      </c>
      <c r="AT631" s="27">
        <v>0</v>
      </c>
      <c r="AU631" s="27">
        <v>0</v>
      </c>
      <c r="AV631" s="27">
        <v>0</v>
      </c>
      <c r="AW631" s="27">
        <v>0</v>
      </c>
      <c r="AX631" s="27">
        <v>0</v>
      </c>
      <c r="AZ631" s="27">
        <v>1</v>
      </c>
      <c r="BA631" s="27">
        <v>0</v>
      </c>
      <c r="BB631" s="27">
        <v>43.09</v>
      </c>
      <c r="BC631" s="27" t="s">
        <v>164</v>
      </c>
      <c r="BD631" s="27" t="s">
        <v>165</v>
      </c>
      <c r="BE631" s="27" t="s">
        <v>166</v>
      </c>
      <c r="BF631" s="27" t="s">
        <v>77</v>
      </c>
      <c r="BG631" s="27">
        <v>168</v>
      </c>
      <c r="BH631" s="27">
        <v>11</v>
      </c>
      <c r="BI631" s="27">
        <v>0.9385</v>
      </c>
      <c r="BJ631" s="27">
        <v>0</v>
      </c>
      <c r="BK631" s="27">
        <v>3</v>
      </c>
      <c r="BL631" s="27">
        <v>99.2</v>
      </c>
    </row>
    <row r="632" customHeight="1" spans="1:64">
      <c r="A632" s="27" t="s">
        <v>1957</v>
      </c>
      <c r="B632" s="27" t="s">
        <v>65</v>
      </c>
      <c r="C632" s="27" t="s">
        <v>1958</v>
      </c>
      <c r="E632" s="27" t="s">
        <v>163</v>
      </c>
      <c r="F632" s="27" t="s">
        <v>82</v>
      </c>
      <c r="G632" s="27" t="s">
        <v>65</v>
      </c>
      <c r="H632" s="27" t="s">
        <v>69</v>
      </c>
      <c r="I632" s="27" t="s">
        <v>85</v>
      </c>
      <c r="J632" s="27">
        <v>5</v>
      </c>
      <c r="K632" s="27">
        <v>219.99</v>
      </c>
      <c r="M632" s="27">
        <v>0</v>
      </c>
      <c r="N632" s="27">
        <v>0</v>
      </c>
      <c r="O632" s="27">
        <v>0</v>
      </c>
      <c r="P632" s="27" t="s">
        <v>71</v>
      </c>
      <c r="Q632" s="27">
        <v>5.398117</v>
      </c>
      <c r="S632" s="27">
        <v>3</v>
      </c>
      <c r="T632" s="27">
        <v>10</v>
      </c>
      <c r="U632" s="27">
        <v>0.2308</v>
      </c>
      <c r="V632" s="27" t="s">
        <v>87</v>
      </c>
      <c r="W632" s="27">
        <v>659.97</v>
      </c>
      <c r="X632" s="27">
        <v>1.386294</v>
      </c>
      <c r="Y632" s="27">
        <v>6.493708</v>
      </c>
      <c r="Z632" s="27">
        <v>3.1623</v>
      </c>
      <c r="AA632" s="27" t="s">
        <v>73</v>
      </c>
      <c r="AB632" s="27">
        <v>0</v>
      </c>
      <c r="AC632" s="27">
        <v>0</v>
      </c>
      <c r="AD632" s="27">
        <v>0</v>
      </c>
      <c r="AE632" s="27">
        <v>0</v>
      </c>
      <c r="AF632" s="27">
        <v>0</v>
      </c>
      <c r="AG632" s="27">
        <v>0</v>
      </c>
      <c r="AH632" s="27">
        <v>1</v>
      </c>
      <c r="AI632" s="27">
        <v>0</v>
      </c>
      <c r="AJ632" s="27">
        <v>0</v>
      </c>
      <c r="AK632" s="27">
        <v>0</v>
      </c>
      <c r="AL632" s="27">
        <v>0</v>
      </c>
      <c r="AM632" s="27">
        <v>0</v>
      </c>
      <c r="AN632" s="27">
        <v>0</v>
      </c>
      <c r="AO632" s="27">
        <v>0</v>
      </c>
      <c r="AP632" s="27">
        <v>1</v>
      </c>
      <c r="AQ632" s="27">
        <v>0</v>
      </c>
      <c r="AR632" s="27">
        <v>0</v>
      </c>
      <c r="AS632" s="27">
        <v>0</v>
      </c>
      <c r="AT632" s="27">
        <v>1</v>
      </c>
      <c r="AU632" s="27">
        <v>1</v>
      </c>
      <c r="AV632" s="27">
        <v>0</v>
      </c>
      <c r="AW632" s="27">
        <v>0</v>
      </c>
      <c r="AX632" s="27">
        <v>0</v>
      </c>
      <c r="AZ632" s="27">
        <v>1</v>
      </c>
      <c r="BA632" s="27">
        <v>1</v>
      </c>
      <c r="BB632" s="27">
        <v>39.08</v>
      </c>
      <c r="BC632" s="27" t="s">
        <v>784</v>
      </c>
      <c r="BD632" s="27" t="s">
        <v>785</v>
      </c>
      <c r="BE632" s="27" t="s">
        <v>774</v>
      </c>
      <c r="BF632" s="27" t="s">
        <v>77</v>
      </c>
      <c r="BG632" s="27">
        <v>1</v>
      </c>
      <c r="BH632" s="27">
        <v>23</v>
      </c>
      <c r="BI632" s="27">
        <v>0.0417</v>
      </c>
      <c r="BJ632" s="27">
        <v>1</v>
      </c>
      <c r="BK632" s="27">
        <v>2</v>
      </c>
      <c r="BL632" s="27">
        <v>99.5</v>
      </c>
    </row>
    <row r="633" customHeight="1" spans="1:64">
      <c r="A633" s="27" t="s">
        <v>1959</v>
      </c>
      <c r="B633" s="27" t="s">
        <v>819</v>
      </c>
      <c r="D633" s="27">
        <v>859696007172</v>
      </c>
      <c r="E633" s="27" t="s">
        <v>81</v>
      </c>
      <c r="F633" s="27" t="s">
        <v>82</v>
      </c>
      <c r="G633" s="27" t="s">
        <v>819</v>
      </c>
      <c r="H633" s="27" t="s">
        <v>102</v>
      </c>
      <c r="I633" s="27" t="s">
        <v>85</v>
      </c>
      <c r="J633" s="27">
        <v>5</v>
      </c>
      <c r="K633" s="27">
        <v>69.95</v>
      </c>
      <c r="M633" s="27">
        <v>0</v>
      </c>
      <c r="N633" s="27">
        <v>0</v>
      </c>
      <c r="O633" s="27">
        <v>0</v>
      </c>
      <c r="P633" s="27" t="s">
        <v>86</v>
      </c>
      <c r="Q633" s="27">
        <v>4.261975</v>
      </c>
      <c r="S633" s="27">
        <v>12</v>
      </c>
      <c r="T633" s="27">
        <v>1</v>
      </c>
      <c r="U633" s="27">
        <v>0.9231</v>
      </c>
      <c r="V633" s="27" t="s">
        <v>72</v>
      </c>
      <c r="W633" s="27">
        <v>839.4</v>
      </c>
      <c r="X633" s="27">
        <v>2.564949</v>
      </c>
      <c r="Y633" s="27">
        <v>6.733878</v>
      </c>
      <c r="Z633" s="27">
        <v>1</v>
      </c>
      <c r="AA633" s="27" t="s">
        <v>139</v>
      </c>
      <c r="AB633" s="27">
        <v>0</v>
      </c>
      <c r="AC633" s="27">
        <v>0</v>
      </c>
      <c r="AD633" s="27">
        <v>0</v>
      </c>
      <c r="AE633" s="27">
        <v>0</v>
      </c>
      <c r="AF633" s="27">
        <v>0</v>
      </c>
      <c r="AG633" s="27">
        <v>0</v>
      </c>
      <c r="AH633" s="27">
        <v>0</v>
      </c>
      <c r="AI633" s="27">
        <v>0</v>
      </c>
      <c r="AJ633" s="27">
        <v>0</v>
      </c>
      <c r="AK633" s="27">
        <v>0</v>
      </c>
      <c r="AL633" s="27">
        <v>0</v>
      </c>
      <c r="AM633" s="27">
        <v>0</v>
      </c>
      <c r="AN633" s="27">
        <v>0</v>
      </c>
      <c r="AO633" s="27">
        <v>0</v>
      </c>
      <c r="AP633" s="27">
        <v>0</v>
      </c>
      <c r="AQ633" s="27">
        <v>0</v>
      </c>
      <c r="AR633" s="27">
        <v>0</v>
      </c>
      <c r="AS633" s="27">
        <v>0</v>
      </c>
      <c r="AT633" s="27">
        <v>1</v>
      </c>
      <c r="AU633" s="27">
        <v>1</v>
      </c>
      <c r="AV633" s="27">
        <v>0</v>
      </c>
      <c r="AW633" s="27">
        <v>0</v>
      </c>
      <c r="AX633" s="27">
        <v>0</v>
      </c>
      <c r="AZ633" s="27">
        <v>1</v>
      </c>
      <c r="BA633" s="27">
        <v>0</v>
      </c>
      <c r="BB633" s="27">
        <v>66.11</v>
      </c>
      <c r="BC633" s="27" t="s">
        <v>1960</v>
      </c>
      <c r="BD633" s="27" t="s">
        <v>1961</v>
      </c>
      <c r="BE633" s="27" t="s">
        <v>407</v>
      </c>
      <c r="BF633" s="27" t="s">
        <v>77</v>
      </c>
      <c r="BG633" s="27">
        <v>162</v>
      </c>
      <c r="BH633" s="27">
        <v>20</v>
      </c>
      <c r="BI633" s="27">
        <v>0.8901</v>
      </c>
      <c r="BJ633" s="27">
        <v>0</v>
      </c>
      <c r="BK633" s="27">
        <v>10</v>
      </c>
      <c r="BL633" s="27">
        <v>97.3</v>
      </c>
    </row>
    <row r="634" customHeight="1" spans="1:64">
      <c r="A634" s="27" t="s">
        <v>1962</v>
      </c>
      <c r="B634" s="27" t="s">
        <v>384</v>
      </c>
      <c r="E634" s="27" t="s">
        <v>81</v>
      </c>
      <c r="F634" s="27" t="s">
        <v>160</v>
      </c>
      <c r="G634" s="27" t="s">
        <v>83</v>
      </c>
      <c r="H634" s="27" t="s">
        <v>84</v>
      </c>
      <c r="I634" s="27" t="s">
        <v>85</v>
      </c>
      <c r="J634" s="27">
        <v>5</v>
      </c>
      <c r="K634" s="27">
        <v>299.99</v>
      </c>
      <c r="L634" s="27">
        <v>428.56</v>
      </c>
      <c r="M634" s="27">
        <v>30</v>
      </c>
      <c r="N634" s="27">
        <v>128.57</v>
      </c>
      <c r="O634" s="27">
        <v>1</v>
      </c>
      <c r="P634" s="27" t="s">
        <v>71</v>
      </c>
      <c r="Q634" s="27">
        <v>5.707077</v>
      </c>
      <c r="R634" s="27">
        <v>18.75</v>
      </c>
      <c r="S634" s="27">
        <v>1</v>
      </c>
      <c r="T634" s="27">
        <v>9</v>
      </c>
      <c r="U634" s="27">
        <v>0.1</v>
      </c>
      <c r="V634" s="27" t="s">
        <v>87</v>
      </c>
      <c r="W634" s="27">
        <v>299.99</v>
      </c>
      <c r="X634" s="27">
        <v>0.693147</v>
      </c>
      <c r="Y634" s="27">
        <v>5.707077</v>
      </c>
      <c r="Z634" s="27">
        <v>3</v>
      </c>
      <c r="AA634" s="27" t="s">
        <v>313</v>
      </c>
      <c r="AB634" s="27">
        <v>0</v>
      </c>
      <c r="AC634" s="27">
        <v>0</v>
      </c>
      <c r="AD634" s="27">
        <v>0</v>
      </c>
      <c r="AE634" s="27">
        <v>0</v>
      </c>
      <c r="AF634" s="27">
        <v>0</v>
      </c>
      <c r="AG634" s="27">
        <v>0</v>
      </c>
      <c r="AH634" s="27">
        <v>1</v>
      </c>
      <c r="AI634" s="27">
        <v>0</v>
      </c>
      <c r="AJ634" s="27">
        <v>0</v>
      </c>
      <c r="AK634" s="27">
        <v>0</v>
      </c>
      <c r="AL634" s="27">
        <v>0</v>
      </c>
      <c r="AM634" s="27">
        <v>0</v>
      </c>
      <c r="AN634" s="27">
        <v>0</v>
      </c>
      <c r="AO634" s="27">
        <v>0</v>
      </c>
      <c r="AP634" s="27">
        <v>0</v>
      </c>
      <c r="AQ634" s="27">
        <v>1</v>
      </c>
      <c r="AR634" s="27">
        <v>0</v>
      </c>
      <c r="AS634" s="27">
        <v>0</v>
      </c>
      <c r="AT634" s="27">
        <v>1</v>
      </c>
      <c r="AU634" s="27">
        <v>0</v>
      </c>
      <c r="AV634" s="27">
        <v>1</v>
      </c>
      <c r="AW634" s="27">
        <v>1</v>
      </c>
      <c r="AX634" s="27">
        <v>0</v>
      </c>
      <c r="AY634" s="27">
        <v>16</v>
      </c>
      <c r="AZ634" s="27">
        <v>1</v>
      </c>
      <c r="BA634" s="27">
        <v>2</v>
      </c>
      <c r="BB634" s="27">
        <v>42.52</v>
      </c>
      <c r="BC634" s="27" t="s">
        <v>772</v>
      </c>
      <c r="BD634" s="27" t="s">
        <v>386</v>
      </c>
      <c r="BE634" s="27" t="s">
        <v>226</v>
      </c>
      <c r="BF634" s="27" t="s">
        <v>77</v>
      </c>
      <c r="BG634" s="27">
        <v>1</v>
      </c>
      <c r="BH634" s="27">
        <v>28</v>
      </c>
      <c r="BI634" s="27">
        <v>0.0345</v>
      </c>
      <c r="BJ634" s="27">
        <v>1</v>
      </c>
      <c r="BK634" s="27">
        <v>6</v>
      </c>
      <c r="BL634" s="27">
        <v>98.4</v>
      </c>
    </row>
    <row r="635" customHeight="1" spans="1:64">
      <c r="A635" s="27" t="s">
        <v>1963</v>
      </c>
      <c r="B635" s="27" t="s">
        <v>65</v>
      </c>
      <c r="E635" s="27" t="s">
        <v>250</v>
      </c>
      <c r="F635" s="27" t="s">
        <v>82</v>
      </c>
      <c r="G635" s="27" t="s">
        <v>65</v>
      </c>
      <c r="H635" s="27" t="s">
        <v>69</v>
      </c>
      <c r="I635" s="27" t="s">
        <v>153</v>
      </c>
      <c r="J635" s="27">
        <v>2</v>
      </c>
      <c r="K635" s="27">
        <v>69.95</v>
      </c>
      <c r="M635" s="27">
        <v>0</v>
      </c>
      <c r="N635" s="27">
        <v>0</v>
      </c>
      <c r="O635" s="27">
        <v>0</v>
      </c>
      <c r="P635" s="27" t="s">
        <v>86</v>
      </c>
      <c r="Q635" s="27">
        <v>4.261975</v>
      </c>
      <c r="S635" s="27">
        <v>3</v>
      </c>
      <c r="T635" s="27">
        <v>7</v>
      </c>
      <c r="U635" s="27">
        <v>0.3</v>
      </c>
      <c r="V635" s="27" t="s">
        <v>87</v>
      </c>
      <c r="W635" s="27">
        <v>209.85</v>
      </c>
      <c r="X635" s="27">
        <v>1.386294</v>
      </c>
      <c r="Y635" s="27">
        <v>5.351147</v>
      </c>
      <c r="Z635" s="27">
        <v>2.6458</v>
      </c>
      <c r="AA635" s="27" t="s">
        <v>88</v>
      </c>
      <c r="AB635" s="27">
        <v>1</v>
      </c>
      <c r="AC635" s="27">
        <v>0</v>
      </c>
      <c r="AD635" s="27">
        <v>0</v>
      </c>
      <c r="AE635" s="27">
        <v>0</v>
      </c>
      <c r="AF635" s="27">
        <v>0</v>
      </c>
      <c r="AG635" s="27">
        <v>0</v>
      </c>
      <c r="AH635" s="27">
        <v>0</v>
      </c>
      <c r="AI635" s="27">
        <v>0</v>
      </c>
      <c r="AJ635" s="27">
        <v>0</v>
      </c>
      <c r="AK635" s="27">
        <v>0</v>
      </c>
      <c r="AL635" s="27">
        <v>0</v>
      </c>
      <c r="AM635" s="27">
        <v>0</v>
      </c>
      <c r="AN635" s="27">
        <v>0</v>
      </c>
      <c r="AO635" s="27">
        <v>0</v>
      </c>
      <c r="AP635" s="27">
        <v>0</v>
      </c>
      <c r="AQ635" s="27">
        <v>0</v>
      </c>
      <c r="AR635" s="27">
        <v>0</v>
      </c>
      <c r="AS635" s="27">
        <v>0</v>
      </c>
      <c r="AT635" s="27">
        <v>0</v>
      </c>
      <c r="AU635" s="27">
        <v>0</v>
      </c>
      <c r="AV635" s="27">
        <v>0</v>
      </c>
      <c r="AW635" s="27">
        <v>0</v>
      </c>
      <c r="AX635" s="27">
        <v>0</v>
      </c>
      <c r="AZ635" s="27">
        <v>1</v>
      </c>
      <c r="BA635" s="27">
        <v>1</v>
      </c>
      <c r="BB635" s="27">
        <v>37.23</v>
      </c>
      <c r="BC635" s="27" t="s">
        <v>1964</v>
      </c>
      <c r="BD635" s="27" t="s">
        <v>1965</v>
      </c>
      <c r="BE635" s="27" t="s">
        <v>1110</v>
      </c>
      <c r="BF635" s="27" t="s">
        <v>77</v>
      </c>
      <c r="BG635" s="27">
        <v>168</v>
      </c>
      <c r="BH635" s="27">
        <v>11</v>
      </c>
      <c r="BI635" s="27">
        <v>0.9385</v>
      </c>
      <c r="BJ635" s="27">
        <v>0</v>
      </c>
      <c r="BK635" s="27">
        <v>58</v>
      </c>
      <c r="BL635" s="27">
        <v>84.1</v>
      </c>
    </row>
    <row r="636" customHeight="1" spans="1:64">
      <c r="A636" s="27" t="s">
        <v>1966</v>
      </c>
      <c r="B636" s="27" t="s">
        <v>1279</v>
      </c>
      <c r="E636" s="27" t="s">
        <v>275</v>
      </c>
      <c r="F636" s="27" t="s">
        <v>276</v>
      </c>
      <c r="G636" s="27" t="s">
        <v>901</v>
      </c>
      <c r="H636" s="27" t="s">
        <v>84</v>
      </c>
      <c r="I636" s="27" t="s">
        <v>85</v>
      </c>
      <c r="J636" s="27">
        <v>5</v>
      </c>
      <c r="K636" s="27">
        <v>19.99</v>
      </c>
      <c r="M636" s="27">
        <v>0</v>
      </c>
      <c r="N636" s="27">
        <v>0</v>
      </c>
      <c r="O636" s="27">
        <v>0</v>
      </c>
      <c r="P636" s="27" t="s">
        <v>133</v>
      </c>
      <c r="Q636" s="27">
        <v>3.044046</v>
      </c>
      <c r="S636" s="27">
        <v>97</v>
      </c>
      <c r="T636" s="27">
        <v>10</v>
      </c>
      <c r="U636" s="27">
        <v>0.9065</v>
      </c>
      <c r="V636" s="27" t="s">
        <v>72</v>
      </c>
      <c r="W636" s="27">
        <v>1939.03</v>
      </c>
      <c r="X636" s="27">
        <v>4.584967</v>
      </c>
      <c r="Y636" s="27">
        <v>7.570459</v>
      </c>
      <c r="Z636" s="27">
        <v>3.1623</v>
      </c>
      <c r="AA636" s="27" t="s">
        <v>125</v>
      </c>
      <c r="AB636" s="27">
        <v>0</v>
      </c>
      <c r="AC636" s="27">
        <v>0</v>
      </c>
      <c r="AD636" s="27">
        <v>0</v>
      </c>
      <c r="AE636" s="27">
        <v>0</v>
      </c>
      <c r="AF636" s="27">
        <v>0</v>
      </c>
      <c r="AG636" s="27">
        <v>0</v>
      </c>
      <c r="AH636" s="27">
        <v>0</v>
      </c>
      <c r="AI636" s="27">
        <v>0</v>
      </c>
      <c r="AJ636" s="27">
        <v>0</v>
      </c>
      <c r="AK636" s="27">
        <v>0</v>
      </c>
      <c r="AL636" s="27">
        <v>0</v>
      </c>
      <c r="AM636" s="27">
        <v>0</v>
      </c>
      <c r="AN636" s="27">
        <v>0</v>
      </c>
      <c r="AO636" s="27">
        <v>0</v>
      </c>
      <c r="AP636" s="27">
        <v>1</v>
      </c>
      <c r="AQ636" s="27">
        <v>0</v>
      </c>
      <c r="AR636" s="27">
        <v>0</v>
      </c>
      <c r="AS636" s="27">
        <v>0</v>
      </c>
      <c r="AT636" s="27">
        <v>0</v>
      </c>
      <c r="AU636" s="27">
        <v>0</v>
      </c>
      <c r="AV636" s="27">
        <v>0</v>
      </c>
      <c r="AW636" s="27">
        <v>1</v>
      </c>
      <c r="AX636" s="27">
        <v>0</v>
      </c>
      <c r="AZ636" s="27">
        <v>1</v>
      </c>
      <c r="BA636" s="27">
        <v>0</v>
      </c>
      <c r="BB636" s="27">
        <v>59.45</v>
      </c>
      <c r="BC636" s="27" t="s">
        <v>1338</v>
      </c>
      <c r="BD636" s="27" t="s">
        <v>1339</v>
      </c>
      <c r="BE636" s="27" t="s">
        <v>113</v>
      </c>
      <c r="BF636" s="27" t="s">
        <v>77</v>
      </c>
      <c r="BG636" s="27">
        <v>170</v>
      </c>
      <c r="BH636" s="27">
        <v>11</v>
      </c>
      <c r="BI636" s="27">
        <v>0.9392</v>
      </c>
      <c r="BJ636" s="27">
        <v>0</v>
      </c>
      <c r="BK636" s="27">
        <v>83</v>
      </c>
      <c r="BL636" s="27">
        <v>77.3</v>
      </c>
    </row>
    <row r="637" customHeight="1" spans="1:64">
      <c r="A637" s="27" t="s">
        <v>1967</v>
      </c>
      <c r="B637" s="27" t="s">
        <v>1968</v>
      </c>
      <c r="C637" s="27" t="s">
        <v>1969</v>
      </c>
      <c r="E637" s="27" t="s">
        <v>1970</v>
      </c>
      <c r="F637" s="27" t="s">
        <v>240</v>
      </c>
      <c r="G637" s="27" t="s">
        <v>83</v>
      </c>
      <c r="H637" s="27" t="s">
        <v>84</v>
      </c>
      <c r="I637" s="27" t="s">
        <v>153</v>
      </c>
      <c r="J637" s="27">
        <v>2</v>
      </c>
      <c r="K637" s="27">
        <v>18.3</v>
      </c>
      <c r="M637" s="27">
        <v>0</v>
      </c>
      <c r="N637" s="27">
        <v>0</v>
      </c>
      <c r="O637" s="27">
        <v>0</v>
      </c>
      <c r="P637" s="27" t="s">
        <v>133</v>
      </c>
      <c r="Q637" s="27">
        <v>2.960105</v>
      </c>
      <c r="R637" s="27">
        <v>2.29</v>
      </c>
      <c r="V637" s="27" t="s">
        <v>231</v>
      </c>
      <c r="W637" s="27">
        <v>0</v>
      </c>
      <c r="X637" s="27">
        <v>0</v>
      </c>
      <c r="Y637" s="27">
        <v>0</v>
      </c>
      <c r="Z637" s="27">
        <v>0</v>
      </c>
      <c r="AA637" s="27" t="s">
        <v>483</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v>0</v>
      </c>
      <c r="AQ637" s="27">
        <v>1</v>
      </c>
      <c r="AR637" s="27">
        <v>0</v>
      </c>
      <c r="AS637" s="27">
        <v>0</v>
      </c>
      <c r="AT637" s="27">
        <v>0</v>
      </c>
      <c r="AU637" s="27">
        <v>0</v>
      </c>
      <c r="AV637" s="27">
        <v>1</v>
      </c>
      <c r="AW637" s="27">
        <v>1</v>
      </c>
      <c r="AX637" s="27">
        <v>0</v>
      </c>
      <c r="AY637" s="27">
        <v>8</v>
      </c>
      <c r="AZ637" s="27">
        <v>1</v>
      </c>
      <c r="BA637" s="27">
        <v>1</v>
      </c>
      <c r="BB637" s="27">
        <v>29.76</v>
      </c>
      <c r="BC637" s="27" t="s">
        <v>1971</v>
      </c>
      <c r="BD637" s="27" t="s">
        <v>1972</v>
      </c>
      <c r="BE637" s="27" t="s">
        <v>206</v>
      </c>
      <c r="BF637" s="27" t="s">
        <v>77</v>
      </c>
      <c r="BG637" s="27">
        <v>1</v>
      </c>
      <c r="BH637" s="27">
        <v>11</v>
      </c>
      <c r="BI637" s="27">
        <v>0.0833</v>
      </c>
      <c r="BJ637" s="27">
        <v>1</v>
      </c>
      <c r="BK637" s="27">
        <v>3</v>
      </c>
      <c r="BL637" s="27">
        <v>99.2</v>
      </c>
    </row>
    <row r="638" customHeight="1" spans="1:64">
      <c r="A638" s="27" t="s">
        <v>1746</v>
      </c>
      <c r="B638" s="27" t="s">
        <v>125</v>
      </c>
      <c r="E638" s="27" t="s">
        <v>1194</v>
      </c>
      <c r="F638" s="27" t="s">
        <v>82</v>
      </c>
      <c r="G638" s="27" t="s">
        <v>83</v>
      </c>
      <c r="H638" s="27" t="s">
        <v>138</v>
      </c>
      <c r="I638" s="27" t="s">
        <v>85</v>
      </c>
      <c r="J638" s="27">
        <v>5</v>
      </c>
      <c r="K638" s="27">
        <v>14.99</v>
      </c>
      <c r="M638" s="27">
        <v>0</v>
      </c>
      <c r="N638" s="27">
        <v>0</v>
      </c>
      <c r="O638" s="27">
        <v>0</v>
      </c>
      <c r="P638" s="27" t="s">
        <v>133</v>
      </c>
      <c r="Q638" s="27">
        <v>2.771964</v>
      </c>
      <c r="S638" s="27">
        <v>31</v>
      </c>
      <c r="T638" s="27">
        <v>10</v>
      </c>
      <c r="U638" s="27">
        <v>0.7561</v>
      </c>
      <c r="V638" s="27" t="s">
        <v>72</v>
      </c>
      <c r="W638" s="27">
        <v>464.69</v>
      </c>
      <c r="X638" s="27">
        <v>3.465736</v>
      </c>
      <c r="Y638" s="27">
        <v>6.14352</v>
      </c>
      <c r="Z638" s="27">
        <v>3.1623</v>
      </c>
      <c r="AA638" s="27" t="s">
        <v>139</v>
      </c>
      <c r="AB638" s="27">
        <v>0</v>
      </c>
      <c r="AC638" s="27">
        <v>0</v>
      </c>
      <c r="AD638" s="27">
        <v>0</v>
      </c>
      <c r="AE638" s="27">
        <v>0</v>
      </c>
      <c r="AF638" s="27">
        <v>1</v>
      </c>
      <c r="AG638" s="27">
        <v>0</v>
      </c>
      <c r="AH638" s="27">
        <v>1</v>
      </c>
      <c r="AI638" s="27">
        <v>0</v>
      </c>
      <c r="AJ638" s="27">
        <v>0</v>
      </c>
      <c r="AK638" s="27">
        <v>0</v>
      </c>
      <c r="AL638" s="27">
        <v>0</v>
      </c>
      <c r="AM638" s="27">
        <v>0</v>
      </c>
      <c r="AN638" s="27">
        <v>0</v>
      </c>
      <c r="AO638" s="27">
        <v>0</v>
      </c>
      <c r="AP638" s="27">
        <v>0</v>
      </c>
      <c r="AQ638" s="27">
        <v>0</v>
      </c>
      <c r="AR638" s="27">
        <v>0</v>
      </c>
      <c r="AS638" s="27">
        <v>0</v>
      </c>
      <c r="AT638" s="27">
        <v>0</v>
      </c>
      <c r="AU638" s="27">
        <v>0</v>
      </c>
      <c r="AV638" s="27">
        <v>0</v>
      </c>
      <c r="AW638" s="27">
        <v>0</v>
      </c>
      <c r="AX638" s="27">
        <v>0</v>
      </c>
      <c r="AZ638" s="27">
        <v>1</v>
      </c>
      <c r="BA638" s="27">
        <v>1</v>
      </c>
      <c r="BB638" s="27">
        <v>60.09</v>
      </c>
      <c r="BC638" s="27" t="s">
        <v>1973</v>
      </c>
      <c r="BG638" s="27">
        <v>0</v>
      </c>
      <c r="BH638" s="27">
        <v>0</v>
      </c>
      <c r="BJ638" s="27">
        <v>0</v>
      </c>
      <c r="BK638" s="27">
        <v>2</v>
      </c>
      <c r="BL638" s="27">
        <v>99.5</v>
      </c>
    </row>
    <row r="639" customHeight="1" spans="1:64">
      <c r="A639" s="27" t="s">
        <v>1974</v>
      </c>
      <c r="B639" s="27" t="s">
        <v>1665</v>
      </c>
      <c r="E639" s="27" t="s">
        <v>81</v>
      </c>
      <c r="F639" s="27" t="s">
        <v>82</v>
      </c>
      <c r="G639" s="27" t="s">
        <v>83</v>
      </c>
      <c r="H639" s="27" t="s">
        <v>84</v>
      </c>
      <c r="I639" s="27" t="s">
        <v>85</v>
      </c>
      <c r="J639" s="27">
        <v>5</v>
      </c>
      <c r="K639" s="27">
        <v>26.95</v>
      </c>
      <c r="L639" s="27">
        <v>29.95</v>
      </c>
      <c r="M639" s="27">
        <v>10.02</v>
      </c>
      <c r="N639" s="27">
        <v>3</v>
      </c>
      <c r="O639" s="27">
        <v>1</v>
      </c>
      <c r="P639" s="27" t="s">
        <v>86</v>
      </c>
      <c r="Q639" s="27">
        <v>3.330417</v>
      </c>
      <c r="S639" s="27">
        <v>12</v>
      </c>
      <c r="T639" s="27">
        <v>10</v>
      </c>
      <c r="U639" s="27">
        <v>0.5455</v>
      </c>
      <c r="V639" s="27" t="s">
        <v>72</v>
      </c>
      <c r="W639" s="27">
        <v>323.4</v>
      </c>
      <c r="X639" s="27">
        <v>2.564949</v>
      </c>
      <c r="Y639" s="27">
        <v>5.781977</v>
      </c>
      <c r="Z639" s="27">
        <v>3.1623</v>
      </c>
      <c r="AA639" s="27" t="s">
        <v>139</v>
      </c>
      <c r="AB639" s="27">
        <v>0</v>
      </c>
      <c r="AC639" s="27">
        <v>0</v>
      </c>
      <c r="AD639" s="27">
        <v>0</v>
      </c>
      <c r="AE639" s="27">
        <v>0</v>
      </c>
      <c r="AF639" s="27">
        <v>0</v>
      </c>
      <c r="AG639" s="27">
        <v>0</v>
      </c>
      <c r="AH639" s="27">
        <v>1</v>
      </c>
      <c r="AI639" s="27">
        <v>0</v>
      </c>
      <c r="AJ639" s="27">
        <v>0</v>
      </c>
      <c r="AK639" s="27">
        <v>0</v>
      </c>
      <c r="AL639" s="27">
        <v>1</v>
      </c>
      <c r="AM639" s="27">
        <v>0</v>
      </c>
      <c r="AN639" s="27">
        <v>0</v>
      </c>
      <c r="AO639" s="27">
        <v>0</v>
      </c>
      <c r="AP639" s="27">
        <v>0</v>
      </c>
      <c r="AQ639" s="27">
        <v>0</v>
      </c>
      <c r="AR639" s="27">
        <v>0</v>
      </c>
      <c r="AS639" s="27">
        <v>0</v>
      </c>
      <c r="AT639" s="27">
        <v>0</v>
      </c>
      <c r="AU639" s="27">
        <v>0</v>
      </c>
      <c r="AV639" s="27">
        <v>0</v>
      </c>
      <c r="AW639" s="27">
        <v>0</v>
      </c>
      <c r="AX639" s="27">
        <v>0</v>
      </c>
      <c r="AZ639" s="27">
        <v>1</v>
      </c>
      <c r="BA639" s="27">
        <v>1</v>
      </c>
      <c r="BB639" s="27">
        <v>43.07</v>
      </c>
      <c r="BC639" s="27" t="s">
        <v>1666</v>
      </c>
      <c r="BD639" s="27" t="s">
        <v>741</v>
      </c>
      <c r="BE639" s="27" t="s">
        <v>113</v>
      </c>
      <c r="BF639" s="27" t="s">
        <v>77</v>
      </c>
      <c r="BG639" s="27">
        <v>168</v>
      </c>
      <c r="BH639" s="27">
        <v>11</v>
      </c>
      <c r="BI639" s="27">
        <v>0.9385</v>
      </c>
      <c r="BJ639" s="27">
        <v>0</v>
      </c>
      <c r="BK639" s="27">
        <v>143</v>
      </c>
      <c r="BL639" s="27">
        <v>60.8</v>
      </c>
    </row>
    <row r="640" customHeight="1" spans="1:64">
      <c r="A640" s="27" t="s">
        <v>1975</v>
      </c>
      <c r="B640" s="27" t="s">
        <v>282</v>
      </c>
      <c r="E640" s="27" t="s">
        <v>1976</v>
      </c>
      <c r="F640" s="27" t="s">
        <v>160</v>
      </c>
      <c r="G640" s="27" t="s">
        <v>83</v>
      </c>
      <c r="H640" s="27" t="s">
        <v>84</v>
      </c>
      <c r="I640" s="27" t="s">
        <v>85</v>
      </c>
      <c r="J640" s="27">
        <v>5</v>
      </c>
      <c r="K640" s="27">
        <v>29.99</v>
      </c>
      <c r="M640" s="27">
        <v>0</v>
      </c>
      <c r="N640" s="27">
        <v>0</v>
      </c>
      <c r="O640" s="27">
        <v>0</v>
      </c>
      <c r="P640" s="27" t="s">
        <v>86</v>
      </c>
      <c r="Q640" s="27">
        <v>3.433665</v>
      </c>
      <c r="S640" s="27">
        <v>217</v>
      </c>
      <c r="T640" s="27">
        <v>10</v>
      </c>
      <c r="U640" s="27">
        <v>0.9559</v>
      </c>
      <c r="V640" s="27" t="s">
        <v>154</v>
      </c>
      <c r="W640" s="27">
        <v>6507.83</v>
      </c>
      <c r="X640" s="27">
        <v>5.384495</v>
      </c>
      <c r="Y640" s="27">
        <v>8.780915</v>
      </c>
      <c r="Z640" s="27">
        <v>3.1623</v>
      </c>
      <c r="AA640" s="27" t="s">
        <v>88</v>
      </c>
      <c r="AB640" s="27">
        <v>0</v>
      </c>
      <c r="AC640" s="27">
        <v>0</v>
      </c>
      <c r="AD640" s="27">
        <v>0</v>
      </c>
      <c r="AE640" s="27">
        <v>0</v>
      </c>
      <c r="AF640" s="27">
        <v>0</v>
      </c>
      <c r="AG640" s="27">
        <v>0</v>
      </c>
      <c r="AH640" s="27">
        <v>1</v>
      </c>
      <c r="AI640" s="27">
        <v>0</v>
      </c>
      <c r="AJ640" s="27">
        <v>0</v>
      </c>
      <c r="AK640" s="27">
        <v>0</v>
      </c>
      <c r="AL640" s="27">
        <v>0</v>
      </c>
      <c r="AM640" s="27">
        <v>0</v>
      </c>
      <c r="AN640" s="27">
        <v>0</v>
      </c>
      <c r="AO640" s="27">
        <v>0</v>
      </c>
      <c r="AP640" s="27">
        <v>1</v>
      </c>
      <c r="AQ640" s="27">
        <v>0</v>
      </c>
      <c r="AR640" s="27">
        <v>0</v>
      </c>
      <c r="AS640" s="27">
        <v>0</v>
      </c>
      <c r="AT640" s="27">
        <v>1</v>
      </c>
      <c r="AU640" s="27">
        <v>0</v>
      </c>
      <c r="AV640" s="27">
        <v>0</v>
      </c>
      <c r="AW640" s="27">
        <v>0</v>
      </c>
      <c r="AX640" s="27">
        <v>0</v>
      </c>
      <c r="AZ640" s="27">
        <v>1</v>
      </c>
      <c r="BA640" s="27">
        <v>1</v>
      </c>
      <c r="BB640" s="27">
        <v>68.09</v>
      </c>
      <c r="BC640" s="27" t="s">
        <v>285</v>
      </c>
      <c r="BD640" s="27" t="s">
        <v>286</v>
      </c>
      <c r="BE640" s="27" t="s">
        <v>287</v>
      </c>
      <c r="BF640" s="27" t="s">
        <v>77</v>
      </c>
      <c r="BG640" s="27">
        <v>1</v>
      </c>
      <c r="BH640" s="27">
        <v>226</v>
      </c>
      <c r="BI640" s="27">
        <v>0.0044</v>
      </c>
      <c r="BJ640" s="27">
        <v>1</v>
      </c>
      <c r="BK640" s="27">
        <v>2</v>
      </c>
      <c r="BL640" s="27">
        <v>99.5</v>
      </c>
    </row>
    <row r="641" customHeight="1" spans="1:64">
      <c r="A641" s="27" t="s">
        <v>1977</v>
      </c>
      <c r="B641" s="27" t="s">
        <v>384</v>
      </c>
      <c r="C641" s="27" t="s">
        <v>1978</v>
      </c>
      <c r="E641" s="27" t="s">
        <v>81</v>
      </c>
      <c r="F641" s="27" t="s">
        <v>160</v>
      </c>
      <c r="G641" s="27" t="s">
        <v>83</v>
      </c>
      <c r="H641" s="27" t="s">
        <v>84</v>
      </c>
      <c r="I641" s="27" t="s">
        <v>85</v>
      </c>
      <c r="J641" s="27">
        <v>5</v>
      </c>
      <c r="K641" s="27">
        <v>259.99</v>
      </c>
      <c r="L641" s="27">
        <v>349.99</v>
      </c>
      <c r="M641" s="27">
        <v>25.72</v>
      </c>
      <c r="N641" s="27">
        <v>90</v>
      </c>
      <c r="O641" s="27">
        <v>1</v>
      </c>
      <c r="P641" s="27" t="s">
        <v>71</v>
      </c>
      <c r="Q641" s="27">
        <v>5.564482</v>
      </c>
      <c r="R641" s="27">
        <v>26</v>
      </c>
      <c r="S641" s="27">
        <v>6</v>
      </c>
      <c r="T641" s="27">
        <v>10</v>
      </c>
      <c r="U641" s="27">
        <v>0.375</v>
      </c>
      <c r="V641" s="27" t="s">
        <v>87</v>
      </c>
      <c r="W641" s="27">
        <v>1559.94</v>
      </c>
      <c r="X641" s="27">
        <v>1.94591</v>
      </c>
      <c r="Y641" s="27">
        <v>7.353043</v>
      </c>
      <c r="Z641" s="27">
        <v>3.1623</v>
      </c>
      <c r="AA641" s="27" t="s">
        <v>73</v>
      </c>
      <c r="AB641" s="27">
        <v>0</v>
      </c>
      <c r="AC641" s="27">
        <v>0</v>
      </c>
      <c r="AD641" s="27">
        <v>0</v>
      </c>
      <c r="AE641" s="27">
        <v>0</v>
      </c>
      <c r="AF641" s="27">
        <v>0</v>
      </c>
      <c r="AG641" s="27">
        <v>0</v>
      </c>
      <c r="AH641" s="27">
        <v>0</v>
      </c>
      <c r="AI641" s="27">
        <v>0</v>
      </c>
      <c r="AJ641" s="27">
        <v>0</v>
      </c>
      <c r="AK641" s="27">
        <v>0</v>
      </c>
      <c r="AL641" s="27">
        <v>0</v>
      </c>
      <c r="AM641" s="27">
        <v>0</v>
      </c>
      <c r="AN641" s="27">
        <v>0</v>
      </c>
      <c r="AO641" s="27">
        <v>0</v>
      </c>
      <c r="AP641" s="27">
        <v>0</v>
      </c>
      <c r="AQ641" s="27">
        <v>1</v>
      </c>
      <c r="AR641" s="27">
        <v>0</v>
      </c>
      <c r="AS641" s="27">
        <v>0</v>
      </c>
      <c r="AT641" s="27">
        <v>0</v>
      </c>
      <c r="AU641" s="27">
        <v>0</v>
      </c>
      <c r="AV641" s="27">
        <v>1</v>
      </c>
      <c r="AW641" s="27">
        <v>1</v>
      </c>
      <c r="AX641" s="27">
        <v>0</v>
      </c>
      <c r="AY641" s="27">
        <v>10</v>
      </c>
      <c r="AZ641" s="27">
        <v>1</v>
      </c>
      <c r="BA641" s="27">
        <v>1</v>
      </c>
      <c r="BB641" s="27">
        <v>52.24</v>
      </c>
      <c r="BC641" s="27" t="s">
        <v>385</v>
      </c>
      <c r="BD641" s="27" t="s">
        <v>773</v>
      </c>
      <c r="BE641" s="27" t="s">
        <v>774</v>
      </c>
      <c r="BF641" s="27" t="s">
        <v>77</v>
      </c>
      <c r="BG641" s="27">
        <v>1</v>
      </c>
      <c r="BH641" s="27">
        <v>28</v>
      </c>
      <c r="BI641" s="27">
        <v>0.0345</v>
      </c>
      <c r="BJ641" s="27">
        <v>1</v>
      </c>
      <c r="BK641" s="27">
        <v>6</v>
      </c>
      <c r="BL641" s="27">
        <v>98.4</v>
      </c>
    </row>
    <row r="642" customHeight="1" spans="1:64">
      <c r="A642" s="27" t="s">
        <v>1979</v>
      </c>
      <c r="B642" s="27" t="s">
        <v>125</v>
      </c>
      <c r="E642" s="27" t="s">
        <v>1313</v>
      </c>
      <c r="F642" s="27" t="s">
        <v>82</v>
      </c>
      <c r="G642" s="27" t="s">
        <v>83</v>
      </c>
      <c r="H642" s="27" t="s">
        <v>138</v>
      </c>
      <c r="I642" s="27" t="s">
        <v>85</v>
      </c>
      <c r="J642" s="27">
        <v>5</v>
      </c>
      <c r="K642" s="27">
        <v>23.99</v>
      </c>
      <c r="M642" s="27">
        <v>0</v>
      </c>
      <c r="N642" s="27">
        <v>0</v>
      </c>
      <c r="O642" s="27">
        <v>0</v>
      </c>
      <c r="P642" s="27" t="s">
        <v>133</v>
      </c>
      <c r="Q642" s="27">
        <v>3.218476</v>
      </c>
      <c r="S642" s="27">
        <v>26</v>
      </c>
      <c r="T642" s="27">
        <v>10</v>
      </c>
      <c r="U642" s="27">
        <v>0.7222</v>
      </c>
      <c r="V642" s="27" t="s">
        <v>72</v>
      </c>
      <c r="W642" s="27">
        <v>623.74</v>
      </c>
      <c r="X642" s="27">
        <v>3.295837</v>
      </c>
      <c r="Y642" s="27">
        <v>6.437336</v>
      </c>
      <c r="Z642" s="27">
        <v>3.1623</v>
      </c>
      <c r="AA642" s="27" t="s">
        <v>73</v>
      </c>
      <c r="AB642" s="27">
        <v>0</v>
      </c>
      <c r="AC642" s="27">
        <v>0</v>
      </c>
      <c r="AD642" s="27">
        <v>0</v>
      </c>
      <c r="AE642" s="27">
        <v>0</v>
      </c>
      <c r="AF642" s="27">
        <v>0</v>
      </c>
      <c r="AG642" s="27">
        <v>0</v>
      </c>
      <c r="AH642" s="27">
        <v>1</v>
      </c>
      <c r="AI642" s="27">
        <v>0</v>
      </c>
      <c r="AJ642" s="27">
        <v>0</v>
      </c>
      <c r="AK642" s="27">
        <v>0</v>
      </c>
      <c r="AL642" s="27">
        <v>0</v>
      </c>
      <c r="AM642" s="27">
        <v>0</v>
      </c>
      <c r="AN642" s="27">
        <v>0</v>
      </c>
      <c r="AO642" s="27">
        <v>0</v>
      </c>
      <c r="AP642" s="27">
        <v>0</v>
      </c>
      <c r="AQ642" s="27">
        <v>1</v>
      </c>
      <c r="AR642" s="27">
        <v>0</v>
      </c>
      <c r="AS642" s="27">
        <v>0</v>
      </c>
      <c r="AT642" s="27">
        <v>0</v>
      </c>
      <c r="AU642" s="27">
        <v>0</v>
      </c>
      <c r="AV642" s="27">
        <v>1</v>
      </c>
      <c r="AW642" s="27">
        <v>0</v>
      </c>
      <c r="AX642" s="27">
        <v>0</v>
      </c>
      <c r="AZ642" s="27">
        <v>1</v>
      </c>
      <c r="BA642" s="27">
        <v>2</v>
      </c>
      <c r="BB642" s="27">
        <v>58.74</v>
      </c>
      <c r="BC642" s="27" t="s">
        <v>1980</v>
      </c>
      <c r="BG642" s="27">
        <v>0</v>
      </c>
      <c r="BH642" s="27">
        <v>0</v>
      </c>
      <c r="BJ642" s="27">
        <v>0</v>
      </c>
      <c r="BK642" s="27">
        <v>2</v>
      </c>
      <c r="BL642" s="27">
        <v>99.5</v>
      </c>
    </row>
    <row r="643" customHeight="1" spans="1:64">
      <c r="A643" s="27" t="s">
        <v>1981</v>
      </c>
      <c r="B643" s="27" t="s">
        <v>1268</v>
      </c>
      <c r="E643" s="27" t="s">
        <v>239</v>
      </c>
      <c r="F643" s="27" t="s">
        <v>240</v>
      </c>
      <c r="G643" s="27" t="s">
        <v>83</v>
      </c>
      <c r="H643" s="27" t="s">
        <v>84</v>
      </c>
      <c r="I643" s="27" t="s">
        <v>508</v>
      </c>
      <c r="J643" s="27">
        <v>1</v>
      </c>
      <c r="K643" s="27">
        <v>114.95</v>
      </c>
      <c r="M643" s="27">
        <v>0</v>
      </c>
      <c r="N643" s="27">
        <v>0</v>
      </c>
      <c r="O643" s="27">
        <v>0</v>
      </c>
      <c r="P643" s="27" t="s">
        <v>95</v>
      </c>
      <c r="Q643" s="27">
        <v>4.753159</v>
      </c>
      <c r="V643" s="27" t="s">
        <v>231</v>
      </c>
      <c r="W643" s="27">
        <v>0</v>
      </c>
      <c r="X643" s="27">
        <v>0</v>
      </c>
      <c r="Y643" s="27">
        <v>0</v>
      </c>
      <c r="Z643" s="27">
        <v>0</v>
      </c>
      <c r="AA643" s="27" t="s">
        <v>73</v>
      </c>
      <c r="AB643" s="27">
        <v>0</v>
      </c>
      <c r="AC643" s="27">
        <v>0</v>
      </c>
      <c r="AD643" s="27">
        <v>0</v>
      </c>
      <c r="AE643" s="27">
        <v>0</v>
      </c>
      <c r="AF643" s="27">
        <v>0</v>
      </c>
      <c r="AG643" s="27">
        <v>1</v>
      </c>
      <c r="AH643" s="27">
        <v>0</v>
      </c>
      <c r="AI643" s="27">
        <v>1</v>
      </c>
      <c r="AJ643" s="27">
        <v>0</v>
      </c>
      <c r="AK643" s="27">
        <v>0</v>
      </c>
      <c r="AL643" s="27">
        <v>0</v>
      </c>
      <c r="AM643" s="27">
        <v>0</v>
      </c>
      <c r="AN643" s="27">
        <v>0</v>
      </c>
      <c r="AO643" s="27">
        <v>0</v>
      </c>
      <c r="AP643" s="27">
        <v>0</v>
      </c>
      <c r="AQ643" s="27">
        <v>0</v>
      </c>
      <c r="AR643" s="27">
        <v>0</v>
      </c>
      <c r="AS643" s="27">
        <v>0</v>
      </c>
      <c r="AT643" s="27">
        <v>0</v>
      </c>
      <c r="AU643" s="27">
        <v>0</v>
      </c>
      <c r="AV643" s="27">
        <v>0</v>
      </c>
      <c r="AW643" s="27">
        <v>1</v>
      </c>
      <c r="AX643" s="27">
        <v>0</v>
      </c>
      <c r="AZ643" s="27">
        <v>1</v>
      </c>
      <c r="BA643" s="27">
        <v>0</v>
      </c>
      <c r="BB643" s="27">
        <v>27.87</v>
      </c>
      <c r="BC643" s="27" t="s">
        <v>1982</v>
      </c>
      <c r="BG643" s="27">
        <v>0</v>
      </c>
      <c r="BH643" s="27">
        <v>0</v>
      </c>
      <c r="BJ643" s="27">
        <v>0</v>
      </c>
      <c r="BK643" s="27">
        <v>26</v>
      </c>
      <c r="BL643" s="27">
        <v>92.9</v>
      </c>
    </row>
    <row r="644" customHeight="1" spans="1:64">
      <c r="A644" s="27" t="s">
        <v>1983</v>
      </c>
      <c r="B644" s="38" t="s">
        <v>1984</v>
      </c>
      <c r="C644" s="27" t="s">
        <v>1985</v>
      </c>
      <c r="E644" s="27" t="s">
        <v>1986</v>
      </c>
      <c r="F644" s="27" t="s">
        <v>68</v>
      </c>
      <c r="G644" s="27" t="s">
        <v>83</v>
      </c>
      <c r="H644" s="27" t="s">
        <v>84</v>
      </c>
      <c r="I644" s="27" t="s">
        <v>85</v>
      </c>
      <c r="J644" s="27">
        <v>5</v>
      </c>
      <c r="K644" s="27">
        <v>37.46</v>
      </c>
      <c r="L644" s="27">
        <v>49.95</v>
      </c>
      <c r="M644" s="27">
        <v>25.01</v>
      </c>
      <c r="N644" s="27">
        <v>12.49</v>
      </c>
      <c r="O644" s="27">
        <v>1</v>
      </c>
      <c r="P644" s="27" t="s">
        <v>86</v>
      </c>
      <c r="Q644" s="27">
        <v>3.649619</v>
      </c>
      <c r="S644" s="27">
        <v>29</v>
      </c>
      <c r="T644" s="27">
        <v>10</v>
      </c>
      <c r="U644" s="27">
        <v>0.7436</v>
      </c>
      <c r="V644" s="27" t="s">
        <v>72</v>
      </c>
      <c r="W644" s="27">
        <v>1086.34</v>
      </c>
      <c r="X644" s="27">
        <v>3.401197</v>
      </c>
      <c r="Y644" s="27">
        <v>6.99149</v>
      </c>
      <c r="Z644" s="27">
        <v>3.1623</v>
      </c>
      <c r="AA644" s="27" t="s">
        <v>125</v>
      </c>
      <c r="AB644" s="27">
        <v>0</v>
      </c>
      <c r="AC644" s="27">
        <v>0</v>
      </c>
      <c r="AD644" s="27">
        <v>0</v>
      </c>
      <c r="AE644" s="27">
        <v>0</v>
      </c>
      <c r="AF644" s="27">
        <v>0</v>
      </c>
      <c r="AG644" s="27">
        <v>0</v>
      </c>
      <c r="AH644" s="27">
        <v>0</v>
      </c>
      <c r="AI644" s="27">
        <v>0</v>
      </c>
      <c r="AJ644" s="27">
        <v>1</v>
      </c>
      <c r="AK644" s="27">
        <v>0</v>
      </c>
      <c r="AL644" s="27">
        <v>0</v>
      </c>
      <c r="AM644" s="27">
        <v>0</v>
      </c>
      <c r="AN644" s="27">
        <v>0</v>
      </c>
      <c r="AO644" s="27">
        <v>0</v>
      </c>
      <c r="AP644" s="27">
        <v>0</v>
      </c>
      <c r="AQ644" s="27">
        <v>0</v>
      </c>
      <c r="AR644" s="27">
        <v>0</v>
      </c>
      <c r="AS644" s="27">
        <v>0</v>
      </c>
      <c r="AT644" s="27">
        <v>0</v>
      </c>
      <c r="AU644" s="27">
        <v>0</v>
      </c>
      <c r="AV644" s="27">
        <v>0</v>
      </c>
      <c r="AW644" s="27">
        <v>0</v>
      </c>
      <c r="AX644" s="27">
        <v>0</v>
      </c>
      <c r="AZ644" s="27">
        <v>1</v>
      </c>
      <c r="BA644" s="27">
        <v>0</v>
      </c>
      <c r="BB644" s="27">
        <v>50.9</v>
      </c>
      <c r="BC644" s="27" t="s">
        <v>1987</v>
      </c>
      <c r="BG644" s="27">
        <v>0</v>
      </c>
      <c r="BH644" s="27">
        <v>0</v>
      </c>
      <c r="BJ644" s="27">
        <v>0</v>
      </c>
      <c r="BK644" s="27">
        <v>199</v>
      </c>
      <c r="BL644" s="27">
        <v>45.5</v>
      </c>
    </row>
    <row r="645" customHeight="1" spans="1:64">
      <c r="A645" s="27" t="s">
        <v>1988</v>
      </c>
      <c r="B645" s="27" t="s">
        <v>1989</v>
      </c>
      <c r="C645" s="27" t="s">
        <v>1990</v>
      </c>
      <c r="E645" s="27" t="s">
        <v>1991</v>
      </c>
      <c r="F645" s="27" t="s">
        <v>240</v>
      </c>
      <c r="G645" s="27" t="s">
        <v>83</v>
      </c>
      <c r="H645" s="27" t="s">
        <v>84</v>
      </c>
      <c r="I645" s="27" t="s">
        <v>203</v>
      </c>
      <c r="J645" s="27">
        <v>4</v>
      </c>
      <c r="K645" s="27">
        <v>400</v>
      </c>
      <c r="M645" s="27">
        <v>0</v>
      </c>
      <c r="N645" s="27">
        <v>0</v>
      </c>
      <c r="O645" s="27">
        <v>0</v>
      </c>
      <c r="P645" s="27" t="s">
        <v>71</v>
      </c>
      <c r="Q645" s="27">
        <v>5.993961</v>
      </c>
      <c r="R645" s="27">
        <v>100</v>
      </c>
      <c r="V645" s="27" t="s">
        <v>231</v>
      </c>
      <c r="W645" s="27">
        <v>0</v>
      </c>
      <c r="X645" s="27">
        <v>0</v>
      </c>
      <c r="Y645" s="27">
        <v>0</v>
      </c>
      <c r="Z645" s="27">
        <v>0</v>
      </c>
      <c r="AA645" s="27" t="s">
        <v>125</v>
      </c>
      <c r="AB645" s="27">
        <v>0</v>
      </c>
      <c r="AC645" s="27">
        <v>0</v>
      </c>
      <c r="AD645" s="27">
        <v>0</v>
      </c>
      <c r="AE645" s="27">
        <v>0</v>
      </c>
      <c r="AF645" s="27">
        <v>0</v>
      </c>
      <c r="AG645" s="27">
        <v>0</v>
      </c>
      <c r="AH645" s="27">
        <v>0</v>
      </c>
      <c r="AI645" s="27">
        <v>0</v>
      </c>
      <c r="AJ645" s="27">
        <v>0</v>
      </c>
      <c r="AK645" s="27">
        <v>0</v>
      </c>
      <c r="AL645" s="27">
        <v>0</v>
      </c>
      <c r="AM645" s="27">
        <v>0</v>
      </c>
      <c r="AN645" s="27">
        <v>0</v>
      </c>
      <c r="AO645" s="27">
        <v>0</v>
      </c>
      <c r="AP645" s="27">
        <v>0</v>
      </c>
      <c r="AQ645" s="27">
        <v>0</v>
      </c>
      <c r="AR645" s="27">
        <v>0</v>
      </c>
      <c r="AS645" s="27">
        <v>0</v>
      </c>
      <c r="AT645" s="27">
        <v>0</v>
      </c>
      <c r="AU645" s="27">
        <v>0</v>
      </c>
      <c r="AV645" s="27">
        <v>0</v>
      </c>
      <c r="AW645" s="27">
        <v>1</v>
      </c>
      <c r="AX645" s="27">
        <v>0</v>
      </c>
      <c r="AY645" s="27">
        <v>4</v>
      </c>
      <c r="AZ645" s="27">
        <v>1</v>
      </c>
      <c r="BA645" s="27">
        <v>0</v>
      </c>
      <c r="BB645" s="27">
        <v>28.68</v>
      </c>
      <c r="BC645" s="27" t="s">
        <v>1992</v>
      </c>
      <c r="BD645" s="27" t="s">
        <v>1993</v>
      </c>
      <c r="BE645" s="27" t="s">
        <v>789</v>
      </c>
      <c r="BF645" s="27" t="s">
        <v>77</v>
      </c>
      <c r="BG645" s="27">
        <v>1</v>
      </c>
      <c r="BH645" s="27">
        <v>11</v>
      </c>
      <c r="BI645" s="27">
        <v>0.0833</v>
      </c>
      <c r="BJ645" s="27">
        <v>1</v>
      </c>
      <c r="BK645" s="27">
        <v>16</v>
      </c>
      <c r="BL645" s="27">
        <v>95.6</v>
      </c>
    </row>
    <row r="646" customHeight="1" spans="1:64">
      <c r="A646" s="27" t="s">
        <v>1994</v>
      </c>
      <c r="B646" s="27" t="s">
        <v>65</v>
      </c>
      <c r="C646" s="27" t="s">
        <v>1995</v>
      </c>
      <c r="E646" s="27" t="s">
        <v>239</v>
      </c>
      <c r="F646" s="27" t="s">
        <v>240</v>
      </c>
      <c r="G646" s="27" t="s">
        <v>65</v>
      </c>
      <c r="H646" s="27" t="s">
        <v>69</v>
      </c>
      <c r="I646" s="27" t="s">
        <v>85</v>
      </c>
      <c r="J646" s="27">
        <v>5</v>
      </c>
      <c r="K646" s="27">
        <v>439.99</v>
      </c>
      <c r="M646" s="27">
        <v>0</v>
      </c>
      <c r="N646" s="27">
        <v>0</v>
      </c>
      <c r="O646" s="27">
        <v>0</v>
      </c>
      <c r="P646" s="27" t="s">
        <v>71</v>
      </c>
      <c r="Q646" s="27">
        <v>6.089022</v>
      </c>
      <c r="R646" s="27">
        <v>22</v>
      </c>
      <c r="S646" s="27">
        <v>5</v>
      </c>
      <c r="T646" s="27">
        <v>10</v>
      </c>
      <c r="U646" s="27">
        <v>0.3333</v>
      </c>
      <c r="V646" s="27" t="s">
        <v>87</v>
      </c>
      <c r="W646" s="27">
        <v>2199.95</v>
      </c>
      <c r="X646" s="27">
        <v>1.791759</v>
      </c>
      <c r="Y646" s="27">
        <v>7.696644</v>
      </c>
      <c r="Z646" s="27">
        <v>3.1623</v>
      </c>
      <c r="AA646" s="27" t="s">
        <v>73</v>
      </c>
      <c r="AB646" s="27">
        <v>0</v>
      </c>
      <c r="AC646" s="27">
        <v>0</v>
      </c>
      <c r="AD646" s="27">
        <v>0</v>
      </c>
      <c r="AE646" s="27">
        <v>0</v>
      </c>
      <c r="AF646" s="27">
        <v>0</v>
      </c>
      <c r="AG646" s="27">
        <v>1</v>
      </c>
      <c r="AH646" s="27">
        <v>1</v>
      </c>
      <c r="AI646" s="27">
        <v>0</v>
      </c>
      <c r="AJ646" s="27">
        <v>0</v>
      </c>
      <c r="AK646" s="27">
        <v>0</v>
      </c>
      <c r="AL646" s="27">
        <v>0</v>
      </c>
      <c r="AM646" s="27">
        <v>0</v>
      </c>
      <c r="AN646" s="27">
        <v>0</v>
      </c>
      <c r="AO646" s="27">
        <v>0</v>
      </c>
      <c r="AP646" s="27">
        <v>0</v>
      </c>
      <c r="AQ646" s="27">
        <v>0</v>
      </c>
      <c r="AR646" s="27">
        <v>0</v>
      </c>
      <c r="AS646" s="27">
        <v>0</v>
      </c>
      <c r="AT646" s="27">
        <v>0</v>
      </c>
      <c r="AU646" s="27">
        <v>0</v>
      </c>
      <c r="AV646" s="27">
        <v>1</v>
      </c>
      <c r="AW646" s="27">
        <v>1</v>
      </c>
      <c r="AX646" s="27">
        <v>0</v>
      </c>
      <c r="AY646" s="27">
        <v>20</v>
      </c>
      <c r="AZ646" s="27">
        <v>1</v>
      </c>
      <c r="BA646" s="27">
        <v>1</v>
      </c>
      <c r="BB646" s="27">
        <v>43.18</v>
      </c>
      <c r="BC646" s="27" t="s">
        <v>784</v>
      </c>
      <c r="BD646" s="27" t="s">
        <v>785</v>
      </c>
      <c r="BE646" s="27" t="s">
        <v>774</v>
      </c>
      <c r="BF646" s="27" t="s">
        <v>77</v>
      </c>
      <c r="BG646" s="27">
        <v>1</v>
      </c>
      <c r="BH646" s="27">
        <v>27</v>
      </c>
      <c r="BI646" s="27">
        <v>0.0357</v>
      </c>
      <c r="BJ646" s="27">
        <v>1</v>
      </c>
      <c r="BK646" s="27">
        <v>2</v>
      </c>
      <c r="BL646" s="27">
        <v>99.5</v>
      </c>
    </row>
    <row r="647" customHeight="1" spans="1:64">
      <c r="A647" s="27" t="s">
        <v>1996</v>
      </c>
      <c r="B647" s="27" t="s">
        <v>725</v>
      </c>
      <c r="E647" s="27" t="s">
        <v>1997</v>
      </c>
      <c r="F647" s="27" t="s">
        <v>198</v>
      </c>
      <c r="G647" s="27" t="s">
        <v>83</v>
      </c>
      <c r="H647" s="27" t="s">
        <v>84</v>
      </c>
      <c r="I647" s="27" t="s">
        <v>85</v>
      </c>
      <c r="J647" s="27">
        <v>5</v>
      </c>
      <c r="K647" s="27">
        <v>39.99</v>
      </c>
      <c r="M647" s="27">
        <v>0</v>
      </c>
      <c r="N647" s="27">
        <v>0</v>
      </c>
      <c r="O647" s="27">
        <v>0</v>
      </c>
      <c r="P647" s="27" t="s">
        <v>86</v>
      </c>
      <c r="Q647" s="27">
        <v>3.713328</v>
      </c>
      <c r="S647" s="27">
        <v>31</v>
      </c>
      <c r="T647" s="27">
        <v>3</v>
      </c>
      <c r="U647" s="27">
        <v>0.9118</v>
      </c>
      <c r="V647" s="27" t="s">
        <v>72</v>
      </c>
      <c r="W647" s="27">
        <v>1239.69</v>
      </c>
      <c r="X647" s="27">
        <v>3.465736</v>
      </c>
      <c r="Y647" s="27">
        <v>7.123423</v>
      </c>
      <c r="Z647" s="27">
        <v>1.7321</v>
      </c>
      <c r="AA647" s="27" t="s">
        <v>125</v>
      </c>
      <c r="AB647" s="27">
        <v>0</v>
      </c>
      <c r="AC647" s="27">
        <v>0</v>
      </c>
      <c r="AD647" s="27">
        <v>0</v>
      </c>
      <c r="AE647" s="27">
        <v>0</v>
      </c>
      <c r="AF647" s="27">
        <v>0</v>
      </c>
      <c r="AG647" s="27">
        <v>0</v>
      </c>
      <c r="AH647" s="27">
        <v>1</v>
      </c>
      <c r="AI647" s="27">
        <v>0</v>
      </c>
      <c r="AJ647" s="27">
        <v>0</v>
      </c>
      <c r="AK647" s="27">
        <v>0</v>
      </c>
      <c r="AL647" s="27">
        <v>0</v>
      </c>
      <c r="AM647" s="27">
        <v>0</v>
      </c>
      <c r="AN647" s="27">
        <v>0</v>
      </c>
      <c r="AO647" s="27">
        <v>0</v>
      </c>
      <c r="AP647" s="27">
        <v>0</v>
      </c>
      <c r="AQ647" s="27">
        <v>0</v>
      </c>
      <c r="AR647" s="27">
        <v>0</v>
      </c>
      <c r="AS647" s="27">
        <v>0</v>
      </c>
      <c r="AT647" s="27">
        <v>1</v>
      </c>
      <c r="AU647" s="27">
        <v>0</v>
      </c>
      <c r="AV647" s="27">
        <v>0</v>
      </c>
      <c r="AW647" s="27">
        <v>1</v>
      </c>
      <c r="AX647" s="27">
        <v>0</v>
      </c>
      <c r="AZ647" s="27">
        <v>1</v>
      </c>
      <c r="BA647" s="27">
        <v>1</v>
      </c>
      <c r="BB647" s="27">
        <v>64.58</v>
      </c>
      <c r="BC647" s="27" t="s">
        <v>728</v>
      </c>
      <c r="BD647" s="27" t="s">
        <v>356</v>
      </c>
      <c r="BE647" s="27" t="s">
        <v>287</v>
      </c>
      <c r="BF647" s="27" t="s">
        <v>77</v>
      </c>
      <c r="BG647" s="27">
        <v>168</v>
      </c>
      <c r="BH647" s="27">
        <v>53</v>
      </c>
      <c r="BI647" s="27">
        <v>0.7602</v>
      </c>
      <c r="BJ647" s="27">
        <v>0</v>
      </c>
      <c r="BK647" s="27">
        <v>23</v>
      </c>
      <c r="BL647" s="27">
        <v>93.7</v>
      </c>
    </row>
    <row r="648" customHeight="1" spans="1:64">
      <c r="A648" s="27" t="s">
        <v>1998</v>
      </c>
      <c r="B648" s="27" t="s">
        <v>280</v>
      </c>
      <c r="C648" s="27">
        <v>900905</v>
      </c>
      <c r="E648" s="27" t="s">
        <v>131</v>
      </c>
      <c r="F648" s="27" t="s">
        <v>132</v>
      </c>
      <c r="G648" s="27" t="s">
        <v>83</v>
      </c>
      <c r="H648" s="27" t="s">
        <v>84</v>
      </c>
      <c r="I648" s="27" t="s">
        <v>85</v>
      </c>
      <c r="J648" s="27">
        <v>5</v>
      </c>
      <c r="K648" s="27">
        <v>6.99</v>
      </c>
      <c r="M648" s="27">
        <v>0</v>
      </c>
      <c r="N648" s="27">
        <v>0</v>
      </c>
      <c r="O648" s="27">
        <v>0</v>
      </c>
      <c r="P648" s="27" t="s">
        <v>133</v>
      </c>
      <c r="Q648" s="27">
        <v>2.078191</v>
      </c>
      <c r="S648" s="27">
        <v>501</v>
      </c>
      <c r="T648" s="27">
        <v>10</v>
      </c>
      <c r="U648" s="27">
        <v>0.9804</v>
      </c>
      <c r="V648" s="27" t="s">
        <v>154</v>
      </c>
      <c r="W648" s="27">
        <v>3501.99</v>
      </c>
      <c r="X648" s="27">
        <v>6.2186</v>
      </c>
      <c r="Y648" s="27">
        <v>8.161372</v>
      </c>
      <c r="Z648" s="27">
        <v>3.1623</v>
      </c>
      <c r="AA648" s="27" t="s">
        <v>125</v>
      </c>
      <c r="AB648" s="27">
        <v>0</v>
      </c>
      <c r="AC648" s="27">
        <v>0</v>
      </c>
      <c r="AD648" s="27">
        <v>0</v>
      </c>
      <c r="AE648" s="27">
        <v>0</v>
      </c>
      <c r="AF648" s="27">
        <v>0</v>
      </c>
      <c r="AG648" s="27">
        <v>0</v>
      </c>
      <c r="AH648" s="27">
        <v>0</v>
      </c>
      <c r="AI648" s="27">
        <v>0</v>
      </c>
      <c r="AJ648" s="27">
        <v>0</v>
      </c>
      <c r="AK648" s="27">
        <v>0</v>
      </c>
      <c r="AL648" s="27">
        <v>0</v>
      </c>
      <c r="AM648" s="27">
        <v>0</v>
      </c>
      <c r="AN648" s="27">
        <v>0</v>
      </c>
      <c r="AO648" s="27">
        <v>0</v>
      </c>
      <c r="AP648" s="27">
        <v>0</v>
      </c>
      <c r="AQ648" s="27">
        <v>0</v>
      </c>
      <c r="AR648" s="27">
        <v>0</v>
      </c>
      <c r="AS648" s="27">
        <v>0</v>
      </c>
      <c r="AT648" s="27">
        <v>0</v>
      </c>
      <c r="AU648" s="27">
        <v>0</v>
      </c>
      <c r="AV648" s="27">
        <v>0</v>
      </c>
      <c r="AW648" s="27">
        <v>0</v>
      </c>
      <c r="AX648" s="27">
        <v>0</v>
      </c>
      <c r="AZ648" s="27">
        <v>1</v>
      </c>
      <c r="BA648" s="27">
        <v>0</v>
      </c>
      <c r="BB648" s="27">
        <v>53.92</v>
      </c>
      <c r="BC648" s="27" t="s">
        <v>134</v>
      </c>
      <c r="BD648" s="27" t="s">
        <v>135</v>
      </c>
      <c r="BE648" s="27" t="s">
        <v>150</v>
      </c>
      <c r="BF648" s="27" t="s">
        <v>77</v>
      </c>
      <c r="BG648" s="27">
        <v>208</v>
      </c>
      <c r="BH648" s="27">
        <v>11</v>
      </c>
      <c r="BI648" s="27">
        <v>0.9498</v>
      </c>
      <c r="BJ648" s="27">
        <v>0</v>
      </c>
      <c r="BK648" s="27">
        <v>186</v>
      </c>
      <c r="BL648" s="27">
        <v>49</v>
      </c>
    </row>
    <row r="649" customHeight="1" spans="1:64">
      <c r="A649" s="27" t="s">
        <v>1999</v>
      </c>
      <c r="B649" s="27" t="s">
        <v>65</v>
      </c>
      <c r="C649" s="27" t="s">
        <v>2000</v>
      </c>
      <c r="D649" s="27">
        <v>695529051413</v>
      </c>
      <c r="E649" s="27" t="s">
        <v>250</v>
      </c>
      <c r="F649" s="27" t="s">
        <v>68</v>
      </c>
      <c r="G649" s="27" t="s">
        <v>65</v>
      </c>
      <c r="H649" s="27" t="s">
        <v>69</v>
      </c>
      <c r="I649" s="27" t="s">
        <v>153</v>
      </c>
      <c r="J649" s="27">
        <v>2</v>
      </c>
      <c r="K649" s="27">
        <v>129</v>
      </c>
      <c r="M649" s="27">
        <v>0</v>
      </c>
      <c r="N649" s="27">
        <v>0</v>
      </c>
      <c r="O649" s="27">
        <v>0</v>
      </c>
      <c r="P649" s="27" t="s">
        <v>95</v>
      </c>
      <c r="Q649" s="27">
        <v>4.867534</v>
      </c>
      <c r="S649" s="27">
        <v>1</v>
      </c>
      <c r="T649" s="27">
        <v>1</v>
      </c>
      <c r="U649" s="27">
        <v>0.5</v>
      </c>
      <c r="V649" s="27" t="s">
        <v>87</v>
      </c>
      <c r="W649" s="27">
        <v>129</v>
      </c>
      <c r="X649" s="27">
        <v>0.693147</v>
      </c>
      <c r="Y649" s="27">
        <v>4.867534</v>
      </c>
      <c r="Z649" s="27">
        <v>1</v>
      </c>
      <c r="AA649" s="27" t="s">
        <v>73</v>
      </c>
      <c r="AB649" s="27">
        <v>0</v>
      </c>
      <c r="AC649" s="27">
        <v>0</v>
      </c>
      <c r="AD649" s="27">
        <v>1</v>
      </c>
      <c r="AE649" s="27">
        <v>0</v>
      </c>
      <c r="AF649" s="27">
        <v>0</v>
      </c>
      <c r="AG649" s="27">
        <v>1</v>
      </c>
      <c r="AH649" s="27">
        <v>0</v>
      </c>
      <c r="AI649" s="27">
        <v>0</v>
      </c>
      <c r="AJ649" s="27">
        <v>0</v>
      </c>
      <c r="AK649" s="27">
        <v>0</v>
      </c>
      <c r="AL649" s="27">
        <v>0</v>
      </c>
      <c r="AM649" s="27">
        <v>0</v>
      </c>
      <c r="AN649" s="27">
        <v>0</v>
      </c>
      <c r="AO649" s="27">
        <v>0</v>
      </c>
      <c r="AP649" s="27">
        <v>0</v>
      </c>
      <c r="AQ649" s="27">
        <v>0</v>
      </c>
      <c r="AR649" s="27">
        <v>0</v>
      </c>
      <c r="AS649" s="27">
        <v>0</v>
      </c>
      <c r="AT649" s="27">
        <v>1</v>
      </c>
      <c r="AU649" s="27">
        <v>0</v>
      </c>
      <c r="AV649" s="27">
        <v>0</v>
      </c>
      <c r="AW649" s="27">
        <v>0</v>
      </c>
      <c r="AX649" s="27">
        <v>0</v>
      </c>
      <c r="AZ649" s="27">
        <v>1</v>
      </c>
      <c r="BA649" s="27">
        <v>0</v>
      </c>
      <c r="BB649" s="27">
        <v>49.25</v>
      </c>
      <c r="BC649" s="27" t="s">
        <v>2001</v>
      </c>
      <c r="BD649" s="27" t="s">
        <v>2002</v>
      </c>
      <c r="BE649" s="27" t="s">
        <v>453</v>
      </c>
      <c r="BF649" s="27" t="s">
        <v>77</v>
      </c>
      <c r="BG649" s="27">
        <v>1</v>
      </c>
      <c r="BH649" s="27">
        <v>28</v>
      </c>
      <c r="BI649" s="27">
        <v>0.0345</v>
      </c>
      <c r="BJ649" s="27">
        <v>1</v>
      </c>
      <c r="BK649" s="27">
        <v>9</v>
      </c>
      <c r="BL649" s="27">
        <v>97.5</v>
      </c>
    </row>
    <row r="650" customHeight="1" spans="1:64">
      <c r="A650" s="27" t="s">
        <v>2003</v>
      </c>
      <c r="B650" s="27" t="s">
        <v>171</v>
      </c>
      <c r="C650" s="27" t="s">
        <v>2004</v>
      </c>
      <c r="E650" s="27" t="s">
        <v>173</v>
      </c>
      <c r="F650" s="27" t="s">
        <v>160</v>
      </c>
      <c r="G650" s="27" t="s">
        <v>83</v>
      </c>
      <c r="H650" s="27" t="s">
        <v>84</v>
      </c>
      <c r="I650" s="27" t="s">
        <v>85</v>
      </c>
      <c r="J650" s="27">
        <v>5</v>
      </c>
      <c r="K650" s="27">
        <v>59.99</v>
      </c>
      <c r="M650" s="27">
        <v>0</v>
      </c>
      <c r="N650" s="27">
        <v>0</v>
      </c>
      <c r="O650" s="27">
        <v>0</v>
      </c>
      <c r="P650" s="27" t="s">
        <v>86</v>
      </c>
      <c r="Q650" s="27">
        <v>4.11071</v>
      </c>
      <c r="S650" s="27">
        <v>512</v>
      </c>
      <c r="T650" s="27">
        <v>379</v>
      </c>
      <c r="U650" s="27">
        <v>0.5746</v>
      </c>
      <c r="V650" s="27" t="s">
        <v>154</v>
      </c>
      <c r="W650" s="27">
        <v>30714.88</v>
      </c>
      <c r="X650" s="27">
        <v>6.240276</v>
      </c>
      <c r="Y650" s="27">
        <v>10.332535</v>
      </c>
      <c r="Z650" s="27">
        <v>19.4679</v>
      </c>
      <c r="AA650" s="27" t="s">
        <v>187</v>
      </c>
      <c r="AB650" s="27">
        <v>1</v>
      </c>
      <c r="AC650" s="27">
        <v>1</v>
      </c>
      <c r="AD650" s="27">
        <v>0</v>
      </c>
      <c r="AE650" s="27">
        <v>0</v>
      </c>
      <c r="AF650" s="27">
        <v>0</v>
      </c>
      <c r="AG650" s="27">
        <v>1</v>
      </c>
      <c r="AH650" s="27">
        <v>0</v>
      </c>
      <c r="AI650" s="27">
        <v>1</v>
      </c>
      <c r="AJ650" s="27">
        <v>0</v>
      </c>
      <c r="AK650" s="27">
        <v>0</v>
      </c>
      <c r="AL650" s="27">
        <v>1</v>
      </c>
      <c r="AM650" s="27">
        <v>1</v>
      </c>
      <c r="AN650" s="27">
        <v>0</v>
      </c>
      <c r="AO650" s="27">
        <v>0</v>
      </c>
      <c r="AP650" s="27">
        <v>0</v>
      </c>
      <c r="AQ650" s="27">
        <v>0</v>
      </c>
      <c r="AR650" s="27">
        <v>0</v>
      </c>
      <c r="AS650" s="27">
        <v>0</v>
      </c>
      <c r="AT650" s="27">
        <v>1</v>
      </c>
      <c r="AU650" s="27">
        <v>0</v>
      </c>
      <c r="AV650" s="27">
        <v>0</v>
      </c>
      <c r="AW650" s="27">
        <v>0</v>
      </c>
      <c r="AX650" s="27">
        <v>0</v>
      </c>
      <c r="AZ650" s="27">
        <v>1</v>
      </c>
      <c r="BA650" s="27">
        <v>3</v>
      </c>
      <c r="BB650" s="27">
        <v>52.56</v>
      </c>
      <c r="BC650" s="27" t="s">
        <v>251</v>
      </c>
      <c r="BD650" s="27" t="s">
        <v>175</v>
      </c>
      <c r="BE650" s="27" t="s">
        <v>91</v>
      </c>
      <c r="BF650" s="27" t="s">
        <v>77</v>
      </c>
      <c r="BG650" s="27">
        <v>162</v>
      </c>
      <c r="BH650" s="27">
        <v>60</v>
      </c>
      <c r="BI650" s="27">
        <v>0.7297</v>
      </c>
      <c r="BJ650" s="27">
        <v>0</v>
      </c>
      <c r="BK650" s="27">
        <v>5</v>
      </c>
      <c r="BL650" s="27">
        <v>98.6</v>
      </c>
    </row>
    <row r="651" customHeight="1" spans="1:64">
      <c r="A651" s="27" t="s">
        <v>2005</v>
      </c>
      <c r="B651" s="27" t="s">
        <v>245</v>
      </c>
      <c r="C651" s="27" t="s">
        <v>2006</v>
      </c>
      <c r="E651" s="27" t="s">
        <v>250</v>
      </c>
      <c r="F651" s="27" t="s">
        <v>160</v>
      </c>
      <c r="G651" s="27" t="s">
        <v>83</v>
      </c>
      <c r="H651" s="27" t="s">
        <v>84</v>
      </c>
      <c r="I651" s="27" t="s">
        <v>85</v>
      </c>
      <c r="J651" s="27">
        <v>5</v>
      </c>
      <c r="K651" s="27">
        <v>159.59</v>
      </c>
      <c r="M651" s="27">
        <v>0</v>
      </c>
      <c r="N651" s="27">
        <v>0</v>
      </c>
      <c r="O651" s="27">
        <v>0</v>
      </c>
      <c r="P651" s="27" t="s">
        <v>95</v>
      </c>
      <c r="Q651" s="27">
        <v>5.078855</v>
      </c>
      <c r="R651" s="27">
        <v>19.95</v>
      </c>
      <c r="S651" s="27">
        <v>228</v>
      </c>
      <c r="T651" s="27">
        <v>100</v>
      </c>
      <c r="U651" s="27">
        <v>0.6951</v>
      </c>
      <c r="V651" s="27" t="s">
        <v>154</v>
      </c>
      <c r="W651" s="27">
        <v>36386.52</v>
      </c>
      <c r="X651" s="27">
        <v>5.433722</v>
      </c>
      <c r="Y651" s="27">
        <v>10.501981</v>
      </c>
      <c r="Z651" s="27">
        <v>10</v>
      </c>
      <c r="AA651" s="27" t="s">
        <v>73</v>
      </c>
      <c r="AB651" s="27">
        <v>0</v>
      </c>
      <c r="AC651" s="27">
        <v>0</v>
      </c>
      <c r="AD651" s="27">
        <v>0</v>
      </c>
      <c r="AE651" s="27">
        <v>0</v>
      </c>
      <c r="AF651" s="27">
        <v>0</v>
      </c>
      <c r="AG651" s="27">
        <v>1</v>
      </c>
      <c r="AH651" s="27">
        <v>0</v>
      </c>
      <c r="AI651" s="27">
        <v>1</v>
      </c>
      <c r="AJ651" s="27">
        <v>0</v>
      </c>
      <c r="AK651" s="27">
        <v>0</v>
      </c>
      <c r="AL651" s="27">
        <v>0</v>
      </c>
      <c r="AM651" s="27">
        <v>1</v>
      </c>
      <c r="AN651" s="27">
        <v>0</v>
      </c>
      <c r="AO651" s="27">
        <v>0</v>
      </c>
      <c r="AP651" s="27">
        <v>0</v>
      </c>
      <c r="AQ651" s="27">
        <v>1</v>
      </c>
      <c r="AR651" s="27">
        <v>0</v>
      </c>
      <c r="AS651" s="27">
        <v>0</v>
      </c>
      <c r="AT651" s="27">
        <v>1</v>
      </c>
      <c r="AU651" s="27">
        <v>0</v>
      </c>
      <c r="AV651" s="27">
        <v>1</v>
      </c>
      <c r="AW651" s="27">
        <v>1</v>
      </c>
      <c r="AX651" s="27">
        <v>0</v>
      </c>
      <c r="AY651" s="27">
        <v>8</v>
      </c>
      <c r="AZ651" s="27">
        <v>1</v>
      </c>
      <c r="BA651" s="27">
        <v>2</v>
      </c>
      <c r="BB651" s="27">
        <v>57.32</v>
      </c>
      <c r="BC651" s="27" t="s">
        <v>251</v>
      </c>
      <c r="BD651" s="27" t="s">
        <v>175</v>
      </c>
      <c r="BE651" s="27" t="s">
        <v>91</v>
      </c>
      <c r="BF651" s="27" t="s">
        <v>77</v>
      </c>
      <c r="BG651" s="27">
        <v>161</v>
      </c>
      <c r="BH651" s="27">
        <v>61</v>
      </c>
      <c r="BI651" s="27">
        <v>0.7252</v>
      </c>
      <c r="BJ651" s="27">
        <v>0</v>
      </c>
      <c r="BK651" s="27">
        <v>6</v>
      </c>
      <c r="BL651" s="27">
        <v>98.4</v>
      </c>
    </row>
    <row r="652" customHeight="1" spans="1:64">
      <c r="A652" s="27" t="s">
        <v>2007</v>
      </c>
      <c r="B652" s="27" t="s">
        <v>427</v>
      </c>
      <c r="C652" s="27" t="s">
        <v>1056</v>
      </c>
      <c r="E652" s="27" t="s">
        <v>438</v>
      </c>
      <c r="F652" s="27" t="s">
        <v>82</v>
      </c>
      <c r="G652" s="27" t="s">
        <v>427</v>
      </c>
      <c r="H652" s="27" t="s">
        <v>107</v>
      </c>
      <c r="I652" s="27" t="s">
        <v>153</v>
      </c>
      <c r="J652" s="27">
        <v>2</v>
      </c>
      <c r="K652" s="27">
        <v>29.99</v>
      </c>
      <c r="M652" s="27">
        <v>0</v>
      </c>
      <c r="N652" s="27">
        <v>0</v>
      </c>
      <c r="O652" s="27">
        <v>0</v>
      </c>
      <c r="P652" s="27" t="s">
        <v>86</v>
      </c>
      <c r="Q652" s="27">
        <v>3.433665</v>
      </c>
      <c r="S652" s="27">
        <v>55</v>
      </c>
      <c r="T652" s="27">
        <v>10</v>
      </c>
      <c r="U652" s="27">
        <v>0.8462</v>
      </c>
      <c r="V652" s="27" t="s">
        <v>72</v>
      </c>
      <c r="W652" s="27">
        <v>1649.45</v>
      </c>
      <c r="X652" s="27">
        <v>4.025352</v>
      </c>
      <c r="Y652" s="27">
        <v>7.408803</v>
      </c>
      <c r="Z652" s="27">
        <v>3.1623</v>
      </c>
      <c r="AA652" s="27" t="s">
        <v>125</v>
      </c>
      <c r="AB652" s="27">
        <v>0</v>
      </c>
      <c r="AC652" s="27">
        <v>0</v>
      </c>
      <c r="AD652" s="27">
        <v>0</v>
      </c>
      <c r="AE652" s="27">
        <v>0</v>
      </c>
      <c r="AF652" s="27">
        <v>1</v>
      </c>
      <c r="AG652" s="27">
        <v>0</v>
      </c>
      <c r="AH652" s="27">
        <v>0</v>
      </c>
      <c r="AI652" s="27">
        <v>0</v>
      </c>
      <c r="AJ652" s="27">
        <v>0</v>
      </c>
      <c r="AK652" s="27">
        <v>0</v>
      </c>
      <c r="AL652" s="27">
        <v>0</v>
      </c>
      <c r="AM652" s="27">
        <v>0</v>
      </c>
      <c r="AN652" s="27">
        <v>0</v>
      </c>
      <c r="AO652" s="27">
        <v>0</v>
      </c>
      <c r="AP652" s="27">
        <v>1</v>
      </c>
      <c r="AQ652" s="27">
        <v>0</v>
      </c>
      <c r="AR652" s="27">
        <v>0</v>
      </c>
      <c r="AS652" s="27">
        <v>0</v>
      </c>
      <c r="AT652" s="27">
        <v>0</v>
      </c>
      <c r="AU652" s="27">
        <v>0</v>
      </c>
      <c r="AV652" s="27">
        <v>0</v>
      </c>
      <c r="AW652" s="27">
        <v>1</v>
      </c>
      <c r="AX652" s="27">
        <v>0</v>
      </c>
      <c r="AZ652" s="27">
        <v>1</v>
      </c>
      <c r="BA652" s="27">
        <v>0</v>
      </c>
      <c r="BB652" s="27">
        <v>63.7</v>
      </c>
      <c r="BC652" s="27" t="s">
        <v>597</v>
      </c>
      <c r="BD652" s="27" t="s">
        <v>598</v>
      </c>
      <c r="BE652" s="27" t="s">
        <v>113</v>
      </c>
      <c r="BF652" s="27" t="s">
        <v>77</v>
      </c>
      <c r="BG652" s="27">
        <v>162</v>
      </c>
      <c r="BH652" s="27">
        <v>19</v>
      </c>
      <c r="BI652" s="27">
        <v>0.895</v>
      </c>
      <c r="BJ652" s="27">
        <v>0</v>
      </c>
      <c r="BK652" s="27">
        <v>2</v>
      </c>
      <c r="BL652" s="27">
        <v>99.5</v>
      </c>
    </row>
    <row r="653" customHeight="1" spans="1:64">
      <c r="A653" s="27" t="s">
        <v>2008</v>
      </c>
      <c r="B653" s="27" t="s">
        <v>535</v>
      </c>
      <c r="E653" s="27" t="s">
        <v>81</v>
      </c>
      <c r="F653" s="27" t="s">
        <v>82</v>
      </c>
      <c r="G653" s="27" t="s">
        <v>83</v>
      </c>
      <c r="H653" s="27" t="s">
        <v>84</v>
      </c>
      <c r="I653" s="27" t="s">
        <v>85</v>
      </c>
      <c r="J653" s="27">
        <v>5</v>
      </c>
      <c r="K653" s="27">
        <v>150.22</v>
      </c>
      <c r="L653" s="27">
        <v>214.6</v>
      </c>
      <c r="M653" s="27">
        <v>30</v>
      </c>
      <c r="N653" s="27">
        <v>64.38</v>
      </c>
      <c r="O653" s="27">
        <v>1</v>
      </c>
      <c r="P653" s="27" t="s">
        <v>95</v>
      </c>
      <c r="Q653" s="27">
        <v>5.018736</v>
      </c>
      <c r="S653" s="27">
        <v>3</v>
      </c>
      <c r="T653" s="27">
        <v>57</v>
      </c>
      <c r="U653" s="27">
        <v>0.05</v>
      </c>
      <c r="V653" s="27" t="s">
        <v>87</v>
      </c>
      <c r="W653" s="27">
        <v>450.66</v>
      </c>
      <c r="X653" s="27">
        <v>1.386294</v>
      </c>
      <c r="Y653" s="27">
        <v>6.11293</v>
      </c>
      <c r="Z653" s="27">
        <v>7.5498</v>
      </c>
      <c r="AA653" s="27" t="s">
        <v>73</v>
      </c>
      <c r="AB653" s="27">
        <v>1</v>
      </c>
      <c r="AC653" s="27">
        <v>0</v>
      </c>
      <c r="AD653" s="27">
        <v>0</v>
      </c>
      <c r="AE653" s="27">
        <v>0</v>
      </c>
      <c r="AF653" s="27">
        <v>0</v>
      </c>
      <c r="AG653" s="27">
        <v>1</v>
      </c>
      <c r="AH653" s="27">
        <v>0</v>
      </c>
      <c r="AI653" s="27">
        <v>1</v>
      </c>
      <c r="AJ653" s="27">
        <v>0</v>
      </c>
      <c r="AK653" s="27">
        <v>1</v>
      </c>
      <c r="AL653" s="27">
        <v>0</v>
      </c>
      <c r="AM653" s="27">
        <v>0</v>
      </c>
      <c r="AN653" s="27">
        <v>0</v>
      </c>
      <c r="AO653" s="27">
        <v>0</v>
      </c>
      <c r="AP653" s="27">
        <v>0</v>
      </c>
      <c r="AQ653" s="27">
        <v>0</v>
      </c>
      <c r="AR653" s="27">
        <v>0</v>
      </c>
      <c r="AS653" s="27">
        <v>0</v>
      </c>
      <c r="AT653" s="27">
        <v>1</v>
      </c>
      <c r="AU653" s="27">
        <v>0</v>
      </c>
      <c r="AV653" s="27">
        <v>0</v>
      </c>
      <c r="AW653" s="27">
        <v>0</v>
      </c>
      <c r="AX653" s="27">
        <v>0</v>
      </c>
      <c r="AZ653" s="27">
        <v>1</v>
      </c>
      <c r="BA653" s="27">
        <v>2</v>
      </c>
      <c r="BB653" s="27">
        <v>40.43</v>
      </c>
      <c r="BC653" s="27" t="s">
        <v>536</v>
      </c>
      <c r="BD653" s="27" t="s">
        <v>537</v>
      </c>
      <c r="BE653" s="27" t="s">
        <v>226</v>
      </c>
      <c r="BF653" s="27" t="s">
        <v>77</v>
      </c>
      <c r="BG653" s="27">
        <v>1</v>
      </c>
      <c r="BH653" s="27">
        <v>13</v>
      </c>
      <c r="BI653" s="27">
        <v>0.0714</v>
      </c>
      <c r="BJ653" s="27">
        <v>1</v>
      </c>
      <c r="BK653" s="27">
        <v>7</v>
      </c>
      <c r="BL653" s="27">
        <v>98.1</v>
      </c>
    </row>
    <row r="654" customHeight="1" spans="1:64">
      <c r="A654" s="27" t="s">
        <v>2009</v>
      </c>
      <c r="B654" s="27" t="s">
        <v>819</v>
      </c>
      <c r="C654" s="27" t="s">
        <v>2010</v>
      </c>
      <c r="D654" s="27">
        <v>850025015691</v>
      </c>
      <c r="E654" s="27" t="s">
        <v>81</v>
      </c>
      <c r="F654" s="27" t="s">
        <v>82</v>
      </c>
      <c r="G654" s="27" t="s">
        <v>819</v>
      </c>
      <c r="H654" s="27" t="s">
        <v>102</v>
      </c>
      <c r="I654" s="27" t="s">
        <v>85</v>
      </c>
      <c r="J654" s="27">
        <v>5</v>
      </c>
      <c r="K654" s="27">
        <v>59.99</v>
      </c>
      <c r="M654" s="27">
        <v>0</v>
      </c>
      <c r="N654" s="27">
        <v>0</v>
      </c>
      <c r="O654" s="27">
        <v>0</v>
      </c>
      <c r="P654" s="27" t="s">
        <v>86</v>
      </c>
      <c r="Q654" s="27">
        <v>4.11071</v>
      </c>
      <c r="S654" s="27">
        <v>36</v>
      </c>
      <c r="T654" s="27">
        <v>4</v>
      </c>
      <c r="U654" s="27">
        <v>0.9</v>
      </c>
      <c r="V654" s="27" t="s">
        <v>72</v>
      </c>
      <c r="W654" s="27">
        <v>2159.64</v>
      </c>
      <c r="X654" s="27">
        <v>3.610918</v>
      </c>
      <c r="Y654" s="27">
        <v>7.67816</v>
      </c>
      <c r="Z654" s="27">
        <v>2</v>
      </c>
      <c r="AA654" s="27" t="s">
        <v>125</v>
      </c>
      <c r="AB654" s="27">
        <v>0</v>
      </c>
      <c r="AC654" s="27">
        <v>0</v>
      </c>
      <c r="AD654" s="27">
        <v>0</v>
      </c>
      <c r="AE654" s="27">
        <v>0</v>
      </c>
      <c r="AF654" s="27">
        <v>0</v>
      </c>
      <c r="AG654" s="27">
        <v>0</v>
      </c>
      <c r="AH654" s="27">
        <v>0</v>
      </c>
      <c r="AI654" s="27">
        <v>0</v>
      </c>
      <c r="AJ654" s="27">
        <v>0</v>
      </c>
      <c r="AK654" s="27">
        <v>0</v>
      </c>
      <c r="AL654" s="27">
        <v>0</v>
      </c>
      <c r="AM654" s="27">
        <v>0</v>
      </c>
      <c r="AN654" s="27">
        <v>0</v>
      </c>
      <c r="AO654" s="27">
        <v>0</v>
      </c>
      <c r="AP654" s="27">
        <v>1</v>
      </c>
      <c r="AQ654" s="27">
        <v>0</v>
      </c>
      <c r="AR654" s="27">
        <v>0</v>
      </c>
      <c r="AS654" s="27">
        <v>0</v>
      </c>
      <c r="AT654" s="27">
        <v>1</v>
      </c>
      <c r="AU654" s="27">
        <v>0</v>
      </c>
      <c r="AV654" s="27">
        <v>0</v>
      </c>
      <c r="AW654" s="27">
        <v>0</v>
      </c>
      <c r="AX654" s="27">
        <v>0</v>
      </c>
      <c r="AZ654" s="27">
        <v>1</v>
      </c>
      <c r="BA654" s="27">
        <v>0</v>
      </c>
      <c r="BB654" s="27">
        <v>36</v>
      </c>
      <c r="BC654" s="27" t="s">
        <v>2011</v>
      </c>
      <c r="BD654" s="27" t="s">
        <v>2012</v>
      </c>
      <c r="BE654" s="27" t="s">
        <v>166</v>
      </c>
      <c r="BF654" s="27" t="s">
        <v>77</v>
      </c>
      <c r="BG654" s="27">
        <v>168</v>
      </c>
      <c r="BH654" s="27">
        <v>11</v>
      </c>
      <c r="BI654" s="27">
        <v>0.9385</v>
      </c>
      <c r="BJ654" s="27">
        <v>0</v>
      </c>
    </row>
    <row r="655" customHeight="1" spans="1:64">
      <c r="A655" s="27" t="s">
        <v>2013</v>
      </c>
      <c r="B655" s="27" t="s">
        <v>171</v>
      </c>
      <c r="C655" s="27" t="s">
        <v>2014</v>
      </c>
      <c r="E655" s="27" t="s">
        <v>559</v>
      </c>
      <c r="F655" s="27" t="s">
        <v>160</v>
      </c>
      <c r="G655" s="27" t="s">
        <v>83</v>
      </c>
      <c r="H655" s="27" t="s">
        <v>84</v>
      </c>
      <c r="I655" s="27" t="s">
        <v>85</v>
      </c>
      <c r="J655" s="27">
        <v>5</v>
      </c>
      <c r="K655" s="27">
        <v>109.99</v>
      </c>
      <c r="L655" s="27">
        <v>199.99</v>
      </c>
      <c r="M655" s="27">
        <v>45</v>
      </c>
      <c r="N655" s="27">
        <v>90</v>
      </c>
      <c r="O655" s="27">
        <v>1</v>
      </c>
      <c r="P655" s="27" t="s">
        <v>95</v>
      </c>
      <c r="Q655" s="27">
        <v>4.70944</v>
      </c>
      <c r="R655" s="27">
        <v>13.75</v>
      </c>
      <c r="S655" s="27">
        <v>66</v>
      </c>
      <c r="T655" s="27">
        <v>10</v>
      </c>
      <c r="U655" s="27">
        <v>0.8684</v>
      </c>
      <c r="V655" s="27" t="s">
        <v>72</v>
      </c>
      <c r="W655" s="27">
        <v>7259.34</v>
      </c>
      <c r="X655" s="27">
        <v>4.204693</v>
      </c>
      <c r="Y655" s="27">
        <v>8.890182</v>
      </c>
      <c r="Z655" s="27">
        <v>3.1623</v>
      </c>
      <c r="AA655" s="27" t="s">
        <v>187</v>
      </c>
      <c r="AB655" s="27">
        <v>0</v>
      </c>
      <c r="AC655" s="27">
        <v>0</v>
      </c>
      <c r="AD655" s="27">
        <v>0</v>
      </c>
      <c r="AE655" s="27">
        <v>0</v>
      </c>
      <c r="AF655" s="27">
        <v>0</v>
      </c>
      <c r="AG655" s="27">
        <v>1</v>
      </c>
      <c r="AH655" s="27">
        <v>0</v>
      </c>
      <c r="AI655" s="27">
        <v>1</v>
      </c>
      <c r="AJ655" s="27">
        <v>0</v>
      </c>
      <c r="AK655" s="27">
        <v>0</v>
      </c>
      <c r="AL655" s="27">
        <v>0</v>
      </c>
      <c r="AM655" s="27">
        <v>0</v>
      </c>
      <c r="AN655" s="27">
        <v>0</v>
      </c>
      <c r="AO655" s="27">
        <v>0</v>
      </c>
      <c r="AP655" s="27">
        <v>0</v>
      </c>
      <c r="AQ655" s="27">
        <v>1</v>
      </c>
      <c r="AR655" s="27">
        <v>0</v>
      </c>
      <c r="AS655" s="27">
        <v>0</v>
      </c>
      <c r="AT655" s="27">
        <v>0</v>
      </c>
      <c r="AU655" s="27">
        <v>0</v>
      </c>
      <c r="AV655" s="27">
        <v>1</v>
      </c>
      <c r="AW655" s="27">
        <v>0</v>
      </c>
      <c r="AX655" s="27">
        <v>0</v>
      </c>
      <c r="AY655" s="27">
        <v>8</v>
      </c>
      <c r="AZ655" s="27">
        <v>1</v>
      </c>
      <c r="BA655" s="27">
        <v>1</v>
      </c>
      <c r="BB655" s="27">
        <v>77.91</v>
      </c>
      <c r="BC655" s="27" t="s">
        <v>174</v>
      </c>
      <c r="BD655" s="27" t="s">
        <v>356</v>
      </c>
      <c r="BE655" s="27" t="s">
        <v>423</v>
      </c>
      <c r="BF655" s="27" t="s">
        <v>77</v>
      </c>
      <c r="BG655" s="27">
        <v>162</v>
      </c>
      <c r="BH655" s="27">
        <v>60</v>
      </c>
      <c r="BI655" s="27">
        <v>0.7297</v>
      </c>
      <c r="BJ655" s="27">
        <v>0</v>
      </c>
      <c r="BK655" s="27">
        <v>4</v>
      </c>
      <c r="BL655" s="27">
        <v>98.9</v>
      </c>
    </row>
    <row r="656" customHeight="1" spans="1:64">
      <c r="A656" s="27" t="s">
        <v>2015</v>
      </c>
      <c r="B656" s="27" t="s">
        <v>125</v>
      </c>
      <c r="E656" s="27" t="s">
        <v>81</v>
      </c>
      <c r="F656" s="27" t="s">
        <v>82</v>
      </c>
      <c r="G656" s="27" t="s">
        <v>83</v>
      </c>
      <c r="H656" s="27" t="s">
        <v>138</v>
      </c>
      <c r="I656" s="27" t="s">
        <v>85</v>
      </c>
      <c r="J656" s="27">
        <v>5</v>
      </c>
      <c r="K656" s="27">
        <v>13.99</v>
      </c>
      <c r="M656" s="27">
        <v>0</v>
      </c>
      <c r="N656" s="27">
        <v>0</v>
      </c>
      <c r="O656" s="27">
        <v>0</v>
      </c>
      <c r="P656" s="27" t="s">
        <v>133</v>
      </c>
      <c r="Q656" s="27">
        <v>2.707383</v>
      </c>
      <c r="S656" s="27">
        <v>36</v>
      </c>
      <c r="T656" s="27">
        <v>10</v>
      </c>
      <c r="U656" s="27">
        <v>0.7826</v>
      </c>
      <c r="V656" s="27" t="s">
        <v>72</v>
      </c>
      <c r="W656" s="27">
        <v>503.64</v>
      </c>
      <c r="X656" s="27">
        <v>3.610918</v>
      </c>
      <c r="Y656" s="27">
        <v>6.223845</v>
      </c>
      <c r="Z656" s="27">
        <v>3.1623</v>
      </c>
      <c r="AA656" s="27" t="s">
        <v>139</v>
      </c>
      <c r="AB656" s="27">
        <v>1</v>
      </c>
      <c r="AC656" s="27">
        <v>0</v>
      </c>
      <c r="AD656" s="27">
        <v>0</v>
      </c>
      <c r="AE656" s="27">
        <v>0</v>
      </c>
      <c r="AF656" s="27">
        <v>0</v>
      </c>
      <c r="AG656" s="27">
        <v>0</v>
      </c>
      <c r="AH656" s="27">
        <v>1</v>
      </c>
      <c r="AI656" s="27">
        <v>0</v>
      </c>
      <c r="AJ656" s="27">
        <v>0</v>
      </c>
      <c r="AK656" s="27">
        <v>0</v>
      </c>
      <c r="AL656" s="27">
        <v>0</v>
      </c>
      <c r="AM656" s="27">
        <v>0</v>
      </c>
      <c r="AN656" s="27">
        <v>0</v>
      </c>
      <c r="AO656" s="27">
        <v>0</v>
      </c>
      <c r="AP656" s="27">
        <v>0</v>
      </c>
      <c r="AQ656" s="27">
        <v>0</v>
      </c>
      <c r="AR656" s="27">
        <v>0</v>
      </c>
      <c r="AS656" s="27">
        <v>0</v>
      </c>
      <c r="AT656" s="27">
        <v>0</v>
      </c>
      <c r="AU656" s="27">
        <v>0</v>
      </c>
      <c r="AV656" s="27">
        <v>0</v>
      </c>
      <c r="AW656" s="27">
        <v>0</v>
      </c>
      <c r="AX656" s="27">
        <v>0</v>
      </c>
      <c r="AZ656" s="27">
        <v>1</v>
      </c>
      <c r="BA656" s="27">
        <v>2</v>
      </c>
      <c r="BB656" s="27">
        <v>61.15</v>
      </c>
      <c r="BC656" s="27" t="s">
        <v>1195</v>
      </c>
      <c r="BD656" s="27" t="s">
        <v>684</v>
      </c>
      <c r="BE656" s="27" t="s">
        <v>128</v>
      </c>
      <c r="BF656" s="27" t="s">
        <v>77</v>
      </c>
      <c r="BG656" s="27">
        <v>1</v>
      </c>
      <c r="BH656" s="27">
        <v>53</v>
      </c>
      <c r="BI656" s="27">
        <v>0.0185</v>
      </c>
      <c r="BJ656" s="27">
        <v>1</v>
      </c>
      <c r="BK656" s="27">
        <v>2</v>
      </c>
      <c r="BL656" s="27">
        <v>99.5</v>
      </c>
    </row>
    <row r="657" customHeight="1" spans="1:64">
      <c r="A657" s="27" t="s">
        <v>2016</v>
      </c>
      <c r="B657" s="27" t="s">
        <v>344</v>
      </c>
      <c r="D657" s="27">
        <v>840268997335</v>
      </c>
      <c r="E657" s="27" t="s">
        <v>2017</v>
      </c>
      <c r="F657" s="27" t="s">
        <v>82</v>
      </c>
      <c r="G657" s="27" t="s">
        <v>346</v>
      </c>
      <c r="H657" s="27" t="s">
        <v>107</v>
      </c>
      <c r="I657" s="27" t="s">
        <v>153</v>
      </c>
      <c r="J657" s="27">
        <v>2</v>
      </c>
      <c r="K657" s="27">
        <v>44.99</v>
      </c>
      <c r="M657" s="27">
        <v>0</v>
      </c>
      <c r="N657" s="27">
        <v>0</v>
      </c>
      <c r="O657" s="27">
        <v>0</v>
      </c>
      <c r="P657" s="27" t="s">
        <v>86</v>
      </c>
      <c r="Q657" s="27">
        <v>3.828424</v>
      </c>
      <c r="S657" s="27">
        <v>33</v>
      </c>
      <c r="T657" s="27">
        <v>1</v>
      </c>
      <c r="U657" s="27">
        <v>0.9706</v>
      </c>
      <c r="V657" s="27" t="s">
        <v>72</v>
      </c>
      <c r="W657" s="27">
        <v>1484.67</v>
      </c>
      <c r="X657" s="27">
        <v>3.526361</v>
      </c>
      <c r="Y657" s="27">
        <v>7.303621</v>
      </c>
      <c r="Z657" s="27">
        <v>1</v>
      </c>
      <c r="AA657" s="27" t="s">
        <v>125</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1</v>
      </c>
      <c r="AQ657" s="27">
        <v>0</v>
      </c>
      <c r="AR657" s="27">
        <v>0</v>
      </c>
      <c r="AS657" s="27">
        <v>0</v>
      </c>
      <c r="AT657" s="27">
        <v>1</v>
      </c>
      <c r="AU657" s="27">
        <v>0</v>
      </c>
      <c r="AV657" s="27">
        <v>0</v>
      </c>
      <c r="AW657" s="27">
        <v>0</v>
      </c>
      <c r="AX657" s="27">
        <v>0</v>
      </c>
      <c r="AZ657" s="27">
        <v>1</v>
      </c>
      <c r="BA657" s="27">
        <v>1</v>
      </c>
      <c r="BB657" s="27">
        <v>68.67</v>
      </c>
      <c r="BC657" s="27" t="s">
        <v>597</v>
      </c>
      <c r="BD657" s="27" t="s">
        <v>598</v>
      </c>
      <c r="BE657" s="27" t="s">
        <v>113</v>
      </c>
      <c r="BF657" s="27" t="s">
        <v>77</v>
      </c>
      <c r="BG657" s="27">
        <v>162</v>
      </c>
      <c r="BH657" s="27">
        <v>19</v>
      </c>
      <c r="BI657" s="27">
        <v>0.895</v>
      </c>
      <c r="BJ657" s="27">
        <v>0</v>
      </c>
      <c r="BK657" s="27">
        <v>2</v>
      </c>
      <c r="BL657" s="27">
        <v>99.5</v>
      </c>
    </row>
    <row r="658" customHeight="1" spans="1:64">
      <c r="A658" s="27" t="s">
        <v>2018</v>
      </c>
      <c r="B658" s="27" t="s">
        <v>171</v>
      </c>
      <c r="C658" s="27" t="s">
        <v>578</v>
      </c>
      <c r="E658" s="27" t="s">
        <v>239</v>
      </c>
      <c r="F658" s="27" t="s">
        <v>160</v>
      </c>
      <c r="G658" s="27" t="s">
        <v>83</v>
      </c>
      <c r="H658" s="27" t="s">
        <v>84</v>
      </c>
      <c r="I658" s="27" t="s">
        <v>85</v>
      </c>
      <c r="J658" s="27">
        <v>5</v>
      </c>
      <c r="K658" s="27">
        <v>109.49</v>
      </c>
      <c r="M658" s="27">
        <v>0</v>
      </c>
      <c r="N658" s="27">
        <v>0</v>
      </c>
      <c r="O658" s="27">
        <v>0</v>
      </c>
      <c r="P658" s="27" t="s">
        <v>95</v>
      </c>
      <c r="Q658" s="27">
        <v>4.704925</v>
      </c>
      <c r="R658" s="27">
        <v>13.69</v>
      </c>
      <c r="S658" s="27">
        <v>135</v>
      </c>
      <c r="T658" s="27">
        <v>100</v>
      </c>
      <c r="U658" s="27">
        <v>0.5745</v>
      </c>
      <c r="V658" s="27" t="s">
        <v>72</v>
      </c>
      <c r="W658" s="27">
        <v>14781.15</v>
      </c>
      <c r="X658" s="27">
        <v>4.912655</v>
      </c>
      <c r="Y658" s="27">
        <v>9.601176</v>
      </c>
      <c r="Z658" s="27">
        <v>10</v>
      </c>
      <c r="AA658" s="27" t="s">
        <v>73</v>
      </c>
      <c r="AB658" s="27">
        <v>0</v>
      </c>
      <c r="AC658" s="27">
        <v>0</v>
      </c>
      <c r="AD658" s="27">
        <v>0</v>
      </c>
      <c r="AE658" s="27">
        <v>0</v>
      </c>
      <c r="AF658" s="27">
        <v>0</v>
      </c>
      <c r="AG658" s="27">
        <v>0</v>
      </c>
      <c r="AH658" s="27">
        <v>0</v>
      </c>
      <c r="AI658" s="27">
        <v>0</v>
      </c>
      <c r="AJ658" s="27">
        <v>0</v>
      </c>
      <c r="AK658" s="27">
        <v>0</v>
      </c>
      <c r="AL658" s="27">
        <v>0</v>
      </c>
      <c r="AM658" s="27">
        <v>0</v>
      </c>
      <c r="AN658" s="27">
        <v>0</v>
      </c>
      <c r="AO658" s="27">
        <v>0</v>
      </c>
      <c r="AP658" s="27">
        <v>0</v>
      </c>
      <c r="AQ658" s="27">
        <v>1</v>
      </c>
      <c r="AR658" s="27">
        <v>0</v>
      </c>
      <c r="AS658" s="27">
        <v>0</v>
      </c>
      <c r="AT658" s="27">
        <v>0</v>
      </c>
      <c r="AU658" s="27">
        <v>0</v>
      </c>
      <c r="AV658" s="27">
        <v>1</v>
      </c>
      <c r="AW658" s="27">
        <v>1</v>
      </c>
      <c r="AX658" s="27">
        <v>0</v>
      </c>
      <c r="AY658" s="27">
        <v>8</v>
      </c>
      <c r="AZ658" s="27">
        <v>1</v>
      </c>
      <c r="BA658" s="27">
        <v>1</v>
      </c>
      <c r="BB658" s="27">
        <v>52.83</v>
      </c>
      <c r="BC658" s="27" t="s">
        <v>251</v>
      </c>
      <c r="BD658" s="27" t="s">
        <v>175</v>
      </c>
      <c r="BE658" s="27" t="s">
        <v>91</v>
      </c>
      <c r="BF658" s="27" t="s">
        <v>77</v>
      </c>
      <c r="BG658" s="27">
        <v>161</v>
      </c>
      <c r="BH658" s="27">
        <v>61</v>
      </c>
      <c r="BI658" s="27">
        <v>0.7252</v>
      </c>
      <c r="BJ658" s="27">
        <v>0</v>
      </c>
      <c r="BK658" s="27">
        <v>2</v>
      </c>
      <c r="BL658" s="27">
        <v>99.5</v>
      </c>
    </row>
    <row r="659" customHeight="1" spans="1:64">
      <c r="A659" s="27" t="s">
        <v>2019</v>
      </c>
      <c r="B659" s="27" t="s">
        <v>125</v>
      </c>
      <c r="E659" s="27" t="s">
        <v>131</v>
      </c>
      <c r="F659" s="27" t="s">
        <v>240</v>
      </c>
      <c r="G659" s="27" t="s">
        <v>83</v>
      </c>
      <c r="H659" s="27" t="s">
        <v>138</v>
      </c>
      <c r="I659" s="27" t="s">
        <v>85</v>
      </c>
      <c r="J659" s="27">
        <v>5</v>
      </c>
      <c r="K659" s="27">
        <v>29.88</v>
      </c>
      <c r="M659" s="27">
        <v>0</v>
      </c>
      <c r="N659" s="27">
        <v>0</v>
      </c>
      <c r="O659" s="27">
        <v>0</v>
      </c>
      <c r="P659" s="27" t="s">
        <v>86</v>
      </c>
      <c r="Q659" s="27">
        <v>3.430109</v>
      </c>
      <c r="S659" s="27">
        <v>11</v>
      </c>
      <c r="T659" s="27">
        <v>16</v>
      </c>
      <c r="U659" s="27">
        <v>0.4074</v>
      </c>
      <c r="V659" s="27" t="s">
        <v>72</v>
      </c>
      <c r="W659" s="27">
        <v>328.68</v>
      </c>
      <c r="X659" s="27">
        <v>2.484907</v>
      </c>
      <c r="Y659" s="27">
        <v>5.798122</v>
      </c>
      <c r="Z659" s="27">
        <v>4</v>
      </c>
      <c r="AA659" s="27" t="s">
        <v>125</v>
      </c>
      <c r="AB659" s="27">
        <v>0</v>
      </c>
      <c r="AC659" s="27">
        <v>0</v>
      </c>
      <c r="AD659" s="27">
        <v>0</v>
      </c>
      <c r="AE659" s="27">
        <v>0</v>
      </c>
      <c r="AF659" s="27">
        <v>0</v>
      </c>
      <c r="AG659" s="27">
        <v>0</v>
      </c>
      <c r="AH659" s="27">
        <v>0</v>
      </c>
      <c r="AI659" s="27">
        <v>0</v>
      </c>
      <c r="AJ659" s="27">
        <v>0</v>
      </c>
      <c r="AK659" s="27">
        <v>0</v>
      </c>
      <c r="AL659" s="27">
        <v>0</v>
      </c>
      <c r="AM659" s="27">
        <v>0</v>
      </c>
      <c r="AN659" s="27">
        <v>0</v>
      </c>
      <c r="AO659" s="27">
        <v>0</v>
      </c>
      <c r="AP659" s="27">
        <v>0</v>
      </c>
      <c r="AQ659" s="27">
        <v>1</v>
      </c>
      <c r="AR659" s="27">
        <v>0</v>
      </c>
      <c r="AS659" s="27">
        <v>0</v>
      </c>
      <c r="AT659" s="27">
        <v>0</v>
      </c>
      <c r="AU659" s="27">
        <v>0</v>
      </c>
      <c r="AV659" s="27">
        <v>1</v>
      </c>
      <c r="AW659" s="27">
        <v>0</v>
      </c>
      <c r="AX659" s="27">
        <v>0</v>
      </c>
      <c r="AZ659" s="27">
        <v>1</v>
      </c>
      <c r="BA659" s="27">
        <v>1</v>
      </c>
      <c r="BB659" s="27">
        <v>37.93</v>
      </c>
      <c r="BC659" s="27" t="s">
        <v>1212</v>
      </c>
      <c r="BD659" s="27" t="s">
        <v>1213</v>
      </c>
      <c r="BE659" s="27" t="s">
        <v>1214</v>
      </c>
      <c r="BF659" s="27" t="s">
        <v>77</v>
      </c>
      <c r="BG659" s="27">
        <v>1</v>
      </c>
      <c r="BH659" s="27">
        <v>26</v>
      </c>
      <c r="BI659" s="27">
        <v>0.037</v>
      </c>
      <c r="BJ659" s="27">
        <v>1</v>
      </c>
      <c r="BK659" s="27">
        <v>102</v>
      </c>
      <c r="BL659" s="27">
        <v>72.1</v>
      </c>
    </row>
    <row r="660" customHeight="1" spans="1:64">
      <c r="A660" s="27" t="s">
        <v>2020</v>
      </c>
      <c r="B660" s="27" t="s">
        <v>553</v>
      </c>
      <c r="C660" s="27" t="s">
        <v>2021</v>
      </c>
      <c r="D660" s="27">
        <v>850005687719</v>
      </c>
      <c r="E660" s="27" t="s">
        <v>255</v>
      </c>
      <c r="F660" s="27" t="s">
        <v>68</v>
      </c>
      <c r="G660" s="27" t="s">
        <v>553</v>
      </c>
      <c r="H660" s="27" t="s">
        <v>69</v>
      </c>
      <c r="I660" s="27" t="s">
        <v>153</v>
      </c>
      <c r="J660" s="27">
        <v>2</v>
      </c>
      <c r="K660" s="27">
        <v>179.69</v>
      </c>
      <c r="M660" s="27">
        <v>0</v>
      </c>
      <c r="N660" s="27">
        <v>0</v>
      </c>
      <c r="O660" s="27">
        <v>0</v>
      </c>
      <c r="P660" s="27" t="s">
        <v>95</v>
      </c>
      <c r="Q660" s="27">
        <v>5.196783</v>
      </c>
      <c r="S660" s="27">
        <v>20</v>
      </c>
      <c r="T660" s="27">
        <v>10</v>
      </c>
      <c r="U660" s="27">
        <v>0.6667</v>
      </c>
      <c r="V660" s="27" t="s">
        <v>72</v>
      </c>
      <c r="W660" s="27">
        <v>3593.8</v>
      </c>
      <c r="X660" s="27">
        <v>3.044522</v>
      </c>
      <c r="Y660" s="27">
        <v>8.187244</v>
      </c>
      <c r="Z660" s="27">
        <v>3.1623</v>
      </c>
      <c r="AA660" s="27" t="s">
        <v>313</v>
      </c>
      <c r="AB660" s="27">
        <v>0</v>
      </c>
      <c r="AC660" s="27">
        <v>0</v>
      </c>
      <c r="AD660" s="27">
        <v>1</v>
      </c>
      <c r="AE660" s="27">
        <v>0</v>
      </c>
      <c r="AF660" s="27">
        <v>0</v>
      </c>
      <c r="AG660" s="27">
        <v>1</v>
      </c>
      <c r="AH660" s="27">
        <v>0</v>
      </c>
      <c r="AI660" s="27">
        <v>1</v>
      </c>
      <c r="AJ660" s="27">
        <v>0</v>
      </c>
      <c r="AK660" s="27">
        <v>1</v>
      </c>
      <c r="AL660" s="27">
        <v>0</v>
      </c>
      <c r="AM660" s="27">
        <v>0</v>
      </c>
      <c r="AN660" s="27">
        <v>0</v>
      </c>
      <c r="AO660" s="27">
        <v>0</v>
      </c>
      <c r="AP660" s="27">
        <v>0</v>
      </c>
      <c r="AQ660" s="27">
        <v>0</v>
      </c>
      <c r="AR660" s="27">
        <v>0</v>
      </c>
      <c r="AS660" s="27">
        <v>0</v>
      </c>
      <c r="AT660" s="27">
        <v>0</v>
      </c>
      <c r="AU660" s="27">
        <v>1</v>
      </c>
      <c r="AV660" s="27">
        <v>0</v>
      </c>
      <c r="AW660" s="27">
        <v>0</v>
      </c>
      <c r="AX660" s="27">
        <v>0</v>
      </c>
      <c r="AZ660" s="27">
        <v>1</v>
      </c>
      <c r="BA660" s="27">
        <v>1</v>
      </c>
      <c r="BB660" s="27">
        <v>56.01</v>
      </c>
      <c r="BC660" s="27" t="s">
        <v>1002</v>
      </c>
      <c r="BD660" s="27" t="s">
        <v>97</v>
      </c>
      <c r="BE660" s="27" t="s">
        <v>76</v>
      </c>
      <c r="BF660" s="27" t="s">
        <v>77</v>
      </c>
      <c r="BG660" s="27">
        <v>162</v>
      </c>
      <c r="BH660" s="27">
        <v>21</v>
      </c>
      <c r="BI660" s="27">
        <v>0.8852</v>
      </c>
      <c r="BJ660" s="27">
        <v>0</v>
      </c>
      <c r="BK660" s="27">
        <v>8</v>
      </c>
      <c r="BL660" s="27">
        <v>97.8</v>
      </c>
    </row>
    <row r="661" customHeight="1" spans="1:64">
      <c r="A661" s="27" t="s">
        <v>2022</v>
      </c>
      <c r="B661" s="27" t="s">
        <v>344</v>
      </c>
      <c r="E661" s="27" t="s">
        <v>122</v>
      </c>
      <c r="F661" s="27" t="s">
        <v>276</v>
      </c>
      <c r="G661" s="27" t="s">
        <v>346</v>
      </c>
      <c r="H661" s="27" t="s">
        <v>107</v>
      </c>
      <c r="I661" s="27" t="s">
        <v>85</v>
      </c>
      <c r="J661" s="27">
        <v>5</v>
      </c>
      <c r="K661" s="27">
        <v>12</v>
      </c>
      <c r="M661" s="27">
        <v>0</v>
      </c>
      <c r="N661" s="27">
        <v>0</v>
      </c>
      <c r="O661" s="27">
        <v>0</v>
      </c>
      <c r="P661" s="27" t="s">
        <v>133</v>
      </c>
      <c r="Q661" s="27">
        <v>2.564949</v>
      </c>
      <c r="S661" s="27">
        <v>3</v>
      </c>
      <c r="T661" s="27">
        <v>10</v>
      </c>
      <c r="U661" s="27">
        <v>0.2308</v>
      </c>
      <c r="V661" s="27" t="s">
        <v>87</v>
      </c>
      <c r="W661" s="27">
        <v>36</v>
      </c>
      <c r="X661" s="27">
        <v>1.386294</v>
      </c>
      <c r="Y661" s="27">
        <v>3.610918</v>
      </c>
      <c r="Z661" s="27">
        <v>3.1623</v>
      </c>
      <c r="AA661" s="27" t="s">
        <v>125</v>
      </c>
      <c r="AB661" s="27">
        <v>0</v>
      </c>
      <c r="AC661" s="27">
        <v>0</v>
      </c>
      <c r="AD661" s="27">
        <v>0</v>
      </c>
      <c r="AE661" s="27">
        <v>0</v>
      </c>
      <c r="AF661" s="27">
        <v>0</v>
      </c>
      <c r="AG661" s="27">
        <v>0</v>
      </c>
      <c r="AH661" s="27">
        <v>0</v>
      </c>
      <c r="AI661" s="27">
        <v>0</v>
      </c>
      <c r="AJ661" s="27">
        <v>0</v>
      </c>
      <c r="AK661" s="27">
        <v>0</v>
      </c>
      <c r="AL661" s="27">
        <v>0</v>
      </c>
      <c r="AM661" s="27">
        <v>0</v>
      </c>
      <c r="AN661" s="27">
        <v>0</v>
      </c>
      <c r="AO661" s="27">
        <v>0</v>
      </c>
      <c r="AP661" s="27">
        <v>0</v>
      </c>
      <c r="AQ661" s="27">
        <v>0</v>
      </c>
      <c r="AR661" s="27">
        <v>0</v>
      </c>
      <c r="AS661" s="27">
        <v>1</v>
      </c>
      <c r="AT661" s="27">
        <v>0</v>
      </c>
      <c r="AU661" s="27">
        <v>0</v>
      </c>
      <c r="AV661" s="27">
        <v>0</v>
      </c>
      <c r="AW661" s="27">
        <v>0</v>
      </c>
      <c r="AX661" s="27">
        <v>0</v>
      </c>
      <c r="AZ661" s="27">
        <v>1</v>
      </c>
      <c r="BA661" s="27">
        <v>0</v>
      </c>
      <c r="BB661" s="27">
        <v>29.69</v>
      </c>
      <c r="BC661" s="27" t="s">
        <v>492</v>
      </c>
      <c r="BD661" s="27" t="s">
        <v>97</v>
      </c>
      <c r="BE661" s="27" t="s">
        <v>76</v>
      </c>
      <c r="BF661" s="27" t="s">
        <v>77</v>
      </c>
      <c r="BG661" s="27">
        <v>169</v>
      </c>
      <c r="BH661" s="27">
        <v>11</v>
      </c>
      <c r="BI661" s="27">
        <v>0.9389</v>
      </c>
      <c r="BJ661" s="27">
        <v>0</v>
      </c>
      <c r="BK661" s="27">
        <v>116</v>
      </c>
      <c r="BL661" s="27">
        <v>68.2</v>
      </c>
    </row>
    <row r="662" customHeight="1" spans="1:64">
      <c r="A662" s="27" t="s">
        <v>2023</v>
      </c>
      <c r="B662" s="27" t="s">
        <v>104</v>
      </c>
      <c r="C662" s="27" t="s">
        <v>2024</v>
      </c>
      <c r="D662" s="27">
        <v>194644236144</v>
      </c>
      <c r="E662" s="27" t="s">
        <v>2025</v>
      </c>
      <c r="F662" s="27" t="s">
        <v>82</v>
      </c>
      <c r="G662" s="27" t="s">
        <v>106</v>
      </c>
      <c r="H662" s="27" t="s">
        <v>107</v>
      </c>
      <c r="I662" s="27" t="s">
        <v>85</v>
      </c>
      <c r="J662" s="27">
        <v>5</v>
      </c>
      <c r="K662" s="27">
        <v>109.99</v>
      </c>
      <c r="L662" s="27">
        <v>129.99</v>
      </c>
      <c r="M662" s="27">
        <v>15.39</v>
      </c>
      <c r="N662" s="27">
        <v>20</v>
      </c>
      <c r="O662" s="27">
        <v>1</v>
      </c>
      <c r="P662" s="27" t="s">
        <v>95</v>
      </c>
      <c r="Q662" s="27">
        <v>4.70944</v>
      </c>
      <c r="S662" s="27">
        <v>22</v>
      </c>
      <c r="T662" s="27">
        <v>10</v>
      </c>
      <c r="U662" s="27">
        <v>0.6875</v>
      </c>
      <c r="V662" s="27" t="s">
        <v>72</v>
      </c>
      <c r="W662" s="27">
        <v>2419.78</v>
      </c>
      <c r="X662" s="27">
        <v>3.135494</v>
      </c>
      <c r="Y662" s="27">
        <v>7.791845</v>
      </c>
      <c r="Z662" s="27">
        <v>3.1623</v>
      </c>
      <c r="AA662" s="27" t="s">
        <v>73</v>
      </c>
      <c r="AB662" s="27">
        <v>0</v>
      </c>
      <c r="AC662" s="27">
        <v>0</v>
      </c>
      <c r="AD662" s="27">
        <v>0</v>
      </c>
      <c r="AE662" s="27">
        <v>0</v>
      </c>
      <c r="AF662" s="27">
        <v>0</v>
      </c>
      <c r="AG662" s="27">
        <v>0</v>
      </c>
      <c r="AH662" s="27">
        <v>0</v>
      </c>
      <c r="AI662" s="27">
        <v>0</v>
      </c>
      <c r="AJ662" s="27">
        <v>0</v>
      </c>
      <c r="AK662" s="27">
        <v>1</v>
      </c>
      <c r="AL662" s="27">
        <v>0</v>
      </c>
      <c r="AM662" s="27">
        <v>0</v>
      </c>
      <c r="AN662" s="27">
        <v>0</v>
      </c>
      <c r="AO662" s="27">
        <v>0</v>
      </c>
      <c r="AP662" s="27">
        <v>0</v>
      </c>
      <c r="AQ662" s="27">
        <v>0</v>
      </c>
      <c r="AR662" s="27">
        <v>0</v>
      </c>
      <c r="AS662" s="27">
        <v>0</v>
      </c>
      <c r="AT662" s="27">
        <v>0</v>
      </c>
      <c r="AU662" s="27">
        <v>1</v>
      </c>
      <c r="AV662" s="27">
        <v>0</v>
      </c>
      <c r="AW662" s="27">
        <v>0</v>
      </c>
      <c r="AX662" s="27">
        <v>0</v>
      </c>
      <c r="AZ662" s="27">
        <v>1</v>
      </c>
      <c r="BA662" s="27">
        <v>1</v>
      </c>
      <c r="BB662" s="27">
        <v>61.7</v>
      </c>
      <c r="BC662" s="27" t="s">
        <v>161</v>
      </c>
      <c r="BD662" s="27" t="s">
        <v>112</v>
      </c>
      <c r="BE662" s="27" t="s">
        <v>113</v>
      </c>
      <c r="BF662" s="27" t="s">
        <v>77</v>
      </c>
      <c r="BG662" s="27">
        <v>162</v>
      </c>
      <c r="BH662" s="27">
        <v>20</v>
      </c>
      <c r="BI662" s="27">
        <v>0.8901</v>
      </c>
      <c r="BJ662" s="27">
        <v>0</v>
      </c>
      <c r="BK662" s="27">
        <v>5</v>
      </c>
      <c r="BL662" s="27">
        <v>98.6</v>
      </c>
    </row>
    <row r="663" customHeight="1" spans="1:64">
      <c r="A663" s="27" t="s">
        <v>2026</v>
      </c>
      <c r="B663" s="27" t="s">
        <v>125</v>
      </c>
      <c r="E663" s="27" t="s">
        <v>438</v>
      </c>
      <c r="F663" s="27" t="s">
        <v>240</v>
      </c>
      <c r="G663" s="27" t="s">
        <v>83</v>
      </c>
      <c r="H663" s="27" t="s">
        <v>138</v>
      </c>
      <c r="I663" s="27" t="s">
        <v>85</v>
      </c>
      <c r="J663" s="27">
        <v>5</v>
      </c>
      <c r="K663" s="27">
        <v>149.99</v>
      </c>
      <c r="M663" s="27">
        <v>0</v>
      </c>
      <c r="N663" s="27">
        <v>0</v>
      </c>
      <c r="O663" s="27">
        <v>0</v>
      </c>
      <c r="P663" s="27" t="s">
        <v>95</v>
      </c>
      <c r="Q663" s="27">
        <v>5.017214</v>
      </c>
      <c r="R663" s="27">
        <v>9.37</v>
      </c>
      <c r="S663" s="27">
        <v>6</v>
      </c>
      <c r="T663" s="27">
        <v>10</v>
      </c>
      <c r="U663" s="27">
        <v>0.375</v>
      </c>
      <c r="V663" s="27" t="s">
        <v>87</v>
      </c>
      <c r="W663" s="27">
        <v>899.94</v>
      </c>
      <c r="X663" s="27">
        <v>1.94591</v>
      </c>
      <c r="Y663" s="27">
        <v>6.803439</v>
      </c>
      <c r="Z663" s="27">
        <v>3.1623</v>
      </c>
      <c r="AA663" s="27" t="s">
        <v>73</v>
      </c>
      <c r="AB663" s="27">
        <v>0</v>
      </c>
      <c r="AC663" s="27">
        <v>0</v>
      </c>
      <c r="AD663" s="27">
        <v>0</v>
      </c>
      <c r="AE663" s="27">
        <v>0</v>
      </c>
      <c r="AF663" s="27">
        <v>0</v>
      </c>
      <c r="AG663" s="27">
        <v>0</v>
      </c>
      <c r="AH663" s="27">
        <v>0</v>
      </c>
      <c r="AI663" s="27">
        <v>0</v>
      </c>
      <c r="AJ663" s="27">
        <v>0</v>
      </c>
      <c r="AK663" s="27">
        <v>0</v>
      </c>
      <c r="AL663" s="27">
        <v>0</v>
      </c>
      <c r="AM663" s="27">
        <v>0</v>
      </c>
      <c r="AN663" s="27">
        <v>0</v>
      </c>
      <c r="AO663" s="27">
        <v>0</v>
      </c>
      <c r="AP663" s="27">
        <v>0</v>
      </c>
      <c r="AQ663" s="27">
        <v>1</v>
      </c>
      <c r="AR663" s="27">
        <v>0</v>
      </c>
      <c r="AS663" s="27">
        <v>0</v>
      </c>
      <c r="AT663" s="27">
        <v>0</v>
      </c>
      <c r="AU663" s="27">
        <v>0</v>
      </c>
      <c r="AV663" s="27">
        <v>1</v>
      </c>
      <c r="AW663" s="27">
        <v>0</v>
      </c>
      <c r="AX663" s="27">
        <v>0</v>
      </c>
      <c r="AY663" s="27">
        <v>16</v>
      </c>
      <c r="AZ663" s="27">
        <v>1</v>
      </c>
      <c r="BA663" s="27">
        <v>1</v>
      </c>
      <c r="BB663" s="27">
        <v>40.89</v>
      </c>
      <c r="BC663" s="27" t="s">
        <v>1004</v>
      </c>
      <c r="BD663" s="27" t="s">
        <v>1005</v>
      </c>
      <c r="BE663" s="27" t="s">
        <v>113</v>
      </c>
      <c r="BF663" s="27" t="s">
        <v>77</v>
      </c>
      <c r="BG663" s="27">
        <v>168</v>
      </c>
      <c r="BH663" s="27">
        <v>11</v>
      </c>
      <c r="BI663" s="27">
        <v>0.9385</v>
      </c>
      <c r="BJ663" s="27">
        <v>0</v>
      </c>
      <c r="BK663" s="27">
        <v>50</v>
      </c>
      <c r="BL663" s="27">
        <v>86.3</v>
      </c>
    </row>
    <row r="664" customHeight="1" spans="1:64">
      <c r="A664" s="27" t="s">
        <v>2027</v>
      </c>
      <c r="B664" s="27" t="s">
        <v>2028</v>
      </c>
      <c r="C664" s="27" t="s">
        <v>2029</v>
      </c>
      <c r="E664" s="27" t="s">
        <v>2030</v>
      </c>
      <c r="F664" s="27" t="s">
        <v>160</v>
      </c>
      <c r="G664" s="27" t="s">
        <v>83</v>
      </c>
      <c r="H664" s="27" t="s">
        <v>84</v>
      </c>
      <c r="I664" s="27" t="s">
        <v>85</v>
      </c>
      <c r="J664" s="27">
        <v>5</v>
      </c>
      <c r="K664" s="27">
        <v>293.3</v>
      </c>
      <c r="M664" s="27">
        <v>0</v>
      </c>
      <c r="N664" s="27">
        <v>0</v>
      </c>
      <c r="O664" s="27">
        <v>0</v>
      </c>
      <c r="P664" s="27" t="s">
        <v>71</v>
      </c>
      <c r="Q664" s="27">
        <v>5.6846</v>
      </c>
      <c r="R664" s="27">
        <v>18.33</v>
      </c>
      <c r="S664" s="27">
        <v>221</v>
      </c>
      <c r="T664" s="27">
        <v>1</v>
      </c>
      <c r="U664" s="27">
        <v>0.9955</v>
      </c>
      <c r="V664" s="27" t="s">
        <v>154</v>
      </c>
      <c r="W664" s="27">
        <v>64819.3</v>
      </c>
      <c r="X664" s="27">
        <v>5.402677</v>
      </c>
      <c r="Y664" s="27">
        <v>11.079374</v>
      </c>
      <c r="Z664" s="27">
        <v>1</v>
      </c>
      <c r="AA664" s="27" t="s">
        <v>125</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1</v>
      </c>
      <c r="AR664" s="27">
        <v>0</v>
      </c>
      <c r="AS664" s="27">
        <v>0</v>
      </c>
      <c r="AT664" s="27">
        <v>0</v>
      </c>
      <c r="AU664" s="27">
        <v>0</v>
      </c>
      <c r="AV664" s="27">
        <v>1</v>
      </c>
      <c r="AW664" s="27">
        <v>1</v>
      </c>
      <c r="AX664" s="27">
        <v>0</v>
      </c>
      <c r="AY664" s="27">
        <v>16</v>
      </c>
      <c r="AZ664" s="27">
        <v>1</v>
      </c>
      <c r="BA664" s="27">
        <v>1</v>
      </c>
      <c r="BB664" s="27">
        <v>69.4</v>
      </c>
      <c r="BC664" s="27" t="s">
        <v>697</v>
      </c>
      <c r="BD664" s="27" t="s">
        <v>698</v>
      </c>
      <c r="BE664" s="27" t="s">
        <v>166</v>
      </c>
      <c r="BF664" s="27" t="s">
        <v>77</v>
      </c>
      <c r="BG664" s="27">
        <v>168</v>
      </c>
      <c r="BH664" s="27">
        <v>11</v>
      </c>
      <c r="BI664" s="27">
        <v>0.9385</v>
      </c>
      <c r="BJ664" s="27">
        <v>0</v>
      </c>
      <c r="BK664" s="27">
        <v>5</v>
      </c>
      <c r="BL664" s="27">
        <v>98.6</v>
      </c>
    </row>
    <row r="665" customHeight="1" spans="1:64">
      <c r="A665" s="27" t="s">
        <v>2031</v>
      </c>
      <c r="B665" s="27" t="s">
        <v>171</v>
      </c>
      <c r="C665" s="27" t="s">
        <v>2032</v>
      </c>
      <c r="E665" s="27" t="s">
        <v>250</v>
      </c>
      <c r="F665" s="27" t="s">
        <v>160</v>
      </c>
      <c r="G665" s="27" t="s">
        <v>83</v>
      </c>
      <c r="H665" s="27" t="s">
        <v>84</v>
      </c>
      <c r="I665" s="27" t="s">
        <v>85</v>
      </c>
      <c r="J665" s="27">
        <v>5</v>
      </c>
      <c r="K665" s="27">
        <v>96.59</v>
      </c>
      <c r="L665" s="27">
        <v>114.99</v>
      </c>
      <c r="M665" s="27">
        <v>16</v>
      </c>
      <c r="N665" s="27">
        <v>18.4</v>
      </c>
      <c r="O665" s="27">
        <v>1</v>
      </c>
      <c r="P665" s="27" t="s">
        <v>95</v>
      </c>
      <c r="Q665" s="27">
        <v>4.580775</v>
      </c>
      <c r="R665" s="27">
        <v>12.07</v>
      </c>
      <c r="S665" s="27">
        <v>39</v>
      </c>
      <c r="T665" s="27">
        <v>10</v>
      </c>
      <c r="U665" s="27">
        <v>0.7959</v>
      </c>
      <c r="V665" s="27" t="s">
        <v>72</v>
      </c>
      <c r="W665" s="27">
        <v>3767.01</v>
      </c>
      <c r="X665" s="27">
        <v>3.688879</v>
      </c>
      <c r="Y665" s="27">
        <v>8.234302</v>
      </c>
      <c r="Z665" s="27">
        <v>3.1623</v>
      </c>
      <c r="AA665" s="27" t="s">
        <v>110</v>
      </c>
      <c r="AB665" s="27">
        <v>0</v>
      </c>
      <c r="AC665" s="27">
        <v>0</v>
      </c>
      <c r="AD665" s="27">
        <v>0</v>
      </c>
      <c r="AE665" s="27">
        <v>0</v>
      </c>
      <c r="AF665" s="27">
        <v>0</v>
      </c>
      <c r="AG665" s="27">
        <v>0</v>
      </c>
      <c r="AH665" s="27">
        <v>0</v>
      </c>
      <c r="AI665" s="27">
        <v>0</v>
      </c>
      <c r="AJ665" s="27">
        <v>0</v>
      </c>
      <c r="AK665" s="27">
        <v>0</v>
      </c>
      <c r="AL665" s="27">
        <v>1</v>
      </c>
      <c r="AM665" s="27">
        <v>1</v>
      </c>
      <c r="AN665" s="27">
        <v>0</v>
      </c>
      <c r="AO665" s="27">
        <v>0</v>
      </c>
      <c r="AP665" s="27">
        <v>0</v>
      </c>
      <c r="AQ665" s="27">
        <v>1</v>
      </c>
      <c r="AR665" s="27">
        <v>0</v>
      </c>
      <c r="AS665" s="27">
        <v>0</v>
      </c>
      <c r="AT665" s="27">
        <v>1</v>
      </c>
      <c r="AU665" s="27">
        <v>0</v>
      </c>
      <c r="AV665" s="27">
        <v>1</v>
      </c>
      <c r="AW665" s="27">
        <v>1</v>
      </c>
      <c r="AX665" s="27">
        <v>0</v>
      </c>
      <c r="AY665" s="27">
        <v>8</v>
      </c>
      <c r="AZ665" s="27">
        <v>1</v>
      </c>
      <c r="BA665" s="27">
        <v>2</v>
      </c>
      <c r="BB665" s="27">
        <v>66.4</v>
      </c>
      <c r="BC665" s="27" t="s">
        <v>174</v>
      </c>
      <c r="BD665" s="27" t="s">
        <v>175</v>
      </c>
      <c r="BE665" s="27" t="s">
        <v>91</v>
      </c>
      <c r="BF665" s="27" t="s">
        <v>77</v>
      </c>
      <c r="BG665" s="27">
        <v>161</v>
      </c>
      <c r="BH665" s="27">
        <v>61</v>
      </c>
      <c r="BI665" s="27">
        <v>0.7252</v>
      </c>
      <c r="BJ665" s="27">
        <v>0</v>
      </c>
      <c r="BK665" s="27">
        <v>3</v>
      </c>
      <c r="BL665" s="27">
        <v>99.2</v>
      </c>
    </row>
    <row r="666" customHeight="1" spans="1:64">
      <c r="A666" s="27" t="s">
        <v>2033</v>
      </c>
      <c r="B666" s="27" t="s">
        <v>171</v>
      </c>
      <c r="C666" s="27" t="s">
        <v>2034</v>
      </c>
      <c r="E666" s="27" t="s">
        <v>81</v>
      </c>
      <c r="F666" s="27" t="s">
        <v>160</v>
      </c>
      <c r="G666" s="27" t="s">
        <v>83</v>
      </c>
      <c r="H666" s="27" t="s">
        <v>84</v>
      </c>
      <c r="I666" s="27" t="s">
        <v>85</v>
      </c>
      <c r="J666" s="27">
        <v>5</v>
      </c>
      <c r="K666" s="27">
        <v>109.99</v>
      </c>
      <c r="L666" s="27">
        <v>199.99</v>
      </c>
      <c r="M666" s="27">
        <v>45</v>
      </c>
      <c r="N666" s="27">
        <v>90</v>
      </c>
      <c r="O666" s="27">
        <v>1</v>
      </c>
      <c r="P666" s="27" t="s">
        <v>95</v>
      </c>
      <c r="Q666" s="27">
        <v>4.70944</v>
      </c>
      <c r="R666" s="27">
        <v>13.75</v>
      </c>
      <c r="S666" s="27">
        <v>88</v>
      </c>
      <c r="T666" s="27">
        <v>10</v>
      </c>
      <c r="U666" s="27">
        <v>0.898</v>
      </c>
      <c r="V666" s="27" t="s">
        <v>72</v>
      </c>
      <c r="W666" s="27">
        <v>9679.12</v>
      </c>
      <c r="X666" s="27">
        <v>4.488636</v>
      </c>
      <c r="Y666" s="27">
        <v>9.17783</v>
      </c>
      <c r="Z666" s="27">
        <v>3.1623</v>
      </c>
      <c r="AA666" s="27" t="s">
        <v>73</v>
      </c>
      <c r="AB666" s="27">
        <v>0</v>
      </c>
      <c r="AC666" s="27">
        <v>0</v>
      </c>
      <c r="AD666" s="27">
        <v>0</v>
      </c>
      <c r="AE666" s="27">
        <v>0</v>
      </c>
      <c r="AF666" s="27">
        <v>0</v>
      </c>
      <c r="AG666" s="27">
        <v>0</v>
      </c>
      <c r="AH666" s="27">
        <v>0</v>
      </c>
      <c r="AI666" s="27">
        <v>0</v>
      </c>
      <c r="AJ666" s="27">
        <v>0</v>
      </c>
      <c r="AK666" s="27">
        <v>0</v>
      </c>
      <c r="AL666" s="27">
        <v>0</v>
      </c>
      <c r="AM666" s="27">
        <v>0</v>
      </c>
      <c r="AN666" s="27">
        <v>0</v>
      </c>
      <c r="AO666" s="27">
        <v>0</v>
      </c>
      <c r="AP666" s="27">
        <v>0</v>
      </c>
      <c r="AQ666" s="27">
        <v>1</v>
      </c>
      <c r="AR666" s="27">
        <v>0</v>
      </c>
      <c r="AS666" s="27">
        <v>0</v>
      </c>
      <c r="AT666" s="27">
        <v>0</v>
      </c>
      <c r="AU666" s="27">
        <v>0</v>
      </c>
      <c r="AV666" s="27">
        <v>1</v>
      </c>
      <c r="AW666" s="27">
        <v>0</v>
      </c>
      <c r="AX666" s="27">
        <v>0</v>
      </c>
      <c r="AY666" s="27">
        <v>8</v>
      </c>
      <c r="AZ666" s="27">
        <v>1</v>
      </c>
      <c r="BA666" s="27">
        <v>1</v>
      </c>
      <c r="BB666" s="27">
        <v>79.18</v>
      </c>
      <c r="BC666" s="27" t="s">
        <v>174</v>
      </c>
      <c r="BD666" s="27" t="s">
        <v>175</v>
      </c>
      <c r="BE666" s="27" t="s">
        <v>91</v>
      </c>
      <c r="BF666" s="27" t="s">
        <v>77</v>
      </c>
      <c r="BG666" s="27">
        <v>161</v>
      </c>
      <c r="BH666" s="27">
        <v>61</v>
      </c>
      <c r="BI666" s="27">
        <v>0.7252</v>
      </c>
      <c r="BJ666" s="27">
        <v>0</v>
      </c>
      <c r="BK666" s="27">
        <v>3</v>
      </c>
      <c r="BL666" s="27">
        <v>99.2</v>
      </c>
    </row>
    <row r="667" customHeight="1" spans="1:64">
      <c r="A667" s="27" t="s">
        <v>2035</v>
      </c>
      <c r="B667" s="27" t="s">
        <v>339</v>
      </c>
      <c r="E667" s="27" t="s">
        <v>2036</v>
      </c>
      <c r="F667" s="27" t="s">
        <v>132</v>
      </c>
      <c r="G667" s="27" t="s">
        <v>83</v>
      </c>
      <c r="H667" s="27" t="s">
        <v>84</v>
      </c>
      <c r="I667" s="27" t="s">
        <v>85</v>
      </c>
      <c r="J667" s="27">
        <v>5</v>
      </c>
      <c r="K667" s="27">
        <v>299.95</v>
      </c>
      <c r="M667" s="27">
        <v>0</v>
      </c>
      <c r="N667" s="27">
        <v>0</v>
      </c>
      <c r="O667" s="27">
        <v>0</v>
      </c>
      <c r="P667" s="27" t="s">
        <v>71</v>
      </c>
      <c r="Q667" s="27">
        <v>5.706944</v>
      </c>
      <c r="S667" s="27">
        <v>6</v>
      </c>
      <c r="T667" s="27">
        <v>1</v>
      </c>
      <c r="U667" s="27">
        <v>0.8571</v>
      </c>
      <c r="V667" s="27" t="s">
        <v>87</v>
      </c>
      <c r="W667" s="27">
        <v>1799.7</v>
      </c>
      <c r="X667" s="27">
        <v>1.94591</v>
      </c>
      <c r="Y667" s="27">
        <v>7.495931</v>
      </c>
      <c r="Z667" s="27">
        <v>1</v>
      </c>
      <c r="AA667" s="27" t="s">
        <v>125</v>
      </c>
      <c r="AB667" s="27">
        <v>0</v>
      </c>
      <c r="AC667" s="27">
        <v>0</v>
      </c>
      <c r="AD667" s="27">
        <v>0</v>
      </c>
      <c r="AE667" s="27">
        <v>0</v>
      </c>
      <c r="AF667" s="27">
        <v>0</v>
      </c>
      <c r="AG667" s="27">
        <v>0</v>
      </c>
      <c r="AH667" s="27">
        <v>1</v>
      </c>
      <c r="AI667" s="27">
        <v>0</v>
      </c>
      <c r="AJ667" s="27">
        <v>1</v>
      </c>
      <c r="AK667" s="27">
        <v>0</v>
      </c>
      <c r="AL667" s="27">
        <v>0</v>
      </c>
      <c r="AM667" s="27">
        <v>0</v>
      </c>
      <c r="AN667" s="27">
        <v>0</v>
      </c>
      <c r="AO667" s="27">
        <v>0</v>
      </c>
      <c r="AP667" s="27">
        <v>0</v>
      </c>
      <c r="AQ667" s="27">
        <v>0</v>
      </c>
      <c r="AR667" s="27">
        <v>0</v>
      </c>
      <c r="AS667" s="27">
        <v>0</v>
      </c>
      <c r="AT667" s="27">
        <v>0</v>
      </c>
      <c r="AU667" s="27">
        <v>0</v>
      </c>
      <c r="AV667" s="27">
        <v>0</v>
      </c>
      <c r="AW667" s="27">
        <v>1</v>
      </c>
      <c r="AX667" s="27">
        <v>0</v>
      </c>
      <c r="AZ667" s="27">
        <v>1</v>
      </c>
      <c r="BA667" s="27">
        <v>1</v>
      </c>
      <c r="BB667" s="27">
        <v>60.02</v>
      </c>
      <c r="BC667" s="27" t="s">
        <v>341</v>
      </c>
      <c r="BD667" s="27" t="s">
        <v>342</v>
      </c>
      <c r="BE667" s="27" t="s">
        <v>76</v>
      </c>
      <c r="BF667" s="27" t="s">
        <v>77</v>
      </c>
      <c r="BG667" s="27">
        <v>169</v>
      </c>
      <c r="BH667" s="27">
        <v>11</v>
      </c>
      <c r="BI667" s="27">
        <v>0.9389</v>
      </c>
      <c r="BJ667" s="27">
        <v>0</v>
      </c>
      <c r="BK667" s="27">
        <v>52</v>
      </c>
      <c r="BL667" s="27">
        <v>85.8</v>
      </c>
    </row>
    <row r="668" customHeight="1" spans="1:64">
      <c r="A668" s="27" t="s">
        <v>2037</v>
      </c>
      <c r="B668" s="27" t="s">
        <v>344</v>
      </c>
      <c r="E668" s="27" t="s">
        <v>2038</v>
      </c>
      <c r="F668" s="27" t="s">
        <v>82</v>
      </c>
      <c r="G668" s="27" t="s">
        <v>346</v>
      </c>
      <c r="H668" s="27" t="s">
        <v>107</v>
      </c>
      <c r="I668" s="27" t="s">
        <v>85</v>
      </c>
      <c r="J668" s="27">
        <v>5</v>
      </c>
      <c r="K668" s="27">
        <v>59.98</v>
      </c>
      <c r="M668" s="27">
        <v>0</v>
      </c>
      <c r="N668" s="27">
        <v>0</v>
      </c>
      <c r="O668" s="27">
        <v>0</v>
      </c>
      <c r="P668" s="27" t="s">
        <v>86</v>
      </c>
      <c r="Q668" s="27">
        <v>4.110546</v>
      </c>
      <c r="S668" s="27">
        <v>12</v>
      </c>
      <c r="T668" s="27">
        <v>9</v>
      </c>
      <c r="U668" s="27">
        <v>0.5714</v>
      </c>
      <c r="V668" s="27" t="s">
        <v>72</v>
      </c>
      <c r="W668" s="27">
        <v>719.76</v>
      </c>
      <c r="X668" s="27">
        <v>2.564949</v>
      </c>
      <c r="Y668" s="27">
        <v>6.580306</v>
      </c>
      <c r="Z668" s="27">
        <v>3</v>
      </c>
      <c r="AA668" s="27" t="s">
        <v>125</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v>0</v>
      </c>
      <c r="AS668" s="27">
        <v>0</v>
      </c>
      <c r="AT668" s="27">
        <v>1</v>
      </c>
      <c r="AU668" s="27">
        <v>0</v>
      </c>
      <c r="AV668" s="27">
        <v>0</v>
      </c>
      <c r="AW668" s="27">
        <v>1</v>
      </c>
      <c r="AX668" s="27">
        <v>0</v>
      </c>
      <c r="AZ668" s="27">
        <v>1</v>
      </c>
      <c r="BA668" s="27">
        <v>0</v>
      </c>
      <c r="BB668" s="27">
        <v>52.71</v>
      </c>
      <c r="BC668" s="27" t="s">
        <v>1273</v>
      </c>
      <c r="BD668" s="27" t="s">
        <v>1274</v>
      </c>
      <c r="BE668" s="27" t="s">
        <v>756</v>
      </c>
      <c r="BF668" s="27" t="s">
        <v>77</v>
      </c>
      <c r="BG668" s="27">
        <v>168</v>
      </c>
      <c r="BH668" s="27">
        <v>11</v>
      </c>
      <c r="BI668" s="27">
        <v>0.9385</v>
      </c>
      <c r="BJ668" s="27">
        <v>0</v>
      </c>
      <c r="BK668" s="27">
        <v>2</v>
      </c>
      <c r="BL668" s="27">
        <v>99.5</v>
      </c>
    </row>
    <row r="669" customHeight="1" spans="1:64">
      <c r="A669" s="27" t="s">
        <v>2039</v>
      </c>
      <c r="B669" s="27" t="s">
        <v>65</v>
      </c>
      <c r="C669" s="27" t="s">
        <v>2040</v>
      </c>
      <c r="D669" s="27">
        <v>695529026374</v>
      </c>
      <c r="E669" s="27" t="s">
        <v>255</v>
      </c>
      <c r="F669" s="27" t="s">
        <v>82</v>
      </c>
      <c r="G669" s="27" t="s">
        <v>65</v>
      </c>
      <c r="H669" s="27" t="s">
        <v>69</v>
      </c>
      <c r="I669" s="27" t="s">
        <v>85</v>
      </c>
      <c r="J669" s="27">
        <v>5</v>
      </c>
      <c r="K669" s="27">
        <v>154.99</v>
      </c>
      <c r="M669" s="27">
        <v>0</v>
      </c>
      <c r="N669" s="27">
        <v>0</v>
      </c>
      <c r="O669" s="27">
        <v>0</v>
      </c>
      <c r="P669" s="27" t="s">
        <v>95</v>
      </c>
      <c r="Q669" s="27">
        <v>5.049792</v>
      </c>
      <c r="S669" s="27">
        <v>50</v>
      </c>
      <c r="T669" s="27">
        <v>23</v>
      </c>
      <c r="U669" s="27">
        <v>0.6849</v>
      </c>
      <c r="V669" s="27" t="s">
        <v>72</v>
      </c>
      <c r="W669" s="27">
        <v>7749.5</v>
      </c>
      <c r="X669" s="27">
        <v>3.931826</v>
      </c>
      <c r="Y669" s="27">
        <v>8.955513</v>
      </c>
      <c r="Z669" s="27">
        <v>4.7958</v>
      </c>
      <c r="AA669" s="27" t="s">
        <v>73</v>
      </c>
      <c r="AB669" s="27">
        <v>0</v>
      </c>
      <c r="AC669" s="27">
        <v>0</v>
      </c>
      <c r="AD669" s="27">
        <v>0</v>
      </c>
      <c r="AE669" s="27">
        <v>0</v>
      </c>
      <c r="AF669" s="27">
        <v>0</v>
      </c>
      <c r="AG669" s="27">
        <v>0</v>
      </c>
      <c r="AH669" s="27">
        <v>0</v>
      </c>
      <c r="AI669" s="27">
        <v>0</v>
      </c>
      <c r="AJ669" s="27">
        <v>0</v>
      </c>
      <c r="AK669" s="27">
        <v>0</v>
      </c>
      <c r="AL669" s="27">
        <v>0</v>
      </c>
      <c r="AM669" s="27">
        <v>0</v>
      </c>
      <c r="AN669" s="27">
        <v>0</v>
      </c>
      <c r="AO669" s="27">
        <v>0</v>
      </c>
      <c r="AP669" s="27">
        <v>0</v>
      </c>
      <c r="AQ669" s="27">
        <v>0</v>
      </c>
      <c r="AR669" s="27">
        <v>0</v>
      </c>
      <c r="AS669" s="27">
        <v>0</v>
      </c>
      <c r="AT669" s="27">
        <v>0</v>
      </c>
      <c r="AU669" s="27">
        <v>0</v>
      </c>
      <c r="AV669" s="27">
        <v>0</v>
      </c>
      <c r="AW669" s="27">
        <v>1</v>
      </c>
      <c r="AX669" s="27">
        <v>0</v>
      </c>
      <c r="AZ669" s="27">
        <v>1</v>
      </c>
      <c r="BA669" s="27">
        <v>0</v>
      </c>
      <c r="BB669" s="27">
        <v>57.16</v>
      </c>
      <c r="BC669" s="27" t="s">
        <v>74</v>
      </c>
      <c r="BD669" s="27" t="s">
        <v>75</v>
      </c>
      <c r="BE669" s="27" t="s">
        <v>76</v>
      </c>
      <c r="BF669" s="27" t="s">
        <v>77</v>
      </c>
      <c r="BG669" s="27">
        <v>168</v>
      </c>
      <c r="BH669" s="27">
        <v>13</v>
      </c>
      <c r="BI669" s="27">
        <v>0.9282</v>
      </c>
      <c r="BJ669" s="27">
        <v>0</v>
      </c>
      <c r="BK669" s="27">
        <v>3</v>
      </c>
      <c r="BL669" s="27">
        <v>99.2</v>
      </c>
    </row>
    <row r="670" customHeight="1" spans="1:64">
      <c r="A670" s="27" t="s">
        <v>2041</v>
      </c>
      <c r="B670" s="27" t="s">
        <v>282</v>
      </c>
      <c r="E670" s="27" t="s">
        <v>239</v>
      </c>
      <c r="F670" s="27" t="s">
        <v>240</v>
      </c>
      <c r="G670" s="27" t="s">
        <v>83</v>
      </c>
      <c r="H670" s="27" t="s">
        <v>84</v>
      </c>
      <c r="I670" s="27" t="s">
        <v>85</v>
      </c>
      <c r="J670" s="27">
        <v>5</v>
      </c>
      <c r="K670" s="27">
        <v>69.99</v>
      </c>
      <c r="M670" s="27">
        <v>0</v>
      </c>
      <c r="N670" s="27">
        <v>0</v>
      </c>
      <c r="O670" s="27">
        <v>0</v>
      </c>
      <c r="P670" s="27" t="s">
        <v>86</v>
      </c>
      <c r="Q670" s="27">
        <v>4.262539</v>
      </c>
      <c r="R670" s="27">
        <v>8.75</v>
      </c>
      <c r="S670" s="27">
        <v>50</v>
      </c>
      <c r="T670" s="27">
        <v>10</v>
      </c>
      <c r="U670" s="27">
        <v>0.8333</v>
      </c>
      <c r="V670" s="27" t="s">
        <v>72</v>
      </c>
      <c r="W670" s="27">
        <v>3499.5</v>
      </c>
      <c r="X670" s="27">
        <v>3.931826</v>
      </c>
      <c r="Y670" s="27">
        <v>8.160661</v>
      </c>
      <c r="Z670" s="27">
        <v>3.1623</v>
      </c>
      <c r="AA670" s="27" t="s">
        <v>139</v>
      </c>
      <c r="AB670" s="27">
        <v>0</v>
      </c>
      <c r="AC670" s="27">
        <v>0</v>
      </c>
      <c r="AD670" s="27">
        <v>0</v>
      </c>
      <c r="AE670" s="27">
        <v>0</v>
      </c>
      <c r="AF670" s="27">
        <v>0</v>
      </c>
      <c r="AG670" s="27">
        <v>0</v>
      </c>
      <c r="AH670" s="27">
        <v>0</v>
      </c>
      <c r="AI670" s="27">
        <v>0</v>
      </c>
      <c r="AJ670" s="27">
        <v>0</v>
      </c>
      <c r="AK670" s="27">
        <v>0</v>
      </c>
      <c r="AL670" s="27">
        <v>0</v>
      </c>
      <c r="AM670" s="27">
        <v>0</v>
      </c>
      <c r="AN670" s="27">
        <v>0</v>
      </c>
      <c r="AO670" s="27">
        <v>0</v>
      </c>
      <c r="AP670" s="27">
        <v>0</v>
      </c>
      <c r="AQ670" s="27">
        <v>1</v>
      </c>
      <c r="AR670" s="27">
        <v>0</v>
      </c>
      <c r="AS670" s="27">
        <v>0</v>
      </c>
      <c r="AT670" s="27">
        <v>0</v>
      </c>
      <c r="AU670" s="27">
        <v>0</v>
      </c>
      <c r="AV670" s="27">
        <v>1</v>
      </c>
      <c r="AW670" s="27">
        <v>1</v>
      </c>
      <c r="AX670" s="27">
        <v>0</v>
      </c>
      <c r="AY670" s="27">
        <v>8</v>
      </c>
      <c r="AZ670" s="27">
        <v>1</v>
      </c>
      <c r="BA670" s="27">
        <v>1</v>
      </c>
      <c r="BB670" s="27">
        <v>63.18</v>
      </c>
      <c r="BC670" s="27" t="s">
        <v>285</v>
      </c>
      <c r="BD670" s="27" t="s">
        <v>286</v>
      </c>
      <c r="BE670" s="27" t="s">
        <v>287</v>
      </c>
      <c r="BF670" s="27" t="s">
        <v>77</v>
      </c>
      <c r="BG670" s="27">
        <v>1</v>
      </c>
      <c r="BH670" s="27">
        <v>20</v>
      </c>
      <c r="BI670" s="27">
        <v>0.0476</v>
      </c>
      <c r="BJ670" s="27">
        <v>1</v>
      </c>
      <c r="BK670" s="27">
        <v>2</v>
      </c>
      <c r="BL670" s="27">
        <v>99.5</v>
      </c>
    </row>
    <row r="671" customHeight="1" spans="1:64">
      <c r="A671" s="27" t="s">
        <v>2042</v>
      </c>
      <c r="B671" s="27" t="s">
        <v>404</v>
      </c>
      <c r="E671" s="27" t="s">
        <v>67</v>
      </c>
      <c r="F671" s="27" t="s">
        <v>240</v>
      </c>
      <c r="G671" s="27" t="s">
        <v>83</v>
      </c>
      <c r="H671" s="27" t="s">
        <v>84</v>
      </c>
      <c r="I671" s="27" t="s">
        <v>203</v>
      </c>
      <c r="J671" s="27">
        <v>4</v>
      </c>
      <c r="K671" s="27">
        <v>44.99</v>
      </c>
      <c r="M671" s="27">
        <v>0</v>
      </c>
      <c r="N671" s="27">
        <v>0</v>
      </c>
      <c r="O671" s="27">
        <v>0</v>
      </c>
      <c r="P671" s="27" t="s">
        <v>86</v>
      </c>
      <c r="Q671" s="27">
        <v>3.828424</v>
      </c>
      <c r="R671" s="27">
        <v>11.25</v>
      </c>
      <c r="S671" s="27">
        <v>256</v>
      </c>
      <c r="T671" s="27">
        <v>10</v>
      </c>
      <c r="U671" s="27">
        <v>0.9624</v>
      </c>
      <c r="V671" s="27" t="s">
        <v>154</v>
      </c>
      <c r="W671" s="27">
        <v>11517.44</v>
      </c>
      <c r="X671" s="27">
        <v>5.549076</v>
      </c>
      <c r="Y671" s="27">
        <v>9.351705</v>
      </c>
      <c r="Z671" s="27">
        <v>3.1623</v>
      </c>
      <c r="AA671" s="27" t="s">
        <v>125</v>
      </c>
      <c r="AB671" s="27">
        <v>0</v>
      </c>
      <c r="AC671" s="27">
        <v>0</v>
      </c>
      <c r="AD671" s="27">
        <v>0</v>
      </c>
      <c r="AE671" s="27">
        <v>0</v>
      </c>
      <c r="AF671" s="27">
        <v>0</v>
      </c>
      <c r="AG671" s="27">
        <v>0</v>
      </c>
      <c r="AH671" s="27">
        <v>0</v>
      </c>
      <c r="AI671" s="27">
        <v>0</v>
      </c>
      <c r="AJ671" s="27">
        <v>0</v>
      </c>
      <c r="AK671" s="27">
        <v>0</v>
      </c>
      <c r="AL671" s="27">
        <v>0</v>
      </c>
      <c r="AM671" s="27">
        <v>0</v>
      </c>
      <c r="AN671" s="27">
        <v>0</v>
      </c>
      <c r="AO671" s="27">
        <v>0</v>
      </c>
      <c r="AP671" s="27">
        <v>0</v>
      </c>
      <c r="AQ671" s="27">
        <v>1</v>
      </c>
      <c r="AR671" s="27">
        <v>0</v>
      </c>
      <c r="AS671" s="27">
        <v>0</v>
      </c>
      <c r="AT671" s="27">
        <v>0</v>
      </c>
      <c r="AU671" s="27">
        <v>0</v>
      </c>
      <c r="AV671" s="27">
        <v>1</v>
      </c>
      <c r="AW671" s="27">
        <v>1</v>
      </c>
      <c r="AX671" s="27">
        <v>0</v>
      </c>
      <c r="AY671" s="27">
        <v>4</v>
      </c>
      <c r="AZ671" s="27">
        <v>1</v>
      </c>
      <c r="BA671" s="27">
        <v>1</v>
      </c>
      <c r="BB671" s="27">
        <v>51.73</v>
      </c>
      <c r="BC671" s="27" t="s">
        <v>405</v>
      </c>
      <c r="BD671" s="27" t="s">
        <v>406</v>
      </c>
      <c r="BE671" s="27" t="s">
        <v>407</v>
      </c>
      <c r="BF671" s="27" t="s">
        <v>77</v>
      </c>
      <c r="BG671" s="27">
        <v>162</v>
      </c>
      <c r="BH671" s="27">
        <v>60</v>
      </c>
      <c r="BI671" s="27">
        <v>0.7297</v>
      </c>
      <c r="BJ671" s="27">
        <v>0</v>
      </c>
      <c r="BK671" s="27">
        <v>204</v>
      </c>
      <c r="BL671" s="27">
        <v>44.1</v>
      </c>
    </row>
    <row r="672" customHeight="1" spans="1:64">
      <c r="A672" s="27" t="s">
        <v>2043</v>
      </c>
      <c r="B672" s="27" t="s">
        <v>2044</v>
      </c>
      <c r="C672" s="27" t="s">
        <v>2045</v>
      </c>
      <c r="E672" s="27" t="s">
        <v>2046</v>
      </c>
      <c r="F672" s="27" t="s">
        <v>82</v>
      </c>
      <c r="G672" s="27" t="s">
        <v>83</v>
      </c>
      <c r="H672" s="27" t="s">
        <v>84</v>
      </c>
      <c r="I672" s="27" t="s">
        <v>85</v>
      </c>
      <c r="J672" s="27">
        <v>5</v>
      </c>
      <c r="K672" s="27">
        <v>14.95</v>
      </c>
      <c r="M672" s="27">
        <v>0</v>
      </c>
      <c r="N672" s="27">
        <v>0</v>
      </c>
      <c r="O672" s="27">
        <v>0</v>
      </c>
      <c r="P672" s="27" t="s">
        <v>133</v>
      </c>
      <c r="Q672" s="27">
        <v>2.769459</v>
      </c>
      <c r="S672" s="27">
        <v>84</v>
      </c>
      <c r="T672" s="27">
        <v>10</v>
      </c>
      <c r="U672" s="27">
        <v>0.8936</v>
      </c>
      <c r="V672" s="27" t="s">
        <v>72</v>
      </c>
      <c r="W672" s="27">
        <v>1255.8</v>
      </c>
      <c r="X672" s="27">
        <v>4.442651</v>
      </c>
      <c r="Y672" s="27">
        <v>7.136324</v>
      </c>
      <c r="Z672" s="27">
        <v>3.1623</v>
      </c>
      <c r="AA672" s="27" t="s">
        <v>139</v>
      </c>
      <c r="AB672" s="27">
        <v>0</v>
      </c>
      <c r="AC672" s="27">
        <v>0</v>
      </c>
      <c r="AD672" s="27">
        <v>0</v>
      </c>
      <c r="AE672" s="27">
        <v>0</v>
      </c>
      <c r="AF672" s="27">
        <v>0</v>
      </c>
      <c r="AG672" s="27">
        <v>0</v>
      </c>
      <c r="AH672" s="27">
        <v>0</v>
      </c>
      <c r="AI672" s="27">
        <v>0</v>
      </c>
      <c r="AJ672" s="27">
        <v>0</v>
      </c>
      <c r="AK672" s="27">
        <v>0</v>
      </c>
      <c r="AL672" s="27">
        <v>0</v>
      </c>
      <c r="AM672" s="27">
        <v>0</v>
      </c>
      <c r="AN672" s="27">
        <v>0</v>
      </c>
      <c r="AO672" s="27">
        <v>0</v>
      </c>
      <c r="AP672" s="27">
        <v>0</v>
      </c>
      <c r="AQ672" s="27">
        <v>0</v>
      </c>
      <c r="AR672" s="27">
        <v>0</v>
      </c>
      <c r="AS672" s="27">
        <v>0</v>
      </c>
      <c r="AT672" s="27">
        <v>0</v>
      </c>
      <c r="AU672" s="27">
        <v>0</v>
      </c>
      <c r="AV672" s="27">
        <v>0</v>
      </c>
      <c r="AW672" s="27">
        <v>0</v>
      </c>
      <c r="AX672" s="27">
        <v>0</v>
      </c>
      <c r="AZ672" s="27">
        <v>1</v>
      </c>
      <c r="BA672" s="27">
        <v>0</v>
      </c>
      <c r="BB672" s="27">
        <v>56.77</v>
      </c>
      <c r="BC672" s="27" t="s">
        <v>2047</v>
      </c>
      <c r="BD672" s="27" t="s">
        <v>180</v>
      </c>
      <c r="BE672" s="27" t="s">
        <v>113</v>
      </c>
      <c r="BF672" s="27" t="s">
        <v>77</v>
      </c>
      <c r="BG672" s="27">
        <v>1</v>
      </c>
      <c r="BH672" s="27">
        <v>27</v>
      </c>
      <c r="BI672" s="27">
        <v>0.0357</v>
      </c>
      <c r="BJ672" s="27">
        <v>1</v>
      </c>
      <c r="BK672" s="27">
        <v>109</v>
      </c>
      <c r="BL672" s="27">
        <v>70.1</v>
      </c>
    </row>
    <row r="673" customHeight="1" spans="1:64">
      <c r="A673" s="27" t="s">
        <v>2048</v>
      </c>
      <c r="B673" s="27" t="s">
        <v>171</v>
      </c>
      <c r="C673" s="27" t="s">
        <v>1343</v>
      </c>
      <c r="E673" s="27" t="s">
        <v>173</v>
      </c>
      <c r="F673" s="27" t="s">
        <v>160</v>
      </c>
      <c r="G673" s="27" t="s">
        <v>83</v>
      </c>
      <c r="H673" s="27" t="s">
        <v>84</v>
      </c>
      <c r="I673" s="27" t="s">
        <v>85</v>
      </c>
      <c r="J673" s="27">
        <v>5</v>
      </c>
      <c r="K673" s="27">
        <v>35.99</v>
      </c>
      <c r="M673" s="27">
        <v>0</v>
      </c>
      <c r="N673" s="27">
        <v>0</v>
      </c>
      <c r="O673" s="27">
        <v>0</v>
      </c>
      <c r="P673" s="27" t="s">
        <v>86</v>
      </c>
      <c r="Q673" s="27">
        <v>3.610648</v>
      </c>
      <c r="S673" s="27">
        <v>401</v>
      </c>
      <c r="T673" s="27">
        <v>10</v>
      </c>
      <c r="U673" s="27">
        <v>0.9757</v>
      </c>
      <c r="V673" s="27" t="s">
        <v>154</v>
      </c>
      <c r="W673" s="27">
        <v>14431.99</v>
      </c>
      <c r="X673" s="27">
        <v>5.996452</v>
      </c>
      <c r="Y673" s="27">
        <v>9.577272</v>
      </c>
      <c r="Z673" s="27">
        <v>3.1623</v>
      </c>
      <c r="AA673" s="27" t="s">
        <v>313</v>
      </c>
      <c r="AB673" s="27">
        <v>1</v>
      </c>
      <c r="AC673" s="27">
        <v>1</v>
      </c>
      <c r="AD673" s="27">
        <v>0</v>
      </c>
      <c r="AE673" s="27">
        <v>0</v>
      </c>
      <c r="AF673" s="27">
        <v>0</v>
      </c>
      <c r="AG673" s="27">
        <v>1</v>
      </c>
      <c r="AH673" s="27">
        <v>0</v>
      </c>
      <c r="AI673" s="27">
        <v>1</v>
      </c>
      <c r="AJ673" s="27">
        <v>0</v>
      </c>
      <c r="AK673" s="27">
        <v>0</v>
      </c>
      <c r="AL673" s="27">
        <v>0</v>
      </c>
      <c r="AM673" s="27">
        <v>0</v>
      </c>
      <c r="AN673" s="27">
        <v>0</v>
      </c>
      <c r="AO673" s="27">
        <v>0</v>
      </c>
      <c r="AP673" s="27">
        <v>0</v>
      </c>
      <c r="AQ673" s="27">
        <v>0</v>
      </c>
      <c r="AR673" s="27">
        <v>0</v>
      </c>
      <c r="AS673" s="27">
        <v>0</v>
      </c>
      <c r="AT673" s="27">
        <v>1</v>
      </c>
      <c r="AU673" s="27">
        <v>0</v>
      </c>
      <c r="AV673" s="27">
        <v>0</v>
      </c>
      <c r="AW673" s="27">
        <v>0</v>
      </c>
      <c r="AX673" s="27">
        <v>0</v>
      </c>
      <c r="AZ673" s="27">
        <v>1</v>
      </c>
      <c r="BA673" s="27">
        <v>2</v>
      </c>
      <c r="BB673" s="27">
        <v>68.61</v>
      </c>
      <c r="BC673" s="27" t="s">
        <v>174</v>
      </c>
      <c r="BD673" s="27" t="s">
        <v>175</v>
      </c>
      <c r="BE673" s="27" t="s">
        <v>91</v>
      </c>
      <c r="BF673" s="27" t="s">
        <v>77</v>
      </c>
      <c r="BG673" s="27">
        <v>162</v>
      </c>
      <c r="BH673" s="27">
        <v>60</v>
      </c>
      <c r="BI673" s="27">
        <v>0.7297</v>
      </c>
      <c r="BJ673" s="27">
        <v>0</v>
      </c>
      <c r="BK673" s="27">
        <v>5</v>
      </c>
      <c r="BL673" s="27">
        <v>98.6</v>
      </c>
    </row>
    <row r="674" customHeight="1" spans="1:64">
      <c r="A674" s="27" t="s">
        <v>2049</v>
      </c>
      <c r="B674" s="27" t="s">
        <v>125</v>
      </c>
      <c r="C674" s="27">
        <v>60550</v>
      </c>
      <c r="D674" s="27">
        <v>744759414236</v>
      </c>
      <c r="E674" s="27" t="s">
        <v>163</v>
      </c>
      <c r="F674" s="27" t="s">
        <v>160</v>
      </c>
      <c r="G674" s="27" t="s">
        <v>83</v>
      </c>
      <c r="H674" s="27" t="s">
        <v>138</v>
      </c>
      <c r="I674" s="27" t="s">
        <v>85</v>
      </c>
      <c r="J674" s="27">
        <v>5</v>
      </c>
      <c r="K674" s="27">
        <v>47.18</v>
      </c>
      <c r="M674" s="27">
        <v>0</v>
      </c>
      <c r="N674" s="27">
        <v>0</v>
      </c>
      <c r="O674" s="27">
        <v>0</v>
      </c>
      <c r="P674" s="27" t="s">
        <v>86</v>
      </c>
      <c r="Q674" s="27">
        <v>3.874944</v>
      </c>
      <c r="S674" s="27">
        <v>45</v>
      </c>
      <c r="T674" s="27">
        <v>10</v>
      </c>
      <c r="U674" s="27">
        <v>0.8182</v>
      </c>
      <c r="V674" s="27" t="s">
        <v>72</v>
      </c>
      <c r="W674" s="27">
        <v>2123.1</v>
      </c>
      <c r="X674" s="27">
        <v>3.828641</v>
      </c>
      <c r="Y674" s="27">
        <v>7.661103</v>
      </c>
      <c r="Z674" s="27">
        <v>3.1623</v>
      </c>
      <c r="AA674" s="27" t="s">
        <v>125</v>
      </c>
      <c r="AB674" s="27">
        <v>0</v>
      </c>
      <c r="AC674" s="27">
        <v>0</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v>0</v>
      </c>
      <c r="AS674" s="27">
        <v>0</v>
      </c>
      <c r="AT674" s="27">
        <v>0</v>
      </c>
      <c r="AU674" s="27">
        <v>0</v>
      </c>
      <c r="AV674" s="27">
        <v>0</v>
      </c>
      <c r="AW674" s="27">
        <v>0</v>
      </c>
      <c r="AX674" s="27">
        <v>0</v>
      </c>
      <c r="AZ674" s="27">
        <v>1</v>
      </c>
      <c r="BA674" s="27">
        <v>0</v>
      </c>
      <c r="BB674" s="27">
        <v>62.4</v>
      </c>
      <c r="BC674" s="27" t="s">
        <v>2050</v>
      </c>
      <c r="BD674" s="27" t="s">
        <v>940</v>
      </c>
      <c r="BE674" s="27" t="s">
        <v>941</v>
      </c>
      <c r="BF674" s="27" t="s">
        <v>77</v>
      </c>
      <c r="BG674" s="27">
        <v>162</v>
      </c>
      <c r="BH674" s="27">
        <v>20</v>
      </c>
      <c r="BI674" s="27">
        <v>0.8901</v>
      </c>
      <c r="BJ674" s="27">
        <v>0</v>
      </c>
      <c r="BK674" s="27">
        <v>4</v>
      </c>
      <c r="BL674" s="27">
        <v>98.9</v>
      </c>
    </row>
    <row r="675" customHeight="1" spans="1:64">
      <c r="A675" s="27" t="s">
        <v>2051</v>
      </c>
      <c r="B675" s="27" t="s">
        <v>365</v>
      </c>
      <c r="E675" s="27" t="s">
        <v>491</v>
      </c>
      <c r="F675" s="27" t="s">
        <v>276</v>
      </c>
      <c r="G675" s="27" t="s">
        <v>83</v>
      </c>
      <c r="H675" s="27" t="s">
        <v>84</v>
      </c>
      <c r="I675" s="27" t="s">
        <v>85</v>
      </c>
      <c r="J675" s="27">
        <v>5</v>
      </c>
      <c r="K675" s="27">
        <v>17</v>
      </c>
      <c r="M675" s="27">
        <v>0</v>
      </c>
      <c r="N675" s="27">
        <v>0</v>
      </c>
      <c r="O675" s="27">
        <v>0</v>
      </c>
      <c r="P675" s="27" t="s">
        <v>133</v>
      </c>
      <c r="Q675" s="27">
        <v>2.890372</v>
      </c>
      <c r="S675" s="27">
        <v>11</v>
      </c>
      <c r="T675" s="27">
        <v>10</v>
      </c>
      <c r="U675" s="27">
        <v>0.5238</v>
      </c>
      <c r="V675" s="27" t="s">
        <v>72</v>
      </c>
      <c r="W675" s="27">
        <v>187</v>
      </c>
      <c r="X675" s="27">
        <v>2.484907</v>
      </c>
      <c r="Y675" s="27">
        <v>5.236442</v>
      </c>
      <c r="Z675" s="27">
        <v>3.1623</v>
      </c>
      <c r="AA675" s="27" t="s">
        <v>125</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v>0</v>
      </c>
      <c r="AS675" s="27">
        <v>0</v>
      </c>
      <c r="AT675" s="27">
        <v>0</v>
      </c>
      <c r="AU675" s="27">
        <v>0</v>
      </c>
      <c r="AV675" s="27">
        <v>0</v>
      </c>
      <c r="AW675" s="27">
        <v>0</v>
      </c>
      <c r="AX675" s="27">
        <v>0</v>
      </c>
      <c r="AZ675" s="27">
        <v>1</v>
      </c>
      <c r="BA675" s="27">
        <v>0</v>
      </c>
      <c r="BB675" s="27">
        <v>50.38</v>
      </c>
      <c r="BC675" s="27" t="s">
        <v>492</v>
      </c>
      <c r="BD675" s="27" t="s">
        <v>97</v>
      </c>
      <c r="BE675" s="27" t="s">
        <v>76</v>
      </c>
      <c r="BF675" s="27" t="s">
        <v>77</v>
      </c>
      <c r="BG675" s="27">
        <v>170</v>
      </c>
      <c r="BH675" s="27">
        <v>11</v>
      </c>
      <c r="BI675" s="27">
        <v>0.9392</v>
      </c>
      <c r="BJ675" s="27">
        <v>0</v>
      </c>
      <c r="BK675" s="27">
        <v>7</v>
      </c>
      <c r="BL675" s="27">
        <v>98.1</v>
      </c>
    </row>
    <row r="676" customHeight="1" spans="1:64">
      <c r="A676" s="27" t="s">
        <v>2052</v>
      </c>
      <c r="B676" s="27" t="s">
        <v>125</v>
      </c>
      <c r="E676" s="27" t="s">
        <v>81</v>
      </c>
      <c r="F676" s="27" t="s">
        <v>160</v>
      </c>
      <c r="G676" s="27" t="s">
        <v>83</v>
      </c>
      <c r="H676" s="27" t="s">
        <v>138</v>
      </c>
      <c r="I676" s="27" t="s">
        <v>85</v>
      </c>
      <c r="J676" s="27">
        <v>5</v>
      </c>
      <c r="K676" s="27">
        <v>58.39</v>
      </c>
      <c r="L676" s="27">
        <v>72.99</v>
      </c>
      <c r="M676" s="27">
        <v>20</v>
      </c>
      <c r="N676" s="27">
        <v>14.6</v>
      </c>
      <c r="O676" s="27">
        <v>1</v>
      </c>
      <c r="P676" s="27" t="s">
        <v>86</v>
      </c>
      <c r="Q676" s="27">
        <v>4.084126</v>
      </c>
      <c r="S676" s="27">
        <v>76</v>
      </c>
      <c r="T676" s="27">
        <v>10</v>
      </c>
      <c r="U676" s="27">
        <v>0.8837</v>
      </c>
      <c r="V676" s="27" t="s">
        <v>72</v>
      </c>
      <c r="W676" s="27">
        <v>4437.64</v>
      </c>
      <c r="X676" s="27">
        <v>4.343805</v>
      </c>
      <c r="Y676" s="27">
        <v>8.398103</v>
      </c>
      <c r="Z676" s="27">
        <v>3.1623</v>
      </c>
      <c r="AA676" s="27" t="s">
        <v>139</v>
      </c>
      <c r="AB676" s="27">
        <v>1</v>
      </c>
      <c r="AC676" s="27">
        <v>0</v>
      </c>
      <c r="AD676" s="27">
        <v>0</v>
      </c>
      <c r="AE676" s="27">
        <v>0</v>
      </c>
      <c r="AF676" s="27">
        <v>0</v>
      </c>
      <c r="AG676" s="27">
        <v>0</v>
      </c>
      <c r="AH676" s="27">
        <v>1</v>
      </c>
      <c r="AI676" s="27">
        <v>0</v>
      </c>
      <c r="AJ676" s="27">
        <v>1</v>
      </c>
      <c r="AK676" s="27">
        <v>0</v>
      </c>
      <c r="AL676" s="27">
        <v>0</v>
      </c>
      <c r="AM676" s="27">
        <v>0</v>
      </c>
      <c r="AN676" s="27">
        <v>0</v>
      </c>
      <c r="AO676" s="27">
        <v>0</v>
      </c>
      <c r="AP676" s="27">
        <v>0</v>
      </c>
      <c r="AQ676" s="27">
        <v>0</v>
      </c>
      <c r="AR676" s="27">
        <v>0</v>
      </c>
      <c r="AS676" s="27">
        <v>0</v>
      </c>
      <c r="AT676" s="27">
        <v>1</v>
      </c>
      <c r="AU676" s="27">
        <v>0</v>
      </c>
      <c r="AV676" s="27">
        <v>0</v>
      </c>
      <c r="AW676" s="27">
        <v>1</v>
      </c>
      <c r="AX676" s="27">
        <v>0</v>
      </c>
      <c r="AZ676" s="27">
        <v>4</v>
      </c>
      <c r="BA676" s="27">
        <v>2</v>
      </c>
      <c r="BB676" s="27">
        <v>67.33</v>
      </c>
      <c r="BC676" s="27" t="s">
        <v>2053</v>
      </c>
      <c r="BD676" s="27" t="s">
        <v>684</v>
      </c>
      <c r="BE676" s="27" t="s">
        <v>128</v>
      </c>
      <c r="BF676" s="27" t="s">
        <v>77</v>
      </c>
      <c r="BG676" s="27">
        <v>1</v>
      </c>
      <c r="BH676" s="27">
        <v>65</v>
      </c>
      <c r="BI676" s="27">
        <v>0.0152</v>
      </c>
      <c r="BJ676" s="27">
        <v>1</v>
      </c>
      <c r="BK676" s="27">
        <v>49</v>
      </c>
      <c r="BL676" s="27">
        <v>86.6</v>
      </c>
    </row>
    <row r="677" customHeight="1" spans="1:64">
      <c r="A677" s="27" t="s">
        <v>2054</v>
      </c>
      <c r="B677" s="27" t="s">
        <v>1503</v>
      </c>
      <c r="E677" s="27" t="s">
        <v>2055</v>
      </c>
      <c r="F677" s="27" t="s">
        <v>198</v>
      </c>
      <c r="G677" s="27" t="s">
        <v>83</v>
      </c>
      <c r="H677" s="27" t="s">
        <v>84</v>
      </c>
      <c r="I677" s="27" t="s">
        <v>85</v>
      </c>
      <c r="J677" s="27">
        <v>5</v>
      </c>
      <c r="K677" s="27">
        <v>19.9</v>
      </c>
      <c r="L677" s="27">
        <v>24.9</v>
      </c>
      <c r="M677" s="27">
        <v>20.08</v>
      </c>
      <c r="N677" s="27">
        <v>5</v>
      </c>
      <c r="O677" s="27">
        <v>1</v>
      </c>
      <c r="P677" s="27" t="s">
        <v>133</v>
      </c>
      <c r="Q677" s="27">
        <v>3.039749</v>
      </c>
      <c r="S677" s="27">
        <v>42</v>
      </c>
      <c r="T677" s="27">
        <v>10</v>
      </c>
      <c r="U677" s="27">
        <v>0.8077</v>
      </c>
      <c r="V677" s="27" t="s">
        <v>72</v>
      </c>
      <c r="W677" s="27">
        <v>835.8</v>
      </c>
      <c r="X677" s="27">
        <v>3.7612</v>
      </c>
      <c r="Y677" s="27">
        <v>6.729585</v>
      </c>
      <c r="Z677" s="27">
        <v>3.1623</v>
      </c>
      <c r="AA677" s="27" t="s">
        <v>125</v>
      </c>
      <c r="AB677" s="27">
        <v>0</v>
      </c>
      <c r="AC677" s="27">
        <v>0</v>
      </c>
      <c r="AD677" s="27">
        <v>0</v>
      </c>
      <c r="AE677" s="27">
        <v>0</v>
      </c>
      <c r="AF677" s="27">
        <v>0</v>
      </c>
      <c r="AG677" s="27">
        <v>0</v>
      </c>
      <c r="AH677" s="27">
        <v>0</v>
      </c>
      <c r="AI677" s="27">
        <v>0</v>
      </c>
      <c r="AJ677" s="27">
        <v>0</v>
      </c>
      <c r="AK677" s="27">
        <v>0</v>
      </c>
      <c r="AL677" s="27">
        <v>1</v>
      </c>
      <c r="AM677" s="27">
        <v>0</v>
      </c>
      <c r="AN677" s="27">
        <v>0</v>
      </c>
      <c r="AO677" s="27">
        <v>0</v>
      </c>
      <c r="AP677" s="27">
        <v>0</v>
      </c>
      <c r="AQ677" s="27">
        <v>0</v>
      </c>
      <c r="AR677" s="27">
        <v>0</v>
      </c>
      <c r="AS677" s="27">
        <v>0</v>
      </c>
      <c r="AT677" s="27">
        <v>0</v>
      </c>
      <c r="AU677" s="27">
        <v>0</v>
      </c>
      <c r="AV677" s="27">
        <v>0</v>
      </c>
      <c r="AW677" s="27">
        <v>0</v>
      </c>
      <c r="AX677" s="27">
        <v>0</v>
      </c>
      <c r="AZ677" s="27">
        <v>1</v>
      </c>
      <c r="BA677" s="27">
        <v>0</v>
      </c>
      <c r="BB677" s="27">
        <v>68.18</v>
      </c>
      <c r="BC677" s="27" t="s">
        <v>2056</v>
      </c>
      <c r="BD677" s="27" t="s">
        <v>1506</v>
      </c>
      <c r="BE677" s="27" t="s">
        <v>226</v>
      </c>
      <c r="BF677" s="27" t="s">
        <v>77</v>
      </c>
      <c r="BG677" s="27">
        <v>1</v>
      </c>
      <c r="BH677" s="27">
        <v>20</v>
      </c>
      <c r="BI677" s="27">
        <v>0.0476</v>
      </c>
      <c r="BJ677" s="27">
        <v>1</v>
      </c>
      <c r="BK677" s="27">
        <v>2</v>
      </c>
      <c r="BL677" s="27">
        <v>99.5</v>
      </c>
    </row>
    <row r="678" customHeight="1" spans="1:64">
      <c r="A678" s="27" t="s">
        <v>2057</v>
      </c>
      <c r="B678" s="27" t="s">
        <v>282</v>
      </c>
      <c r="E678" s="27" t="s">
        <v>255</v>
      </c>
      <c r="F678" s="27" t="s">
        <v>82</v>
      </c>
      <c r="G678" s="27" t="s">
        <v>83</v>
      </c>
      <c r="H678" s="27" t="s">
        <v>84</v>
      </c>
      <c r="I678" s="27" t="s">
        <v>85</v>
      </c>
      <c r="J678" s="27">
        <v>5</v>
      </c>
      <c r="K678" s="27">
        <v>55.99</v>
      </c>
      <c r="M678" s="27">
        <v>0</v>
      </c>
      <c r="N678" s="27">
        <v>0</v>
      </c>
      <c r="O678" s="27">
        <v>0</v>
      </c>
      <c r="P678" s="27" t="s">
        <v>86</v>
      </c>
      <c r="Q678" s="27">
        <v>4.042876</v>
      </c>
      <c r="S678" s="27">
        <v>29</v>
      </c>
      <c r="T678" s="27">
        <v>10</v>
      </c>
      <c r="U678" s="27">
        <v>0.7436</v>
      </c>
      <c r="V678" s="27" t="s">
        <v>72</v>
      </c>
      <c r="W678" s="27">
        <v>1623.71</v>
      </c>
      <c r="X678" s="27">
        <v>3.401197</v>
      </c>
      <c r="Y678" s="27">
        <v>7.393085</v>
      </c>
      <c r="Z678" s="27">
        <v>3.1623</v>
      </c>
      <c r="AA678" s="27" t="s">
        <v>73</v>
      </c>
      <c r="AB678" s="27">
        <v>0</v>
      </c>
      <c r="AC678" s="27">
        <v>0</v>
      </c>
      <c r="AD678" s="27">
        <v>0</v>
      </c>
      <c r="AE678" s="27">
        <v>0</v>
      </c>
      <c r="AF678" s="27">
        <v>0</v>
      </c>
      <c r="AG678" s="27">
        <v>1</v>
      </c>
      <c r="AH678" s="27">
        <v>0</v>
      </c>
      <c r="AI678" s="27">
        <v>1</v>
      </c>
      <c r="AJ678" s="27">
        <v>0</v>
      </c>
      <c r="AK678" s="27">
        <v>1</v>
      </c>
      <c r="AL678" s="27">
        <v>0</v>
      </c>
      <c r="AM678" s="27">
        <v>0</v>
      </c>
      <c r="AN678" s="27">
        <v>0</v>
      </c>
      <c r="AO678" s="27">
        <v>0</v>
      </c>
      <c r="AP678" s="27">
        <v>0</v>
      </c>
      <c r="AQ678" s="27">
        <v>1</v>
      </c>
      <c r="AR678" s="27">
        <v>0</v>
      </c>
      <c r="AS678" s="27">
        <v>0</v>
      </c>
      <c r="AT678" s="27">
        <v>1</v>
      </c>
      <c r="AU678" s="27">
        <v>0</v>
      </c>
      <c r="AV678" s="27">
        <v>1</v>
      </c>
      <c r="AW678" s="27">
        <v>0</v>
      </c>
      <c r="AX678" s="27">
        <v>0</v>
      </c>
      <c r="AZ678" s="27">
        <v>1</v>
      </c>
      <c r="BA678" s="27">
        <v>2</v>
      </c>
      <c r="BB678" s="27">
        <v>59.41</v>
      </c>
      <c r="BC678" s="27" t="s">
        <v>285</v>
      </c>
      <c r="BD678" s="27" t="s">
        <v>1216</v>
      </c>
      <c r="BE678" s="27" t="s">
        <v>128</v>
      </c>
      <c r="BF678" s="27" t="s">
        <v>77</v>
      </c>
      <c r="BG678" s="27">
        <v>1</v>
      </c>
      <c r="BH678" s="27">
        <v>226</v>
      </c>
      <c r="BI678" s="27">
        <v>0.0044</v>
      </c>
      <c r="BJ678" s="27">
        <v>1</v>
      </c>
      <c r="BK678" s="27">
        <v>4</v>
      </c>
      <c r="BL678" s="27">
        <v>98.9</v>
      </c>
    </row>
    <row r="679" customHeight="1" spans="1:64">
      <c r="A679" s="27" t="s">
        <v>200</v>
      </c>
      <c r="B679" s="27" t="s">
        <v>125</v>
      </c>
      <c r="E679" s="27" t="s">
        <v>81</v>
      </c>
      <c r="F679" s="27" t="s">
        <v>82</v>
      </c>
      <c r="G679" s="27" t="s">
        <v>83</v>
      </c>
      <c r="H679" s="27" t="s">
        <v>138</v>
      </c>
      <c r="I679" s="27" t="s">
        <v>85</v>
      </c>
      <c r="J679" s="27">
        <v>5</v>
      </c>
      <c r="K679" s="27">
        <v>79.97</v>
      </c>
      <c r="M679" s="27">
        <v>0</v>
      </c>
      <c r="N679" s="27">
        <v>0</v>
      </c>
      <c r="O679" s="27">
        <v>0</v>
      </c>
      <c r="P679" s="27" t="s">
        <v>95</v>
      </c>
      <c r="Q679" s="27">
        <v>4.394079</v>
      </c>
      <c r="S679" s="27">
        <v>5</v>
      </c>
      <c r="T679" s="27">
        <v>5</v>
      </c>
      <c r="U679" s="27">
        <v>0.5</v>
      </c>
      <c r="V679" s="27" t="s">
        <v>87</v>
      </c>
      <c r="W679" s="27">
        <v>399.85</v>
      </c>
      <c r="X679" s="27">
        <v>1.791759</v>
      </c>
      <c r="Y679" s="27">
        <v>5.993587</v>
      </c>
      <c r="Z679" s="27">
        <v>2.2361</v>
      </c>
      <c r="AA679" s="27" t="s">
        <v>139</v>
      </c>
      <c r="AB679" s="27">
        <v>1</v>
      </c>
      <c r="AC679" s="27">
        <v>0</v>
      </c>
      <c r="AD679" s="27">
        <v>0</v>
      </c>
      <c r="AE679" s="27">
        <v>0</v>
      </c>
      <c r="AF679" s="27">
        <v>0</v>
      </c>
      <c r="AG679" s="27">
        <v>0</v>
      </c>
      <c r="AH679" s="27">
        <v>1</v>
      </c>
      <c r="AI679" s="27">
        <v>0</v>
      </c>
      <c r="AJ679" s="27">
        <v>1</v>
      </c>
      <c r="AK679" s="27">
        <v>0</v>
      </c>
      <c r="AL679" s="27">
        <v>0</v>
      </c>
      <c r="AM679" s="27">
        <v>0</v>
      </c>
      <c r="AN679" s="27">
        <v>0</v>
      </c>
      <c r="AO679" s="27">
        <v>0</v>
      </c>
      <c r="AP679" s="27">
        <v>0</v>
      </c>
      <c r="AQ679" s="27">
        <v>0</v>
      </c>
      <c r="AR679" s="27">
        <v>0</v>
      </c>
      <c r="AS679" s="27">
        <v>0</v>
      </c>
      <c r="AT679" s="27">
        <v>1</v>
      </c>
      <c r="AU679" s="27">
        <v>0</v>
      </c>
      <c r="AV679" s="27">
        <v>0</v>
      </c>
      <c r="AW679" s="27">
        <v>1</v>
      </c>
      <c r="AX679" s="27">
        <v>0</v>
      </c>
      <c r="AZ679" s="27">
        <v>1</v>
      </c>
      <c r="BA679" s="27">
        <v>2</v>
      </c>
      <c r="BB679" s="27">
        <v>49.85</v>
      </c>
      <c r="BC679" s="27" t="s">
        <v>2058</v>
      </c>
      <c r="BD679" s="27" t="s">
        <v>141</v>
      </c>
      <c r="BE679" s="27" t="s">
        <v>142</v>
      </c>
      <c r="BF679" s="27" t="s">
        <v>77</v>
      </c>
      <c r="BG679" s="27">
        <v>1</v>
      </c>
      <c r="BH679" s="27">
        <v>28</v>
      </c>
      <c r="BI679" s="27">
        <v>0.0345</v>
      </c>
      <c r="BJ679" s="27">
        <v>1</v>
      </c>
      <c r="BK679" s="27">
        <v>2</v>
      </c>
      <c r="BL679" s="27">
        <v>99.5</v>
      </c>
    </row>
    <row r="680" customHeight="1" spans="1:64">
      <c r="A680" s="27" t="s">
        <v>2059</v>
      </c>
      <c r="B680" s="27" t="s">
        <v>125</v>
      </c>
      <c r="C680" s="27" t="s">
        <v>2060</v>
      </c>
      <c r="E680" s="27" t="s">
        <v>122</v>
      </c>
      <c r="F680" s="27" t="s">
        <v>82</v>
      </c>
      <c r="G680" s="27" t="s">
        <v>117</v>
      </c>
      <c r="H680" s="27" t="s">
        <v>138</v>
      </c>
      <c r="I680" s="27" t="s">
        <v>85</v>
      </c>
      <c r="J680" s="27">
        <v>5</v>
      </c>
      <c r="K680" s="27">
        <v>16.49</v>
      </c>
      <c r="M680" s="27">
        <v>0</v>
      </c>
      <c r="N680" s="27">
        <v>0</v>
      </c>
      <c r="O680" s="27">
        <v>0</v>
      </c>
      <c r="P680" s="27" t="s">
        <v>133</v>
      </c>
      <c r="Q680" s="27">
        <v>2.861629</v>
      </c>
      <c r="S680" s="27">
        <v>52</v>
      </c>
      <c r="T680" s="27">
        <v>10</v>
      </c>
      <c r="U680" s="27">
        <v>0.8387</v>
      </c>
      <c r="V680" s="27" t="s">
        <v>72</v>
      </c>
      <c r="W680" s="27">
        <v>857.48</v>
      </c>
      <c r="X680" s="27">
        <v>3.970292</v>
      </c>
      <c r="Y680" s="27">
        <v>6.755163</v>
      </c>
      <c r="Z680" s="27">
        <v>3.1623</v>
      </c>
      <c r="AA680" s="27" t="s">
        <v>125</v>
      </c>
      <c r="AB680" s="27">
        <v>0</v>
      </c>
      <c r="AC680" s="27">
        <v>0</v>
      </c>
      <c r="AD680" s="27">
        <v>0</v>
      </c>
      <c r="AE680" s="27">
        <v>0</v>
      </c>
      <c r="AF680" s="27">
        <v>1</v>
      </c>
      <c r="AG680" s="27">
        <v>0</v>
      </c>
      <c r="AH680" s="27">
        <v>0</v>
      </c>
      <c r="AI680" s="27">
        <v>0</v>
      </c>
      <c r="AJ680" s="27">
        <v>0</v>
      </c>
      <c r="AK680" s="27">
        <v>0</v>
      </c>
      <c r="AL680" s="27">
        <v>0</v>
      </c>
      <c r="AM680" s="27">
        <v>0</v>
      </c>
      <c r="AN680" s="27">
        <v>0</v>
      </c>
      <c r="AO680" s="27">
        <v>0</v>
      </c>
      <c r="AP680" s="27">
        <v>0</v>
      </c>
      <c r="AQ680" s="27">
        <v>0</v>
      </c>
      <c r="AR680" s="27">
        <v>0</v>
      </c>
      <c r="AS680" s="27">
        <v>1</v>
      </c>
      <c r="AT680" s="27">
        <v>0</v>
      </c>
      <c r="AU680" s="27">
        <v>0</v>
      </c>
      <c r="AV680" s="27">
        <v>0</v>
      </c>
      <c r="AW680" s="27">
        <v>1</v>
      </c>
      <c r="AX680" s="27">
        <v>0</v>
      </c>
      <c r="AZ680" s="27">
        <v>1</v>
      </c>
      <c r="BA680" s="27">
        <v>0</v>
      </c>
      <c r="BB680" s="27">
        <v>61.99</v>
      </c>
      <c r="BC680" s="27" t="s">
        <v>2061</v>
      </c>
      <c r="BD680" s="27" t="s">
        <v>225</v>
      </c>
      <c r="BE680" s="27" t="s">
        <v>226</v>
      </c>
      <c r="BF680" s="27" t="s">
        <v>77</v>
      </c>
      <c r="BG680" s="27">
        <v>1</v>
      </c>
      <c r="BH680" s="27">
        <v>12</v>
      </c>
      <c r="BI680" s="27">
        <v>0.0769</v>
      </c>
      <c r="BJ680" s="27">
        <v>1</v>
      </c>
      <c r="BK680" s="27">
        <v>19</v>
      </c>
      <c r="BL680" s="27">
        <v>94.8</v>
      </c>
    </row>
    <row r="681" customHeight="1" spans="1:64">
      <c r="A681" s="27" t="s">
        <v>2062</v>
      </c>
      <c r="B681" s="27" t="s">
        <v>819</v>
      </c>
      <c r="C681" s="27" t="s">
        <v>2063</v>
      </c>
      <c r="D681" s="27">
        <v>810083474830</v>
      </c>
      <c r="E681" s="27" t="s">
        <v>163</v>
      </c>
      <c r="F681" s="27" t="s">
        <v>68</v>
      </c>
      <c r="G681" s="27" t="s">
        <v>819</v>
      </c>
      <c r="H681" s="27" t="s">
        <v>102</v>
      </c>
      <c r="I681" s="27" t="s">
        <v>85</v>
      </c>
      <c r="J681" s="27">
        <v>5</v>
      </c>
      <c r="K681" s="27">
        <v>49.98</v>
      </c>
      <c r="M681" s="27">
        <v>0</v>
      </c>
      <c r="N681" s="27">
        <v>0</v>
      </c>
      <c r="O681" s="27">
        <v>0</v>
      </c>
      <c r="P681" s="27" t="s">
        <v>86</v>
      </c>
      <c r="Q681" s="27">
        <v>3.931433</v>
      </c>
      <c r="S681" s="27">
        <v>206</v>
      </c>
      <c r="T681" s="27">
        <v>10</v>
      </c>
      <c r="U681" s="27">
        <v>0.9537</v>
      </c>
      <c r="V681" s="27" t="s">
        <v>154</v>
      </c>
      <c r="W681" s="27">
        <v>10295.88</v>
      </c>
      <c r="X681" s="27">
        <v>5.332719</v>
      </c>
      <c r="Y681" s="27">
        <v>9.239596</v>
      </c>
      <c r="Z681" s="27">
        <v>3.1623</v>
      </c>
      <c r="AA681" s="27" t="s">
        <v>187</v>
      </c>
      <c r="AB681" s="27">
        <v>1</v>
      </c>
      <c r="AC681" s="27">
        <v>1</v>
      </c>
      <c r="AD681" s="27">
        <v>0</v>
      </c>
      <c r="AE681" s="27">
        <v>0</v>
      </c>
      <c r="AF681" s="27">
        <v>0</v>
      </c>
      <c r="AG681" s="27">
        <v>0</v>
      </c>
      <c r="AH681" s="27">
        <v>1</v>
      </c>
      <c r="AI681" s="27">
        <v>0</v>
      </c>
      <c r="AJ681" s="27">
        <v>0</v>
      </c>
      <c r="AK681" s="27">
        <v>0</v>
      </c>
      <c r="AL681" s="27">
        <v>0</v>
      </c>
      <c r="AM681" s="27">
        <v>0</v>
      </c>
      <c r="AN681" s="27">
        <v>0</v>
      </c>
      <c r="AO681" s="27">
        <v>0</v>
      </c>
      <c r="AP681" s="27">
        <v>0</v>
      </c>
      <c r="AQ681" s="27">
        <v>0</v>
      </c>
      <c r="AR681" s="27">
        <v>0</v>
      </c>
      <c r="AS681" s="27">
        <v>0</v>
      </c>
      <c r="AT681" s="27">
        <v>0</v>
      </c>
      <c r="AU681" s="27">
        <v>0</v>
      </c>
      <c r="AV681" s="27">
        <v>0</v>
      </c>
      <c r="AW681" s="27">
        <v>0</v>
      </c>
      <c r="AX681" s="27">
        <v>0</v>
      </c>
      <c r="AZ681" s="27">
        <v>1</v>
      </c>
      <c r="BA681" s="27">
        <v>3</v>
      </c>
      <c r="BB681" s="27">
        <v>67.91</v>
      </c>
      <c r="BC681" s="27" t="s">
        <v>2064</v>
      </c>
      <c r="BD681" s="27" t="s">
        <v>2065</v>
      </c>
      <c r="BE681" s="27" t="s">
        <v>2066</v>
      </c>
      <c r="BF681" s="27" t="s">
        <v>77</v>
      </c>
      <c r="BG681" s="27">
        <v>1</v>
      </c>
      <c r="BH681" s="27">
        <v>27</v>
      </c>
      <c r="BI681" s="27">
        <v>0.0357</v>
      </c>
      <c r="BJ681" s="27">
        <v>1</v>
      </c>
      <c r="BK681" s="27">
        <v>3</v>
      </c>
      <c r="BL681" s="27">
        <v>99.2</v>
      </c>
    </row>
    <row r="682" customHeight="1" spans="1:64">
      <c r="A682" s="27" t="s">
        <v>2067</v>
      </c>
      <c r="B682" s="27" t="s">
        <v>2068</v>
      </c>
      <c r="E682" s="27" t="s">
        <v>239</v>
      </c>
      <c r="F682" s="27" t="s">
        <v>240</v>
      </c>
      <c r="G682" s="27" t="s">
        <v>83</v>
      </c>
      <c r="H682" s="27" t="s">
        <v>84</v>
      </c>
      <c r="I682" s="27" t="s">
        <v>153</v>
      </c>
      <c r="J682" s="27">
        <v>2</v>
      </c>
      <c r="K682" s="27">
        <v>51.99</v>
      </c>
      <c r="M682" s="27">
        <v>0</v>
      </c>
      <c r="N682" s="27">
        <v>0</v>
      </c>
      <c r="O682" s="27">
        <v>0</v>
      </c>
      <c r="P682" s="27" t="s">
        <v>86</v>
      </c>
      <c r="Q682" s="27">
        <v>3.970103</v>
      </c>
      <c r="R682" s="27">
        <v>13</v>
      </c>
      <c r="V682" s="27" t="s">
        <v>231</v>
      </c>
      <c r="W682" s="27">
        <v>0</v>
      </c>
      <c r="X682" s="27">
        <v>0</v>
      </c>
      <c r="Y682" s="27">
        <v>0</v>
      </c>
      <c r="Z682" s="27">
        <v>0</v>
      </c>
      <c r="AA682" s="27" t="s">
        <v>125</v>
      </c>
      <c r="AB682" s="27">
        <v>0</v>
      </c>
      <c r="AC682" s="27">
        <v>0</v>
      </c>
      <c r="AD682" s="27">
        <v>1</v>
      </c>
      <c r="AE682" s="27">
        <v>0</v>
      </c>
      <c r="AF682" s="27">
        <v>0</v>
      </c>
      <c r="AG682" s="27">
        <v>0</v>
      </c>
      <c r="AH682" s="27">
        <v>0</v>
      </c>
      <c r="AI682" s="27">
        <v>0</v>
      </c>
      <c r="AJ682" s="27">
        <v>0</v>
      </c>
      <c r="AK682" s="27">
        <v>0</v>
      </c>
      <c r="AL682" s="27">
        <v>0</v>
      </c>
      <c r="AM682" s="27">
        <v>0</v>
      </c>
      <c r="AN682" s="27">
        <v>0</v>
      </c>
      <c r="AO682" s="27">
        <v>0</v>
      </c>
      <c r="AP682" s="27">
        <v>0</v>
      </c>
      <c r="AQ682" s="27">
        <v>1</v>
      </c>
      <c r="AR682" s="27">
        <v>0</v>
      </c>
      <c r="AS682" s="27">
        <v>0</v>
      </c>
      <c r="AT682" s="27">
        <v>0</v>
      </c>
      <c r="AU682" s="27">
        <v>0</v>
      </c>
      <c r="AV682" s="27">
        <v>1</v>
      </c>
      <c r="AW682" s="27">
        <v>0</v>
      </c>
      <c r="AX682" s="27">
        <v>0</v>
      </c>
      <c r="AY682" s="27">
        <v>4</v>
      </c>
      <c r="AZ682" s="27">
        <v>1</v>
      </c>
      <c r="BA682" s="27">
        <v>1</v>
      </c>
      <c r="BB682" s="27">
        <v>17.1</v>
      </c>
      <c r="BC682" s="27" t="s">
        <v>2069</v>
      </c>
      <c r="BD682" s="27" t="s">
        <v>2002</v>
      </c>
      <c r="BE682" s="27" t="s">
        <v>987</v>
      </c>
      <c r="BF682" s="27" t="s">
        <v>77</v>
      </c>
      <c r="BG682" s="27">
        <v>168</v>
      </c>
      <c r="BH682" s="27">
        <v>11</v>
      </c>
      <c r="BI682" s="27">
        <v>0.9385</v>
      </c>
      <c r="BJ682" s="27">
        <v>0</v>
      </c>
      <c r="BK682" s="27">
        <v>157</v>
      </c>
      <c r="BL682" s="27">
        <v>57</v>
      </c>
    </row>
    <row r="683" customHeight="1" spans="1:64">
      <c r="A683" s="27" t="s">
        <v>2070</v>
      </c>
      <c r="B683" s="27" t="s">
        <v>938</v>
      </c>
      <c r="E683" s="27" t="s">
        <v>2071</v>
      </c>
      <c r="F683" s="27" t="s">
        <v>240</v>
      </c>
      <c r="G683" s="27" t="s">
        <v>83</v>
      </c>
      <c r="H683" s="27" t="s">
        <v>84</v>
      </c>
      <c r="I683" s="27" t="s">
        <v>153</v>
      </c>
      <c r="J683" s="27">
        <v>2</v>
      </c>
      <c r="K683" s="27">
        <v>277.19</v>
      </c>
      <c r="L683" s="27">
        <v>346.49</v>
      </c>
      <c r="M683" s="27">
        <v>20</v>
      </c>
      <c r="N683" s="27">
        <v>69.3</v>
      </c>
      <c r="O683" s="27">
        <v>1</v>
      </c>
      <c r="P683" s="27" t="s">
        <v>71</v>
      </c>
      <c r="Q683" s="27">
        <v>5.628304</v>
      </c>
      <c r="R683" s="27">
        <v>17.32</v>
      </c>
      <c r="V683" s="27" t="s">
        <v>231</v>
      </c>
      <c r="W683" s="27">
        <v>0</v>
      </c>
      <c r="X683" s="27">
        <v>0</v>
      </c>
      <c r="Y683" s="27">
        <v>0</v>
      </c>
      <c r="Z683" s="27">
        <v>0</v>
      </c>
      <c r="AA683" s="27" t="s">
        <v>125</v>
      </c>
      <c r="AB683" s="27">
        <v>0</v>
      </c>
      <c r="AC683" s="27">
        <v>0</v>
      </c>
      <c r="AD683" s="27">
        <v>0</v>
      </c>
      <c r="AE683" s="27">
        <v>0</v>
      </c>
      <c r="AF683" s="27">
        <v>0</v>
      </c>
      <c r="AG683" s="27">
        <v>0</v>
      </c>
      <c r="AH683" s="27">
        <v>0</v>
      </c>
      <c r="AI683" s="27">
        <v>0</v>
      </c>
      <c r="AJ683" s="27">
        <v>0</v>
      </c>
      <c r="AK683" s="27">
        <v>0</v>
      </c>
      <c r="AL683" s="27">
        <v>0</v>
      </c>
      <c r="AM683" s="27">
        <v>0</v>
      </c>
      <c r="AN683" s="27">
        <v>0</v>
      </c>
      <c r="AO683" s="27">
        <v>0</v>
      </c>
      <c r="AP683" s="27">
        <v>0</v>
      </c>
      <c r="AQ683" s="27">
        <v>1</v>
      </c>
      <c r="AR683" s="27">
        <v>0</v>
      </c>
      <c r="AS683" s="27">
        <v>0</v>
      </c>
      <c r="AT683" s="27">
        <v>0</v>
      </c>
      <c r="AU683" s="27">
        <v>0</v>
      </c>
      <c r="AV683" s="27">
        <v>1</v>
      </c>
      <c r="AW683" s="27">
        <v>1</v>
      </c>
      <c r="AX683" s="27">
        <v>0</v>
      </c>
      <c r="AY683" s="27">
        <v>16</v>
      </c>
      <c r="AZ683" s="27">
        <v>1</v>
      </c>
      <c r="BA683" s="27">
        <v>1</v>
      </c>
      <c r="BB683" s="27">
        <v>6</v>
      </c>
      <c r="BC683" s="27" t="s">
        <v>2072</v>
      </c>
      <c r="BD683" s="27" t="s">
        <v>1641</v>
      </c>
      <c r="BE683" s="27" t="s">
        <v>2073</v>
      </c>
      <c r="BF683" s="27" t="s">
        <v>77</v>
      </c>
      <c r="BG683" s="27">
        <v>162</v>
      </c>
      <c r="BH683" s="27">
        <v>18</v>
      </c>
      <c r="BI683" s="27">
        <v>0.9</v>
      </c>
      <c r="BJ683" s="27">
        <v>0</v>
      </c>
    </row>
    <row r="684" customHeight="1" spans="1:64">
      <c r="A684" s="27" t="s">
        <v>2074</v>
      </c>
      <c r="B684" s="27" t="s">
        <v>350</v>
      </c>
      <c r="C684" s="27" t="s">
        <v>2075</v>
      </c>
      <c r="D684" s="27">
        <v>814763020782</v>
      </c>
      <c r="E684" s="27" t="s">
        <v>250</v>
      </c>
      <c r="F684" s="27" t="s">
        <v>352</v>
      </c>
      <c r="G684" s="27" t="s">
        <v>83</v>
      </c>
      <c r="H684" s="27" t="s">
        <v>84</v>
      </c>
      <c r="I684" s="27" t="s">
        <v>85</v>
      </c>
      <c r="J684" s="27">
        <v>5</v>
      </c>
      <c r="K684" s="27">
        <v>17.91</v>
      </c>
      <c r="L684" s="27">
        <v>18.85</v>
      </c>
      <c r="M684" s="27">
        <v>4.99</v>
      </c>
      <c r="N684" s="27">
        <v>0.94</v>
      </c>
      <c r="O684" s="27">
        <v>1</v>
      </c>
      <c r="P684" s="27" t="s">
        <v>133</v>
      </c>
      <c r="Q684" s="27">
        <v>2.939691</v>
      </c>
      <c r="S684" s="27">
        <v>627</v>
      </c>
      <c r="T684" s="27">
        <v>3</v>
      </c>
      <c r="U684" s="27">
        <v>0.9952</v>
      </c>
      <c r="V684" s="27" t="s">
        <v>154</v>
      </c>
      <c r="W684" s="27">
        <v>11229.57</v>
      </c>
      <c r="X684" s="27">
        <v>6.44254</v>
      </c>
      <c r="Y684" s="27">
        <v>9.326395</v>
      </c>
      <c r="Z684" s="27">
        <v>1.7321</v>
      </c>
      <c r="AA684" s="27" t="s">
        <v>125</v>
      </c>
      <c r="AB684" s="27">
        <v>0</v>
      </c>
      <c r="AC684" s="27">
        <v>0</v>
      </c>
      <c r="AD684" s="27">
        <v>0</v>
      </c>
      <c r="AE684" s="27">
        <v>1</v>
      </c>
      <c r="AF684" s="27">
        <v>0</v>
      </c>
      <c r="AG684" s="27">
        <v>0</v>
      </c>
      <c r="AH684" s="27">
        <v>0</v>
      </c>
      <c r="AI684" s="27">
        <v>0</v>
      </c>
      <c r="AJ684" s="27">
        <v>0</v>
      </c>
      <c r="AK684" s="27">
        <v>0</v>
      </c>
      <c r="AL684" s="27">
        <v>0</v>
      </c>
      <c r="AM684" s="27">
        <v>0</v>
      </c>
      <c r="AN684" s="27">
        <v>0</v>
      </c>
      <c r="AO684" s="27">
        <v>0</v>
      </c>
      <c r="AP684" s="27">
        <v>0</v>
      </c>
      <c r="AQ684" s="27">
        <v>0</v>
      </c>
      <c r="AR684" s="27">
        <v>0</v>
      </c>
      <c r="AS684" s="27">
        <v>0</v>
      </c>
      <c r="AT684" s="27">
        <v>0</v>
      </c>
      <c r="AU684" s="27">
        <v>0</v>
      </c>
      <c r="AV684" s="27">
        <v>0</v>
      </c>
      <c r="AW684" s="27">
        <v>1</v>
      </c>
      <c r="AX684" s="27">
        <v>0</v>
      </c>
      <c r="AZ684" s="27">
        <v>2</v>
      </c>
      <c r="BA684" s="27">
        <v>1</v>
      </c>
      <c r="BB684" s="27">
        <v>70.64</v>
      </c>
      <c r="BC684" s="27" t="s">
        <v>2076</v>
      </c>
      <c r="BD684" s="27" t="s">
        <v>261</v>
      </c>
      <c r="BE684" s="27" t="s">
        <v>262</v>
      </c>
      <c r="BF684" s="27" t="s">
        <v>77</v>
      </c>
      <c r="BG684" s="27">
        <v>1</v>
      </c>
      <c r="BH684" s="27">
        <v>26</v>
      </c>
      <c r="BI684" s="27">
        <v>0.037</v>
      </c>
      <c r="BJ684" s="27">
        <v>1</v>
      </c>
      <c r="BK684" s="27">
        <v>8</v>
      </c>
      <c r="BL684" s="27">
        <v>97.8</v>
      </c>
    </row>
    <row r="685" customHeight="1" spans="1:64">
      <c r="A685" s="27" t="s">
        <v>2077</v>
      </c>
      <c r="B685" s="27" t="s">
        <v>2078</v>
      </c>
      <c r="E685" s="27" t="s">
        <v>255</v>
      </c>
      <c r="F685" s="27" t="s">
        <v>82</v>
      </c>
      <c r="G685" s="27" t="s">
        <v>83</v>
      </c>
      <c r="H685" s="27" t="s">
        <v>84</v>
      </c>
      <c r="I685" s="27" t="s">
        <v>153</v>
      </c>
      <c r="J685" s="27">
        <v>2</v>
      </c>
      <c r="K685" s="27">
        <v>95</v>
      </c>
      <c r="M685" s="27">
        <v>0</v>
      </c>
      <c r="N685" s="27">
        <v>0</v>
      </c>
      <c r="O685" s="27">
        <v>0</v>
      </c>
      <c r="P685" s="27" t="s">
        <v>95</v>
      </c>
      <c r="Q685" s="27">
        <v>4.564348</v>
      </c>
      <c r="S685" s="27">
        <v>1</v>
      </c>
      <c r="T685" s="27">
        <v>1</v>
      </c>
      <c r="U685" s="27">
        <v>0.5</v>
      </c>
      <c r="V685" s="27" t="s">
        <v>87</v>
      </c>
      <c r="W685" s="27">
        <v>95</v>
      </c>
      <c r="X685" s="27">
        <v>0.693147</v>
      </c>
      <c r="Y685" s="27">
        <v>4.564348</v>
      </c>
      <c r="Z685" s="27">
        <v>1</v>
      </c>
      <c r="AA685" s="27" t="s">
        <v>125</v>
      </c>
      <c r="AB685" s="27">
        <v>0</v>
      </c>
      <c r="AC685" s="27">
        <v>0</v>
      </c>
      <c r="AD685" s="27">
        <v>0</v>
      </c>
      <c r="AE685" s="27">
        <v>0</v>
      </c>
      <c r="AF685" s="27">
        <v>0</v>
      </c>
      <c r="AG685" s="27">
        <v>0</v>
      </c>
      <c r="AH685" s="27">
        <v>0</v>
      </c>
      <c r="AI685" s="27">
        <v>0</v>
      </c>
      <c r="AJ685" s="27">
        <v>0</v>
      </c>
      <c r="AK685" s="27">
        <v>0</v>
      </c>
      <c r="AL685" s="27">
        <v>0</v>
      </c>
      <c r="AM685" s="27">
        <v>0</v>
      </c>
      <c r="AN685" s="27">
        <v>0</v>
      </c>
      <c r="AO685" s="27">
        <v>0</v>
      </c>
      <c r="AP685" s="27">
        <v>0</v>
      </c>
      <c r="AQ685" s="27">
        <v>0</v>
      </c>
      <c r="AR685" s="27">
        <v>0</v>
      </c>
      <c r="AS685" s="27">
        <v>0</v>
      </c>
      <c r="AT685" s="27">
        <v>1</v>
      </c>
      <c r="AU685" s="27">
        <v>0</v>
      </c>
      <c r="AV685" s="27">
        <v>0</v>
      </c>
      <c r="AW685" s="27">
        <v>0</v>
      </c>
      <c r="AX685" s="27">
        <v>0</v>
      </c>
      <c r="AZ685" s="27">
        <v>1</v>
      </c>
      <c r="BA685" s="27">
        <v>0</v>
      </c>
      <c r="BB685" s="27">
        <v>49.67</v>
      </c>
      <c r="BC685" s="27" t="s">
        <v>2079</v>
      </c>
      <c r="BD685" s="27" t="s">
        <v>2080</v>
      </c>
      <c r="BE685" s="27" t="s">
        <v>142</v>
      </c>
      <c r="BF685" s="27" t="s">
        <v>77</v>
      </c>
      <c r="BG685" s="27">
        <v>1</v>
      </c>
      <c r="BH685" s="27">
        <v>11</v>
      </c>
      <c r="BI685" s="27">
        <v>0.0833</v>
      </c>
      <c r="BJ685" s="27">
        <v>1</v>
      </c>
      <c r="BK685" s="27">
        <v>4</v>
      </c>
      <c r="BL685" s="27">
        <v>98.9</v>
      </c>
    </row>
    <row r="686" customHeight="1" spans="1:64">
      <c r="A686" s="27" t="s">
        <v>2081</v>
      </c>
      <c r="B686" s="27" t="s">
        <v>370</v>
      </c>
      <c r="C686" s="27" t="s">
        <v>2082</v>
      </c>
      <c r="D686" s="27">
        <v>814320022990</v>
      </c>
      <c r="E686" s="27" t="s">
        <v>239</v>
      </c>
      <c r="F686" s="27" t="s">
        <v>68</v>
      </c>
      <c r="G686" s="27" t="s">
        <v>83</v>
      </c>
      <c r="H686" s="27" t="s">
        <v>84</v>
      </c>
      <c r="I686" s="27" t="s">
        <v>203</v>
      </c>
      <c r="J686" s="27">
        <v>4</v>
      </c>
      <c r="K686" s="27">
        <v>200</v>
      </c>
      <c r="M686" s="27">
        <v>0</v>
      </c>
      <c r="N686" s="27">
        <v>0</v>
      </c>
      <c r="O686" s="27">
        <v>0</v>
      </c>
      <c r="P686" s="27" t="s">
        <v>71</v>
      </c>
      <c r="Q686" s="27">
        <v>5.303305</v>
      </c>
      <c r="T686" s="27">
        <v>3</v>
      </c>
      <c r="U686" s="27">
        <v>0</v>
      </c>
      <c r="V686" s="27" t="s">
        <v>231</v>
      </c>
      <c r="W686" s="27">
        <v>0</v>
      </c>
      <c r="X686" s="27">
        <v>0</v>
      </c>
      <c r="Y686" s="27">
        <v>0</v>
      </c>
      <c r="Z686" s="27">
        <v>1.7321</v>
      </c>
      <c r="AA686" s="27" t="s">
        <v>125</v>
      </c>
      <c r="AB686" s="27">
        <v>0</v>
      </c>
      <c r="AC686" s="27">
        <v>0</v>
      </c>
      <c r="AD686" s="27">
        <v>0</v>
      </c>
      <c r="AE686" s="27">
        <v>0</v>
      </c>
      <c r="AF686" s="27">
        <v>0</v>
      </c>
      <c r="AG686" s="27">
        <v>1</v>
      </c>
      <c r="AH686" s="27">
        <v>0</v>
      </c>
      <c r="AI686" s="27">
        <v>1</v>
      </c>
      <c r="AJ686" s="27">
        <v>0</v>
      </c>
      <c r="AK686" s="27">
        <v>0</v>
      </c>
      <c r="AL686" s="27">
        <v>0</v>
      </c>
      <c r="AM686" s="27">
        <v>0</v>
      </c>
      <c r="AN686" s="27">
        <v>0</v>
      </c>
      <c r="AO686" s="27">
        <v>0</v>
      </c>
      <c r="AP686" s="27">
        <v>0</v>
      </c>
      <c r="AQ686" s="27">
        <v>0</v>
      </c>
      <c r="AR686" s="27">
        <v>0</v>
      </c>
      <c r="AS686" s="27">
        <v>0</v>
      </c>
      <c r="AT686" s="27">
        <v>0</v>
      </c>
      <c r="AU686" s="27">
        <v>0</v>
      </c>
      <c r="AV686" s="27">
        <v>1</v>
      </c>
      <c r="AW686" s="27">
        <v>0</v>
      </c>
      <c r="AX686" s="27">
        <v>0</v>
      </c>
      <c r="AZ686" s="27">
        <v>1</v>
      </c>
      <c r="BA686" s="27">
        <v>0</v>
      </c>
      <c r="BB686" s="27">
        <v>24.9</v>
      </c>
      <c r="BC686" s="27" t="s">
        <v>468</v>
      </c>
      <c r="BD686" s="27" t="s">
        <v>469</v>
      </c>
      <c r="BE686" s="27" t="s">
        <v>243</v>
      </c>
      <c r="BF686" s="27" t="s">
        <v>77</v>
      </c>
      <c r="BG686" s="27">
        <v>162</v>
      </c>
      <c r="BH686" s="27">
        <v>19</v>
      </c>
      <c r="BI686" s="27">
        <v>0.895</v>
      </c>
      <c r="BJ686" s="27">
        <v>0</v>
      </c>
      <c r="BK686" s="27">
        <v>62</v>
      </c>
      <c r="BL686" s="27">
        <v>83</v>
      </c>
    </row>
    <row r="687" customHeight="1" spans="1:64">
      <c r="A687" s="27" t="s">
        <v>2083</v>
      </c>
      <c r="B687" s="27" t="s">
        <v>1197</v>
      </c>
      <c r="C687" s="27" t="s">
        <v>2084</v>
      </c>
      <c r="E687" s="27" t="s">
        <v>1048</v>
      </c>
      <c r="F687" s="27" t="s">
        <v>240</v>
      </c>
      <c r="G687" s="27" t="s">
        <v>1197</v>
      </c>
      <c r="H687" s="27" t="s">
        <v>69</v>
      </c>
      <c r="I687" s="27" t="s">
        <v>85</v>
      </c>
      <c r="J687" s="27">
        <v>5</v>
      </c>
      <c r="K687" s="27">
        <v>299.99</v>
      </c>
      <c r="M687" s="27">
        <v>0</v>
      </c>
      <c r="N687" s="27">
        <v>0</v>
      </c>
      <c r="O687" s="27">
        <v>0</v>
      </c>
      <c r="P687" s="27" t="s">
        <v>71</v>
      </c>
      <c r="Q687" s="27">
        <v>5.707077</v>
      </c>
      <c r="R687" s="27">
        <v>37.5</v>
      </c>
      <c r="S687" s="27">
        <v>52</v>
      </c>
      <c r="T687" s="27">
        <v>6</v>
      </c>
      <c r="U687" s="27">
        <v>0.8966</v>
      </c>
      <c r="V687" s="27" t="s">
        <v>72</v>
      </c>
      <c r="W687" s="27">
        <v>15599.48</v>
      </c>
      <c r="X687" s="27">
        <v>3.970292</v>
      </c>
      <c r="Y687" s="27">
        <v>9.655057</v>
      </c>
      <c r="Z687" s="27">
        <v>2.4495</v>
      </c>
      <c r="AA687" s="27" t="s">
        <v>139</v>
      </c>
      <c r="AB687" s="27">
        <v>0</v>
      </c>
      <c r="AC687" s="27">
        <v>0</v>
      </c>
      <c r="AD687" s="27">
        <v>0</v>
      </c>
      <c r="AE687" s="27">
        <v>0</v>
      </c>
      <c r="AF687" s="27">
        <v>0</v>
      </c>
      <c r="AG687" s="27">
        <v>0</v>
      </c>
      <c r="AH687" s="27">
        <v>0</v>
      </c>
      <c r="AI687" s="27">
        <v>0</v>
      </c>
      <c r="AJ687" s="27">
        <v>0</v>
      </c>
      <c r="AK687" s="27">
        <v>0</v>
      </c>
      <c r="AL687" s="27">
        <v>0</v>
      </c>
      <c r="AM687" s="27">
        <v>0</v>
      </c>
      <c r="AN687" s="27">
        <v>0</v>
      </c>
      <c r="AO687" s="27">
        <v>0</v>
      </c>
      <c r="AP687" s="27">
        <v>0</v>
      </c>
      <c r="AQ687" s="27">
        <v>1</v>
      </c>
      <c r="AR687" s="27">
        <v>0</v>
      </c>
      <c r="AS687" s="27">
        <v>0</v>
      </c>
      <c r="AT687" s="27">
        <v>0</v>
      </c>
      <c r="AU687" s="27">
        <v>0</v>
      </c>
      <c r="AV687" s="27">
        <v>1</v>
      </c>
      <c r="AW687" s="27">
        <v>1</v>
      </c>
      <c r="AX687" s="27">
        <v>0</v>
      </c>
      <c r="AY687" s="27">
        <v>8</v>
      </c>
      <c r="AZ687" s="27">
        <v>1</v>
      </c>
      <c r="BA687" s="27">
        <v>1</v>
      </c>
      <c r="BB687" s="27">
        <v>59.2</v>
      </c>
      <c r="BC687" s="27" t="s">
        <v>2085</v>
      </c>
      <c r="BD687" s="27" t="s">
        <v>2086</v>
      </c>
      <c r="BE687" s="27" t="s">
        <v>136</v>
      </c>
      <c r="BF687" s="27" t="s">
        <v>77</v>
      </c>
      <c r="BG687" s="27">
        <v>162</v>
      </c>
      <c r="BH687" s="27">
        <v>24</v>
      </c>
      <c r="BI687" s="27">
        <v>0.871</v>
      </c>
      <c r="BJ687" s="27">
        <v>0</v>
      </c>
      <c r="BK687" s="27">
        <v>81</v>
      </c>
      <c r="BL687" s="27">
        <v>77.8</v>
      </c>
    </row>
    <row r="688" customHeight="1" spans="1:64">
      <c r="A688" s="27" t="s">
        <v>2087</v>
      </c>
      <c r="B688" s="27" t="s">
        <v>104</v>
      </c>
      <c r="C688" s="27" t="s">
        <v>2088</v>
      </c>
      <c r="D688" s="27">
        <v>194644036287</v>
      </c>
      <c r="E688" s="27" t="s">
        <v>81</v>
      </c>
      <c r="F688" s="27" t="s">
        <v>82</v>
      </c>
      <c r="G688" s="27" t="s">
        <v>106</v>
      </c>
      <c r="H688" s="27" t="s">
        <v>107</v>
      </c>
      <c r="I688" s="27" t="s">
        <v>85</v>
      </c>
      <c r="J688" s="27">
        <v>5</v>
      </c>
      <c r="K688" s="27">
        <v>179.95</v>
      </c>
      <c r="L688" s="27">
        <v>359.9</v>
      </c>
      <c r="M688" s="27">
        <v>50</v>
      </c>
      <c r="N688" s="27">
        <v>179.95</v>
      </c>
      <c r="O688" s="27">
        <v>1</v>
      </c>
      <c r="P688" s="27" t="s">
        <v>95</v>
      </c>
      <c r="Q688" s="27">
        <v>5.198221</v>
      </c>
      <c r="S688" s="27">
        <v>169</v>
      </c>
      <c r="T688" s="27">
        <v>10</v>
      </c>
      <c r="U688" s="27">
        <v>0.9441</v>
      </c>
      <c r="V688" s="27" t="s">
        <v>154</v>
      </c>
      <c r="W688" s="27">
        <v>30411.55</v>
      </c>
      <c r="X688" s="27">
        <v>5.135798</v>
      </c>
      <c r="Y688" s="27">
        <v>10.322611</v>
      </c>
      <c r="Z688" s="27">
        <v>3.1623</v>
      </c>
      <c r="AA688" s="27" t="s">
        <v>187</v>
      </c>
      <c r="AB688" s="27">
        <v>1</v>
      </c>
      <c r="AC688" s="27">
        <v>0</v>
      </c>
      <c r="AD688" s="27">
        <v>0</v>
      </c>
      <c r="AE688" s="27">
        <v>1</v>
      </c>
      <c r="AF688" s="27">
        <v>0</v>
      </c>
      <c r="AG688" s="27">
        <v>0</v>
      </c>
      <c r="AH688" s="27">
        <v>1</v>
      </c>
      <c r="AI688" s="27">
        <v>0</v>
      </c>
      <c r="AJ688" s="27">
        <v>0</v>
      </c>
      <c r="AK688" s="27">
        <v>0</v>
      </c>
      <c r="AL688" s="27">
        <v>0</v>
      </c>
      <c r="AM688" s="27">
        <v>0</v>
      </c>
      <c r="AN688" s="27">
        <v>0</v>
      </c>
      <c r="AO688" s="27">
        <v>0</v>
      </c>
      <c r="AP688" s="27">
        <v>0</v>
      </c>
      <c r="AQ688" s="27">
        <v>0</v>
      </c>
      <c r="AR688" s="27">
        <v>0</v>
      </c>
      <c r="AS688" s="27">
        <v>0</v>
      </c>
      <c r="AT688" s="27">
        <v>1</v>
      </c>
      <c r="AU688" s="27">
        <v>0</v>
      </c>
      <c r="AV688" s="27">
        <v>0</v>
      </c>
      <c r="AW688" s="27">
        <v>1</v>
      </c>
      <c r="AX688" s="27">
        <v>0</v>
      </c>
      <c r="AZ688" s="27">
        <v>3</v>
      </c>
      <c r="BA688" s="27">
        <v>3</v>
      </c>
      <c r="BB688" s="27">
        <v>82.01</v>
      </c>
      <c r="BC688" s="27" t="s">
        <v>2089</v>
      </c>
      <c r="BD688" s="27" t="s">
        <v>1271</v>
      </c>
      <c r="BE688" s="27" t="s">
        <v>136</v>
      </c>
      <c r="BF688" s="27" t="s">
        <v>77</v>
      </c>
      <c r="BG688" s="27">
        <v>168</v>
      </c>
      <c r="BH688" s="27">
        <v>11</v>
      </c>
      <c r="BI688" s="27">
        <v>0.9385</v>
      </c>
      <c r="BJ688" s="27">
        <v>0</v>
      </c>
      <c r="BK688" s="27">
        <v>9</v>
      </c>
      <c r="BL688" s="27">
        <v>97.5</v>
      </c>
    </row>
    <row r="689" customHeight="1" spans="1:64">
      <c r="A689" s="27" t="s">
        <v>2090</v>
      </c>
      <c r="B689" s="27" t="s">
        <v>901</v>
      </c>
      <c r="E689" s="27" t="s">
        <v>81</v>
      </c>
      <c r="F689" s="27" t="s">
        <v>160</v>
      </c>
      <c r="G689" s="27" t="s">
        <v>901</v>
      </c>
      <c r="H689" s="27" t="s">
        <v>107</v>
      </c>
      <c r="I689" s="27" t="s">
        <v>85</v>
      </c>
      <c r="J689" s="27">
        <v>5</v>
      </c>
      <c r="K689" s="27">
        <v>71.98</v>
      </c>
      <c r="L689" s="27">
        <v>79.98</v>
      </c>
      <c r="M689" s="27">
        <v>10</v>
      </c>
      <c r="N689" s="27">
        <v>8</v>
      </c>
      <c r="O689" s="27">
        <v>1</v>
      </c>
      <c r="P689" s="27" t="s">
        <v>86</v>
      </c>
      <c r="Q689" s="27">
        <v>4.290185</v>
      </c>
      <c r="S689" s="27">
        <v>950</v>
      </c>
      <c r="T689" s="27">
        <v>10</v>
      </c>
      <c r="U689" s="27">
        <v>0.9896</v>
      </c>
      <c r="V689" s="27" t="s">
        <v>154</v>
      </c>
      <c r="W689" s="27">
        <v>68381</v>
      </c>
      <c r="X689" s="27">
        <v>6.857514</v>
      </c>
      <c r="Y689" s="27">
        <v>11.132865</v>
      </c>
      <c r="Z689" s="27">
        <v>3.1623</v>
      </c>
      <c r="AA689" s="27" t="s">
        <v>139</v>
      </c>
      <c r="AB689" s="27">
        <v>0</v>
      </c>
      <c r="AC689" s="27">
        <v>0</v>
      </c>
      <c r="AD689" s="27">
        <v>0</v>
      </c>
      <c r="AE689" s="27">
        <v>0</v>
      </c>
      <c r="AF689" s="27">
        <v>0</v>
      </c>
      <c r="AG689" s="27">
        <v>0</v>
      </c>
      <c r="AH689" s="27">
        <v>0</v>
      </c>
      <c r="AI689" s="27">
        <v>0</v>
      </c>
      <c r="AJ689" s="27">
        <v>0</v>
      </c>
      <c r="AK689" s="27">
        <v>0</v>
      </c>
      <c r="AL689" s="27">
        <v>0</v>
      </c>
      <c r="AM689" s="27">
        <v>0</v>
      </c>
      <c r="AN689" s="27">
        <v>0</v>
      </c>
      <c r="AO689" s="27">
        <v>0</v>
      </c>
      <c r="AP689" s="27">
        <v>0</v>
      </c>
      <c r="AQ689" s="27">
        <v>0</v>
      </c>
      <c r="AR689" s="27">
        <v>0</v>
      </c>
      <c r="AS689" s="27">
        <v>0</v>
      </c>
      <c r="AT689" s="27">
        <v>0</v>
      </c>
      <c r="AU689" s="27">
        <v>1</v>
      </c>
      <c r="AV689" s="27">
        <v>0</v>
      </c>
      <c r="AW689" s="27">
        <v>0</v>
      </c>
      <c r="AX689" s="27">
        <v>0</v>
      </c>
      <c r="AZ689" s="27">
        <v>1</v>
      </c>
      <c r="BA689" s="27">
        <v>0</v>
      </c>
      <c r="BB689" s="27">
        <v>65.59</v>
      </c>
      <c r="BC689" s="27" t="s">
        <v>1648</v>
      </c>
      <c r="BD689" s="27" t="s">
        <v>1649</v>
      </c>
      <c r="BE689" s="27" t="s">
        <v>76</v>
      </c>
      <c r="BF689" s="27" t="s">
        <v>77</v>
      </c>
      <c r="BG689" s="27">
        <v>162</v>
      </c>
      <c r="BH689" s="27">
        <v>60</v>
      </c>
      <c r="BI689" s="27">
        <v>0.7297</v>
      </c>
      <c r="BJ689" s="27">
        <v>0</v>
      </c>
      <c r="BK689" s="27">
        <v>85</v>
      </c>
      <c r="BL689" s="27">
        <v>76.7</v>
      </c>
    </row>
    <row r="690" customHeight="1" spans="1:64">
      <c r="A690" s="27" t="s">
        <v>2091</v>
      </c>
      <c r="B690" s="27" t="s">
        <v>171</v>
      </c>
      <c r="C690" s="27" t="s">
        <v>2092</v>
      </c>
      <c r="E690" s="27" t="s">
        <v>173</v>
      </c>
      <c r="F690" s="27" t="s">
        <v>160</v>
      </c>
      <c r="G690" s="27" t="s">
        <v>83</v>
      </c>
      <c r="H690" s="27" t="s">
        <v>84</v>
      </c>
      <c r="I690" s="27" t="s">
        <v>85</v>
      </c>
      <c r="J690" s="27">
        <v>5</v>
      </c>
      <c r="K690" s="27">
        <v>114.39</v>
      </c>
      <c r="M690" s="27">
        <v>0</v>
      </c>
      <c r="N690" s="27">
        <v>0</v>
      </c>
      <c r="O690" s="27">
        <v>0</v>
      </c>
      <c r="P690" s="27" t="s">
        <v>95</v>
      </c>
      <c r="Q690" s="27">
        <v>4.748318</v>
      </c>
      <c r="R690" s="27">
        <v>14.3</v>
      </c>
      <c r="S690" s="27">
        <v>142</v>
      </c>
      <c r="T690" s="27">
        <v>100</v>
      </c>
      <c r="U690" s="27">
        <v>0.5868</v>
      </c>
      <c r="V690" s="27" t="s">
        <v>72</v>
      </c>
      <c r="W690" s="27">
        <v>16243.38</v>
      </c>
      <c r="X690" s="27">
        <v>4.962845</v>
      </c>
      <c r="Y690" s="27">
        <v>9.695502</v>
      </c>
      <c r="Z690" s="27">
        <v>10</v>
      </c>
      <c r="AA690" s="27" t="s">
        <v>313</v>
      </c>
      <c r="AB690" s="27">
        <v>1</v>
      </c>
      <c r="AC690" s="27">
        <v>1</v>
      </c>
      <c r="AD690" s="27">
        <v>0</v>
      </c>
      <c r="AE690" s="27">
        <v>0</v>
      </c>
      <c r="AF690" s="27">
        <v>0</v>
      </c>
      <c r="AG690" s="27">
        <v>1</v>
      </c>
      <c r="AH690" s="27">
        <v>0</v>
      </c>
      <c r="AI690" s="27">
        <v>1</v>
      </c>
      <c r="AJ690" s="27">
        <v>0</v>
      </c>
      <c r="AK690" s="27">
        <v>0</v>
      </c>
      <c r="AL690" s="27">
        <v>0</v>
      </c>
      <c r="AM690" s="27">
        <v>0</v>
      </c>
      <c r="AN690" s="27">
        <v>1</v>
      </c>
      <c r="AO690" s="27">
        <v>0</v>
      </c>
      <c r="AP690" s="27">
        <v>0</v>
      </c>
      <c r="AQ690" s="27">
        <v>1</v>
      </c>
      <c r="AR690" s="27">
        <v>0</v>
      </c>
      <c r="AS690" s="27">
        <v>0</v>
      </c>
      <c r="AT690" s="27">
        <v>0</v>
      </c>
      <c r="AU690" s="27">
        <v>0</v>
      </c>
      <c r="AV690" s="27">
        <v>1</v>
      </c>
      <c r="AW690" s="27">
        <v>1</v>
      </c>
      <c r="AX690" s="27">
        <v>0</v>
      </c>
      <c r="AY690" s="27">
        <v>8</v>
      </c>
      <c r="AZ690" s="27">
        <v>1</v>
      </c>
      <c r="BA690" s="27">
        <v>4</v>
      </c>
      <c r="BB690" s="27">
        <v>52.9</v>
      </c>
      <c r="BC690" s="27" t="s">
        <v>251</v>
      </c>
      <c r="BD690" s="27" t="s">
        <v>175</v>
      </c>
      <c r="BE690" s="27" t="s">
        <v>91</v>
      </c>
      <c r="BF690" s="27" t="s">
        <v>77</v>
      </c>
      <c r="BG690" s="27">
        <v>161</v>
      </c>
      <c r="BH690" s="27">
        <v>61</v>
      </c>
      <c r="BI690" s="27">
        <v>0.7252</v>
      </c>
      <c r="BJ690" s="27">
        <v>0</v>
      </c>
      <c r="BK690" s="27">
        <v>7</v>
      </c>
      <c r="BL690" s="27">
        <v>98.1</v>
      </c>
    </row>
    <row r="691" customHeight="1" spans="1:64">
      <c r="A691" s="27" t="s">
        <v>2093</v>
      </c>
      <c r="B691" s="27" t="s">
        <v>339</v>
      </c>
      <c r="C691" s="27" t="s">
        <v>2094</v>
      </c>
      <c r="E691" s="27" t="s">
        <v>340</v>
      </c>
      <c r="F691" s="27" t="s">
        <v>160</v>
      </c>
      <c r="G691" s="27" t="s">
        <v>83</v>
      </c>
      <c r="H691" s="27" t="s">
        <v>84</v>
      </c>
      <c r="I691" s="27" t="s">
        <v>85</v>
      </c>
      <c r="J691" s="27">
        <v>5</v>
      </c>
      <c r="K691" s="27">
        <v>279</v>
      </c>
      <c r="M691" s="27">
        <v>0</v>
      </c>
      <c r="N691" s="27">
        <v>0</v>
      </c>
      <c r="O691" s="27">
        <v>0</v>
      </c>
      <c r="P691" s="27" t="s">
        <v>71</v>
      </c>
      <c r="Q691" s="27">
        <v>5.63479</v>
      </c>
      <c r="S691" s="27">
        <v>116</v>
      </c>
      <c r="T691" s="27">
        <v>5</v>
      </c>
      <c r="U691" s="27">
        <v>0.9587</v>
      </c>
      <c r="V691" s="27" t="s">
        <v>72</v>
      </c>
      <c r="W691" s="27">
        <v>32364</v>
      </c>
      <c r="X691" s="27">
        <v>4.762174</v>
      </c>
      <c r="Y691" s="27">
        <v>10.384833</v>
      </c>
      <c r="Z691" s="27">
        <v>2.2361</v>
      </c>
      <c r="AA691" s="27" t="s">
        <v>125</v>
      </c>
      <c r="AB691" s="27">
        <v>0</v>
      </c>
      <c r="AC691" s="27">
        <v>0</v>
      </c>
      <c r="AD691" s="27">
        <v>0</v>
      </c>
      <c r="AE691" s="27">
        <v>0</v>
      </c>
      <c r="AF691" s="27">
        <v>0</v>
      </c>
      <c r="AG691" s="27">
        <v>0</v>
      </c>
      <c r="AH691" s="27">
        <v>0</v>
      </c>
      <c r="AI691" s="27">
        <v>0</v>
      </c>
      <c r="AJ691" s="27">
        <v>1</v>
      </c>
      <c r="AK691" s="27">
        <v>0</v>
      </c>
      <c r="AL691" s="27">
        <v>0</v>
      </c>
      <c r="AM691" s="27">
        <v>0</v>
      </c>
      <c r="AN691" s="27">
        <v>0</v>
      </c>
      <c r="AO691" s="27">
        <v>0</v>
      </c>
      <c r="AP691" s="27">
        <v>0</v>
      </c>
      <c r="AQ691" s="27">
        <v>0</v>
      </c>
      <c r="AR691" s="27">
        <v>0</v>
      </c>
      <c r="AS691" s="27">
        <v>0</v>
      </c>
      <c r="AT691" s="27">
        <v>0</v>
      </c>
      <c r="AU691" s="27">
        <v>0</v>
      </c>
      <c r="AV691" s="27">
        <v>0</v>
      </c>
      <c r="AW691" s="27">
        <v>1</v>
      </c>
      <c r="AX691" s="27">
        <v>0</v>
      </c>
      <c r="AZ691" s="27">
        <v>1</v>
      </c>
      <c r="BA691" s="27">
        <v>0</v>
      </c>
      <c r="BB691" s="27">
        <v>67.93</v>
      </c>
      <c r="BC691" s="27" t="s">
        <v>2095</v>
      </c>
      <c r="BD691" s="27" t="s">
        <v>257</v>
      </c>
      <c r="BE691" s="27" t="s">
        <v>128</v>
      </c>
      <c r="BF691" s="27" t="s">
        <v>77</v>
      </c>
      <c r="BG691" s="27">
        <v>1</v>
      </c>
      <c r="BH691" s="27">
        <v>24</v>
      </c>
      <c r="BI691" s="27">
        <v>0.04</v>
      </c>
      <c r="BJ691" s="27">
        <v>1</v>
      </c>
      <c r="BK691" s="27">
        <v>5</v>
      </c>
      <c r="BL691" s="27">
        <v>98.6</v>
      </c>
    </row>
    <row r="692" customHeight="1" spans="1:64">
      <c r="A692" s="27" t="s">
        <v>2096</v>
      </c>
      <c r="B692" s="27" t="s">
        <v>901</v>
      </c>
      <c r="E692" s="27" t="s">
        <v>275</v>
      </c>
      <c r="F692" s="27" t="s">
        <v>276</v>
      </c>
      <c r="G692" s="27" t="s">
        <v>901</v>
      </c>
      <c r="H692" s="27" t="s">
        <v>107</v>
      </c>
      <c r="I692" s="27" t="s">
        <v>203</v>
      </c>
      <c r="J692" s="27">
        <v>4</v>
      </c>
      <c r="K692" s="27">
        <v>27.99</v>
      </c>
      <c r="M692" s="27">
        <v>0</v>
      </c>
      <c r="N692" s="27">
        <v>0</v>
      </c>
      <c r="O692" s="27">
        <v>0</v>
      </c>
      <c r="P692" s="27" t="s">
        <v>86</v>
      </c>
      <c r="Q692" s="27">
        <v>3.366951</v>
      </c>
      <c r="S692" s="27">
        <v>194</v>
      </c>
      <c r="T692" s="27">
        <v>10</v>
      </c>
      <c r="U692" s="27">
        <v>0.951</v>
      </c>
      <c r="V692" s="27" t="s">
        <v>154</v>
      </c>
      <c r="W692" s="27">
        <v>5430.06</v>
      </c>
      <c r="X692" s="27">
        <v>5.273</v>
      </c>
      <c r="Y692" s="27">
        <v>8.59989</v>
      </c>
      <c r="Z692" s="27">
        <v>3.1623</v>
      </c>
      <c r="AA692" s="27" t="s">
        <v>125</v>
      </c>
      <c r="AB692" s="27">
        <v>0</v>
      </c>
      <c r="AC692" s="27">
        <v>0</v>
      </c>
      <c r="AD692" s="27">
        <v>0</v>
      </c>
      <c r="AE692" s="27">
        <v>0</v>
      </c>
      <c r="AF692" s="27">
        <v>0</v>
      </c>
      <c r="AG692" s="27">
        <v>0</v>
      </c>
      <c r="AH692" s="27">
        <v>0</v>
      </c>
      <c r="AI692" s="27">
        <v>0</v>
      </c>
      <c r="AJ692" s="27">
        <v>0</v>
      </c>
      <c r="AK692" s="27">
        <v>0</v>
      </c>
      <c r="AL692" s="27">
        <v>0</v>
      </c>
      <c r="AM692" s="27">
        <v>0</v>
      </c>
      <c r="AN692" s="27">
        <v>0</v>
      </c>
      <c r="AO692" s="27">
        <v>0</v>
      </c>
      <c r="AP692" s="27">
        <v>0</v>
      </c>
      <c r="AQ692" s="27">
        <v>0</v>
      </c>
      <c r="AR692" s="27">
        <v>0</v>
      </c>
      <c r="AS692" s="27">
        <v>0</v>
      </c>
      <c r="AT692" s="27">
        <v>1</v>
      </c>
      <c r="AU692" s="27">
        <v>0</v>
      </c>
      <c r="AV692" s="27">
        <v>0</v>
      </c>
      <c r="AW692" s="27">
        <v>0</v>
      </c>
      <c r="AX692" s="27">
        <v>0</v>
      </c>
      <c r="AZ692" s="27">
        <v>1</v>
      </c>
      <c r="BA692" s="27">
        <v>0</v>
      </c>
      <c r="BB692" s="27">
        <v>65.49</v>
      </c>
      <c r="BC692" s="27" t="s">
        <v>199</v>
      </c>
      <c r="BD692" s="27" t="s">
        <v>2097</v>
      </c>
      <c r="BE692" s="27" t="s">
        <v>113</v>
      </c>
      <c r="BF692" s="27" t="s">
        <v>77</v>
      </c>
      <c r="BG692" s="27">
        <v>182</v>
      </c>
      <c r="BH692" s="27">
        <v>28</v>
      </c>
      <c r="BI692" s="27">
        <v>0.8667</v>
      </c>
      <c r="BJ692" s="27">
        <v>0</v>
      </c>
      <c r="BK692" s="27">
        <v>31</v>
      </c>
      <c r="BL692" s="27">
        <v>91.5</v>
      </c>
    </row>
    <row r="693" customHeight="1" spans="1:64">
      <c r="A693" s="27" t="s">
        <v>1815</v>
      </c>
      <c r="B693" s="27" t="s">
        <v>819</v>
      </c>
      <c r="E693" s="27" t="s">
        <v>81</v>
      </c>
      <c r="F693" s="27" t="s">
        <v>68</v>
      </c>
      <c r="G693" s="27" t="s">
        <v>819</v>
      </c>
      <c r="H693" s="27" t="s">
        <v>102</v>
      </c>
      <c r="I693" s="27" t="s">
        <v>85</v>
      </c>
      <c r="J693" s="27">
        <v>5</v>
      </c>
      <c r="K693" s="27">
        <v>29</v>
      </c>
      <c r="M693" s="27">
        <v>0</v>
      </c>
      <c r="N693" s="27">
        <v>0</v>
      </c>
      <c r="O693" s="27">
        <v>0</v>
      </c>
      <c r="P693" s="27" t="s">
        <v>86</v>
      </c>
      <c r="Q693" s="27">
        <v>3.401197</v>
      </c>
      <c r="S693" s="27">
        <v>138</v>
      </c>
      <c r="T693" s="27">
        <v>10</v>
      </c>
      <c r="U693" s="27">
        <v>0.9324</v>
      </c>
      <c r="V693" s="27" t="s">
        <v>72</v>
      </c>
      <c r="W693" s="27">
        <v>4002</v>
      </c>
      <c r="X693" s="27">
        <v>4.934474</v>
      </c>
      <c r="Y693" s="27">
        <v>8.294799</v>
      </c>
      <c r="Z693" s="27">
        <v>3.1623</v>
      </c>
      <c r="AA693" s="27" t="s">
        <v>483</v>
      </c>
      <c r="AB693" s="27">
        <v>0</v>
      </c>
      <c r="AC693" s="27">
        <v>0</v>
      </c>
      <c r="AD693" s="27">
        <v>0</v>
      </c>
      <c r="AE693" s="27">
        <v>0</v>
      </c>
      <c r="AF693" s="27">
        <v>0</v>
      </c>
      <c r="AG693" s="27">
        <v>0</v>
      </c>
      <c r="AH693" s="27">
        <v>1</v>
      </c>
      <c r="AI693" s="27">
        <v>0</v>
      </c>
      <c r="AJ693" s="27">
        <v>0</v>
      </c>
      <c r="AK693" s="27">
        <v>0</v>
      </c>
      <c r="AL693" s="27">
        <v>0</v>
      </c>
      <c r="AM693" s="27">
        <v>0</v>
      </c>
      <c r="AN693" s="27">
        <v>0</v>
      </c>
      <c r="AO693" s="27">
        <v>0</v>
      </c>
      <c r="AP693" s="27">
        <v>0</v>
      </c>
      <c r="AQ693" s="27">
        <v>0</v>
      </c>
      <c r="AR693" s="27">
        <v>0</v>
      </c>
      <c r="AS693" s="27">
        <v>0</v>
      </c>
      <c r="AT693" s="27">
        <v>1</v>
      </c>
      <c r="AU693" s="27">
        <v>1</v>
      </c>
      <c r="AV693" s="27">
        <v>0</v>
      </c>
      <c r="AW693" s="27">
        <v>0</v>
      </c>
      <c r="AX693" s="27">
        <v>0</v>
      </c>
      <c r="AZ693" s="27">
        <v>1</v>
      </c>
      <c r="BA693" s="27">
        <v>1</v>
      </c>
      <c r="BB693" s="27">
        <v>66.55</v>
      </c>
      <c r="BC693" s="27" t="s">
        <v>2098</v>
      </c>
      <c r="BG693" s="27">
        <v>0</v>
      </c>
      <c r="BH693" s="27">
        <v>0</v>
      </c>
      <c r="BJ693" s="27">
        <v>0</v>
      </c>
      <c r="BK693" s="27">
        <v>9</v>
      </c>
      <c r="BL693" s="27">
        <v>97.5</v>
      </c>
    </row>
    <row r="694" customHeight="1" spans="1:64">
      <c r="A694" s="27" t="s">
        <v>2099</v>
      </c>
      <c r="B694" s="27" t="s">
        <v>125</v>
      </c>
      <c r="E694" s="27" t="s">
        <v>131</v>
      </c>
      <c r="F694" s="27" t="s">
        <v>240</v>
      </c>
      <c r="G694" s="27" t="s">
        <v>1197</v>
      </c>
      <c r="H694" s="27" t="s">
        <v>138</v>
      </c>
      <c r="I694" s="27" t="s">
        <v>85</v>
      </c>
      <c r="J694" s="27">
        <v>5</v>
      </c>
      <c r="K694" s="27">
        <v>29.88</v>
      </c>
      <c r="M694" s="27">
        <v>0</v>
      </c>
      <c r="N694" s="27">
        <v>0</v>
      </c>
      <c r="O694" s="27">
        <v>0</v>
      </c>
      <c r="P694" s="27" t="s">
        <v>86</v>
      </c>
      <c r="Q694" s="27">
        <v>3.430109</v>
      </c>
      <c r="R694" s="27">
        <v>3.74</v>
      </c>
      <c r="S694" s="27">
        <v>40</v>
      </c>
      <c r="T694" s="27">
        <v>18</v>
      </c>
      <c r="U694" s="27">
        <v>0.6897</v>
      </c>
      <c r="V694" s="27" t="s">
        <v>72</v>
      </c>
      <c r="W694" s="27">
        <v>1195.2</v>
      </c>
      <c r="X694" s="27">
        <v>3.713572</v>
      </c>
      <c r="Y694" s="27">
        <v>7.086905</v>
      </c>
      <c r="Z694" s="27">
        <v>4.2426</v>
      </c>
      <c r="AA694" s="27" t="s">
        <v>125</v>
      </c>
      <c r="AB694" s="27">
        <v>0</v>
      </c>
      <c r="AC694" s="27">
        <v>0</v>
      </c>
      <c r="AD694" s="27">
        <v>0</v>
      </c>
      <c r="AE694" s="27">
        <v>0</v>
      </c>
      <c r="AF694" s="27">
        <v>0</v>
      </c>
      <c r="AG694" s="27">
        <v>0</v>
      </c>
      <c r="AH694" s="27">
        <v>0</v>
      </c>
      <c r="AI694" s="27">
        <v>0</v>
      </c>
      <c r="AJ694" s="27">
        <v>0</v>
      </c>
      <c r="AK694" s="27">
        <v>0</v>
      </c>
      <c r="AL694" s="27">
        <v>0</v>
      </c>
      <c r="AM694" s="27">
        <v>0</v>
      </c>
      <c r="AN694" s="27">
        <v>0</v>
      </c>
      <c r="AO694" s="27">
        <v>0</v>
      </c>
      <c r="AP694" s="27">
        <v>0</v>
      </c>
      <c r="AQ694" s="27">
        <v>1</v>
      </c>
      <c r="AR694" s="27">
        <v>0</v>
      </c>
      <c r="AS694" s="27">
        <v>0</v>
      </c>
      <c r="AT694" s="27">
        <v>0</v>
      </c>
      <c r="AU694" s="27">
        <v>0</v>
      </c>
      <c r="AV694" s="27">
        <v>1</v>
      </c>
      <c r="AW694" s="27">
        <v>1</v>
      </c>
      <c r="AX694" s="27">
        <v>0</v>
      </c>
      <c r="AY694" s="27">
        <v>8</v>
      </c>
      <c r="AZ694" s="27">
        <v>1</v>
      </c>
      <c r="BA694" s="27">
        <v>1</v>
      </c>
      <c r="BB694" s="27">
        <v>57.11</v>
      </c>
      <c r="BC694" s="27" t="s">
        <v>1212</v>
      </c>
      <c r="BG694" s="27">
        <v>0</v>
      </c>
      <c r="BH694" s="27">
        <v>0</v>
      </c>
      <c r="BJ694" s="27">
        <v>0</v>
      </c>
      <c r="BK694" s="27">
        <v>6</v>
      </c>
      <c r="BL694" s="27">
        <v>98.4</v>
      </c>
    </row>
    <row r="695" customHeight="1" spans="1:64">
      <c r="A695" s="27" t="s">
        <v>2100</v>
      </c>
      <c r="B695" s="27" t="s">
        <v>125</v>
      </c>
      <c r="E695" s="27" t="s">
        <v>438</v>
      </c>
      <c r="F695" s="27" t="s">
        <v>240</v>
      </c>
      <c r="G695" s="27" t="s">
        <v>83</v>
      </c>
      <c r="H695" s="27" t="s">
        <v>138</v>
      </c>
      <c r="I695" s="27" t="s">
        <v>85</v>
      </c>
      <c r="J695" s="27">
        <v>5</v>
      </c>
      <c r="K695" s="27">
        <v>669</v>
      </c>
      <c r="M695" s="27">
        <v>0</v>
      </c>
      <c r="N695" s="27">
        <v>0</v>
      </c>
      <c r="O695" s="27">
        <v>0</v>
      </c>
      <c r="P695" s="27" t="s">
        <v>147</v>
      </c>
      <c r="Q695" s="27">
        <v>6.507278</v>
      </c>
      <c r="R695" s="27">
        <v>10.45</v>
      </c>
      <c r="T695" s="27">
        <v>2</v>
      </c>
      <c r="U695" s="27">
        <v>0</v>
      </c>
      <c r="V695" s="27" t="s">
        <v>231</v>
      </c>
      <c r="W695" s="27">
        <v>0</v>
      </c>
      <c r="X695" s="27">
        <v>0</v>
      </c>
      <c r="Y695" s="27">
        <v>0</v>
      </c>
      <c r="Z695" s="27">
        <v>1.4142</v>
      </c>
      <c r="AA695" s="27" t="s">
        <v>73</v>
      </c>
      <c r="AB695" s="27">
        <v>0</v>
      </c>
      <c r="AC695" s="27">
        <v>0</v>
      </c>
      <c r="AD695" s="27">
        <v>0</v>
      </c>
      <c r="AE695" s="27">
        <v>0</v>
      </c>
      <c r="AF695" s="27">
        <v>0</v>
      </c>
      <c r="AG695" s="27">
        <v>0</v>
      </c>
      <c r="AH695" s="27">
        <v>0</v>
      </c>
      <c r="AI695" s="27">
        <v>0</v>
      </c>
      <c r="AJ695" s="27">
        <v>0</v>
      </c>
      <c r="AK695" s="27">
        <v>0</v>
      </c>
      <c r="AL695" s="27">
        <v>0</v>
      </c>
      <c r="AM695" s="27">
        <v>0</v>
      </c>
      <c r="AN695" s="27">
        <v>0</v>
      </c>
      <c r="AO695" s="27">
        <v>0</v>
      </c>
      <c r="AP695" s="27">
        <v>0</v>
      </c>
      <c r="AQ695" s="27">
        <v>1</v>
      </c>
      <c r="AR695" s="27">
        <v>0</v>
      </c>
      <c r="AS695" s="27">
        <v>0</v>
      </c>
      <c r="AT695" s="27">
        <v>0</v>
      </c>
      <c r="AU695" s="27">
        <v>0</v>
      </c>
      <c r="AV695" s="27">
        <v>1</v>
      </c>
      <c r="AW695" s="27">
        <v>0</v>
      </c>
      <c r="AX695" s="27">
        <v>0</v>
      </c>
      <c r="AY695" s="27">
        <v>64</v>
      </c>
      <c r="AZ695" s="27">
        <v>1</v>
      </c>
      <c r="BA695" s="27">
        <v>1</v>
      </c>
      <c r="BB695" s="27">
        <v>0</v>
      </c>
      <c r="BC695" s="27" t="s">
        <v>1004</v>
      </c>
      <c r="BG695" s="27">
        <v>0</v>
      </c>
      <c r="BH695" s="27">
        <v>0</v>
      </c>
      <c r="BJ695" s="27">
        <v>0</v>
      </c>
    </row>
    <row r="696" customHeight="1" spans="1:64">
      <c r="A696" s="27" t="s">
        <v>2101</v>
      </c>
      <c r="B696" s="27" t="s">
        <v>171</v>
      </c>
      <c r="C696" s="27" t="s">
        <v>2102</v>
      </c>
      <c r="E696" s="27" t="s">
        <v>1883</v>
      </c>
      <c r="F696" s="27" t="s">
        <v>160</v>
      </c>
      <c r="G696" s="27" t="s">
        <v>83</v>
      </c>
      <c r="H696" s="27" t="s">
        <v>84</v>
      </c>
      <c r="I696" s="27" t="s">
        <v>85</v>
      </c>
      <c r="J696" s="27">
        <v>5</v>
      </c>
      <c r="K696" s="27">
        <v>108.03</v>
      </c>
      <c r="M696" s="27">
        <v>0</v>
      </c>
      <c r="N696" s="27">
        <v>0</v>
      </c>
      <c r="O696" s="27">
        <v>0</v>
      </c>
      <c r="P696" s="27" t="s">
        <v>95</v>
      </c>
      <c r="Q696" s="27">
        <v>4.691623</v>
      </c>
      <c r="R696" s="27">
        <v>13.5</v>
      </c>
      <c r="S696" s="27">
        <v>53</v>
      </c>
      <c r="T696" s="27">
        <v>100</v>
      </c>
      <c r="U696" s="27">
        <v>0.3464</v>
      </c>
      <c r="V696" s="27" t="s">
        <v>72</v>
      </c>
      <c r="W696" s="27">
        <v>5725.59</v>
      </c>
      <c r="X696" s="27">
        <v>3.988984</v>
      </c>
      <c r="Y696" s="27">
        <v>8.652876</v>
      </c>
      <c r="Z696" s="27">
        <v>10</v>
      </c>
      <c r="AA696" s="27" t="s">
        <v>110</v>
      </c>
      <c r="AB696" s="27">
        <v>0</v>
      </c>
      <c r="AC696" s="27">
        <v>0</v>
      </c>
      <c r="AD696" s="27">
        <v>0</v>
      </c>
      <c r="AE696" s="27">
        <v>0</v>
      </c>
      <c r="AF696" s="27">
        <v>0</v>
      </c>
      <c r="AG696" s="27">
        <v>0</v>
      </c>
      <c r="AH696" s="27">
        <v>0</v>
      </c>
      <c r="AI696" s="27">
        <v>0</v>
      </c>
      <c r="AJ696" s="27">
        <v>0</v>
      </c>
      <c r="AK696" s="27">
        <v>0</v>
      </c>
      <c r="AL696" s="27">
        <v>0</v>
      </c>
      <c r="AM696" s="27">
        <v>0</v>
      </c>
      <c r="AN696" s="27">
        <v>0</v>
      </c>
      <c r="AO696" s="27">
        <v>0</v>
      </c>
      <c r="AP696" s="27">
        <v>0</v>
      </c>
      <c r="AQ696" s="27">
        <v>1</v>
      </c>
      <c r="AR696" s="27">
        <v>0</v>
      </c>
      <c r="AS696" s="27">
        <v>0</v>
      </c>
      <c r="AT696" s="27">
        <v>1</v>
      </c>
      <c r="AU696" s="27">
        <v>0</v>
      </c>
      <c r="AV696" s="27">
        <v>1</v>
      </c>
      <c r="AW696" s="27">
        <v>1</v>
      </c>
      <c r="AX696" s="27">
        <v>0</v>
      </c>
      <c r="AY696" s="27">
        <v>8</v>
      </c>
      <c r="AZ696" s="27">
        <v>1</v>
      </c>
      <c r="BA696" s="27">
        <v>1</v>
      </c>
      <c r="BB696" s="27">
        <v>43.53</v>
      </c>
      <c r="BC696" s="27" t="s">
        <v>251</v>
      </c>
      <c r="BD696" s="27" t="s">
        <v>175</v>
      </c>
      <c r="BE696" s="27" t="s">
        <v>91</v>
      </c>
      <c r="BF696" s="27" t="s">
        <v>77</v>
      </c>
      <c r="BG696" s="27">
        <v>161</v>
      </c>
      <c r="BH696" s="27">
        <v>61</v>
      </c>
      <c r="BI696" s="27">
        <v>0.7252</v>
      </c>
      <c r="BJ696" s="27">
        <v>0</v>
      </c>
      <c r="BK696" s="27">
        <v>4</v>
      </c>
      <c r="BL696" s="27">
        <v>98.9</v>
      </c>
    </row>
    <row r="697" customHeight="1" spans="1:64">
      <c r="A697" s="27" t="s">
        <v>2103</v>
      </c>
      <c r="B697" s="27" t="s">
        <v>739</v>
      </c>
      <c r="E697" s="27" t="s">
        <v>81</v>
      </c>
      <c r="F697" s="27" t="s">
        <v>82</v>
      </c>
      <c r="G697" s="27" t="s">
        <v>83</v>
      </c>
      <c r="H697" s="27" t="s">
        <v>84</v>
      </c>
      <c r="I697" s="27" t="s">
        <v>85</v>
      </c>
      <c r="J697" s="27">
        <v>5</v>
      </c>
      <c r="K697" s="27">
        <v>234.99</v>
      </c>
      <c r="M697" s="27">
        <v>0</v>
      </c>
      <c r="N697" s="27">
        <v>0</v>
      </c>
      <c r="O697" s="27">
        <v>0</v>
      </c>
      <c r="P697" s="27" t="s">
        <v>71</v>
      </c>
      <c r="Q697" s="27">
        <v>5.463789</v>
      </c>
      <c r="S697" s="27">
        <v>9</v>
      </c>
      <c r="T697" s="27">
        <v>10</v>
      </c>
      <c r="U697" s="27">
        <v>0.4737</v>
      </c>
      <c r="V697" s="27" t="s">
        <v>87</v>
      </c>
      <c r="W697" s="27">
        <v>2114.91</v>
      </c>
      <c r="X697" s="27">
        <v>2.302585</v>
      </c>
      <c r="Y697" s="27">
        <v>7.65724</v>
      </c>
      <c r="Z697" s="27">
        <v>3.1623</v>
      </c>
      <c r="AA697" s="27" t="s">
        <v>187</v>
      </c>
      <c r="AB697" s="27">
        <v>1</v>
      </c>
      <c r="AC697" s="27">
        <v>1</v>
      </c>
      <c r="AD697" s="27">
        <v>0</v>
      </c>
      <c r="AE697" s="27">
        <v>1</v>
      </c>
      <c r="AF697" s="27">
        <v>0</v>
      </c>
      <c r="AG697" s="27">
        <v>0</v>
      </c>
      <c r="AH697" s="27">
        <v>1</v>
      </c>
      <c r="AI697" s="27">
        <v>0</v>
      </c>
      <c r="AJ697" s="27">
        <v>0</v>
      </c>
      <c r="AK697" s="27">
        <v>0</v>
      </c>
      <c r="AL697" s="27">
        <v>0</v>
      </c>
      <c r="AM697" s="27">
        <v>0</v>
      </c>
      <c r="AN697" s="27">
        <v>0</v>
      </c>
      <c r="AO697" s="27">
        <v>0</v>
      </c>
      <c r="AP697" s="27">
        <v>0</v>
      </c>
      <c r="AQ697" s="27">
        <v>0</v>
      </c>
      <c r="AR697" s="27">
        <v>0</v>
      </c>
      <c r="AS697" s="27">
        <v>0</v>
      </c>
      <c r="AT697" s="27">
        <v>1</v>
      </c>
      <c r="AU697" s="27">
        <v>0</v>
      </c>
      <c r="AV697" s="27">
        <v>0</v>
      </c>
      <c r="AW697" s="27">
        <v>1</v>
      </c>
      <c r="AX697" s="27">
        <v>0</v>
      </c>
      <c r="AZ697" s="27">
        <v>1</v>
      </c>
      <c r="BA697" s="27">
        <v>4</v>
      </c>
      <c r="BB697" s="27">
        <v>48.62</v>
      </c>
      <c r="BC697" s="27" t="s">
        <v>2104</v>
      </c>
      <c r="BD697" s="27" t="s">
        <v>1888</v>
      </c>
      <c r="BE697" s="27" t="s">
        <v>113</v>
      </c>
      <c r="BF697" s="27" t="s">
        <v>77</v>
      </c>
      <c r="BG697" s="27">
        <v>168</v>
      </c>
      <c r="BH697" s="27">
        <v>11</v>
      </c>
      <c r="BI697" s="27">
        <v>0.9385</v>
      </c>
      <c r="BJ697" s="27">
        <v>0</v>
      </c>
      <c r="BK697" s="27">
        <v>4</v>
      </c>
      <c r="BL697" s="27">
        <v>98.9</v>
      </c>
    </row>
    <row r="698" customHeight="1" spans="1:64">
      <c r="A698" s="27" t="s">
        <v>2105</v>
      </c>
      <c r="B698" s="27" t="s">
        <v>849</v>
      </c>
      <c r="E698" s="27" t="s">
        <v>81</v>
      </c>
      <c r="F698" s="27" t="s">
        <v>82</v>
      </c>
      <c r="G698" s="27" t="s">
        <v>83</v>
      </c>
      <c r="H698" s="27" t="s">
        <v>84</v>
      </c>
      <c r="I698" s="27" t="s">
        <v>153</v>
      </c>
      <c r="J698" s="27">
        <v>2</v>
      </c>
      <c r="K698" s="27">
        <v>100</v>
      </c>
      <c r="M698" s="27">
        <v>0</v>
      </c>
      <c r="N698" s="27">
        <v>0</v>
      </c>
      <c r="O698" s="27">
        <v>0</v>
      </c>
      <c r="P698" s="27" t="s">
        <v>95</v>
      </c>
      <c r="Q698" s="27">
        <v>4.615121</v>
      </c>
      <c r="T698" s="27">
        <v>5</v>
      </c>
      <c r="U698" s="27">
        <v>0</v>
      </c>
      <c r="V698" s="27" t="s">
        <v>231</v>
      </c>
      <c r="W698" s="27">
        <v>0</v>
      </c>
      <c r="X698" s="27">
        <v>0</v>
      </c>
      <c r="Y698" s="27">
        <v>0</v>
      </c>
      <c r="Z698" s="27">
        <v>2.2361</v>
      </c>
      <c r="AA698" s="27" t="s">
        <v>125</v>
      </c>
      <c r="AB698" s="27">
        <v>0</v>
      </c>
      <c r="AC698" s="27">
        <v>0</v>
      </c>
      <c r="AD698" s="27">
        <v>0</v>
      </c>
      <c r="AE698" s="27">
        <v>0</v>
      </c>
      <c r="AF698" s="27">
        <v>0</v>
      </c>
      <c r="AG698" s="27">
        <v>0</v>
      </c>
      <c r="AH698" s="27">
        <v>0</v>
      </c>
      <c r="AI698" s="27">
        <v>0</v>
      </c>
      <c r="AJ698" s="27">
        <v>0</v>
      </c>
      <c r="AK698" s="27">
        <v>1</v>
      </c>
      <c r="AL698" s="27">
        <v>0</v>
      </c>
      <c r="AM698" s="27">
        <v>0</v>
      </c>
      <c r="AN698" s="27">
        <v>0</v>
      </c>
      <c r="AO698" s="27">
        <v>0</v>
      </c>
      <c r="AP698" s="27">
        <v>0</v>
      </c>
      <c r="AQ698" s="27">
        <v>0</v>
      </c>
      <c r="AR698" s="27">
        <v>0</v>
      </c>
      <c r="AS698" s="27">
        <v>0</v>
      </c>
      <c r="AT698" s="27">
        <v>0</v>
      </c>
      <c r="AU698" s="27">
        <v>0</v>
      </c>
      <c r="AV698" s="27">
        <v>0</v>
      </c>
      <c r="AW698" s="27">
        <v>0</v>
      </c>
      <c r="AX698" s="27">
        <v>0</v>
      </c>
      <c r="AZ698" s="27">
        <v>1</v>
      </c>
      <c r="BA698" s="27">
        <v>1</v>
      </c>
      <c r="BB698" s="27">
        <v>0</v>
      </c>
      <c r="BC698" s="27" t="s">
        <v>2106</v>
      </c>
      <c r="BD698" s="27" t="s">
        <v>2107</v>
      </c>
      <c r="BE698" s="27" t="s">
        <v>620</v>
      </c>
      <c r="BF698" s="27" t="s">
        <v>77</v>
      </c>
      <c r="BG698" s="27">
        <v>1</v>
      </c>
      <c r="BH698" s="27">
        <v>11</v>
      </c>
      <c r="BI698" s="27">
        <v>0.0833</v>
      </c>
      <c r="BJ698" s="27">
        <v>1</v>
      </c>
    </row>
    <row r="699" customHeight="1" spans="1:64">
      <c r="A699" s="27" t="s">
        <v>2108</v>
      </c>
      <c r="B699" s="27" t="s">
        <v>658</v>
      </c>
      <c r="E699" s="27" t="s">
        <v>2109</v>
      </c>
      <c r="F699" s="27" t="s">
        <v>240</v>
      </c>
      <c r="G699" s="27" t="s">
        <v>83</v>
      </c>
      <c r="H699" s="27" t="s">
        <v>84</v>
      </c>
      <c r="I699" s="27" t="s">
        <v>508</v>
      </c>
      <c r="J699" s="27">
        <v>1</v>
      </c>
      <c r="K699" s="27">
        <v>160</v>
      </c>
      <c r="M699" s="27">
        <v>0</v>
      </c>
      <c r="N699" s="27">
        <v>0</v>
      </c>
      <c r="O699" s="27">
        <v>0</v>
      </c>
      <c r="P699" s="27" t="s">
        <v>95</v>
      </c>
      <c r="Q699" s="27">
        <v>5.081404</v>
      </c>
      <c r="R699" s="27">
        <v>40</v>
      </c>
      <c r="V699" s="27" t="s">
        <v>231</v>
      </c>
      <c r="W699" s="27">
        <v>0</v>
      </c>
      <c r="X699" s="27">
        <v>0</v>
      </c>
      <c r="Y699" s="27">
        <v>0</v>
      </c>
      <c r="Z699" s="27">
        <v>0</v>
      </c>
      <c r="AA699" s="27" t="s">
        <v>125</v>
      </c>
      <c r="AB699" s="27">
        <v>0</v>
      </c>
      <c r="AC699" s="27">
        <v>0</v>
      </c>
      <c r="AD699" s="27">
        <v>0</v>
      </c>
      <c r="AE699" s="27">
        <v>0</v>
      </c>
      <c r="AF699" s="27">
        <v>0</v>
      </c>
      <c r="AG699" s="27">
        <v>1</v>
      </c>
      <c r="AH699" s="27">
        <v>0</v>
      </c>
      <c r="AI699" s="27">
        <v>1</v>
      </c>
      <c r="AJ699" s="27">
        <v>0</v>
      </c>
      <c r="AK699" s="27">
        <v>0</v>
      </c>
      <c r="AL699" s="27">
        <v>0</v>
      </c>
      <c r="AM699" s="27">
        <v>0</v>
      </c>
      <c r="AN699" s="27">
        <v>0</v>
      </c>
      <c r="AO699" s="27">
        <v>0</v>
      </c>
      <c r="AP699" s="27">
        <v>0</v>
      </c>
      <c r="AQ699" s="27">
        <v>0</v>
      </c>
      <c r="AR699" s="27">
        <v>0</v>
      </c>
      <c r="AS699" s="27">
        <v>0</v>
      </c>
      <c r="AT699" s="27">
        <v>0</v>
      </c>
      <c r="AU699" s="27">
        <v>0</v>
      </c>
      <c r="AV699" s="27">
        <v>0</v>
      </c>
      <c r="AW699" s="27">
        <v>1</v>
      </c>
      <c r="AX699" s="27">
        <v>0</v>
      </c>
      <c r="AY699" s="27">
        <v>4</v>
      </c>
      <c r="AZ699" s="27">
        <v>1</v>
      </c>
      <c r="BA699" s="27">
        <v>0</v>
      </c>
      <c r="BB699" s="27">
        <v>0</v>
      </c>
      <c r="BC699" s="27" t="s">
        <v>2110</v>
      </c>
      <c r="BD699" s="27" t="s">
        <v>2111</v>
      </c>
      <c r="BE699" s="27" t="s">
        <v>407</v>
      </c>
      <c r="BF699" s="27" t="s">
        <v>77</v>
      </c>
      <c r="BG699" s="27">
        <v>168</v>
      </c>
      <c r="BH699" s="27">
        <v>11</v>
      </c>
      <c r="BI699" s="27">
        <v>0.9385</v>
      </c>
      <c r="BJ699" s="27">
        <v>0</v>
      </c>
    </row>
    <row r="700" customHeight="1" spans="1:64">
      <c r="A700" s="27" t="s">
        <v>2112</v>
      </c>
      <c r="B700" s="27" t="s">
        <v>171</v>
      </c>
      <c r="C700" s="27" t="s">
        <v>2113</v>
      </c>
      <c r="E700" s="27" t="s">
        <v>239</v>
      </c>
      <c r="F700" s="27" t="s">
        <v>160</v>
      </c>
      <c r="G700" s="27" t="s">
        <v>83</v>
      </c>
      <c r="H700" s="27" t="s">
        <v>84</v>
      </c>
      <c r="I700" s="27" t="s">
        <v>85</v>
      </c>
      <c r="J700" s="27">
        <v>5</v>
      </c>
      <c r="K700" s="27">
        <v>59.39</v>
      </c>
      <c r="M700" s="27">
        <v>0</v>
      </c>
      <c r="N700" s="27">
        <v>0</v>
      </c>
      <c r="O700" s="27">
        <v>0</v>
      </c>
      <c r="P700" s="27" t="s">
        <v>86</v>
      </c>
      <c r="Q700" s="27">
        <v>4.100824</v>
      </c>
      <c r="R700" s="27">
        <v>1.86</v>
      </c>
      <c r="S700" s="27">
        <v>158</v>
      </c>
      <c r="T700" s="27">
        <v>95</v>
      </c>
      <c r="U700" s="27">
        <v>0.6245</v>
      </c>
      <c r="V700" s="27" t="s">
        <v>72</v>
      </c>
      <c r="W700" s="27">
        <v>9383.62</v>
      </c>
      <c r="X700" s="27">
        <v>5.068904</v>
      </c>
      <c r="Y700" s="27">
        <v>9.146827</v>
      </c>
      <c r="Z700" s="27">
        <v>9.7468</v>
      </c>
      <c r="AA700" s="27" t="s">
        <v>313</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1</v>
      </c>
      <c r="AR700" s="27">
        <v>0</v>
      </c>
      <c r="AS700" s="27">
        <v>0</v>
      </c>
      <c r="AT700" s="27">
        <v>0</v>
      </c>
      <c r="AU700" s="27">
        <v>0</v>
      </c>
      <c r="AV700" s="27">
        <v>1</v>
      </c>
      <c r="AW700" s="27">
        <v>0</v>
      </c>
      <c r="AX700" s="27">
        <v>0</v>
      </c>
      <c r="AY700" s="27">
        <v>32</v>
      </c>
      <c r="AZ700" s="27">
        <v>1</v>
      </c>
      <c r="BA700" s="27">
        <v>1</v>
      </c>
      <c r="BB700" s="27">
        <v>53.09</v>
      </c>
      <c r="BC700" s="27" t="s">
        <v>251</v>
      </c>
      <c r="BG700" s="27">
        <v>0</v>
      </c>
      <c r="BH700" s="27">
        <v>0</v>
      </c>
      <c r="BJ700" s="27">
        <v>0</v>
      </c>
      <c r="BK700" s="27">
        <v>23</v>
      </c>
      <c r="BL700" s="27">
        <v>93.7</v>
      </c>
    </row>
    <row r="701" customHeight="1" spans="1:64">
      <c r="A701" s="27" t="s">
        <v>2114</v>
      </c>
      <c r="B701" s="27" t="s">
        <v>427</v>
      </c>
      <c r="C701" s="27" t="s">
        <v>1643</v>
      </c>
      <c r="E701" s="27" t="s">
        <v>131</v>
      </c>
      <c r="F701" s="27" t="s">
        <v>132</v>
      </c>
      <c r="G701" s="27" t="s">
        <v>427</v>
      </c>
      <c r="H701" s="27" t="s">
        <v>107</v>
      </c>
      <c r="I701" s="27" t="s">
        <v>153</v>
      </c>
      <c r="J701" s="27">
        <v>2</v>
      </c>
      <c r="K701" s="27">
        <v>24.99</v>
      </c>
      <c r="M701" s="27">
        <v>0</v>
      </c>
      <c r="N701" s="27">
        <v>0</v>
      </c>
      <c r="O701" s="27">
        <v>0</v>
      </c>
      <c r="P701" s="27" t="s">
        <v>133</v>
      </c>
      <c r="Q701" s="27">
        <v>3.257712</v>
      </c>
      <c r="S701" s="27">
        <v>58</v>
      </c>
      <c r="T701" s="27">
        <v>10</v>
      </c>
      <c r="U701" s="27">
        <v>0.8529</v>
      </c>
      <c r="V701" s="27" t="s">
        <v>72</v>
      </c>
      <c r="W701" s="27">
        <v>1449.42</v>
      </c>
      <c r="X701" s="27">
        <v>4.077537</v>
      </c>
      <c r="Y701" s="27">
        <v>7.279608</v>
      </c>
      <c r="Z701" s="27">
        <v>3.1623</v>
      </c>
      <c r="AA701" s="27" t="s">
        <v>125</v>
      </c>
      <c r="AB701" s="27">
        <v>0</v>
      </c>
      <c r="AC701" s="27">
        <v>0</v>
      </c>
      <c r="AD701" s="27">
        <v>0</v>
      </c>
      <c r="AE701" s="27">
        <v>0</v>
      </c>
      <c r="AF701" s="27">
        <v>0</v>
      </c>
      <c r="AG701" s="27">
        <v>0</v>
      </c>
      <c r="AH701" s="27">
        <v>0</v>
      </c>
      <c r="AI701" s="27">
        <v>0</v>
      </c>
      <c r="AJ701" s="27">
        <v>0</v>
      </c>
      <c r="AK701" s="27">
        <v>0</v>
      </c>
      <c r="AL701" s="27">
        <v>0</v>
      </c>
      <c r="AM701" s="27">
        <v>0</v>
      </c>
      <c r="AN701" s="27">
        <v>0</v>
      </c>
      <c r="AO701" s="27">
        <v>0</v>
      </c>
      <c r="AP701" s="27">
        <v>0</v>
      </c>
      <c r="AQ701" s="27">
        <v>0</v>
      </c>
      <c r="AR701" s="27">
        <v>0</v>
      </c>
      <c r="AS701" s="27">
        <v>0</v>
      </c>
      <c r="AT701" s="27">
        <v>0</v>
      </c>
      <c r="AU701" s="27">
        <v>0</v>
      </c>
      <c r="AV701" s="27">
        <v>0</v>
      </c>
      <c r="AW701" s="27">
        <v>1</v>
      </c>
      <c r="AX701" s="27">
        <v>0</v>
      </c>
      <c r="AZ701" s="27">
        <v>1</v>
      </c>
      <c r="BA701" s="27">
        <v>0</v>
      </c>
      <c r="BB701" s="27">
        <v>63.97</v>
      </c>
      <c r="BC701" s="27" t="s">
        <v>597</v>
      </c>
      <c r="BD701" s="27" t="s">
        <v>598</v>
      </c>
      <c r="BE701" s="27" t="s">
        <v>128</v>
      </c>
      <c r="BF701" s="27" t="s">
        <v>77</v>
      </c>
      <c r="BG701" s="27">
        <v>1</v>
      </c>
      <c r="BH701" s="27">
        <v>14</v>
      </c>
      <c r="BI701" s="27">
        <v>0.0667</v>
      </c>
      <c r="BJ701" s="27">
        <v>1</v>
      </c>
      <c r="BK701" s="27">
        <v>2</v>
      </c>
      <c r="BL701" s="27">
        <v>99.5</v>
      </c>
    </row>
    <row r="702" customHeight="1" spans="1:64">
      <c r="A702" s="27" t="s">
        <v>2115</v>
      </c>
      <c r="B702" s="27" t="s">
        <v>195</v>
      </c>
      <c r="C702" s="27" t="s">
        <v>2116</v>
      </c>
      <c r="D702" s="27">
        <v>843261112378</v>
      </c>
      <c r="E702" s="27" t="s">
        <v>81</v>
      </c>
      <c r="F702" s="27" t="s">
        <v>160</v>
      </c>
      <c r="G702" s="27" t="s">
        <v>83</v>
      </c>
      <c r="H702" s="27" t="s">
        <v>84</v>
      </c>
      <c r="I702" s="27" t="s">
        <v>203</v>
      </c>
      <c r="J702" s="27">
        <v>4</v>
      </c>
      <c r="K702" s="27">
        <v>109.95</v>
      </c>
      <c r="M702" s="27">
        <v>0</v>
      </c>
      <c r="N702" s="27">
        <v>0</v>
      </c>
      <c r="O702" s="27">
        <v>0</v>
      </c>
      <c r="P702" s="27" t="s">
        <v>95</v>
      </c>
      <c r="Q702" s="27">
        <v>4.70908</v>
      </c>
      <c r="S702" s="27">
        <v>225</v>
      </c>
      <c r="T702" s="27">
        <v>10</v>
      </c>
      <c r="U702" s="27">
        <v>0.9574</v>
      </c>
      <c r="V702" s="27" t="s">
        <v>154</v>
      </c>
      <c r="W702" s="27">
        <v>24738.75</v>
      </c>
      <c r="X702" s="27">
        <v>5.420535</v>
      </c>
      <c r="Y702" s="27">
        <v>10.116167</v>
      </c>
      <c r="Z702" s="27">
        <v>3.1623</v>
      </c>
      <c r="AA702" s="27" t="s">
        <v>483</v>
      </c>
      <c r="AB702" s="27">
        <v>0</v>
      </c>
      <c r="AC702" s="27">
        <v>0</v>
      </c>
      <c r="AD702" s="27">
        <v>0</v>
      </c>
      <c r="AE702" s="27">
        <v>0</v>
      </c>
      <c r="AF702" s="27">
        <v>0</v>
      </c>
      <c r="AG702" s="27">
        <v>0</v>
      </c>
      <c r="AH702" s="27">
        <v>1</v>
      </c>
      <c r="AI702" s="27">
        <v>0</v>
      </c>
      <c r="AJ702" s="27">
        <v>0</v>
      </c>
      <c r="AK702" s="27">
        <v>0</v>
      </c>
      <c r="AL702" s="27">
        <v>0</v>
      </c>
      <c r="AM702" s="27">
        <v>0</v>
      </c>
      <c r="AN702" s="27">
        <v>0</v>
      </c>
      <c r="AO702" s="27">
        <v>0</v>
      </c>
      <c r="AP702" s="27">
        <v>0</v>
      </c>
      <c r="AQ702" s="27">
        <v>0</v>
      </c>
      <c r="AR702" s="27">
        <v>0</v>
      </c>
      <c r="AS702" s="27">
        <v>0</v>
      </c>
      <c r="AT702" s="27">
        <v>0</v>
      </c>
      <c r="AU702" s="27">
        <v>1</v>
      </c>
      <c r="AV702" s="27">
        <v>0</v>
      </c>
      <c r="AW702" s="27">
        <v>0</v>
      </c>
      <c r="AX702" s="27">
        <v>0</v>
      </c>
      <c r="AZ702" s="27">
        <v>1</v>
      </c>
      <c r="BA702" s="27">
        <v>1</v>
      </c>
      <c r="BB702" s="27">
        <v>67.82</v>
      </c>
      <c r="BC702" s="27" t="s">
        <v>2117</v>
      </c>
      <c r="BD702" s="27" t="s">
        <v>1415</v>
      </c>
      <c r="BE702" s="27" t="s">
        <v>113</v>
      </c>
      <c r="BF702" s="27" t="s">
        <v>77</v>
      </c>
      <c r="BG702" s="27">
        <v>168</v>
      </c>
      <c r="BH702" s="27">
        <v>11</v>
      </c>
      <c r="BI702" s="27">
        <v>0.9385</v>
      </c>
      <c r="BJ702" s="27">
        <v>0</v>
      </c>
      <c r="BK702" s="27">
        <v>6</v>
      </c>
      <c r="BL702" s="27">
        <v>98.4</v>
      </c>
    </row>
    <row r="703" customHeight="1" spans="1:64">
      <c r="A703" s="27" t="s">
        <v>2118</v>
      </c>
      <c r="B703" s="27" t="s">
        <v>125</v>
      </c>
      <c r="E703" s="27" t="s">
        <v>505</v>
      </c>
      <c r="F703" s="27" t="s">
        <v>160</v>
      </c>
      <c r="G703" s="27" t="s">
        <v>83</v>
      </c>
      <c r="H703" s="27" t="s">
        <v>138</v>
      </c>
      <c r="I703" s="27" t="s">
        <v>85</v>
      </c>
      <c r="J703" s="27">
        <v>5</v>
      </c>
      <c r="K703" s="27">
        <v>4.78</v>
      </c>
      <c r="L703" s="27">
        <v>5.98</v>
      </c>
      <c r="M703" s="27">
        <v>20.07</v>
      </c>
      <c r="N703" s="27">
        <v>1.2</v>
      </c>
      <c r="O703" s="27">
        <v>1</v>
      </c>
      <c r="P703" s="27" t="s">
        <v>133</v>
      </c>
      <c r="Q703" s="27">
        <v>1.754404</v>
      </c>
      <c r="S703" s="27">
        <v>12</v>
      </c>
      <c r="T703" s="27">
        <v>2</v>
      </c>
      <c r="U703" s="27">
        <v>0.8571</v>
      </c>
      <c r="V703" s="27" t="s">
        <v>72</v>
      </c>
      <c r="W703" s="27">
        <v>57.36</v>
      </c>
      <c r="X703" s="27">
        <v>2.564949</v>
      </c>
      <c r="Y703" s="27">
        <v>4.066631</v>
      </c>
      <c r="Z703" s="27">
        <v>1.4142</v>
      </c>
      <c r="AA703" s="27" t="s">
        <v>125</v>
      </c>
      <c r="AB703" s="27">
        <v>0</v>
      </c>
      <c r="AC703" s="27">
        <v>0</v>
      </c>
      <c r="AD703" s="27">
        <v>0</v>
      </c>
      <c r="AE703" s="27">
        <v>0</v>
      </c>
      <c r="AF703" s="27">
        <v>0</v>
      </c>
      <c r="AG703" s="27">
        <v>0</v>
      </c>
      <c r="AH703" s="27">
        <v>1</v>
      </c>
      <c r="AI703" s="27">
        <v>0</v>
      </c>
      <c r="AJ703" s="27">
        <v>0</v>
      </c>
      <c r="AK703" s="27">
        <v>0</v>
      </c>
      <c r="AL703" s="27">
        <v>0</v>
      </c>
      <c r="AM703" s="27">
        <v>0</v>
      </c>
      <c r="AN703" s="27">
        <v>0</v>
      </c>
      <c r="AO703" s="27">
        <v>0</v>
      </c>
      <c r="AP703" s="27">
        <v>0</v>
      </c>
      <c r="AQ703" s="27">
        <v>0</v>
      </c>
      <c r="AR703" s="27">
        <v>0</v>
      </c>
      <c r="AS703" s="27">
        <v>0</v>
      </c>
      <c r="AT703" s="27">
        <v>0</v>
      </c>
      <c r="AU703" s="27">
        <v>0</v>
      </c>
      <c r="AV703" s="27">
        <v>0</v>
      </c>
      <c r="AW703" s="27">
        <v>1</v>
      </c>
      <c r="AX703" s="27">
        <v>0</v>
      </c>
      <c r="AZ703" s="27">
        <v>1</v>
      </c>
      <c r="BA703" s="27">
        <v>1</v>
      </c>
      <c r="BB703" s="27">
        <v>69.64</v>
      </c>
      <c r="BC703" s="27" t="s">
        <v>2119</v>
      </c>
      <c r="BD703" s="27" t="s">
        <v>1054</v>
      </c>
      <c r="BE703" s="27" t="s">
        <v>673</v>
      </c>
      <c r="BF703" s="27" t="s">
        <v>77</v>
      </c>
      <c r="BG703" s="27">
        <v>168</v>
      </c>
      <c r="BH703" s="27">
        <v>11</v>
      </c>
      <c r="BI703" s="27">
        <v>0.9385</v>
      </c>
      <c r="BJ703" s="27">
        <v>0</v>
      </c>
      <c r="BK703" s="27">
        <v>8</v>
      </c>
      <c r="BL703" s="27">
        <v>97.8</v>
      </c>
    </row>
    <row r="704" customHeight="1" spans="1:64">
      <c r="A704" s="27" t="s">
        <v>2120</v>
      </c>
      <c r="B704" s="27" t="s">
        <v>344</v>
      </c>
      <c r="E704" s="27" t="s">
        <v>911</v>
      </c>
      <c r="F704" s="27" t="s">
        <v>82</v>
      </c>
      <c r="G704" s="27" t="s">
        <v>346</v>
      </c>
      <c r="H704" s="27" t="s">
        <v>107</v>
      </c>
      <c r="I704" s="27" t="s">
        <v>85</v>
      </c>
      <c r="J704" s="27">
        <v>5</v>
      </c>
      <c r="K704" s="27">
        <v>59.99</v>
      </c>
      <c r="M704" s="27">
        <v>0</v>
      </c>
      <c r="N704" s="27">
        <v>0</v>
      </c>
      <c r="O704" s="27">
        <v>0</v>
      </c>
      <c r="P704" s="27" t="s">
        <v>86</v>
      </c>
      <c r="Q704" s="27">
        <v>4.11071</v>
      </c>
      <c r="S704" s="27">
        <v>15</v>
      </c>
      <c r="T704" s="27">
        <v>4</v>
      </c>
      <c r="U704" s="27">
        <v>0.7895</v>
      </c>
      <c r="V704" s="27" t="s">
        <v>72</v>
      </c>
      <c r="W704" s="27">
        <v>899.85</v>
      </c>
      <c r="X704" s="27">
        <v>2.772589</v>
      </c>
      <c r="Y704" s="27">
        <v>6.803339</v>
      </c>
      <c r="Z704" s="27">
        <v>2</v>
      </c>
      <c r="AA704" s="27" t="s">
        <v>125</v>
      </c>
      <c r="AB704" s="27">
        <v>0</v>
      </c>
      <c r="AC704" s="27">
        <v>0</v>
      </c>
      <c r="AD704" s="27">
        <v>0</v>
      </c>
      <c r="AE704" s="27">
        <v>0</v>
      </c>
      <c r="AF704" s="27">
        <v>0</v>
      </c>
      <c r="AG704" s="27">
        <v>0</v>
      </c>
      <c r="AH704" s="27">
        <v>0</v>
      </c>
      <c r="AI704" s="27">
        <v>0</v>
      </c>
      <c r="AJ704" s="27">
        <v>0</v>
      </c>
      <c r="AK704" s="27">
        <v>0</v>
      </c>
      <c r="AL704" s="27">
        <v>0</v>
      </c>
      <c r="AM704" s="27">
        <v>0</v>
      </c>
      <c r="AN704" s="27">
        <v>0</v>
      </c>
      <c r="AO704" s="27">
        <v>0</v>
      </c>
      <c r="AP704" s="27">
        <v>0</v>
      </c>
      <c r="AQ704" s="27">
        <v>0</v>
      </c>
      <c r="AR704" s="27">
        <v>0</v>
      </c>
      <c r="AS704" s="27">
        <v>0</v>
      </c>
      <c r="AT704" s="27">
        <v>0</v>
      </c>
      <c r="AU704" s="27">
        <v>0</v>
      </c>
      <c r="AV704" s="27">
        <v>0</v>
      </c>
      <c r="AW704" s="27">
        <v>1</v>
      </c>
      <c r="AX704" s="27">
        <v>0</v>
      </c>
      <c r="AZ704" s="27">
        <v>1</v>
      </c>
      <c r="BA704" s="27">
        <v>0</v>
      </c>
      <c r="BB704" s="27">
        <v>61.25</v>
      </c>
      <c r="BC704" s="27" t="s">
        <v>1326</v>
      </c>
      <c r="BD704" s="27" t="s">
        <v>348</v>
      </c>
      <c r="BE704" s="27" t="s">
        <v>136</v>
      </c>
      <c r="BF704" s="27" t="s">
        <v>77</v>
      </c>
      <c r="BG704" s="27">
        <v>168</v>
      </c>
      <c r="BH704" s="27">
        <v>11</v>
      </c>
      <c r="BI704" s="27">
        <v>0.9385</v>
      </c>
      <c r="BJ704" s="27">
        <v>0</v>
      </c>
      <c r="BK704" s="27">
        <v>4</v>
      </c>
      <c r="BL704" s="27">
        <v>98.9</v>
      </c>
    </row>
    <row r="705" customHeight="1" spans="1:64">
      <c r="A705" s="27" t="s">
        <v>2121</v>
      </c>
      <c r="B705" s="27" t="s">
        <v>195</v>
      </c>
      <c r="E705" s="27" t="s">
        <v>122</v>
      </c>
      <c r="F705" s="27" t="s">
        <v>82</v>
      </c>
      <c r="G705" s="27" t="s">
        <v>83</v>
      </c>
      <c r="H705" s="27" t="s">
        <v>84</v>
      </c>
      <c r="I705" s="27" t="s">
        <v>203</v>
      </c>
      <c r="J705" s="27">
        <v>4</v>
      </c>
      <c r="K705" s="27">
        <v>67.68</v>
      </c>
      <c r="L705" s="27">
        <v>139.35</v>
      </c>
      <c r="M705" s="27">
        <v>51.43</v>
      </c>
      <c r="N705" s="27">
        <v>71.67</v>
      </c>
      <c r="O705" s="27">
        <v>1</v>
      </c>
      <c r="P705" s="27" t="s">
        <v>86</v>
      </c>
      <c r="Q705" s="27">
        <v>4.229458</v>
      </c>
      <c r="S705" s="27">
        <v>80</v>
      </c>
      <c r="T705" s="27">
        <v>8</v>
      </c>
      <c r="U705" s="27">
        <v>0.9091</v>
      </c>
      <c r="V705" s="27" t="s">
        <v>72</v>
      </c>
      <c r="W705" s="27">
        <v>5414.4</v>
      </c>
      <c r="X705" s="27">
        <v>4.394449</v>
      </c>
      <c r="Y705" s="27">
        <v>8.597002</v>
      </c>
      <c r="Z705" s="27">
        <v>2.8284</v>
      </c>
      <c r="AA705" s="27" t="s">
        <v>139</v>
      </c>
      <c r="AB705" s="27">
        <v>0</v>
      </c>
      <c r="AC705" s="27">
        <v>0</v>
      </c>
      <c r="AD705" s="27">
        <v>0</v>
      </c>
      <c r="AE705" s="27">
        <v>0</v>
      </c>
      <c r="AF705" s="27">
        <v>0</v>
      </c>
      <c r="AG705" s="27">
        <v>1</v>
      </c>
      <c r="AH705" s="27">
        <v>1</v>
      </c>
      <c r="AI705" s="27">
        <v>0</v>
      </c>
      <c r="AJ705" s="27">
        <v>0</v>
      </c>
      <c r="AK705" s="27">
        <v>0</v>
      </c>
      <c r="AL705" s="27">
        <v>0</v>
      </c>
      <c r="AM705" s="27">
        <v>0</v>
      </c>
      <c r="AN705" s="27">
        <v>0</v>
      </c>
      <c r="AO705" s="27">
        <v>0</v>
      </c>
      <c r="AP705" s="27">
        <v>0</v>
      </c>
      <c r="AQ705" s="27">
        <v>0</v>
      </c>
      <c r="AR705" s="27">
        <v>0</v>
      </c>
      <c r="AS705" s="27">
        <v>1</v>
      </c>
      <c r="AT705" s="27">
        <v>0</v>
      </c>
      <c r="AU705" s="27">
        <v>0</v>
      </c>
      <c r="AV705" s="27">
        <v>0</v>
      </c>
      <c r="AW705" s="27">
        <v>0</v>
      </c>
      <c r="AX705" s="27">
        <v>0</v>
      </c>
      <c r="AZ705" s="27">
        <v>1</v>
      </c>
      <c r="BA705" s="27">
        <v>1</v>
      </c>
      <c r="BB705" s="27">
        <v>81.64</v>
      </c>
      <c r="BC705" s="27" t="s">
        <v>1156</v>
      </c>
      <c r="BD705" s="27" t="s">
        <v>169</v>
      </c>
      <c r="BE705" s="27" t="s">
        <v>113</v>
      </c>
      <c r="BF705" s="27" t="s">
        <v>77</v>
      </c>
      <c r="BG705" s="27">
        <v>168</v>
      </c>
      <c r="BH705" s="27">
        <v>13</v>
      </c>
      <c r="BI705" s="27">
        <v>0.9282</v>
      </c>
      <c r="BJ705" s="27">
        <v>0</v>
      </c>
      <c r="BK705" s="27">
        <v>2</v>
      </c>
      <c r="BL705" s="27">
        <v>99.5</v>
      </c>
    </row>
    <row r="706" customHeight="1" spans="1:64">
      <c r="A706" s="27" t="s">
        <v>2122</v>
      </c>
      <c r="B706" s="27" t="s">
        <v>125</v>
      </c>
      <c r="E706" s="27" t="s">
        <v>131</v>
      </c>
      <c r="F706" s="27" t="s">
        <v>240</v>
      </c>
      <c r="G706" s="27" t="s">
        <v>553</v>
      </c>
      <c r="H706" s="27" t="s">
        <v>138</v>
      </c>
      <c r="I706" s="27" t="s">
        <v>85</v>
      </c>
      <c r="J706" s="27">
        <v>5</v>
      </c>
      <c r="K706" s="27">
        <v>29.88</v>
      </c>
      <c r="M706" s="27">
        <v>0</v>
      </c>
      <c r="N706" s="27">
        <v>0</v>
      </c>
      <c r="O706" s="27">
        <v>0</v>
      </c>
      <c r="P706" s="27" t="s">
        <v>86</v>
      </c>
      <c r="Q706" s="27">
        <v>3.430109</v>
      </c>
      <c r="S706" s="27">
        <v>16</v>
      </c>
      <c r="T706" s="27">
        <v>18</v>
      </c>
      <c r="U706" s="27">
        <v>0.4706</v>
      </c>
      <c r="V706" s="27" t="s">
        <v>72</v>
      </c>
      <c r="W706" s="27">
        <v>478.08</v>
      </c>
      <c r="X706" s="27">
        <v>2.833213</v>
      </c>
      <c r="Y706" s="27">
        <v>6.171868</v>
      </c>
      <c r="Z706" s="27">
        <v>4.2426</v>
      </c>
      <c r="AA706" s="27" t="s">
        <v>125</v>
      </c>
      <c r="AB706" s="27">
        <v>0</v>
      </c>
      <c r="AC706" s="27">
        <v>0</v>
      </c>
      <c r="AD706" s="27">
        <v>0</v>
      </c>
      <c r="AE706" s="27">
        <v>0</v>
      </c>
      <c r="AF706" s="27">
        <v>0</v>
      </c>
      <c r="AG706" s="27">
        <v>0</v>
      </c>
      <c r="AH706" s="27">
        <v>0</v>
      </c>
      <c r="AI706" s="27">
        <v>0</v>
      </c>
      <c r="AJ706" s="27">
        <v>0</v>
      </c>
      <c r="AK706" s="27">
        <v>0</v>
      </c>
      <c r="AL706" s="27">
        <v>0</v>
      </c>
      <c r="AM706" s="27">
        <v>0</v>
      </c>
      <c r="AN706" s="27">
        <v>0</v>
      </c>
      <c r="AO706" s="27">
        <v>0</v>
      </c>
      <c r="AP706" s="27">
        <v>0</v>
      </c>
      <c r="AQ706" s="27">
        <v>1</v>
      </c>
      <c r="AR706" s="27">
        <v>0</v>
      </c>
      <c r="AS706" s="27">
        <v>0</v>
      </c>
      <c r="AT706" s="27">
        <v>0</v>
      </c>
      <c r="AU706" s="27">
        <v>0</v>
      </c>
      <c r="AV706" s="27">
        <v>1</v>
      </c>
      <c r="AW706" s="27">
        <v>0</v>
      </c>
      <c r="AX706" s="27">
        <v>0</v>
      </c>
      <c r="AZ706" s="27">
        <v>1</v>
      </c>
      <c r="BA706" s="27">
        <v>1</v>
      </c>
      <c r="BB706" s="27">
        <v>48.34</v>
      </c>
      <c r="BC706" s="27" t="s">
        <v>1212</v>
      </c>
      <c r="BD706" s="27" t="s">
        <v>1213</v>
      </c>
      <c r="BE706" s="27" t="s">
        <v>1214</v>
      </c>
      <c r="BF706" s="27" t="s">
        <v>77</v>
      </c>
      <c r="BG706" s="27">
        <v>1</v>
      </c>
      <c r="BH706" s="27">
        <v>26</v>
      </c>
      <c r="BI706" s="27">
        <v>0.037</v>
      </c>
      <c r="BJ706" s="27">
        <v>1</v>
      </c>
      <c r="BK706" s="27">
        <v>6</v>
      </c>
      <c r="BL706" s="27">
        <v>98.4</v>
      </c>
    </row>
    <row r="707" customHeight="1" spans="1:64">
      <c r="A707" s="27" t="s">
        <v>2123</v>
      </c>
      <c r="B707" s="27" t="s">
        <v>1135</v>
      </c>
      <c r="C707" s="27" t="s">
        <v>1765</v>
      </c>
      <c r="E707" s="27" t="s">
        <v>255</v>
      </c>
      <c r="F707" s="27" t="s">
        <v>82</v>
      </c>
      <c r="G707" s="27" t="s">
        <v>83</v>
      </c>
      <c r="H707" s="27" t="s">
        <v>84</v>
      </c>
      <c r="I707" s="27" t="s">
        <v>85</v>
      </c>
      <c r="J707" s="27">
        <v>5</v>
      </c>
      <c r="K707" s="27">
        <v>219.99</v>
      </c>
      <c r="M707" s="27">
        <v>0</v>
      </c>
      <c r="N707" s="27">
        <v>0</v>
      </c>
      <c r="O707" s="27">
        <v>0</v>
      </c>
      <c r="P707" s="27" t="s">
        <v>71</v>
      </c>
      <c r="Q707" s="27">
        <v>5.398117</v>
      </c>
      <c r="S707" s="27">
        <v>59</v>
      </c>
      <c r="T707" s="27">
        <v>10</v>
      </c>
      <c r="U707" s="27">
        <v>0.8551</v>
      </c>
      <c r="V707" s="27" t="s">
        <v>72</v>
      </c>
      <c r="W707" s="27">
        <v>12979.41</v>
      </c>
      <c r="X707" s="27">
        <v>4.094345</v>
      </c>
      <c r="Y707" s="27">
        <v>9.471197</v>
      </c>
      <c r="Z707" s="27">
        <v>3.1623</v>
      </c>
      <c r="AA707" s="27" t="s">
        <v>88</v>
      </c>
      <c r="AB707" s="27">
        <v>0</v>
      </c>
      <c r="AC707" s="27">
        <v>0</v>
      </c>
      <c r="AD707" s="27">
        <v>0</v>
      </c>
      <c r="AE707" s="27">
        <v>1</v>
      </c>
      <c r="AF707" s="27">
        <v>1</v>
      </c>
      <c r="AG707" s="27">
        <v>0</v>
      </c>
      <c r="AH707" s="27">
        <v>1</v>
      </c>
      <c r="AI707" s="27">
        <v>0</v>
      </c>
      <c r="AJ707" s="27">
        <v>0</v>
      </c>
      <c r="AK707" s="27">
        <v>0</v>
      </c>
      <c r="AL707" s="27">
        <v>0</v>
      </c>
      <c r="AM707" s="27">
        <v>0</v>
      </c>
      <c r="AN707" s="27">
        <v>0</v>
      </c>
      <c r="AO707" s="27">
        <v>0</v>
      </c>
      <c r="AP707" s="27">
        <v>0</v>
      </c>
      <c r="AQ707" s="27">
        <v>0</v>
      </c>
      <c r="AR707" s="27">
        <v>0</v>
      </c>
      <c r="AS707" s="27">
        <v>0</v>
      </c>
      <c r="AT707" s="27">
        <v>1</v>
      </c>
      <c r="AU707" s="27">
        <v>0</v>
      </c>
      <c r="AV707" s="27">
        <v>0</v>
      </c>
      <c r="AW707" s="27">
        <v>1</v>
      </c>
      <c r="AX707" s="27">
        <v>0</v>
      </c>
      <c r="AZ707" s="27">
        <v>1</v>
      </c>
      <c r="BA707" s="27">
        <v>2</v>
      </c>
      <c r="BB707" s="27">
        <v>49.5</v>
      </c>
      <c r="BC707" s="27" t="s">
        <v>1137</v>
      </c>
      <c r="BD707" s="27" t="s">
        <v>286</v>
      </c>
      <c r="BE707" s="27" t="s">
        <v>287</v>
      </c>
      <c r="BF707" s="27" t="s">
        <v>77</v>
      </c>
      <c r="BG707" s="27">
        <v>1</v>
      </c>
      <c r="BH707" s="27">
        <v>20</v>
      </c>
      <c r="BI707" s="27">
        <v>0.0476</v>
      </c>
      <c r="BJ707" s="27">
        <v>1</v>
      </c>
      <c r="BK707" s="27">
        <v>179</v>
      </c>
      <c r="BL707" s="27">
        <v>51</v>
      </c>
    </row>
    <row r="708" customHeight="1" spans="1:64">
      <c r="A708" s="27" t="s">
        <v>2124</v>
      </c>
      <c r="B708" s="27" t="s">
        <v>739</v>
      </c>
      <c r="D708" s="27">
        <v>6977118370568</v>
      </c>
      <c r="E708" s="27" t="s">
        <v>2125</v>
      </c>
      <c r="F708" s="27" t="s">
        <v>82</v>
      </c>
      <c r="G708" s="27" t="s">
        <v>83</v>
      </c>
      <c r="H708" s="27" t="s">
        <v>84</v>
      </c>
      <c r="I708" s="27" t="s">
        <v>85</v>
      </c>
      <c r="J708" s="27">
        <v>5</v>
      </c>
      <c r="K708" s="27">
        <v>399.99</v>
      </c>
      <c r="M708" s="27">
        <v>0</v>
      </c>
      <c r="N708" s="27">
        <v>0</v>
      </c>
      <c r="O708" s="27">
        <v>0</v>
      </c>
      <c r="P708" s="27" t="s">
        <v>71</v>
      </c>
      <c r="Q708" s="27">
        <v>5.993936</v>
      </c>
      <c r="V708" s="27" t="s">
        <v>231</v>
      </c>
      <c r="W708" s="27">
        <v>0</v>
      </c>
      <c r="X708" s="27">
        <v>0</v>
      </c>
      <c r="Y708" s="27">
        <v>0</v>
      </c>
      <c r="Z708" s="27">
        <v>0</v>
      </c>
      <c r="AA708" s="27" t="s">
        <v>125</v>
      </c>
      <c r="AB708" s="27">
        <v>0</v>
      </c>
      <c r="AC708" s="27">
        <v>0</v>
      </c>
      <c r="AD708" s="27">
        <v>0</v>
      </c>
      <c r="AE708" s="27">
        <v>1</v>
      </c>
      <c r="AF708" s="27">
        <v>0</v>
      </c>
      <c r="AG708" s="27">
        <v>0</v>
      </c>
      <c r="AH708" s="27">
        <v>1</v>
      </c>
      <c r="AI708" s="27">
        <v>0</v>
      </c>
      <c r="AJ708" s="27">
        <v>0</v>
      </c>
      <c r="AK708" s="27">
        <v>0</v>
      </c>
      <c r="AL708" s="27">
        <v>0</v>
      </c>
      <c r="AM708" s="27">
        <v>0</v>
      </c>
      <c r="AN708" s="27">
        <v>0</v>
      </c>
      <c r="AO708" s="27">
        <v>0</v>
      </c>
      <c r="AP708" s="27">
        <v>0</v>
      </c>
      <c r="AQ708" s="27">
        <v>0</v>
      </c>
      <c r="AR708" s="27">
        <v>0</v>
      </c>
      <c r="AS708" s="27">
        <v>0</v>
      </c>
      <c r="AT708" s="27">
        <v>0</v>
      </c>
      <c r="AU708" s="27">
        <v>0</v>
      </c>
      <c r="AV708" s="27">
        <v>0</v>
      </c>
      <c r="AW708" s="27">
        <v>1</v>
      </c>
      <c r="AX708" s="27">
        <v>0</v>
      </c>
      <c r="AZ708" s="27">
        <v>1</v>
      </c>
      <c r="BA708" s="27">
        <v>2</v>
      </c>
      <c r="BB708" s="27">
        <v>0</v>
      </c>
      <c r="BC708" s="27" t="s">
        <v>2126</v>
      </c>
      <c r="BD708" s="27" t="s">
        <v>2127</v>
      </c>
      <c r="BE708" s="27" t="s">
        <v>128</v>
      </c>
      <c r="BF708" s="27" t="s">
        <v>77</v>
      </c>
      <c r="BG708" s="27">
        <v>2</v>
      </c>
      <c r="BH708" s="27">
        <v>220</v>
      </c>
      <c r="BI708" s="27">
        <v>0.009</v>
      </c>
      <c r="BJ708" s="27">
        <v>0</v>
      </c>
    </row>
    <row r="709" customHeight="1" spans="1:64">
      <c r="A709" s="27" t="s">
        <v>2128</v>
      </c>
      <c r="B709" s="27" t="s">
        <v>384</v>
      </c>
      <c r="C709" s="27" t="s">
        <v>1071</v>
      </c>
      <c r="E709" s="27" t="s">
        <v>209</v>
      </c>
      <c r="F709" s="27" t="s">
        <v>462</v>
      </c>
      <c r="G709" s="27" t="s">
        <v>83</v>
      </c>
      <c r="H709" s="27" t="s">
        <v>84</v>
      </c>
      <c r="I709" s="27" t="s">
        <v>85</v>
      </c>
      <c r="J709" s="27">
        <v>5</v>
      </c>
      <c r="K709" s="27">
        <v>145.99</v>
      </c>
      <c r="L709" s="27">
        <v>162.21</v>
      </c>
      <c r="M709" s="27">
        <v>10</v>
      </c>
      <c r="N709" s="27">
        <v>16.22</v>
      </c>
      <c r="O709" s="27">
        <v>1</v>
      </c>
      <c r="P709" s="27" t="s">
        <v>95</v>
      </c>
      <c r="Q709" s="27">
        <v>4.990365</v>
      </c>
      <c r="R709" s="27">
        <v>9.12</v>
      </c>
      <c r="S709" s="27">
        <v>43</v>
      </c>
      <c r="T709" s="27">
        <v>15</v>
      </c>
      <c r="U709" s="27">
        <v>0.7414</v>
      </c>
      <c r="V709" s="27" t="s">
        <v>72</v>
      </c>
      <c r="W709" s="27">
        <v>6277.57</v>
      </c>
      <c r="X709" s="27">
        <v>3.78419</v>
      </c>
      <c r="Y709" s="27">
        <v>8.744898</v>
      </c>
      <c r="Z709" s="27">
        <v>3.873</v>
      </c>
      <c r="AA709" s="27" t="s">
        <v>110</v>
      </c>
      <c r="AB709" s="27">
        <v>1</v>
      </c>
      <c r="AC709" s="27">
        <v>0</v>
      </c>
      <c r="AD709" s="27">
        <v>0</v>
      </c>
      <c r="AE709" s="27">
        <v>0</v>
      </c>
      <c r="AF709" s="27">
        <v>0</v>
      </c>
      <c r="AG709" s="27">
        <v>0</v>
      </c>
      <c r="AH709" s="27">
        <v>1</v>
      </c>
      <c r="AI709" s="27">
        <v>0</v>
      </c>
      <c r="AJ709" s="27">
        <v>1</v>
      </c>
      <c r="AK709" s="27">
        <v>1</v>
      </c>
      <c r="AL709" s="27">
        <v>0</v>
      </c>
      <c r="AM709" s="27">
        <v>0</v>
      </c>
      <c r="AN709" s="27">
        <v>0</v>
      </c>
      <c r="AO709" s="27">
        <v>0</v>
      </c>
      <c r="AP709" s="27">
        <v>0</v>
      </c>
      <c r="AQ709" s="27">
        <v>1</v>
      </c>
      <c r="AR709" s="27">
        <v>0</v>
      </c>
      <c r="AS709" s="27">
        <v>0</v>
      </c>
      <c r="AT709" s="27">
        <v>0</v>
      </c>
      <c r="AU709" s="27">
        <v>0</v>
      </c>
      <c r="AV709" s="27">
        <v>1</v>
      </c>
      <c r="AW709" s="27">
        <v>1</v>
      </c>
      <c r="AX709" s="27">
        <v>0</v>
      </c>
      <c r="AY709" s="27">
        <v>16</v>
      </c>
      <c r="AZ709" s="27">
        <v>1</v>
      </c>
      <c r="BA709" s="27">
        <v>4</v>
      </c>
      <c r="BB709" s="27">
        <v>62.24</v>
      </c>
      <c r="BC709" s="27" t="s">
        <v>772</v>
      </c>
      <c r="BD709" s="27" t="s">
        <v>773</v>
      </c>
      <c r="BE709" s="27" t="s">
        <v>774</v>
      </c>
      <c r="BF709" s="27" t="s">
        <v>77</v>
      </c>
      <c r="BG709" s="27">
        <v>1</v>
      </c>
      <c r="BH709" s="27">
        <v>28</v>
      </c>
      <c r="BI709" s="27">
        <v>0.0345</v>
      </c>
      <c r="BJ709" s="27">
        <v>1</v>
      </c>
      <c r="BK709" s="27">
        <v>5</v>
      </c>
      <c r="BL709" s="27">
        <v>98.6</v>
      </c>
    </row>
    <row r="710" customHeight="1" spans="1:64">
      <c r="A710" s="27" t="s">
        <v>2129</v>
      </c>
      <c r="B710" s="27" t="s">
        <v>739</v>
      </c>
      <c r="E710" s="27" t="s">
        <v>81</v>
      </c>
      <c r="F710" s="27" t="s">
        <v>82</v>
      </c>
      <c r="G710" s="27" t="s">
        <v>83</v>
      </c>
      <c r="H710" s="27" t="s">
        <v>84</v>
      </c>
      <c r="I710" s="27" t="s">
        <v>108</v>
      </c>
      <c r="J710" s="27">
        <v>3</v>
      </c>
      <c r="K710" s="27">
        <v>29.99</v>
      </c>
      <c r="M710" s="27">
        <v>0</v>
      </c>
      <c r="N710" s="27">
        <v>0</v>
      </c>
      <c r="O710" s="27">
        <v>0</v>
      </c>
      <c r="P710" s="27" t="s">
        <v>86</v>
      </c>
      <c r="Q710" s="27">
        <v>3.433665</v>
      </c>
      <c r="S710" s="27">
        <v>2</v>
      </c>
      <c r="T710" s="27">
        <v>10</v>
      </c>
      <c r="U710" s="27">
        <v>0.1667</v>
      </c>
      <c r="V710" s="27" t="s">
        <v>87</v>
      </c>
      <c r="W710" s="27">
        <v>59.98</v>
      </c>
      <c r="X710" s="27">
        <v>1.098612</v>
      </c>
      <c r="Y710" s="27">
        <v>4.110546</v>
      </c>
      <c r="Z710" s="27">
        <v>3.1623</v>
      </c>
      <c r="AA710" s="27" t="s">
        <v>110</v>
      </c>
      <c r="AB710" s="27">
        <v>0</v>
      </c>
      <c r="AC710" s="27">
        <v>0</v>
      </c>
      <c r="AD710" s="27">
        <v>0</v>
      </c>
      <c r="AE710" s="27">
        <v>0</v>
      </c>
      <c r="AF710" s="27">
        <v>0</v>
      </c>
      <c r="AG710" s="27">
        <v>0</v>
      </c>
      <c r="AH710" s="27">
        <v>1</v>
      </c>
      <c r="AI710" s="27">
        <v>0</v>
      </c>
      <c r="AJ710" s="27">
        <v>0</v>
      </c>
      <c r="AK710" s="27">
        <v>0</v>
      </c>
      <c r="AL710" s="27">
        <v>1</v>
      </c>
      <c r="AM710" s="27">
        <v>0</v>
      </c>
      <c r="AN710" s="27">
        <v>0</v>
      </c>
      <c r="AO710" s="27">
        <v>0</v>
      </c>
      <c r="AP710" s="27">
        <v>0</v>
      </c>
      <c r="AQ710" s="27">
        <v>0</v>
      </c>
      <c r="AR710" s="27">
        <v>1</v>
      </c>
      <c r="AS710" s="27">
        <v>0</v>
      </c>
      <c r="AT710" s="27">
        <v>0</v>
      </c>
      <c r="AU710" s="27">
        <v>1</v>
      </c>
      <c r="AV710" s="27">
        <v>0</v>
      </c>
      <c r="AW710" s="27">
        <v>0</v>
      </c>
      <c r="AX710" s="27">
        <v>0</v>
      </c>
      <c r="AZ710" s="27">
        <v>1</v>
      </c>
      <c r="BA710" s="27">
        <v>2</v>
      </c>
      <c r="BB710" s="27">
        <v>34.03</v>
      </c>
      <c r="BC710" s="27" t="s">
        <v>1291</v>
      </c>
      <c r="BD710" s="27" t="s">
        <v>169</v>
      </c>
      <c r="BE710" s="27" t="s">
        <v>128</v>
      </c>
      <c r="BF710" s="27" t="s">
        <v>77</v>
      </c>
      <c r="BG710" s="27">
        <v>1</v>
      </c>
      <c r="BH710" s="27">
        <v>28</v>
      </c>
      <c r="BI710" s="27">
        <v>0.0345</v>
      </c>
      <c r="BJ710" s="27">
        <v>1</v>
      </c>
      <c r="BK710" s="27">
        <v>32</v>
      </c>
      <c r="BL710" s="27">
        <v>91.2</v>
      </c>
    </row>
    <row r="711" customHeight="1" spans="1:64">
      <c r="A711" s="27" t="s">
        <v>2130</v>
      </c>
      <c r="B711" s="27" t="s">
        <v>171</v>
      </c>
      <c r="C711" s="27" t="s">
        <v>2131</v>
      </c>
      <c r="E711" s="27" t="s">
        <v>2132</v>
      </c>
      <c r="F711" s="27" t="s">
        <v>160</v>
      </c>
      <c r="G711" s="27" t="s">
        <v>83</v>
      </c>
      <c r="H711" s="27" t="s">
        <v>84</v>
      </c>
      <c r="I711" s="27" t="s">
        <v>85</v>
      </c>
      <c r="J711" s="27">
        <v>5</v>
      </c>
      <c r="K711" s="27">
        <v>109.49</v>
      </c>
      <c r="M711" s="27">
        <v>0</v>
      </c>
      <c r="N711" s="27">
        <v>0</v>
      </c>
      <c r="O711" s="27">
        <v>0</v>
      </c>
      <c r="P711" s="27" t="s">
        <v>95</v>
      </c>
      <c r="Q711" s="27">
        <v>4.704925</v>
      </c>
      <c r="R711" s="27">
        <v>13.69</v>
      </c>
      <c r="S711" s="27">
        <v>31</v>
      </c>
      <c r="T711" s="27">
        <v>10</v>
      </c>
      <c r="U711" s="27">
        <v>0.7561</v>
      </c>
      <c r="V711" s="27" t="s">
        <v>72</v>
      </c>
      <c r="W711" s="27">
        <v>3394.19</v>
      </c>
      <c r="X711" s="27">
        <v>3.465736</v>
      </c>
      <c r="Y711" s="27">
        <v>8.130115</v>
      </c>
      <c r="Z711" s="27">
        <v>3.1623</v>
      </c>
      <c r="AA711" s="27" t="s">
        <v>110</v>
      </c>
      <c r="AB711" s="27">
        <v>1</v>
      </c>
      <c r="AC711" s="27">
        <v>1</v>
      </c>
      <c r="AD711" s="27">
        <v>0</v>
      </c>
      <c r="AE711" s="27">
        <v>0</v>
      </c>
      <c r="AF711" s="27">
        <v>0</v>
      </c>
      <c r="AG711" s="27">
        <v>0</v>
      </c>
      <c r="AH711" s="27">
        <v>0</v>
      </c>
      <c r="AI711" s="27">
        <v>0</v>
      </c>
      <c r="AJ711" s="27">
        <v>0</v>
      </c>
      <c r="AK711" s="27">
        <v>0</v>
      </c>
      <c r="AL711" s="27">
        <v>0</v>
      </c>
      <c r="AM711" s="27">
        <v>0</v>
      </c>
      <c r="AN711" s="27">
        <v>0</v>
      </c>
      <c r="AO711" s="27">
        <v>0</v>
      </c>
      <c r="AP711" s="27">
        <v>0</v>
      </c>
      <c r="AQ711" s="27">
        <v>1</v>
      </c>
      <c r="AR711" s="27">
        <v>0</v>
      </c>
      <c r="AS711" s="27">
        <v>0</v>
      </c>
      <c r="AT711" s="27">
        <v>1</v>
      </c>
      <c r="AU711" s="27">
        <v>0</v>
      </c>
      <c r="AV711" s="27">
        <v>1</v>
      </c>
      <c r="AW711" s="27">
        <v>1</v>
      </c>
      <c r="AX711" s="27">
        <v>0</v>
      </c>
      <c r="AY711" s="27">
        <v>8</v>
      </c>
      <c r="AZ711" s="27">
        <v>1</v>
      </c>
      <c r="BA711" s="27">
        <v>3</v>
      </c>
      <c r="BB711" s="27">
        <v>59.91</v>
      </c>
      <c r="BC711" s="27" t="s">
        <v>506</v>
      </c>
      <c r="BD711" s="27" t="s">
        <v>175</v>
      </c>
      <c r="BE711" s="27" t="s">
        <v>91</v>
      </c>
      <c r="BF711" s="27" t="s">
        <v>77</v>
      </c>
      <c r="BG711" s="27">
        <v>161</v>
      </c>
      <c r="BH711" s="27">
        <v>61</v>
      </c>
      <c r="BI711" s="27">
        <v>0.7252</v>
      </c>
      <c r="BJ711" s="27">
        <v>0</v>
      </c>
      <c r="BK711" s="27">
        <v>4</v>
      </c>
      <c r="BL711" s="27">
        <v>98.9</v>
      </c>
    </row>
    <row r="712" customHeight="1" spans="1:64">
      <c r="A712" s="27" t="s">
        <v>2133</v>
      </c>
      <c r="B712" s="27" t="s">
        <v>2134</v>
      </c>
      <c r="C712" s="27" t="s">
        <v>2135</v>
      </c>
      <c r="D712" s="27">
        <v>704537716990</v>
      </c>
      <c r="E712" s="27" t="s">
        <v>163</v>
      </c>
      <c r="F712" s="27" t="s">
        <v>132</v>
      </c>
      <c r="G712" s="27" t="s">
        <v>83</v>
      </c>
      <c r="H712" s="27" t="s">
        <v>84</v>
      </c>
      <c r="I712" s="27" t="s">
        <v>85</v>
      </c>
      <c r="J712" s="27">
        <v>5</v>
      </c>
      <c r="K712" s="27">
        <v>19.99</v>
      </c>
      <c r="M712" s="27">
        <v>0</v>
      </c>
      <c r="N712" s="27">
        <v>0</v>
      </c>
      <c r="O712" s="27">
        <v>0</v>
      </c>
      <c r="P712" s="27" t="s">
        <v>133</v>
      </c>
      <c r="Q712" s="27">
        <v>3.044046</v>
      </c>
      <c r="S712" s="27">
        <v>36</v>
      </c>
      <c r="T712" s="27">
        <v>20</v>
      </c>
      <c r="U712" s="27">
        <v>0.6429</v>
      </c>
      <c r="V712" s="27" t="s">
        <v>72</v>
      </c>
      <c r="W712" s="27">
        <v>719.64</v>
      </c>
      <c r="X712" s="27">
        <v>3.610918</v>
      </c>
      <c r="Y712" s="27">
        <v>6.58014</v>
      </c>
      <c r="Z712" s="27">
        <v>4.4721</v>
      </c>
      <c r="AA712" s="27" t="s">
        <v>125</v>
      </c>
      <c r="AB712" s="27">
        <v>0</v>
      </c>
      <c r="AC712" s="27">
        <v>0</v>
      </c>
      <c r="AD712" s="27">
        <v>0</v>
      </c>
      <c r="AE712" s="27">
        <v>0</v>
      </c>
      <c r="AF712" s="27">
        <v>0</v>
      </c>
      <c r="AG712" s="27">
        <v>0</v>
      </c>
      <c r="AH712" s="27">
        <v>0</v>
      </c>
      <c r="AI712" s="27">
        <v>0</v>
      </c>
      <c r="AJ712" s="27">
        <v>0</v>
      </c>
      <c r="AK712" s="27">
        <v>0</v>
      </c>
      <c r="AL712" s="27">
        <v>0</v>
      </c>
      <c r="AM712" s="27">
        <v>0</v>
      </c>
      <c r="AN712" s="27">
        <v>0</v>
      </c>
      <c r="AO712" s="27">
        <v>0</v>
      </c>
      <c r="AP712" s="27">
        <v>0</v>
      </c>
      <c r="AQ712" s="27">
        <v>1</v>
      </c>
      <c r="AR712" s="27">
        <v>0</v>
      </c>
      <c r="AS712" s="27">
        <v>0</v>
      </c>
      <c r="AT712" s="27">
        <v>0</v>
      </c>
      <c r="AU712" s="27">
        <v>0</v>
      </c>
      <c r="AV712" s="27">
        <v>1</v>
      </c>
      <c r="AW712" s="27">
        <v>1</v>
      </c>
      <c r="AX712" s="27">
        <v>0</v>
      </c>
      <c r="AZ712" s="27">
        <v>4</v>
      </c>
      <c r="BA712" s="27">
        <v>1</v>
      </c>
      <c r="BB712" s="27">
        <v>55.57</v>
      </c>
      <c r="BC712" s="27" t="s">
        <v>74</v>
      </c>
      <c r="BD712" s="27" t="s">
        <v>75</v>
      </c>
      <c r="BE712" s="27" t="s">
        <v>76</v>
      </c>
      <c r="BF712" s="27" t="s">
        <v>77</v>
      </c>
      <c r="BG712" s="27">
        <v>168</v>
      </c>
      <c r="BH712" s="27">
        <v>13</v>
      </c>
      <c r="BI712" s="27">
        <v>0.9282</v>
      </c>
      <c r="BJ712" s="27">
        <v>0</v>
      </c>
      <c r="BK712" s="27">
        <v>2</v>
      </c>
      <c r="BL712" s="27">
        <v>99.5</v>
      </c>
    </row>
    <row r="713" customHeight="1" spans="1:64">
      <c r="A713" s="27" t="s">
        <v>2136</v>
      </c>
      <c r="B713" s="27" t="s">
        <v>1349</v>
      </c>
      <c r="D713" s="27">
        <v>6901425854602</v>
      </c>
      <c r="E713" s="27" t="s">
        <v>1350</v>
      </c>
      <c r="F713" s="27" t="s">
        <v>82</v>
      </c>
      <c r="G713" s="27" t="s">
        <v>83</v>
      </c>
      <c r="H713" s="27" t="s">
        <v>84</v>
      </c>
      <c r="I713" s="27" t="s">
        <v>85</v>
      </c>
      <c r="J713" s="27">
        <v>5</v>
      </c>
      <c r="K713" s="27">
        <v>108.56</v>
      </c>
      <c r="M713" s="27">
        <v>0</v>
      </c>
      <c r="N713" s="27">
        <v>0</v>
      </c>
      <c r="O713" s="27">
        <v>0</v>
      </c>
      <c r="P713" s="27" t="s">
        <v>95</v>
      </c>
      <c r="Q713" s="27">
        <v>4.696472</v>
      </c>
      <c r="S713" s="27">
        <v>22</v>
      </c>
      <c r="T713" s="27">
        <v>39</v>
      </c>
      <c r="U713" s="27">
        <v>0.3607</v>
      </c>
      <c r="V713" s="27" t="s">
        <v>72</v>
      </c>
      <c r="W713" s="27">
        <v>2388.32</v>
      </c>
      <c r="X713" s="27">
        <v>3.135494</v>
      </c>
      <c r="Y713" s="27">
        <v>7.778764</v>
      </c>
      <c r="Z713" s="27">
        <v>6.245</v>
      </c>
      <c r="AA713" s="27" t="s">
        <v>187</v>
      </c>
      <c r="AB713" s="27">
        <v>0</v>
      </c>
      <c r="AC713" s="27">
        <v>0</v>
      </c>
      <c r="AD713" s="27">
        <v>0</v>
      </c>
      <c r="AE713" s="27">
        <v>1</v>
      </c>
      <c r="AF713" s="27">
        <v>1</v>
      </c>
      <c r="AG713" s="27">
        <v>0</v>
      </c>
      <c r="AH713" s="27">
        <v>1</v>
      </c>
      <c r="AI713" s="27">
        <v>0</v>
      </c>
      <c r="AJ713" s="27">
        <v>0</v>
      </c>
      <c r="AK713" s="27">
        <v>0</v>
      </c>
      <c r="AL713" s="27">
        <v>0</v>
      </c>
      <c r="AM713" s="27">
        <v>0</v>
      </c>
      <c r="AN713" s="27">
        <v>0</v>
      </c>
      <c r="AO713" s="27">
        <v>0</v>
      </c>
      <c r="AP713" s="27">
        <v>0</v>
      </c>
      <c r="AQ713" s="27">
        <v>0</v>
      </c>
      <c r="AR713" s="27">
        <v>0</v>
      </c>
      <c r="AS713" s="27">
        <v>0</v>
      </c>
      <c r="AT713" s="27">
        <v>1</v>
      </c>
      <c r="AU713" s="27">
        <v>0</v>
      </c>
      <c r="AV713" s="27">
        <v>0</v>
      </c>
      <c r="AW713" s="27">
        <v>1</v>
      </c>
      <c r="AX713" s="27">
        <v>0</v>
      </c>
      <c r="AZ713" s="27">
        <v>1</v>
      </c>
      <c r="BA713" s="27">
        <v>2</v>
      </c>
      <c r="BB713" s="27">
        <v>43.53</v>
      </c>
      <c r="BC713" s="27" t="s">
        <v>1351</v>
      </c>
      <c r="BD713" s="27" t="s">
        <v>169</v>
      </c>
      <c r="BE713" s="27" t="s">
        <v>113</v>
      </c>
      <c r="BF713" s="27" t="s">
        <v>77</v>
      </c>
      <c r="BG713" s="27">
        <v>162</v>
      </c>
      <c r="BH713" s="27">
        <v>59</v>
      </c>
      <c r="BI713" s="27">
        <v>0.733</v>
      </c>
      <c r="BJ713" s="27">
        <v>0</v>
      </c>
      <c r="BK713" s="27">
        <v>11</v>
      </c>
      <c r="BL713" s="27">
        <v>97</v>
      </c>
    </row>
    <row r="714" customHeight="1" spans="1:64">
      <c r="A714" s="27" t="s">
        <v>2137</v>
      </c>
      <c r="B714" s="27" t="s">
        <v>2138</v>
      </c>
      <c r="E714" s="27" t="s">
        <v>438</v>
      </c>
      <c r="F714" s="27" t="s">
        <v>240</v>
      </c>
      <c r="G714" s="27" t="s">
        <v>83</v>
      </c>
      <c r="H714" s="27" t="s">
        <v>84</v>
      </c>
      <c r="I714" s="27" t="s">
        <v>203</v>
      </c>
      <c r="J714" s="27">
        <v>4</v>
      </c>
      <c r="K714" s="27">
        <v>100</v>
      </c>
      <c r="M714" s="27">
        <v>0</v>
      </c>
      <c r="N714" s="27">
        <v>0</v>
      </c>
      <c r="O714" s="27">
        <v>0</v>
      </c>
      <c r="P714" s="27" t="s">
        <v>95</v>
      </c>
      <c r="Q714" s="27">
        <v>4.615121</v>
      </c>
      <c r="R714" s="27">
        <v>12.5</v>
      </c>
      <c r="V714" s="27" t="s">
        <v>231</v>
      </c>
      <c r="W714" s="27">
        <v>0</v>
      </c>
      <c r="X714" s="27">
        <v>0</v>
      </c>
      <c r="Y714" s="27">
        <v>0</v>
      </c>
      <c r="Z714" s="27">
        <v>0</v>
      </c>
      <c r="AA714" s="27" t="s">
        <v>125</v>
      </c>
      <c r="AB714" s="27">
        <v>0</v>
      </c>
      <c r="AC714" s="27">
        <v>0</v>
      </c>
      <c r="AD714" s="27">
        <v>0</v>
      </c>
      <c r="AE714" s="27">
        <v>0</v>
      </c>
      <c r="AF714" s="27">
        <v>0</v>
      </c>
      <c r="AG714" s="27">
        <v>0</v>
      </c>
      <c r="AH714" s="27">
        <v>0</v>
      </c>
      <c r="AI714" s="27">
        <v>0</v>
      </c>
      <c r="AJ714" s="27">
        <v>0</v>
      </c>
      <c r="AK714" s="27">
        <v>0</v>
      </c>
      <c r="AL714" s="27">
        <v>0</v>
      </c>
      <c r="AM714" s="27">
        <v>0</v>
      </c>
      <c r="AN714" s="27">
        <v>0</v>
      </c>
      <c r="AO714" s="27">
        <v>0</v>
      </c>
      <c r="AP714" s="27">
        <v>0</v>
      </c>
      <c r="AQ714" s="27">
        <v>0</v>
      </c>
      <c r="AR714" s="27">
        <v>0</v>
      </c>
      <c r="AS714" s="27">
        <v>0</v>
      </c>
      <c r="AT714" s="27">
        <v>0</v>
      </c>
      <c r="AU714" s="27">
        <v>0</v>
      </c>
      <c r="AV714" s="27">
        <v>0</v>
      </c>
      <c r="AW714" s="27">
        <v>1</v>
      </c>
      <c r="AX714" s="27">
        <v>0</v>
      </c>
      <c r="AY714" s="27">
        <v>8</v>
      </c>
      <c r="AZ714" s="27">
        <v>1</v>
      </c>
      <c r="BA714" s="27">
        <v>0</v>
      </c>
      <c r="BB714" s="27">
        <v>23.25</v>
      </c>
      <c r="BC714" s="27" t="s">
        <v>2139</v>
      </c>
      <c r="BD714" s="27" t="s">
        <v>1274</v>
      </c>
      <c r="BE714" s="27" t="s">
        <v>756</v>
      </c>
      <c r="BF714" s="27" t="s">
        <v>77</v>
      </c>
      <c r="BG714" s="27">
        <v>192</v>
      </c>
      <c r="BH714" s="27">
        <v>11</v>
      </c>
      <c r="BI714" s="27">
        <v>0.9458</v>
      </c>
      <c r="BJ714" s="27">
        <v>0</v>
      </c>
      <c r="BK714" s="27">
        <v>82</v>
      </c>
      <c r="BL714" s="27">
        <v>77.5</v>
      </c>
    </row>
    <row r="715" customHeight="1" spans="1:64">
      <c r="A715" s="27" t="s">
        <v>2140</v>
      </c>
      <c r="B715" s="27" t="s">
        <v>125</v>
      </c>
      <c r="C715" s="27" t="s">
        <v>1607</v>
      </c>
      <c r="E715" s="27" t="s">
        <v>1606</v>
      </c>
      <c r="F715" s="27" t="s">
        <v>132</v>
      </c>
      <c r="G715" s="27" t="s">
        <v>83</v>
      </c>
      <c r="H715" s="27" t="s">
        <v>138</v>
      </c>
      <c r="I715" s="27" t="s">
        <v>85</v>
      </c>
      <c r="J715" s="27">
        <v>5</v>
      </c>
      <c r="K715" s="27">
        <v>49.99</v>
      </c>
      <c r="M715" s="27">
        <v>0</v>
      </c>
      <c r="N715" s="27">
        <v>0</v>
      </c>
      <c r="O715" s="27">
        <v>0</v>
      </c>
      <c r="P715" s="27" t="s">
        <v>86</v>
      </c>
      <c r="Q715" s="27">
        <v>3.93163</v>
      </c>
      <c r="S715" s="27">
        <v>35</v>
      </c>
      <c r="T715" s="27">
        <v>10</v>
      </c>
      <c r="U715" s="27">
        <v>0.7778</v>
      </c>
      <c r="V715" s="27" t="s">
        <v>72</v>
      </c>
      <c r="W715" s="27">
        <v>1749.65</v>
      </c>
      <c r="X715" s="27">
        <v>3.583519</v>
      </c>
      <c r="Y715" s="27">
        <v>7.467742</v>
      </c>
      <c r="Z715" s="27">
        <v>3.1623</v>
      </c>
      <c r="AA715" s="27" t="s">
        <v>125</v>
      </c>
      <c r="AB715" s="27">
        <v>0</v>
      </c>
      <c r="AC715" s="27">
        <v>0</v>
      </c>
      <c r="AD715" s="27">
        <v>0</v>
      </c>
      <c r="AE715" s="27">
        <v>0</v>
      </c>
      <c r="AF715" s="27">
        <v>0</v>
      </c>
      <c r="AG715" s="27">
        <v>0</v>
      </c>
      <c r="AH715" s="27">
        <v>0</v>
      </c>
      <c r="AI715" s="27">
        <v>0</v>
      </c>
      <c r="AJ715" s="27">
        <v>0</v>
      </c>
      <c r="AK715" s="27">
        <v>0</v>
      </c>
      <c r="AL715" s="27">
        <v>0</v>
      </c>
      <c r="AM715" s="27">
        <v>0</v>
      </c>
      <c r="AN715" s="27">
        <v>0</v>
      </c>
      <c r="AO715" s="27">
        <v>0</v>
      </c>
      <c r="AP715" s="27">
        <v>0</v>
      </c>
      <c r="AQ715" s="27">
        <v>0</v>
      </c>
      <c r="AR715" s="27">
        <v>0</v>
      </c>
      <c r="AS715" s="27">
        <v>0</v>
      </c>
      <c r="AT715" s="27">
        <v>0</v>
      </c>
      <c r="AU715" s="27">
        <v>0</v>
      </c>
      <c r="AV715" s="27">
        <v>0</v>
      </c>
      <c r="AW715" s="27">
        <v>1</v>
      </c>
      <c r="AX715" s="27">
        <v>0</v>
      </c>
      <c r="AZ715" s="27">
        <v>10</v>
      </c>
      <c r="BA715" s="27">
        <v>0</v>
      </c>
      <c r="BB715" s="27">
        <v>31.11</v>
      </c>
      <c r="BC715" s="27" t="s">
        <v>1608</v>
      </c>
      <c r="BD715" s="27" t="s">
        <v>1609</v>
      </c>
      <c r="BE715" s="27" t="s">
        <v>136</v>
      </c>
      <c r="BF715" s="27" t="s">
        <v>77</v>
      </c>
      <c r="BG715" s="27">
        <v>170</v>
      </c>
      <c r="BH715" s="27">
        <v>11</v>
      </c>
      <c r="BI715" s="27">
        <v>0.9392</v>
      </c>
      <c r="BJ715" s="27">
        <v>0</v>
      </c>
    </row>
    <row r="716" customHeight="1" spans="1:64">
      <c r="A716" s="27" t="s">
        <v>2141</v>
      </c>
      <c r="B716" s="27" t="s">
        <v>2142</v>
      </c>
      <c r="E716" s="27" t="s">
        <v>390</v>
      </c>
      <c r="F716" s="27" t="s">
        <v>240</v>
      </c>
      <c r="G716" s="27" t="s">
        <v>83</v>
      </c>
      <c r="H716" s="27" t="s">
        <v>84</v>
      </c>
      <c r="I716" s="27" t="s">
        <v>153</v>
      </c>
      <c r="J716" s="27">
        <v>2</v>
      </c>
      <c r="K716" s="27">
        <v>158.1</v>
      </c>
      <c r="M716" s="27">
        <v>0</v>
      </c>
      <c r="N716" s="27">
        <v>0</v>
      </c>
      <c r="O716" s="27">
        <v>0</v>
      </c>
      <c r="P716" s="27" t="s">
        <v>95</v>
      </c>
      <c r="Q716" s="27">
        <v>5.069533</v>
      </c>
      <c r="V716" s="27" t="s">
        <v>231</v>
      </c>
      <c r="W716" s="27">
        <v>0</v>
      </c>
      <c r="X716" s="27">
        <v>0</v>
      </c>
      <c r="Y716" s="27">
        <v>0</v>
      </c>
      <c r="Z716" s="27">
        <v>0</v>
      </c>
      <c r="AA716" s="27" t="s">
        <v>125</v>
      </c>
      <c r="AB716" s="27">
        <v>0</v>
      </c>
      <c r="AC716" s="27">
        <v>0</v>
      </c>
      <c r="AD716" s="27">
        <v>0</v>
      </c>
      <c r="AE716" s="27">
        <v>0</v>
      </c>
      <c r="AF716" s="27">
        <v>0</v>
      </c>
      <c r="AG716" s="27">
        <v>0</v>
      </c>
      <c r="AH716" s="27">
        <v>0</v>
      </c>
      <c r="AI716" s="27">
        <v>0</v>
      </c>
      <c r="AJ716" s="27">
        <v>0</v>
      </c>
      <c r="AK716" s="27">
        <v>0</v>
      </c>
      <c r="AL716" s="27">
        <v>0</v>
      </c>
      <c r="AM716" s="27">
        <v>0</v>
      </c>
      <c r="AN716" s="27">
        <v>0</v>
      </c>
      <c r="AO716" s="27">
        <v>0</v>
      </c>
      <c r="AP716" s="27">
        <v>0</v>
      </c>
      <c r="AQ716" s="27">
        <v>0</v>
      </c>
      <c r="AR716" s="27">
        <v>0</v>
      </c>
      <c r="AS716" s="27">
        <v>0</v>
      </c>
      <c r="AT716" s="27">
        <v>0</v>
      </c>
      <c r="AU716" s="27">
        <v>0</v>
      </c>
      <c r="AV716" s="27">
        <v>1</v>
      </c>
      <c r="AW716" s="27">
        <v>0</v>
      </c>
      <c r="AX716" s="27">
        <v>0</v>
      </c>
      <c r="AZ716" s="27">
        <v>1</v>
      </c>
      <c r="BA716" s="27">
        <v>0</v>
      </c>
      <c r="BB716" s="27">
        <v>29.58</v>
      </c>
      <c r="BC716" s="27" t="s">
        <v>2143</v>
      </c>
      <c r="BD716" s="27" t="s">
        <v>2144</v>
      </c>
      <c r="BE716" s="27" t="s">
        <v>690</v>
      </c>
      <c r="BF716" s="27" t="s">
        <v>77</v>
      </c>
      <c r="BG716" s="27">
        <v>162</v>
      </c>
      <c r="BH716" s="27">
        <v>58</v>
      </c>
      <c r="BI716" s="27">
        <v>0.7364</v>
      </c>
      <c r="BJ716" s="27">
        <v>0</v>
      </c>
      <c r="BK716" s="27">
        <v>5</v>
      </c>
      <c r="BL716" s="27">
        <v>98.6</v>
      </c>
    </row>
    <row r="717" customHeight="1" spans="1:64">
      <c r="A717" s="27" t="s">
        <v>2145</v>
      </c>
      <c r="B717" s="27" t="s">
        <v>125</v>
      </c>
      <c r="E717" s="27" t="s">
        <v>559</v>
      </c>
      <c r="F717" s="27" t="s">
        <v>240</v>
      </c>
      <c r="G717" s="27" t="s">
        <v>83</v>
      </c>
      <c r="H717" s="27" t="s">
        <v>138</v>
      </c>
      <c r="I717" s="27" t="s">
        <v>85</v>
      </c>
      <c r="J717" s="27">
        <v>5</v>
      </c>
      <c r="K717" s="27">
        <v>190</v>
      </c>
      <c r="M717" s="27">
        <v>0</v>
      </c>
      <c r="N717" s="27">
        <v>0</v>
      </c>
      <c r="O717" s="27">
        <v>0</v>
      </c>
      <c r="P717" s="27" t="s">
        <v>95</v>
      </c>
      <c r="Q717" s="27">
        <v>5.252273</v>
      </c>
      <c r="R717" s="27">
        <v>23.75</v>
      </c>
      <c r="S717" s="27">
        <v>3</v>
      </c>
      <c r="T717" s="27">
        <v>7</v>
      </c>
      <c r="U717" s="27">
        <v>0.3</v>
      </c>
      <c r="V717" s="27" t="s">
        <v>87</v>
      </c>
      <c r="W717" s="27">
        <v>570</v>
      </c>
      <c r="X717" s="27">
        <v>1.386294</v>
      </c>
      <c r="Y717" s="27">
        <v>6.347389</v>
      </c>
      <c r="Z717" s="27">
        <v>2.6458</v>
      </c>
      <c r="AA717" s="27" t="s">
        <v>125</v>
      </c>
      <c r="AB717" s="27">
        <v>0</v>
      </c>
      <c r="AC717" s="27">
        <v>0</v>
      </c>
      <c r="AD717" s="27">
        <v>0</v>
      </c>
      <c r="AE717" s="27">
        <v>0</v>
      </c>
      <c r="AF717" s="27">
        <v>0</v>
      </c>
      <c r="AG717" s="27">
        <v>1</v>
      </c>
      <c r="AH717" s="27">
        <v>0</v>
      </c>
      <c r="AI717" s="27">
        <v>0</v>
      </c>
      <c r="AJ717" s="27">
        <v>0</v>
      </c>
      <c r="AK717" s="27">
        <v>0</v>
      </c>
      <c r="AL717" s="27">
        <v>0</v>
      </c>
      <c r="AM717" s="27">
        <v>0</v>
      </c>
      <c r="AN717" s="27">
        <v>0</v>
      </c>
      <c r="AO717" s="27">
        <v>0</v>
      </c>
      <c r="AP717" s="27">
        <v>0</v>
      </c>
      <c r="AQ717" s="27">
        <v>1</v>
      </c>
      <c r="AR717" s="27">
        <v>0</v>
      </c>
      <c r="AS717" s="27">
        <v>0</v>
      </c>
      <c r="AT717" s="27">
        <v>0</v>
      </c>
      <c r="AU717" s="27">
        <v>0</v>
      </c>
      <c r="AV717" s="27">
        <v>1</v>
      </c>
      <c r="AW717" s="27">
        <v>0</v>
      </c>
      <c r="AX717" s="27">
        <v>0</v>
      </c>
      <c r="AY717" s="27">
        <v>8</v>
      </c>
      <c r="AZ717" s="27">
        <v>1</v>
      </c>
      <c r="BA717" s="27">
        <v>1</v>
      </c>
      <c r="BB717" s="27">
        <v>12</v>
      </c>
      <c r="BC717" s="27" t="s">
        <v>2146</v>
      </c>
      <c r="BG717" s="27">
        <v>0</v>
      </c>
      <c r="BH717" s="27">
        <v>0</v>
      </c>
      <c r="BJ717" s="27">
        <v>0</v>
      </c>
    </row>
    <row r="718" customHeight="1" spans="1:64">
      <c r="A718" s="27" t="s">
        <v>2147</v>
      </c>
      <c r="B718" s="27" t="s">
        <v>115</v>
      </c>
      <c r="E718" s="27" t="s">
        <v>2148</v>
      </c>
      <c r="F718" s="27" t="s">
        <v>82</v>
      </c>
      <c r="G718" s="27" t="s">
        <v>117</v>
      </c>
      <c r="H718" s="27" t="s">
        <v>107</v>
      </c>
      <c r="I718" s="27" t="s">
        <v>85</v>
      </c>
      <c r="J718" s="27">
        <v>5</v>
      </c>
      <c r="K718" s="27">
        <v>66.98</v>
      </c>
      <c r="M718" s="27">
        <v>0</v>
      </c>
      <c r="N718" s="27">
        <v>0</v>
      </c>
      <c r="O718" s="27">
        <v>0</v>
      </c>
      <c r="P718" s="27" t="s">
        <v>86</v>
      </c>
      <c r="Q718" s="27">
        <v>4.219214</v>
      </c>
      <c r="S718" s="27">
        <v>115</v>
      </c>
      <c r="T718" s="27">
        <v>10</v>
      </c>
      <c r="U718" s="27">
        <v>0.92</v>
      </c>
      <c r="V718" s="27" t="s">
        <v>72</v>
      </c>
      <c r="W718" s="27">
        <v>7702.7</v>
      </c>
      <c r="X718" s="27">
        <v>4.75359</v>
      </c>
      <c r="Y718" s="27">
        <v>8.949456</v>
      </c>
      <c r="Z718" s="27">
        <v>3.1623</v>
      </c>
      <c r="AA718" s="27" t="s">
        <v>125</v>
      </c>
      <c r="AB718" s="27">
        <v>0</v>
      </c>
      <c r="AC718" s="27">
        <v>0</v>
      </c>
      <c r="AD718" s="27">
        <v>0</v>
      </c>
      <c r="AE718" s="27">
        <v>0</v>
      </c>
      <c r="AF718" s="27">
        <v>0</v>
      </c>
      <c r="AG718" s="27">
        <v>0</v>
      </c>
      <c r="AH718" s="27">
        <v>0</v>
      </c>
      <c r="AI718" s="27">
        <v>0</v>
      </c>
      <c r="AJ718" s="27">
        <v>0</v>
      </c>
      <c r="AK718" s="27">
        <v>0</v>
      </c>
      <c r="AL718" s="27">
        <v>0</v>
      </c>
      <c r="AM718" s="27">
        <v>0</v>
      </c>
      <c r="AN718" s="27">
        <v>0</v>
      </c>
      <c r="AO718" s="27">
        <v>0</v>
      </c>
      <c r="AP718" s="27">
        <v>0</v>
      </c>
      <c r="AQ718" s="27">
        <v>0</v>
      </c>
      <c r="AR718" s="27">
        <v>0</v>
      </c>
      <c r="AS718" s="27">
        <v>0</v>
      </c>
      <c r="AT718" s="27">
        <v>1</v>
      </c>
      <c r="AU718" s="27">
        <v>0</v>
      </c>
      <c r="AV718" s="27">
        <v>0</v>
      </c>
      <c r="AW718" s="27">
        <v>0</v>
      </c>
      <c r="AX718" s="27">
        <v>0</v>
      </c>
      <c r="AZ718" s="27">
        <v>1</v>
      </c>
      <c r="BA718" s="27">
        <v>0</v>
      </c>
      <c r="BB718" s="27">
        <v>66.47</v>
      </c>
      <c r="BC718" s="27" t="s">
        <v>2149</v>
      </c>
      <c r="BD718" s="27" t="s">
        <v>1506</v>
      </c>
      <c r="BE718" s="27" t="s">
        <v>91</v>
      </c>
      <c r="BF718" s="27" t="s">
        <v>77</v>
      </c>
      <c r="BG718" s="27">
        <v>162</v>
      </c>
      <c r="BH718" s="27">
        <v>60</v>
      </c>
      <c r="BI718" s="27">
        <v>0.7297</v>
      </c>
      <c r="BJ718" s="27">
        <v>0</v>
      </c>
      <c r="BK718" s="27">
        <v>4</v>
      </c>
      <c r="BL718" s="27">
        <v>98.9</v>
      </c>
    </row>
    <row r="719" customHeight="1" spans="1:64">
      <c r="A719" s="27" t="s">
        <v>2150</v>
      </c>
      <c r="B719" s="27" t="s">
        <v>2151</v>
      </c>
      <c r="E719" s="27" t="s">
        <v>2152</v>
      </c>
      <c r="F719" s="27" t="s">
        <v>240</v>
      </c>
      <c r="G719" s="27" t="s">
        <v>83</v>
      </c>
      <c r="H719" s="27" t="s">
        <v>84</v>
      </c>
      <c r="I719" s="27" t="s">
        <v>153</v>
      </c>
      <c r="J719" s="27">
        <v>2</v>
      </c>
      <c r="K719" s="27">
        <v>100</v>
      </c>
      <c r="M719" s="27">
        <v>0</v>
      </c>
      <c r="N719" s="27">
        <v>0</v>
      </c>
      <c r="O719" s="27">
        <v>0</v>
      </c>
      <c r="P719" s="27" t="s">
        <v>95</v>
      </c>
      <c r="Q719" s="27">
        <v>4.615121</v>
      </c>
      <c r="V719" s="27" t="s">
        <v>231</v>
      </c>
      <c r="W719" s="27">
        <v>0</v>
      </c>
      <c r="X719" s="27">
        <v>0</v>
      </c>
      <c r="Y719" s="27">
        <v>0</v>
      </c>
      <c r="Z719" s="27">
        <v>0</v>
      </c>
      <c r="AA719" s="27" t="s">
        <v>125</v>
      </c>
      <c r="AB719" s="27">
        <v>0</v>
      </c>
      <c r="AC719" s="27">
        <v>0</v>
      </c>
      <c r="AD719" s="27">
        <v>0</v>
      </c>
      <c r="AE719" s="27">
        <v>0</v>
      </c>
      <c r="AF719" s="27">
        <v>0</v>
      </c>
      <c r="AG719" s="27">
        <v>0</v>
      </c>
      <c r="AH719" s="27">
        <v>0</v>
      </c>
      <c r="AI719" s="27">
        <v>0</v>
      </c>
      <c r="AJ719" s="27">
        <v>0</v>
      </c>
      <c r="AK719" s="27">
        <v>0</v>
      </c>
      <c r="AL719" s="27">
        <v>0</v>
      </c>
      <c r="AM719" s="27">
        <v>0</v>
      </c>
      <c r="AN719" s="27">
        <v>0</v>
      </c>
      <c r="AO719" s="27">
        <v>0</v>
      </c>
      <c r="AP719" s="27">
        <v>0</v>
      </c>
      <c r="AQ719" s="27">
        <v>0</v>
      </c>
      <c r="AR719" s="27">
        <v>0</v>
      </c>
      <c r="AS719" s="27">
        <v>0</v>
      </c>
      <c r="AT719" s="27">
        <v>0</v>
      </c>
      <c r="AU719" s="27">
        <v>0</v>
      </c>
      <c r="AV719" s="27">
        <v>0</v>
      </c>
      <c r="AW719" s="27">
        <v>0</v>
      </c>
      <c r="AX719" s="27">
        <v>0</v>
      </c>
      <c r="AZ719" s="27">
        <v>1</v>
      </c>
      <c r="BA719" s="27">
        <v>0</v>
      </c>
      <c r="BB719" s="27">
        <v>0</v>
      </c>
      <c r="BC719" s="27" t="s">
        <v>2153</v>
      </c>
      <c r="BD719" s="27" t="s">
        <v>2154</v>
      </c>
      <c r="BE719" s="27" t="s">
        <v>1110</v>
      </c>
      <c r="BF719" s="27" t="s">
        <v>77</v>
      </c>
      <c r="BG719" s="27">
        <v>168</v>
      </c>
      <c r="BH719" s="27">
        <v>11</v>
      </c>
      <c r="BI719" s="27">
        <v>0.9385</v>
      </c>
      <c r="BJ719" s="27">
        <v>0</v>
      </c>
    </row>
    <row r="720" customHeight="1" spans="1:64">
      <c r="A720" s="27" t="s">
        <v>2155</v>
      </c>
      <c r="B720" s="27" t="s">
        <v>171</v>
      </c>
      <c r="C720" s="27" t="s">
        <v>333</v>
      </c>
      <c r="E720" s="27" t="s">
        <v>131</v>
      </c>
      <c r="F720" s="27" t="s">
        <v>132</v>
      </c>
      <c r="G720" s="27" t="s">
        <v>83</v>
      </c>
      <c r="H720" s="27" t="s">
        <v>84</v>
      </c>
      <c r="I720" s="27" t="s">
        <v>85</v>
      </c>
      <c r="J720" s="27">
        <v>5</v>
      </c>
      <c r="K720" s="27">
        <v>24.99</v>
      </c>
      <c r="M720" s="27">
        <v>0</v>
      </c>
      <c r="N720" s="27">
        <v>0</v>
      </c>
      <c r="O720" s="27">
        <v>0</v>
      </c>
      <c r="P720" s="27" t="s">
        <v>133</v>
      </c>
      <c r="Q720" s="27">
        <v>3.257712</v>
      </c>
      <c r="S720" s="27">
        <v>1144</v>
      </c>
      <c r="T720" s="27">
        <v>10</v>
      </c>
      <c r="U720" s="27">
        <v>0.9913</v>
      </c>
      <c r="V720" s="27" t="s">
        <v>154</v>
      </c>
      <c r="W720" s="27">
        <v>28588.56</v>
      </c>
      <c r="X720" s="27">
        <v>7.04316</v>
      </c>
      <c r="Y720" s="27">
        <v>10.260797</v>
      </c>
      <c r="Z720" s="27">
        <v>3.1623</v>
      </c>
      <c r="AA720" s="27" t="s">
        <v>125</v>
      </c>
      <c r="AB720" s="27">
        <v>0</v>
      </c>
      <c r="AC720" s="27">
        <v>0</v>
      </c>
      <c r="AD720" s="27">
        <v>0</v>
      </c>
      <c r="AE720" s="27">
        <v>0</v>
      </c>
      <c r="AF720" s="27">
        <v>0</v>
      </c>
      <c r="AG720" s="27">
        <v>0</v>
      </c>
      <c r="AH720" s="27">
        <v>0</v>
      </c>
      <c r="AI720" s="27">
        <v>0</v>
      </c>
      <c r="AJ720" s="27">
        <v>0</v>
      </c>
      <c r="AK720" s="27">
        <v>0</v>
      </c>
      <c r="AL720" s="27">
        <v>0</v>
      </c>
      <c r="AM720" s="27">
        <v>0</v>
      </c>
      <c r="AN720" s="27">
        <v>0</v>
      </c>
      <c r="AO720" s="27">
        <v>0</v>
      </c>
      <c r="AP720" s="27">
        <v>0</v>
      </c>
      <c r="AQ720" s="27">
        <v>0</v>
      </c>
      <c r="AR720" s="27">
        <v>0</v>
      </c>
      <c r="AS720" s="27">
        <v>0</v>
      </c>
      <c r="AT720" s="27">
        <v>0</v>
      </c>
      <c r="AU720" s="27">
        <v>0</v>
      </c>
      <c r="AV720" s="27">
        <v>0</v>
      </c>
      <c r="AW720" s="27">
        <v>1</v>
      </c>
      <c r="AX720" s="27">
        <v>0</v>
      </c>
      <c r="AZ720" s="27">
        <v>1</v>
      </c>
      <c r="BA720" s="27">
        <v>0</v>
      </c>
      <c r="BB720" s="27">
        <v>69.17</v>
      </c>
      <c r="BC720" s="27" t="s">
        <v>251</v>
      </c>
      <c r="BD720" s="27" t="s">
        <v>175</v>
      </c>
      <c r="BE720" s="27" t="s">
        <v>91</v>
      </c>
      <c r="BF720" s="27" t="s">
        <v>77</v>
      </c>
      <c r="BG720" s="27">
        <v>162</v>
      </c>
      <c r="BH720" s="27">
        <v>60</v>
      </c>
      <c r="BI720" s="27">
        <v>0.7297</v>
      </c>
      <c r="BJ720" s="27">
        <v>0</v>
      </c>
      <c r="BK720" s="27">
        <v>6</v>
      </c>
      <c r="BL720" s="27">
        <v>98.4</v>
      </c>
    </row>
    <row r="721" customHeight="1" spans="1:64">
      <c r="A721" s="27" t="s">
        <v>2156</v>
      </c>
      <c r="B721" s="27" t="s">
        <v>2157</v>
      </c>
      <c r="C721" s="27" t="s">
        <v>2158</v>
      </c>
      <c r="D721" s="27">
        <v>808226371665</v>
      </c>
      <c r="E721" s="27" t="s">
        <v>1098</v>
      </c>
      <c r="F721" s="27" t="s">
        <v>160</v>
      </c>
      <c r="G721" s="27" t="s">
        <v>83</v>
      </c>
      <c r="H721" s="27" t="s">
        <v>84</v>
      </c>
      <c r="I721" s="27" t="s">
        <v>85</v>
      </c>
      <c r="J721" s="27">
        <v>5</v>
      </c>
      <c r="K721" s="27">
        <v>64</v>
      </c>
      <c r="M721" s="27">
        <v>0</v>
      </c>
      <c r="N721" s="27">
        <v>0</v>
      </c>
      <c r="O721" s="27">
        <v>0</v>
      </c>
      <c r="P721" s="27" t="s">
        <v>86</v>
      </c>
      <c r="Q721" s="27">
        <v>4.174387</v>
      </c>
      <c r="S721" s="27">
        <v>71</v>
      </c>
      <c r="T721" s="27">
        <v>10</v>
      </c>
      <c r="U721" s="27">
        <v>0.8765</v>
      </c>
      <c r="V721" s="27" t="s">
        <v>72</v>
      </c>
      <c r="W721" s="27">
        <v>4544</v>
      </c>
      <c r="X721" s="27">
        <v>4.276666</v>
      </c>
      <c r="Y721" s="27">
        <v>8.421783</v>
      </c>
      <c r="Z721" s="27">
        <v>3.1623</v>
      </c>
      <c r="AA721" s="27" t="s">
        <v>125</v>
      </c>
      <c r="AB721" s="27">
        <v>0</v>
      </c>
      <c r="AC721" s="27">
        <v>0</v>
      </c>
      <c r="AD721" s="27">
        <v>0</v>
      </c>
      <c r="AE721" s="27">
        <v>0</v>
      </c>
      <c r="AF721" s="27">
        <v>0</v>
      </c>
      <c r="AG721" s="27">
        <v>0</v>
      </c>
      <c r="AH721" s="27">
        <v>1</v>
      </c>
      <c r="AI721" s="27">
        <v>0</v>
      </c>
      <c r="AJ721" s="27">
        <v>0</v>
      </c>
      <c r="AK721" s="27">
        <v>0</v>
      </c>
      <c r="AL721" s="27">
        <v>0</v>
      </c>
      <c r="AM721" s="27">
        <v>0</v>
      </c>
      <c r="AN721" s="27">
        <v>0</v>
      </c>
      <c r="AO721" s="27">
        <v>0</v>
      </c>
      <c r="AP721" s="27">
        <v>0</v>
      </c>
      <c r="AQ721" s="27">
        <v>0</v>
      </c>
      <c r="AR721" s="27">
        <v>0</v>
      </c>
      <c r="AS721" s="27">
        <v>0</v>
      </c>
      <c r="AT721" s="27">
        <v>0</v>
      </c>
      <c r="AU721" s="27">
        <v>0</v>
      </c>
      <c r="AV721" s="27">
        <v>0</v>
      </c>
      <c r="AW721" s="27">
        <v>0</v>
      </c>
      <c r="AX721" s="27">
        <v>0</v>
      </c>
      <c r="AZ721" s="27">
        <v>1</v>
      </c>
      <c r="BA721" s="27">
        <v>1</v>
      </c>
      <c r="BB721" s="27">
        <v>64.25</v>
      </c>
      <c r="BC721" s="27" t="s">
        <v>2159</v>
      </c>
      <c r="BD721" s="27" t="s">
        <v>2160</v>
      </c>
      <c r="BE721" s="27" t="s">
        <v>220</v>
      </c>
      <c r="BF721" s="27" t="s">
        <v>77</v>
      </c>
      <c r="BG721" s="27">
        <v>168</v>
      </c>
      <c r="BH721" s="27">
        <v>11</v>
      </c>
      <c r="BI721" s="27">
        <v>0.9385</v>
      </c>
      <c r="BJ721" s="27">
        <v>0</v>
      </c>
      <c r="BK721" s="27">
        <v>10</v>
      </c>
      <c r="BL721" s="27">
        <v>97.3</v>
      </c>
    </row>
    <row r="722" customHeight="1" spans="1:64">
      <c r="A722" s="27" t="s">
        <v>2161</v>
      </c>
      <c r="B722" s="27" t="s">
        <v>344</v>
      </c>
      <c r="E722" s="27" t="s">
        <v>911</v>
      </c>
      <c r="F722" s="27" t="s">
        <v>82</v>
      </c>
      <c r="G722" s="27" t="s">
        <v>346</v>
      </c>
      <c r="H722" s="27" t="s">
        <v>107</v>
      </c>
      <c r="I722" s="27" t="s">
        <v>203</v>
      </c>
      <c r="J722" s="27">
        <v>4</v>
      </c>
      <c r="K722" s="27">
        <v>24.99</v>
      </c>
      <c r="M722" s="27">
        <v>0</v>
      </c>
      <c r="N722" s="27">
        <v>0</v>
      </c>
      <c r="O722" s="27">
        <v>0</v>
      </c>
      <c r="P722" s="27" t="s">
        <v>133</v>
      </c>
      <c r="Q722" s="27">
        <v>3.257712</v>
      </c>
      <c r="S722" s="27">
        <v>64</v>
      </c>
      <c r="T722" s="27">
        <v>10</v>
      </c>
      <c r="U722" s="27">
        <v>0.8649</v>
      </c>
      <c r="V722" s="27" t="s">
        <v>72</v>
      </c>
      <c r="W722" s="27">
        <v>1599.36</v>
      </c>
      <c r="X722" s="27">
        <v>4.174387</v>
      </c>
      <c r="Y722" s="27">
        <v>7.377984</v>
      </c>
      <c r="Z722" s="27">
        <v>3.1623</v>
      </c>
      <c r="AA722" s="27" t="s">
        <v>125</v>
      </c>
      <c r="AB722" s="27">
        <v>0</v>
      </c>
      <c r="AC722" s="27">
        <v>0</v>
      </c>
      <c r="AD722" s="27">
        <v>0</v>
      </c>
      <c r="AE722" s="27">
        <v>0</v>
      </c>
      <c r="AF722" s="27">
        <v>0</v>
      </c>
      <c r="AG722" s="27">
        <v>0</v>
      </c>
      <c r="AH722" s="27">
        <v>0</v>
      </c>
      <c r="AI722" s="27">
        <v>0</v>
      </c>
      <c r="AJ722" s="27">
        <v>0</v>
      </c>
      <c r="AK722" s="27">
        <v>0</v>
      </c>
      <c r="AL722" s="27">
        <v>0</v>
      </c>
      <c r="AM722" s="27">
        <v>0</v>
      </c>
      <c r="AN722" s="27">
        <v>0</v>
      </c>
      <c r="AO722" s="27">
        <v>0</v>
      </c>
      <c r="AP722" s="27">
        <v>0</v>
      </c>
      <c r="AQ722" s="27">
        <v>0</v>
      </c>
      <c r="AR722" s="27">
        <v>0</v>
      </c>
      <c r="AS722" s="27">
        <v>0</v>
      </c>
      <c r="AT722" s="27">
        <v>0</v>
      </c>
      <c r="AU722" s="27">
        <v>0</v>
      </c>
      <c r="AV722" s="27">
        <v>0</v>
      </c>
      <c r="AW722" s="27">
        <v>1</v>
      </c>
      <c r="AX722" s="27">
        <v>0</v>
      </c>
      <c r="AZ722" s="27">
        <v>1</v>
      </c>
      <c r="BA722" s="27">
        <v>0</v>
      </c>
      <c r="BB722" s="27">
        <v>50.62</v>
      </c>
      <c r="BC722" s="27" t="s">
        <v>1326</v>
      </c>
      <c r="BD722" s="27" t="s">
        <v>348</v>
      </c>
      <c r="BE722" s="27" t="s">
        <v>150</v>
      </c>
      <c r="BF722" s="27" t="s">
        <v>77</v>
      </c>
      <c r="BG722" s="27">
        <v>168</v>
      </c>
      <c r="BH722" s="27">
        <v>11</v>
      </c>
      <c r="BI722" s="27">
        <v>0.9385</v>
      </c>
      <c r="BJ722" s="27">
        <v>0</v>
      </c>
      <c r="BK722" s="27">
        <v>170</v>
      </c>
      <c r="BL722" s="27">
        <v>53.4</v>
      </c>
    </row>
    <row r="723" customHeight="1" spans="1:64">
      <c r="A723" s="27" t="s">
        <v>2162</v>
      </c>
      <c r="B723" s="27" t="s">
        <v>125</v>
      </c>
      <c r="E723" s="27" t="s">
        <v>131</v>
      </c>
      <c r="F723" s="27" t="s">
        <v>132</v>
      </c>
      <c r="G723" s="27" t="s">
        <v>83</v>
      </c>
      <c r="H723" s="27" t="s">
        <v>138</v>
      </c>
      <c r="I723" s="27" t="s">
        <v>85</v>
      </c>
      <c r="J723" s="27">
        <v>5</v>
      </c>
      <c r="K723" s="27">
        <v>10.99</v>
      </c>
      <c r="M723" s="27">
        <v>0</v>
      </c>
      <c r="N723" s="27">
        <v>0</v>
      </c>
      <c r="O723" s="27">
        <v>0</v>
      </c>
      <c r="P723" s="27" t="s">
        <v>133</v>
      </c>
      <c r="Q723" s="27">
        <v>2.484073</v>
      </c>
      <c r="S723" s="27">
        <v>210</v>
      </c>
      <c r="T723" s="27">
        <v>10</v>
      </c>
      <c r="U723" s="27">
        <v>0.9545</v>
      </c>
      <c r="V723" s="27" t="s">
        <v>154</v>
      </c>
      <c r="W723" s="27">
        <v>2307.9</v>
      </c>
      <c r="X723" s="27">
        <v>5.351858</v>
      </c>
      <c r="Y723" s="27">
        <v>7.744526</v>
      </c>
      <c r="Z723" s="27">
        <v>3.1623</v>
      </c>
      <c r="AA723" s="27" t="s">
        <v>125</v>
      </c>
      <c r="AB723" s="27">
        <v>0</v>
      </c>
      <c r="AC723" s="27">
        <v>0</v>
      </c>
      <c r="AD723" s="27">
        <v>0</v>
      </c>
      <c r="AE723" s="27">
        <v>0</v>
      </c>
      <c r="AF723" s="27">
        <v>0</v>
      </c>
      <c r="AG723" s="27">
        <v>0</v>
      </c>
      <c r="AH723" s="27">
        <v>0</v>
      </c>
      <c r="AI723" s="27">
        <v>0</v>
      </c>
      <c r="AJ723" s="27">
        <v>0</v>
      </c>
      <c r="AK723" s="27">
        <v>0</v>
      </c>
      <c r="AL723" s="27">
        <v>0</v>
      </c>
      <c r="AM723" s="27">
        <v>0</v>
      </c>
      <c r="AN723" s="27">
        <v>0</v>
      </c>
      <c r="AO723" s="27">
        <v>0</v>
      </c>
      <c r="AP723" s="27">
        <v>0</v>
      </c>
      <c r="AQ723" s="27">
        <v>1</v>
      </c>
      <c r="AR723" s="27">
        <v>0</v>
      </c>
      <c r="AS723" s="27">
        <v>0</v>
      </c>
      <c r="AT723" s="27">
        <v>0</v>
      </c>
      <c r="AU723" s="27">
        <v>0</v>
      </c>
      <c r="AV723" s="27">
        <v>1</v>
      </c>
      <c r="AW723" s="27">
        <v>0</v>
      </c>
      <c r="AX723" s="27">
        <v>0</v>
      </c>
      <c r="AZ723" s="27">
        <v>1</v>
      </c>
      <c r="BA723" s="27">
        <v>1</v>
      </c>
      <c r="BB723" s="27">
        <v>40.16</v>
      </c>
      <c r="BC723" s="27" t="s">
        <v>2163</v>
      </c>
      <c r="BD723" s="27" t="s">
        <v>2164</v>
      </c>
      <c r="BE723" s="27" t="s">
        <v>262</v>
      </c>
      <c r="BF723" s="27" t="s">
        <v>77</v>
      </c>
      <c r="BG723" s="27">
        <v>164</v>
      </c>
      <c r="BH723" s="27">
        <v>50</v>
      </c>
      <c r="BI723" s="27">
        <v>0.7664</v>
      </c>
      <c r="BJ723" s="27">
        <v>0</v>
      </c>
      <c r="BK723" s="27">
        <v>341</v>
      </c>
      <c r="BL723" s="27">
        <v>6.6</v>
      </c>
    </row>
    <row r="724" customHeight="1" spans="1:64">
      <c r="A724" s="27" t="s">
        <v>2165</v>
      </c>
      <c r="B724" s="27" t="s">
        <v>819</v>
      </c>
      <c r="C724" s="27" t="s">
        <v>2166</v>
      </c>
      <c r="D724" s="27">
        <v>810083472119</v>
      </c>
      <c r="E724" s="27" t="s">
        <v>477</v>
      </c>
      <c r="F724" s="27" t="s">
        <v>82</v>
      </c>
      <c r="G724" s="27" t="s">
        <v>819</v>
      </c>
      <c r="H724" s="27" t="s">
        <v>102</v>
      </c>
      <c r="I724" s="27" t="s">
        <v>70</v>
      </c>
      <c r="J724" s="27">
        <v>3</v>
      </c>
      <c r="K724" s="27">
        <v>58</v>
      </c>
      <c r="M724" s="27">
        <v>0</v>
      </c>
      <c r="N724" s="27">
        <v>0</v>
      </c>
      <c r="O724" s="27">
        <v>0</v>
      </c>
      <c r="P724" s="27" t="s">
        <v>86</v>
      </c>
      <c r="Q724" s="27">
        <v>4.077537</v>
      </c>
      <c r="S724" s="27">
        <v>103</v>
      </c>
      <c r="T724" s="27">
        <v>1</v>
      </c>
      <c r="U724" s="27">
        <v>0.9904</v>
      </c>
      <c r="V724" s="27" t="s">
        <v>72</v>
      </c>
      <c r="W724" s="27">
        <v>5974</v>
      </c>
      <c r="X724" s="27">
        <v>4.644391</v>
      </c>
      <c r="Y724" s="27">
        <v>8.695339</v>
      </c>
      <c r="Z724" s="27">
        <v>1</v>
      </c>
      <c r="AA724" s="27" t="s">
        <v>187</v>
      </c>
      <c r="AB724" s="27">
        <v>0</v>
      </c>
      <c r="AC724" s="27">
        <v>0</v>
      </c>
      <c r="AD724" s="27">
        <v>1</v>
      </c>
      <c r="AE724" s="27">
        <v>0</v>
      </c>
      <c r="AF724" s="27">
        <v>0</v>
      </c>
      <c r="AG724" s="27">
        <v>0</v>
      </c>
      <c r="AH724" s="27">
        <v>0</v>
      </c>
      <c r="AI724" s="27">
        <v>0</v>
      </c>
      <c r="AJ724" s="27">
        <v>0</v>
      </c>
      <c r="AK724" s="27">
        <v>0</v>
      </c>
      <c r="AL724" s="27">
        <v>0</v>
      </c>
      <c r="AM724" s="27">
        <v>0</v>
      </c>
      <c r="AN724" s="27">
        <v>0</v>
      </c>
      <c r="AO724" s="27">
        <v>0</v>
      </c>
      <c r="AP724" s="27">
        <v>1</v>
      </c>
      <c r="AQ724" s="27">
        <v>0</v>
      </c>
      <c r="AR724" s="27">
        <v>0</v>
      </c>
      <c r="AS724" s="27">
        <v>0</v>
      </c>
      <c r="AT724" s="27">
        <v>1</v>
      </c>
      <c r="AU724" s="27">
        <v>0</v>
      </c>
      <c r="AV724" s="27">
        <v>0</v>
      </c>
      <c r="AW724" s="27">
        <v>0</v>
      </c>
      <c r="AX724" s="27">
        <v>0</v>
      </c>
      <c r="AZ724" s="27">
        <v>1</v>
      </c>
      <c r="BA724" s="27">
        <v>0</v>
      </c>
      <c r="BB724" s="27">
        <v>69.38</v>
      </c>
      <c r="BC724" s="27" t="s">
        <v>2167</v>
      </c>
      <c r="BD724" s="27" t="s">
        <v>698</v>
      </c>
      <c r="BE724" s="27" t="s">
        <v>627</v>
      </c>
      <c r="BF724" s="27" t="s">
        <v>77</v>
      </c>
      <c r="BG724" s="27">
        <v>168</v>
      </c>
      <c r="BH724" s="27">
        <v>11</v>
      </c>
      <c r="BI724" s="27">
        <v>0.9385</v>
      </c>
      <c r="BJ724" s="27">
        <v>0</v>
      </c>
      <c r="BK724" s="27">
        <v>3</v>
      </c>
      <c r="BL724" s="27">
        <v>99.2</v>
      </c>
    </row>
    <row r="725" customHeight="1" spans="1:64">
      <c r="A725" s="27" t="s">
        <v>2168</v>
      </c>
      <c r="B725" s="27" t="s">
        <v>65</v>
      </c>
      <c r="C725" s="27" t="s">
        <v>2169</v>
      </c>
      <c r="D725" s="27">
        <v>695529055633</v>
      </c>
      <c r="E725" s="27" t="s">
        <v>250</v>
      </c>
      <c r="F725" s="27" t="s">
        <v>160</v>
      </c>
      <c r="G725" s="27" t="s">
        <v>65</v>
      </c>
      <c r="H725" s="27" t="s">
        <v>69</v>
      </c>
      <c r="I725" s="27" t="s">
        <v>85</v>
      </c>
      <c r="J725" s="27">
        <v>5</v>
      </c>
      <c r="K725" s="27">
        <v>799.99</v>
      </c>
      <c r="L725" s="27">
        <v>1099.99</v>
      </c>
      <c r="M725" s="27">
        <v>27.27</v>
      </c>
      <c r="N725" s="27">
        <v>300</v>
      </c>
      <c r="O725" s="27">
        <v>1</v>
      </c>
      <c r="P725" s="27" t="s">
        <v>147</v>
      </c>
      <c r="Q725" s="27">
        <v>6.685848</v>
      </c>
      <c r="S725" s="27">
        <v>6</v>
      </c>
      <c r="T725" s="27">
        <v>50</v>
      </c>
      <c r="U725" s="27">
        <v>0.1071</v>
      </c>
      <c r="V725" s="27" t="s">
        <v>87</v>
      </c>
      <c r="W725" s="27">
        <v>4799.94</v>
      </c>
      <c r="X725" s="27">
        <v>1.94591</v>
      </c>
      <c r="Y725" s="27">
        <v>8.476567</v>
      </c>
      <c r="Z725" s="27">
        <v>7.0711</v>
      </c>
      <c r="AA725" s="27" t="s">
        <v>73</v>
      </c>
      <c r="AB725" s="27">
        <v>0</v>
      </c>
      <c r="AC725" s="27">
        <v>0</v>
      </c>
      <c r="AD725" s="27">
        <v>0</v>
      </c>
      <c r="AE725" s="27">
        <v>0</v>
      </c>
      <c r="AF725" s="27">
        <v>0</v>
      </c>
      <c r="AG725" s="27">
        <v>1</v>
      </c>
      <c r="AH725" s="27">
        <v>0</v>
      </c>
      <c r="AI725" s="27">
        <v>0</v>
      </c>
      <c r="AJ725" s="27">
        <v>0</v>
      </c>
      <c r="AK725" s="27">
        <v>0</v>
      </c>
      <c r="AL725" s="27">
        <v>0</v>
      </c>
      <c r="AM725" s="27">
        <v>0</v>
      </c>
      <c r="AN725" s="27">
        <v>0</v>
      </c>
      <c r="AO725" s="27">
        <v>0</v>
      </c>
      <c r="AP725" s="27">
        <v>0</v>
      </c>
      <c r="AQ725" s="27">
        <v>1</v>
      </c>
      <c r="AR725" s="27">
        <v>0</v>
      </c>
      <c r="AS725" s="27">
        <v>0</v>
      </c>
      <c r="AT725" s="27">
        <v>0</v>
      </c>
      <c r="AU725" s="27">
        <v>0</v>
      </c>
      <c r="AV725" s="27">
        <v>1</v>
      </c>
      <c r="AW725" s="27">
        <v>1</v>
      </c>
      <c r="AX725" s="27">
        <v>0</v>
      </c>
      <c r="AZ725" s="27">
        <v>1</v>
      </c>
      <c r="BA725" s="27">
        <v>1</v>
      </c>
      <c r="BB725" s="27">
        <v>42.22</v>
      </c>
      <c r="BC725" s="27" t="s">
        <v>2170</v>
      </c>
      <c r="BD725" s="27" t="s">
        <v>2171</v>
      </c>
      <c r="BE725" s="27" t="s">
        <v>226</v>
      </c>
      <c r="BF725" s="27" t="s">
        <v>77</v>
      </c>
      <c r="BG725" s="27">
        <v>161</v>
      </c>
      <c r="BH725" s="27">
        <v>28</v>
      </c>
      <c r="BI725" s="27">
        <v>0.8519</v>
      </c>
      <c r="BJ725" s="27">
        <v>0</v>
      </c>
      <c r="BK725" s="27">
        <v>3</v>
      </c>
      <c r="BL725" s="27">
        <v>99.2</v>
      </c>
    </row>
    <row r="726" customHeight="1" spans="1:64">
      <c r="A726" s="27" t="s">
        <v>2172</v>
      </c>
      <c r="B726" s="27" t="s">
        <v>171</v>
      </c>
      <c r="C726" s="27" t="s">
        <v>2173</v>
      </c>
      <c r="E726" s="27" t="s">
        <v>250</v>
      </c>
      <c r="F726" s="27" t="s">
        <v>160</v>
      </c>
      <c r="G726" s="27" t="s">
        <v>83</v>
      </c>
      <c r="H726" s="27" t="s">
        <v>84</v>
      </c>
      <c r="I726" s="27" t="s">
        <v>85</v>
      </c>
      <c r="J726" s="27">
        <v>5</v>
      </c>
      <c r="K726" s="27">
        <v>231.69</v>
      </c>
      <c r="M726" s="27">
        <v>0</v>
      </c>
      <c r="N726" s="27">
        <v>0</v>
      </c>
      <c r="O726" s="27">
        <v>0</v>
      </c>
      <c r="P726" s="27" t="s">
        <v>71</v>
      </c>
      <c r="Q726" s="27">
        <v>5.449707</v>
      </c>
      <c r="R726" s="27">
        <v>28.96</v>
      </c>
      <c r="S726" s="27">
        <v>235</v>
      </c>
      <c r="T726" s="27">
        <v>10</v>
      </c>
      <c r="U726" s="27">
        <v>0.9592</v>
      </c>
      <c r="V726" s="27" t="s">
        <v>154</v>
      </c>
      <c r="W726" s="27">
        <v>54447.15</v>
      </c>
      <c r="X726" s="27">
        <v>5.463832</v>
      </c>
      <c r="Y726" s="27">
        <v>10.905004</v>
      </c>
      <c r="Z726" s="27">
        <v>3.1623</v>
      </c>
      <c r="AA726" s="27" t="s">
        <v>313</v>
      </c>
      <c r="AB726" s="27">
        <v>1</v>
      </c>
      <c r="AC726" s="27">
        <v>1</v>
      </c>
      <c r="AD726" s="27">
        <v>0</v>
      </c>
      <c r="AE726" s="27">
        <v>0</v>
      </c>
      <c r="AF726" s="27">
        <v>0</v>
      </c>
      <c r="AG726" s="27">
        <v>1</v>
      </c>
      <c r="AH726" s="27">
        <v>0</v>
      </c>
      <c r="AI726" s="27">
        <v>1</v>
      </c>
      <c r="AJ726" s="27">
        <v>0</v>
      </c>
      <c r="AK726" s="27">
        <v>0</v>
      </c>
      <c r="AL726" s="27">
        <v>0</v>
      </c>
      <c r="AM726" s="27">
        <v>0</v>
      </c>
      <c r="AN726" s="27">
        <v>0</v>
      </c>
      <c r="AO726" s="27">
        <v>0</v>
      </c>
      <c r="AP726" s="27">
        <v>0</v>
      </c>
      <c r="AQ726" s="27">
        <v>1</v>
      </c>
      <c r="AR726" s="27">
        <v>0</v>
      </c>
      <c r="AS726" s="27">
        <v>0</v>
      </c>
      <c r="AT726" s="27">
        <v>1</v>
      </c>
      <c r="AU726" s="27">
        <v>0</v>
      </c>
      <c r="AV726" s="27">
        <v>1</v>
      </c>
      <c r="AW726" s="27">
        <v>1</v>
      </c>
      <c r="AX726" s="27">
        <v>0</v>
      </c>
      <c r="AY726" s="27">
        <v>8</v>
      </c>
      <c r="AZ726" s="27">
        <v>1</v>
      </c>
      <c r="BA726" s="27">
        <v>3</v>
      </c>
      <c r="BB726" s="27">
        <v>68.04</v>
      </c>
      <c r="BC726" s="27" t="s">
        <v>506</v>
      </c>
      <c r="BD726" s="27" t="s">
        <v>356</v>
      </c>
      <c r="BE726" s="27" t="s">
        <v>287</v>
      </c>
      <c r="BF726" s="27" t="s">
        <v>77</v>
      </c>
      <c r="BG726" s="27">
        <v>161</v>
      </c>
      <c r="BH726" s="27">
        <v>61</v>
      </c>
      <c r="BI726" s="27">
        <v>0.7252</v>
      </c>
      <c r="BJ726" s="27">
        <v>0</v>
      </c>
      <c r="BK726" s="27">
        <v>4</v>
      </c>
      <c r="BL726" s="27">
        <v>98.9</v>
      </c>
    </row>
    <row r="727" customHeight="1" spans="1:64">
      <c r="A727" s="27" t="s">
        <v>2174</v>
      </c>
      <c r="B727" s="27" t="s">
        <v>222</v>
      </c>
      <c r="C727" s="27" t="s">
        <v>2175</v>
      </c>
      <c r="E727" s="27" t="s">
        <v>255</v>
      </c>
      <c r="F727" s="27" t="s">
        <v>82</v>
      </c>
      <c r="G727" s="27" t="s">
        <v>83</v>
      </c>
      <c r="H727" s="27" t="s">
        <v>84</v>
      </c>
      <c r="I727" s="27" t="s">
        <v>85</v>
      </c>
      <c r="J727" s="27">
        <v>5</v>
      </c>
      <c r="K727" s="27">
        <v>39.99</v>
      </c>
      <c r="M727" s="27">
        <v>0</v>
      </c>
      <c r="N727" s="27">
        <v>0</v>
      </c>
      <c r="O727" s="27">
        <v>0</v>
      </c>
      <c r="P727" s="27" t="s">
        <v>86</v>
      </c>
      <c r="Q727" s="27">
        <v>3.713328</v>
      </c>
      <c r="S727" s="27">
        <v>15</v>
      </c>
      <c r="T727" s="27">
        <v>10</v>
      </c>
      <c r="U727" s="27">
        <v>0.6</v>
      </c>
      <c r="V727" s="27" t="s">
        <v>72</v>
      </c>
      <c r="W727" s="27">
        <v>599.85</v>
      </c>
      <c r="X727" s="27">
        <v>2.772589</v>
      </c>
      <c r="Y727" s="27">
        <v>6.398345</v>
      </c>
      <c r="Z727" s="27">
        <v>3.1623</v>
      </c>
      <c r="AA727" s="27" t="s">
        <v>125</v>
      </c>
      <c r="AB727" s="27">
        <v>0</v>
      </c>
      <c r="AC727" s="27">
        <v>0</v>
      </c>
      <c r="AD727" s="27">
        <v>0</v>
      </c>
      <c r="AE727" s="27">
        <v>1</v>
      </c>
      <c r="AF727" s="27">
        <v>1</v>
      </c>
      <c r="AG727" s="27">
        <v>0</v>
      </c>
      <c r="AH727" s="27">
        <v>1</v>
      </c>
      <c r="AI727" s="27">
        <v>0</v>
      </c>
      <c r="AJ727" s="27">
        <v>1</v>
      </c>
      <c r="AK727" s="27">
        <v>0</v>
      </c>
      <c r="AL727" s="27">
        <v>0</v>
      </c>
      <c r="AM727" s="27">
        <v>0</v>
      </c>
      <c r="AN727" s="27">
        <v>0</v>
      </c>
      <c r="AO727" s="27">
        <v>0</v>
      </c>
      <c r="AP727" s="27">
        <v>0</v>
      </c>
      <c r="AQ727" s="27">
        <v>0</v>
      </c>
      <c r="AR727" s="27">
        <v>0</v>
      </c>
      <c r="AS727" s="27">
        <v>0</v>
      </c>
      <c r="AT727" s="27">
        <v>1</v>
      </c>
      <c r="AU727" s="27">
        <v>0</v>
      </c>
      <c r="AV727" s="27">
        <v>0</v>
      </c>
      <c r="AW727" s="27">
        <v>0</v>
      </c>
      <c r="AX727" s="27">
        <v>0</v>
      </c>
      <c r="AZ727" s="27">
        <v>1</v>
      </c>
      <c r="BA727" s="27">
        <v>2</v>
      </c>
      <c r="BB727" s="27">
        <v>53.43</v>
      </c>
      <c r="BC727" s="27" t="s">
        <v>567</v>
      </c>
      <c r="BD727" s="27" t="s">
        <v>225</v>
      </c>
      <c r="BE727" s="27" t="s">
        <v>226</v>
      </c>
      <c r="BF727" s="27" t="s">
        <v>77</v>
      </c>
      <c r="BG727" s="27">
        <v>1</v>
      </c>
      <c r="BH727" s="27">
        <v>147</v>
      </c>
      <c r="BI727" s="27">
        <v>0.0068</v>
      </c>
      <c r="BJ727" s="27">
        <v>1</v>
      </c>
      <c r="BK727" s="27">
        <v>7</v>
      </c>
      <c r="BL727" s="27">
        <v>98.1</v>
      </c>
    </row>
    <row r="728" customHeight="1" spans="1:64">
      <c r="A728" s="27" t="s">
        <v>2176</v>
      </c>
      <c r="B728" s="27" t="s">
        <v>195</v>
      </c>
      <c r="E728" s="27" t="s">
        <v>81</v>
      </c>
      <c r="F728" s="27" t="s">
        <v>82</v>
      </c>
      <c r="G728" s="27" t="s">
        <v>83</v>
      </c>
      <c r="H728" s="27" t="s">
        <v>84</v>
      </c>
      <c r="I728" s="27" t="s">
        <v>203</v>
      </c>
      <c r="J728" s="27">
        <v>4</v>
      </c>
      <c r="K728" s="27">
        <v>109.77</v>
      </c>
      <c r="L728" s="27">
        <v>229.55</v>
      </c>
      <c r="M728" s="27">
        <v>52.18</v>
      </c>
      <c r="N728" s="27">
        <v>119.78</v>
      </c>
      <c r="O728" s="27">
        <v>1</v>
      </c>
      <c r="P728" s="27" t="s">
        <v>95</v>
      </c>
      <c r="Q728" s="27">
        <v>4.707456</v>
      </c>
      <c r="S728" s="27">
        <v>13</v>
      </c>
      <c r="T728" s="27">
        <v>8</v>
      </c>
      <c r="U728" s="27">
        <v>0.619</v>
      </c>
      <c r="V728" s="27" t="s">
        <v>72</v>
      </c>
      <c r="W728" s="27">
        <v>1427.01</v>
      </c>
      <c r="X728" s="27">
        <v>2.639057</v>
      </c>
      <c r="Y728" s="27">
        <v>7.264037</v>
      </c>
      <c r="Z728" s="27">
        <v>2.8284</v>
      </c>
      <c r="AA728" s="27" t="s">
        <v>139</v>
      </c>
      <c r="AB728" s="27">
        <v>0</v>
      </c>
      <c r="AC728" s="27">
        <v>0</v>
      </c>
      <c r="AD728" s="27">
        <v>0</v>
      </c>
      <c r="AE728" s="27">
        <v>0</v>
      </c>
      <c r="AF728" s="27">
        <v>0</v>
      </c>
      <c r="AG728" s="27">
        <v>0</v>
      </c>
      <c r="AH728" s="27">
        <v>1</v>
      </c>
      <c r="AI728" s="27">
        <v>0</v>
      </c>
      <c r="AJ728" s="27">
        <v>0</v>
      </c>
      <c r="AK728" s="27">
        <v>0</v>
      </c>
      <c r="AL728" s="27">
        <v>0</v>
      </c>
      <c r="AM728" s="27">
        <v>0</v>
      </c>
      <c r="AN728" s="27">
        <v>0</v>
      </c>
      <c r="AO728" s="27">
        <v>0</v>
      </c>
      <c r="AP728" s="27">
        <v>0</v>
      </c>
      <c r="AQ728" s="27">
        <v>0</v>
      </c>
      <c r="AR728" s="27">
        <v>0</v>
      </c>
      <c r="AS728" s="27">
        <v>0</v>
      </c>
      <c r="AT728" s="27">
        <v>1</v>
      </c>
      <c r="AU728" s="27">
        <v>0</v>
      </c>
      <c r="AV728" s="27">
        <v>0</v>
      </c>
      <c r="AW728" s="27">
        <v>0</v>
      </c>
      <c r="AX728" s="27">
        <v>0</v>
      </c>
      <c r="AZ728" s="27">
        <v>1</v>
      </c>
      <c r="BA728" s="27">
        <v>1</v>
      </c>
      <c r="BB728" s="27">
        <v>70.26</v>
      </c>
      <c r="BC728" s="27" t="s">
        <v>1156</v>
      </c>
      <c r="BD728" s="27" t="s">
        <v>916</v>
      </c>
      <c r="BE728" s="27" t="s">
        <v>128</v>
      </c>
      <c r="BF728" s="27" t="s">
        <v>77</v>
      </c>
      <c r="BG728" s="27">
        <v>168</v>
      </c>
      <c r="BH728" s="27">
        <v>13</v>
      </c>
      <c r="BI728" s="27">
        <v>0.9282</v>
      </c>
      <c r="BJ728" s="27">
        <v>0</v>
      </c>
      <c r="BK728" s="27">
        <v>2</v>
      </c>
      <c r="BL728" s="27">
        <v>99.5</v>
      </c>
    </row>
    <row r="729" customHeight="1" spans="1:64">
      <c r="A729" s="27" t="s">
        <v>2177</v>
      </c>
      <c r="B729" s="27" t="s">
        <v>245</v>
      </c>
      <c r="C729" s="27" t="s">
        <v>2178</v>
      </c>
      <c r="E729" s="27" t="s">
        <v>250</v>
      </c>
      <c r="F729" s="27" t="s">
        <v>160</v>
      </c>
      <c r="G729" s="27" t="s">
        <v>83</v>
      </c>
      <c r="H729" s="27" t="s">
        <v>84</v>
      </c>
      <c r="I729" s="27" t="s">
        <v>85</v>
      </c>
      <c r="J729" s="27">
        <v>5</v>
      </c>
      <c r="K729" s="27">
        <v>114.39</v>
      </c>
      <c r="M729" s="27">
        <v>0</v>
      </c>
      <c r="N729" s="27">
        <v>0</v>
      </c>
      <c r="O729" s="27">
        <v>0</v>
      </c>
      <c r="P729" s="27" t="s">
        <v>95</v>
      </c>
      <c r="Q729" s="27">
        <v>4.748318</v>
      </c>
      <c r="R729" s="27">
        <v>7.15</v>
      </c>
      <c r="S729" s="27">
        <v>369</v>
      </c>
      <c r="T729" s="27">
        <v>100</v>
      </c>
      <c r="U729" s="27">
        <v>0.7868</v>
      </c>
      <c r="V729" s="27" t="s">
        <v>154</v>
      </c>
      <c r="W729" s="27">
        <v>42209.91</v>
      </c>
      <c r="X729" s="27">
        <v>5.913503</v>
      </c>
      <c r="Y729" s="27">
        <v>10.650434</v>
      </c>
      <c r="Z729" s="27">
        <v>10</v>
      </c>
      <c r="AA729" s="27" t="s">
        <v>139</v>
      </c>
      <c r="AB729" s="27">
        <v>1</v>
      </c>
      <c r="AC729" s="27">
        <v>0</v>
      </c>
      <c r="AD729" s="27">
        <v>0</v>
      </c>
      <c r="AE729" s="27">
        <v>0</v>
      </c>
      <c r="AF729" s="27">
        <v>0</v>
      </c>
      <c r="AG729" s="27">
        <v>0</v>
      </c>
      <c r="AH729" s="27">
        <v>0</v>
      </c>
      <c r="AI729" s="27">
        <v>0</v>
      </c>
      <c r="AJ729" s="27">
        <v>0</v>
      </c>
      <c r="AK729" s="27">
        <v>0</v>
      </c>
      <c r="AL729" s="27">
        <v>0</v>
      </c>
      <c r="AM729" s="27">
        <v>0</v>
      </c>
      <c r="AN729" s="27">
        <v>0</v>
      </c>
      <c r="AO729" s="27">
        <v>0</v>
      </c>
      <c r="AP729" s="27">
        <v>0</v>
      </c>
      <c r="AQ729" s="27">
        <v>1</v>
      </c>
      <c r="AR729" s="27">
        <v>0</v>
      </c>
      <c r="AS729" s="27">
        <v>0</v>
      </c>
      <c r="AT729" s="27">
        <v>1</v>
      </c>
      <c r="AU729" s="27">
        <v>0</v>
      </c>
      <c r="AV729" s="27">
        <v>1</v>
      </c>
      <c r="AW729" s="27">
        <v>1</v>
      </c>
      <c r="AX729" s="27">
        <v>0</v>
      </c>
      <c r="AY729" s="27">
        <v>16</v>
      </c>
      <c r="AZ729" s="27">
        <v>1</v>
      </c>
      <c r="BA729" s="27">
        <v>2</v>
      </c>
      <c r="BB729" s="27">
        <v>60.81</v>
      </c>
      <c r="BC729" s="27" t="s">
        <v>251</v>
      </c>
      <c r="BD729" s="27" t="s">
        <v>175</v>
      </c>
      <c r="BE729" s="27" t="s">
        <v>226</v>
      </c>
      <c r="BF729" s="27" t="s">
        <v>77</v>
      </c>
      <c r="BG729" s="27">
        <v>162</v>
      </c>
      <c r="BH729" s="27">
        <v>60</v>
      </c>
      <c r="BI729" s="27">
        <v>0.7297</v>
      </c>
      <c r="BJ729" s="27">
        <v>0</v>
      </c>
      <c r="BK729" s="27">
        <v>8</v>
      </c>
      <c r="BL729" s="27">
        <v>97.8</v>
      </c>
    </row>
    <row r="730" customHeight="1" spans="1:64">
      <c r="A730" s="27" t="s">
        <v>2179</v>
      </c>
      <c r="B730" s="27" t="s">
        <v>245</v>
      </c>
      <c r="C730" s="27" t="s">
        <v>2180</v>
      </c>
      <c r="E730" s="27" t="s">
        <v>255</v>
      </c>
      <c r="F730" s="27" t="s">
        <v>160</v>
      </c>
      <c r="G730" s="27" t="s">
        <v>83</v>
      </c>
      <c r="H730" s="27" t="s">
        <v>84</v>
      </c>
      <c r="I730" s="27" t="s">
        <v>85</v>
      </c>
      <c r="J730" s="27">
        <v>5</v>
      </c>
      <c r="K730" s="27">
        <v>139.79</v>
      </c>
      <c r="M730" s="27">
        <v>0</v>
      </c>
      <c r="N730" s="27">
        <v>0</v>
      </c>
      <c r="O730" s="27">
        <v>0</v>
      </c>
      <c r="P730" s="27" t="s">
        <v>95</v>
      </c>
      <c r="Q730" s="27">
        <v>4.947269</v>
      </c>
      <c r="S730" s="27">
        <v>1</v>
      </c>
      <c r="T730" s="27">
        <v>30</v>
      </c>
      <c r="U730" s="27">
        <v>0.0323</v>
      </c>
      <c r="V730" s="27" t="s">
        <v>87</v>
      </c>
      <c r="W730" s="27">
        <v>139.79</v>
      </c>
      <c r="X730" s="27">
        <v>0.693147</v>
      </c>
      <c r="Y730" s="27">
        <v>4.947269</v>
      </c>
      <c r="Z730" s="27">
        <v>5.4772</v>
      </c>
      <c r="AA730" s="27" t="s">
        <v>291</v>
      </c>
      <c r="AB730" s="27">
        <v>1</v>
      </c>
      <c r="AC730" s="27">
        <v>1</v>
      </c>
      <c r="AD730" s="27">
        <v>0</v>
      </c>
      <c r="AE730" s="27">
        <v>0</v>
      </c>
      <c r="AF730" s="27">
        <v>0</v>
      </c>
      <c r="AG730" s="27">
        <v>1</v>
      </c>
      <c r="AH730" s="27">
        <v>0</v>
      </c>
      <c r="AI730" s="27">
        <v>1</v>
      </c>
      <c r="AJ730" s="27">
        <v>0</v>
      </c>
      <c r="AK730" s="27">
        <v>1</v>
      </c>
      <c r="AL730" s="27">
        <v>0</v>
      </c>
      <c r="AM730" s="27">
        <v>0</v>
      </c>
      <c r="AN730" s="27">
        <v>1</v>
      </c>
      <c r="AO730" s="27">
        <v>0</v>
      </c>
      <c r="AP730" s="27">
        <v>0</v>
      </c>
      <c r="AQ730" s="27">
        <v>0</v>
      </c>
      <c r="AR730" s="27">
        <v>0</v>
      </c>
      <c r="AS730" s="27">
        <v>0</v>
      </c>
      <c r="AT730" s="27">
        <v>0</v>
      </c>
      <c r="AU730" s="27">
        <v>0</v>
      </c>
      <c r="AV730" s="27">
        <v>0</v>
      </c>
      <c r="AW730" s="27">
        <v>0</v>
      </c>
      <c r="AX730" s="27">
        <v>0</v>
      </c>
      <c r="AZ730" s="27">
        <v>1</v>
      </c>
      <c r="BA730" s="27">
        <v>4</v>
      </c>
      <c r="BB730" s="27">
        <v>31.14</v>
      </c>
      <c r="BC730" s="27" t="s">
        <v>251</v>
      </c>
      <c r="BD730" s="27" t="s">
        <v>175</v>
      </c>
      <c r="BE730" s="27" t="s">
        <v>226</v>
      </c>
      <c r="BF730" s="27" t="s">
        <v>77</v>
      </c>
      <c r="BG730" s="27">
        <v>162</v>
      </c>
      <c r="BH730" s="27">
        <v>60</v>
      </c>
      <c r="BI730" s="27">
        <v>0.7297</v>
      </c>
      <c r="BJ730" s="27">
        <v>0</v>
      </c>
      <c r="BK730" s="27">
        <v>2</v>
      </c>
      <c r="BL730" s="27">
        <v>99.5</v>
      </c>
    </row>
    <row r="731" customHeight="1" spans="1:64">
      <c r="A731" s="27" t="s">
        <v>1931</v>
      </c>
      <c r="B731" s="27" t="s">
        <v>115</v>
      </c>
      <c r="C731" s="27" t="s">
        <v>1932</v>
      </c>
      <c r="D731" s="27">
        <v>840414663411</v>
      </c>
      <c r="E731" s="27" t="s">
        <v>1933</v>
      </c>
      <c r="F731" s="27" t="s">
        <v>82</v>
      </c>
      <c r="G731" s="27" t="s">
        <v>117</v>
      </c>
      <c r="H731" s="27" t="s">
        <v>107</v>
      </c>
      <c r="I731" s="27" t="s">
        <v>85</v>
      </c>
      <c r="J731" s="27">
        <v>5</v>
      </c>
      <c r="K731" s="27">
        <v>26</v>
      </c>
      <c r="M731" s="27">
        <v>0</v>
      </c>
      <c r="N731" s="27">
        <v>0</v>
      </c>
      <c r="O731" s="27">
        <v>0</v>
      </c>
      <c r="P731" s="27" t="s">
        <v>86</v>
      </c>
      <c r="Q731" s="27">
        <v>3.295837</v>
      </c>
      <c r="S731" s="27">
        <v>1</v>
      </c>
      <c r="T731" s="27">
        <v>1</v>
      </c>
      <c r="U731" s="27">
        <v>0.5</v>
      </c>
      <c r="V731" s="27" t="s">
        <v>87</v>
      </c>
      <c r="W731" s="27">
        <v>26</v>
      </c>
      <c r="X731" s="27">
        <v>0.693147</v>
      </c>
      <c r="Y731" s="27">
        <v>3.295837</v>
      </c>
      <c r="Z731" s="27">
        <v>1</v>
      </c>
      <c r="AA731" s="27" t="s">
        <v>125</v>
      </c>
      <c r="AB731" s="27">
        <v>0</v>
      </c>
      <c r="AC731" s="27">
        <v>0</v>
      </c>
      <c r="AD731" s="27">
        <v>0</v>
      </c>
      <c r="AE731" s="27">
        <v>0</v>
      </c>
      <c r="AF731" s="27">
        <v>0</v>
      </c>
      <c r="AG731" s="27">
        <v>0</v>
      </c>
      <c r="AH731" s="27">
        <v>0</v>
      </c>
      <c r="AI731" s="27">
        <v>0</v>
      </c>
      <c r="AJ731" s="27">
        <v>0</v>
      </c>
      <c r="AK731" s="27">
        <v>0</v>
      </c>
      <c r="AL731" s="27">
        <v>0</v>
      </c>
      <c r="AM731" s="27">
        <v>0</v>
      </c>
      <c r="AN731" s="27">
        <v>0</v>
      </c>
      <c r="AO731" s="27">
        <v>0</v>
      </c>
      <c r="AP731" s="27">
        <v>0</v>
      </c>
      <c r="AQ731" s="27">
        <v>0</v>
      </c>
      <c r="AR731" s="27">
        <v>0</v>
      </c>
      <c r="AS731" s="27">
        <v>0</v>
      </c>
      <c r="AT731" s="27">
        <v>0</v>
      </c>
      <c r="AU731" s="27">
        <v>0</v>
      </c>
      <c r="AV731" s="27">
        <v>0</v>
      </c>
      <c r="AW731" s="27">
        <v>0</v>
      </c>
      <c r="AX731" s="27">
        <v>0</v>
      </c>
      <c r="AZ731" s="27">
        <v>1</v>
      </c>
      <c r="BA731" s="27">
        <v>0</v>
      </c>
      <c r="BB731" s="27">
        <v>20</v>
      </c>
      <c r="BC731" s="27" t="s">
        <v>2181</v>
      </c>
      <c r="BD731" s="27" t="s">
        <v>2182</v>
      </c>
      <c r="BE731" s="27" t="s">
        <v>2183</v>
      </c>
      <c r="BF731" s="27" t="s">
        <v>77</v>
      </c>
      <c r="BG731" s="27">
        <v>168</v>
      </c>
      <c r="BH731" s="27">
        <v>11</v>
      </c>
      <c r="BI731" s="27">
        <v>0.9385</v>
      </c>
      <c r="BJ731" s="27">
        <v>0</v>
      </c>
    </row>
    <row r="732" customHeight="1" spans="1:64">
      <c r="A732" s="27" t="s">
        <v>2184</v>
      </c>
      <c r="B732" s="27" t="s">
        <v>530</v>
      </c>
      <c r="E732" s="27" t="s">
        <v>531</v>
      </c>
      <c r="F732" s="27" t="s">
        <v>198</v>
      </c>
      <c r="G732" s="27" t="s">
        <v>83</v>
      </c>
      <c r="H732" s="27" t="s">
        <v>84</v>
      </c>
      <c r="I732" s="27" t="s">
        <v>203</v>
      </c>
      <c r="J732" s="27">
        <v>4</v>
      </c>
      <c r="K732" s="27">
        <v>14.99</v>
      </c>
      <c r="M732" s="27">
        <v>0</v>
      </c>
      <c r="N732" s="27">
        <v>0</v>
      </c>
      <c r="O732" s="27">
        <v>0</v>
      </c>
      <c r="P732" s="27" t="s">
        <v>133</v>
      </c>
      <c r="Q732" s="27">
        <v>2.771964</v>
      </c>
      <c r="S732" s="27">
        <v>103</v>
      </c>
      <c r="T732" s="27">
        <v>10</v>
      </c>
      <c r="U732" s="27">
        <v>0.9115</v>
      </c>
      <c r="V732" s="27" t="s">
        <v>72</v>
      </c>
      <c r="W732" s="27">
        <v>1543.97</v>
      </c>
      <c r="X732" s="27">
        <v>4.644391</v>
      </c>
      <c r="Y732" s="27">
        <v>7.34276</v>
      </c>
      <c r="Z732" s="27">
        <v>3.1623</v>
      </c>
      <c r="AA732" s="27" t="s">
        <v>125</v>
      </c>
      <c r="AB732" s="27">
        <v>0</v>
      </c>
      <c r="AC732" s="27">
        <v>0</v>
      </c>
      <c r="AD732" s="27">
        <v>0</v>
      </c>
      <c r="AE732" s="27">
        <v>0</v>
      </c>
      <c r="AF732" s="27">
        <v>0</v>
      </c>
      <c r="AG732" s="27">
        <v>0</v>
      </c>
      <c r="AH732" s="27">
        <v>0</v>
      </c>
      <c r="AI732" s="27">
        <v>0</v>
      </c>
      <c r="AJ732" s="27">
        <v>0</v>
      </c>
      <c r="AK732" s="27">
        <v>0</v>
      </c>
      <c r="AL732" s="27">
        <v>0</v>
      </c>
      <c r="AM732" s="27">
        <v>0</v>
      </c>
      <c r="AN732" s="27">
        <v>0</v>
      </c>
      <c r="AO732" s="27">
        <v>0</v>
      </c>
      <c r="AP732" s="27">
        <v>1</v>
      </c>
      <c r="AQ732" s="27">
        <v>0</v>
      </c>
      <c r="AR732" s="27">
        <v>0</v>
      </c>
      <c r="AS732" s="27">
        <v>0</v>
      </c>
      <c r="AT732" s="27">
        <v>0</v>
      </c>
      <c r="AU732" s="27">
        <v>0</v>
      </c>
      <c r="AV732" s="27">
        <v>0</v>
      </c>
      <c r="AW732" s="27">
        <v>0</v>
      </c>
      <c r="AX732" s="27">
        <v>0</v>
      </c>
      <c r="AZ732" s="27">
        <v>1</v>
      </c>
      <c r="BA732" s="27">
        <v>0</v>
      </c>
      <c r="BB732" s="27">
        <v>66.22</v>
      </c>
      <c r="BC732" s="27" t="s">
        <v>532</v>
      </c>
      <c r="BD732" s="27" t="s">
        <v>2185</v>
      </c>
      <c r="BE732" s="27" t="s">
        <v>226</v>
      </c>
      <c r="BF732" s="27" t="s">
        <v>77</v>
      </c>
      <c r="BG732" s="27">
        <v>1</v>
      </c>
      <c r="BH732" s="27">
        <v>28</v>
      </c>
      <c r="BI732" s="27">
        <v>0.0345</v>
      </c>
      <c r="BJ732" s="27">
        <v>1</v>
      </c>
      <c r="BK732" s="27">
        <v>3</v>
      </c>
      <c r="BL732" s="27">
        <v>99.2</v>
      </c>
    </row>
    <row r="733" customHeight="1" spans="1:64">
      <c r="A733" s="27" t="s">
        <v>2186</v>
      </c>
      <c r="B733" s="27" t="s">
        <v>2187</v>
      </c>
      <c r="E733" s="27" t="s">
        <v>2188</v>
      </c>
      <c r="F733" s="27" t="s">
        <v>198</v>
      </c>
      <c r="G733" s="27" t="s">
        <v>83</v>
      </c>
      <c r="H733" s="27" t="s">
        <v>84</v>
      </c>
      <c r="I733" s="27" t="s">
        <v>85</v>
      </c>
      <c r="J733" s="27">
        <v>5</v>
      </c>
      <c r="K733" s="27">
        <v>18</v>
      </c>
      <c r="M733" s="27">
        <v>0</v>
      </c>
      <c r="N733" s="27">
        <v>0</v>
      </c>
      <c r="O733" s="27">
        <v>0</v>
      </c>
      <c r="P733" s="27" t="s">
        <v>133</v>
      </c>
      <c r="Q733" s="27">
        <v>2.944439</v>
      </c>
      <c r="S733" s="27">
        <v>2</v>
      </c>
      <c r="T733" s="27">
        <v>10</v>
      </c>
      <c r="U733" s="27">
        <v>0.1667</v>
      </c>
      <c r="V733" s="27" t="s">
        <v>87</v>
      </c>
      <c r="W733" s="27">
        <v>36</v>
      </c>
      <c r="X733" s="27">
        <v>1.098612</v>
      </c>
      <c r="Y733" s="27">
        <v>3.610918</v>
      </c>
      <c r="Z733" s="27">
        <v>3.1623</v>
      </c>
      <c r="AA733" s="27" t="s">
        <v>125</v>
      </c>
      <c r="AB733" s="27">
        <v>0</v>
      </c>
      <c r="AC733" s="27">
        <v>0</v>
      </c>
      <c r="AD733" s="27">
        <v>0</v>
      </c>
      <c r="AE733" s="27">
        <v>0</v>
      </c>
      <c r="AF733" s="27">
        <v>0</v>
      </c>
      <c r="AG733" s="27">
        <v>0</v>
      </c>
      <c r="AH733" s="27">
        <v>1</v>
      </c>
      <c r="AI733" s="27">
        <v>0</v>
      </c>
      <c r="AJ733" s="27">
        <v>0</v>
      </c>
      <c r="AK733" s="27">
        <v>0</v>
      </c>
      <c r="AL733" s="27">
        <v>0</v>
      </c>
      <c r="AM733" s="27">
        <v>0</v>
      </c>
      <c r="AN733" s="27">
        <v>0</v>
      </c>
      <c r="AO733" s="27">
        <v>0</v>
      </c>
      <c r="AP733" s="27">
        <v>0</v>
      </c>
      <c r="AQ733" s="27">
        <v>0</v>
      </c>
      <c r="AR733" s="27">
        <v>0</v>
      </c>
      <c r="AS733" s="27">
        <v>0</v>
      </c>
      <c r="AT733" s="27">
        <v>0</v>
      </c>
      <c r="AU733" s="27">
        <v>0</v>
      </c>
      <c r="AV733" s="27">
        <v>0</v>
      </c>
      <c r="AW733" s="27">
        <v>0</v>
      </c>
      <c r="AX733" s="27">
        <v>0</v>
      </c>
      <c r="AZ733" s="27">
        <v>1</v>
      </c>
      <c r="BA733" s="27">
        <v>1</v>
      </c>
      <c r="BB733" s="27">
        <v>6.67</v>
      </c>
      <c r="BC733" s="27" t="s">
        <v>2189</v>
      </c>
      <c r="BD733" s="27" t="s">
        <v>2190</v>
      </c>
      <c r="BE733" s="27" t="s">
        <v>997</v>
      </c>
      <c r="BF733" s="27" t="s">
        <v>77</v>
      </c>
      <c r="BG733" s="27">
        <v>168</v>
      </c>
      <c r="BH733" s="27">
        <v>11</v>
      </c>
      <c r="BI733" s="27">
        <v>0.9385</v>
      </c>
      <c r="BJ733" s="27">
        <v>0</v>
      </c>
    </row>
    <row r="734" customHeight="1" spans="1:64">
      <c r="A734" s="27" t="s">
        <v>2191</v>
      </c>
      <c r="B734" s="27" t="s">
        <v>222</v>
      </c>
      <c r="C734" s="27" t="s">
        <v>2192</v>
      </c>
      <c r="E734" s="27" t="s">
        <v>255</v>
      </c>
      <c r="F734" s="27" t="s">
        <v>82</v>
      </c>
      <c r="G734" s="27" t="s">
        <v>83</v>
      </c>
      <c r="H734" s="27" t="s">
        <v>84</v>
      </c>
      <c r="I734" s="27" t="s">
        <v>85</v>
      </c>
      <c r="J734" s="27">
        <v>5</v>
      </c>
      <c r="K734" s="27">
        <v>49.99</v>
      </c>
      <c r="M734" s="27">
        <v>0</v>
      </c>
      <c r="N734" s="27">
        <v>0</v>
      </c>
      <c r="O734" s="27">
        <v>0</v>
      </c>
      <c r="P734" s="27" t="s">
        <v>86</v>
      </c>
      <c r="Q734" s="27">
        <v>3.93163</v>
      </c>
      <c r="S734" s="27">
        <v>32</v>
      </c>
      <c r="T734" s="27">
        <v>10</v>
      </c>
      <c r="U734" s="27">
        <v>0.7619</v>
      </c>
      <c r="V734" s="27" t="s">
        <v>72</v>
      </c>
      <c r="W734" s="27">
        <v>1599.68</v>
      </c>
      <c r="X734" s="27">
        <v>3.496508</v>
      </c>
      <c r="Y734" s="27">
        <v>7.378184</v>
      </c>
      <c r="Z734" s="27">
        <v>3.1623</v>
      </c>
      <c r="AA734" s="27" t="s">
        <v>125</v>
      </c>
      <c r="AB734" s="27">
        <v>0</v>
      </c>
      <c r="AC734" s="27">
        <v>0</v>
      </c>
      <c r="AD734" s="27">
        <v>0</v>
      </c>
      <c r="AE734" s="27">
        <v>1</v>
      </c>
      <c r="AF734" s="27">
        <v>1</v>
      </c>
      <c r="AG734" s="27">
        <v>0</v>
      </c>
      <c r="AH734" s="27">
        <v>1</v>
      </c>
      <c r="AI734" s="27">
        <v>0</v>
      </c>
      <c r="AJ734" s="27">
        <v>0</v>
      </c>
      <c r="AK734" s="27">
        <v>0</v>
      </c>
      <c r="AL734" s="27">
        <v>0</v>
      </c>
      <c r="AM734" s="27">
        <v>0</v>
      </c>
      <c r="AN734" s="27">
        <v>0</v>
      </c>
      <c r="AO734" s="27">
        <v>0</v>
      </c>
      <c r="AP734" s="27">
        <v>0</v>
      </c>
      <c r="AQ734" s="27">
        <v>0</v>
      </c>
      <c r="AR734" s="27">
        <v>0</v>
      </c>
      <c r="AS734" s="27">
        <v>0</v>
      </c>
      <c r="AT734" s="27">
        <v>1</v>
      </c>
      <c r="AU734" s="27">
        <v>0</v>
      </c>
      <c r="AV734" s="27">
        <v>0</v>
      </c>
      <c r="AW734" s="27">
        <v>1</v>
      </c>
      <c r="AX734" s="27">
        <v>0</v>
      </c>
      <c r="AZ734" s="27">
        <v>1</v>
      </c>
      <c r="BA734" s="27">
        <v>2</v>
      </c>
      <c r="BB734" s="27">
        <v>60.15</v>
      </c>
      <c r="BC734" s="27" t="s">
        <v>2193</v>
      </c>
      <c r="BD734" s="27" t="s">
        <v>225</v>
      </c>
      <c r="BE734" s="27" t="s">
        <v>226</v>
      </c>
      <c r="BF734" s="27" t="s">
        <v>77</v>
      </c>
      <c r="BG734" s="27">
        <v>1</v>
      </c>
      <c r="BH734" s="27">
        <v>143</v>
      </c>
      <c r="BI734" s="27">
        <v>0.0069</v>
      </c>
      <c r="BJ734" s="27">
        <v>1</v>
      </c>
      <c r="BK734" s="27">
        <v>4</v>
      </c>
      <c r="BL734" s="27">
        <v>98.9</v>
      </c>
    </row>
    <row r="735" customHeight="1" spans="1:64">
      <c r="A735" s="27" t="s">
        <v>2194</v>
      </c>
      <c r="B735" s="27" t="s">
        <v>2195</v>
      </c>
      <c r="E735" s="27" t="s">
        <v>2196</v>
      </c>
      <c r="F735" s="27" t="s">
        <v>82</v>
      </c>
      <c r="G735" s="27" t="s">
        <v>819</v>
      </c>
      <c r="H735" s="27" t="s">
        <v>84</v>
      </c>
      <c r="I735" s="27" t="s">
        <v>85</v>
      </c>
      <c r="J735" s="27">
        <v>5</v>
      </c>
      <c r="K735" s="27">
        <v>9.01</v>
      </c>
      <c r="M735" s="27">
        <v>0</v>
      </c>
      <c r="N735" s="27">
        <v>0</v>
      </c>
      <c r="O735" s="27">
        <v>0</v>
      </c>
      <c r="P735" s="27" t="s">
        <v>133</v>
      </c>
      <c r="Q735" s="27">
        <v>2.303585</v>
      </c>
      <c r="S735" s="27">
        <v>373</v>
      </c>
      <c r="T735" s="27">
        <v>2</v>
      </c>
      <c r="U735" s="27">
        <v>0.9947</v>
      </c>
      <c r="V735" s="27" t="s">
        <v>154</v>
      </c>
      <c r="W735" s="27">
        <v>3360.73</v>
      </c>
      <c r="X735" s="27">
        <v>5.924256</v>
      </c>
      <c r="Y735" s="27">
        <v>8.120211</v>
      </c>
      <c r="Z735" s="27">
        <v>1.4142</v>
      </c>
      <c r="AA735" s="27" t="s">
        <v>125</v>
      </c>
      <c r="AB735" s="27">
        <v>0</v>
      </c>
      <c r="AC735" s="27">
        <v>0</v>
      </c>
      <c r="AD735" s="27">
        <v>0</v>
      </c>
      <c r="AE735" s="27">
        <v>0</v>
      </c>
      <c r="AF735" s="27">
        <v>0</v>
      </c>
      <c r="AG735" s="27">
        <v>0</v>
      </c>
      <c r="AH735" s="27">
        <v>0</v>
      </c>
      <c r="AI735" s="27">
        <v>0</v>
      </c>
      <c r="AJ735" s="27">
        <v>0</v>
      </c>
      <c r="AK735" s="27">
        <v>0</v>
      </c>
      <c r="AL735" s="27">
        <v>0</v>
      </c>
      <c r="AM735" s="27">
        <v>0</v>
      </c>
      <c r="AN735" s="27">
        <v>0</v>
      </c>
      <c r="AO735" s="27">
        <v>0</v>
      </c>
      <c r="AP735" s="27">
        <v>0</v>
      </c>
      <c r="AQ735" s="27">
        <v>0</v>
      </c>
      <c r="AR735" s="27">
        <v>0</v>
      </c>
      <c r="AS735" s="27">
        <v>0</v>
      </c>
      <c r="AT735" s="27">
        <v>1</v>
      </c>
      <c r="AU735" s="27">
        <v>1</v>
      </c>
      <c r="AV735" s="27">
        <v>0</v>
      </c>
      <c r="AW735" s="27">
        <v>1</v>
      </c>
      <c r="AX735" s="27">
        <v>0</v>
      </c>
      <c r="AZ735" s="27">
        <v>1</v>
      </c>
      <c r="BA735" s="27">
        <v>0</v>
      </c>
      <c r="BB735" s="27">
        <v>69.64</v>
      </c>
      <c r="BC735" s="27" t="s">
        <v>2197</v>
      </c>
      <c r="BD735" s="27" t="s">
        <v>1506</v>
      </c>
      <c r="BE735" s="27" t="s">
        <v>226</v>
      </c>
      <c r="BF735" s="27" t="s">
        <v>77</v>
      </c>
      <c r="BG735" s="27">
        <v>1</v>
      </c>
      <c r="BH735" s="27">
        <v>48</v>
      </c>
      <c r="BI735" s="27">
        <v>0.0204</v>
      </c>
      <c r="BJ735" s="27">
        <v>1</v>
      </c>
      <c r="BK735" s="27">
        <v>2</v>
      </c>
      <c r="BL735" s="27">
        <v>99.5</v>
      </c>
    </row>
    <row r="736" customHeight="1" spans="1:64">
      <c r="A736" s="27" t="s">
        <v>2198</v>
      </c>
      <c r="B736" s="27" t="s">
        <v>2199</v>
      </c>
      <c r="C736" s="27">
        <v>826</v>
      </c>
      <c r="E736" s="27" t="s">
        <v>81</v>
      </c>
      <c r="F736" s="27" t="s">
        <v>82</v>
      </c>
      <c r="G736" s="27" t="s">
        <v>83</v>
      </c>
      <c r="H736" s="27" t="s">
        <v>84</v>
      </c>
      <c r="I736" s="27" t="s">
        <v>203</v>
      </c>
      <c r="J736" s="27">
        <v>4</v>
      </c>
      <c r="K736" s="27">
        <v>40</v>
      </c>
      <c r="M736" s="27">
        <v>0</v>
      </c>
      <c r="N736" s="27">
        <v>0</v>
      </c>
      <c r="O736" s="27">
        <v>0</v>
      </c>
      <c r="P736" s="27" t="s">
        <v>86</v>
      </c>
      <c r="Q736" s="27">
        <v>3.713572</v>
      </c>
      <c r="V736" s="27" t="s">
        <v>231</v>
      </c>
      <c r="W736" s="27">
        <v>0</v>
      </c>
      <c r="X736" s="27">
        <v>0</v>
      </c>
      <c r="Y736" s="27">
        <v>0</v>
      </c>
      <c r="Z736" s="27">
        <v>0</v>
      </c>
      <c r="AA736" s="27" t="s">
        <v>125</v>
      </c>
      <c r="AB736" s="27">
        <v>0</v>
      </c>
      <c r="AC736" s="27">
        <v>0</v>
      </c>
      <c r="AD736" s="27">
        <v>0</v>
      </c>
      <c r="AE736" s="27">
        <v>0</v>
      </c>
      <c r="AF736" s="27">
        <v>0</v>
      </c>
      <c r="AG736" s="27">
        <v>0</v>
      </c>
      <c r="AH736" s="27">
        <v>1</v>
      </c>
      <c r="AI736" s="27">
        <v>0</v>
      </c>
      <c r="AJ736" s="27">
        <v>0</v>
      </c>
      <c r="AK736" s="27">
        <v>0</v>
      </c>
      <c r="AL736" s="27">
        <v>0</v>
      </c>
      <c r="AM736" s="27">
        <v>0</v>
      </c>
      <c r="AN736" s="27">
        <v>0</v>
      </c>
      <c r="AO736" s="27">
        <v>0</v>
      </c>
      <c r="AP736" s="27">
        <v>0</v>
      </c>
      <c r="AQ736" s="27">
        <v>0</v>
      </c>
      <c r="AR736" s="27">
        <v>0</v>
      </c>
      <c r="AS736" s="27">
        <v>0</v>
      </c>
      <c r="AT736" s="27">
        <v>0</v>
      </c>
      <c r="AU736" s="27">
        <v>0</v>
      </c>
      <c r="AV736" s="27">
        <v>0</v>
      </c>
      <c r="AW736" s="27">
        <v>0</v>
      </c>
      <c r="AX736" s="27">
        <v>0</v>
      </c>
      <c r="AZ736" s="27">
        <v>1</v>
      </c>
      <c r="BA736" s="27">
        <v>1</v>
      </c>
      <c r="BB736" s="27">
        <v>0</v>
      </c>
      <c r="BC736" s="27" t="s">
        <v>2200</v>
      </c>
      <c r="BD736" s="27" t="s">
        <v>2201</v>
      </c>
      <c r="BE736" s="27" t="s">
        <v>620</v>
      </c>
      <c r="BF736" s="27" t="s">
        <v>77</v>
      </c>
      <c r="BG736" s="27">
        <v>1</v>
      </c>
      <c r="BH736" s="27">
        <v>11</v>
      </c>
      <c r="BI736" s="27">
        <v>0.0833</v>
      </c>
      <c r="BJ736" s="27">
        <v>1</v>
      </c>
    </row>
    <row r="737" customHeight="1" spans="1:64">
      <c r="A737" s="27" t="s">
        <v>2202</v>
      </c>
      <c r="B737" s="27" t="s">
        <v>2203</v>
      </c>
      <c r="E737" s="27" t="s">
        <v>390</v>
      </c>
      <c r="F737" s="27" t="s">
        <v>240</v>
      </c>
      <c r="G737" s="27" t="s">
        <v>83</v>
      </c>
      <c r="H737" s="27" t="s">
        <v>84</v>
      </c>
      <c r="I737" s="27" t="s">
        <v>508</v>
      </c>
      <c r="J737" s="27">
        <v>1</v>
      </c>
      <c r="K737" s="27">
        <v>98.84</v>
      </c>
      <c r="M737" s="27">
        <v>0</v>
      </c>
      <c r="N737" s="27">
        <v>0</v>
      </c>
      <c r="O737" s="27">
        <v>0</v>
      </c>
      <c r="P737" s="27" t="s">
        <v>95</v>
      </c>
      <c r="Q737" s="27">
        <v>4.603569</v>
      </c>
      <c r="V737" s="27" t="s">
        <v>231</v>
      </c>
      <c r="W737" s="27">
        <v>0</v>
      </c>
      <c r="X737" s="27">
        <v>0</v>
      </c>
      <c r="Y737" s="27">
        <v>0</v>
      </c>
      <c r="Z737" s="27">
        <v>0</v>
      </c>
      <c r="AA737" s="27" t="s">
        <v>125</v>
      </c>
      <c r="AB737" s="27">
        <v>0</v>
      </c>
      <c r="AC737" s="27">
        <v>0</v>
      </c>
      <c r="AD737" s="27">
        <v>0</v>
      </c>
      <c r="AE737" s="27">
        <v>0</v>
      </c>
      <c r="AF737" s="27">
        <v>0</v>
      </c>
      <c r="AG737" s="27">
        <v>0</v>
      </c>
      <c r="AH737" s="27">
        <v>0</v>
      </c>
      <c r="AI737" s="27">
        <v>0</v>
      </c>
      <c r="AJ737" s="27">
        <v>0</v>
      </c>
      <c r="AK737" s="27">
        <v>0</v>
      </c>
      <c r="AL737" s="27">
        <v>0</v>
      </c>
      <c r="AM737" s="27">
        <v>0</v>
      </c>
      <c r="AN737" s="27">
        <v>0</v>
      </c>
      <c r="AO737" s="27">
        <v>0</v>
      </c>
      <c r="AP737" s="27">
        <v>0</v>
      </c>
      <c r="AQ737" s="27">
        <v>0</v>
      </c>
      <c r="AR737" s="27">
        <v>0</v>
      </c>
      <c r="AS737" s="27">
        <v>0</v>
      </c>
      <c r="AT737" s="27">
        <v>0</v>
      </c>
      <c r="AU737" s="27">
        <v>0</v>
      </c>
      <c r="AV737" s="27">
        <v>0</v>
      </c>
      <c r="AW737" s="27">
        <v>0</v>
      </c>
      <c r="AX737" s="27">
        <v>0</v>
      </c>
      <c r="AZ737" s="27">
        <v>1</v>
      </c>
      <c r="BA737" s="27">
        <v>0</v>
      </c>
      <c r="BB737" s="27">
        <v>0</v>
      </c>
      <c r="BC737" s="27" t="s">
        <v>2204</v>
      </c>
      <c r="BD737" s="27" t="s">
        <v>2205</v>
      </c>
      <c r="BE737" s="27" t="s">
        <v>128</v>
      </c>
      <c r="BF737" s="27" t="s">
        <v>77</v>
      </c>
      <c r="BG737" s="27">
        <v>168</v>
      </c>
      <c r="BH737" s="27">
        <v>11</v>
      </c>
      <c r="BI737" s="27">
        <v>0.9385</v>
      </c>
      <c r="BJ737" s="27">
        <v>0</v>
      </c>
    </row>
    <row r="738" customHeight="1" spans="1:64">
      <c r="A738" s="27" t="s">
        <v>2206</v>
      </c>
      <c r="B738" s="27" t="s">
        <v>384</v>
      </c>
      <c r="C738" s="27" t="s">
        <v>2207</v>
      </c>
      <c r="E738" s="27" t="s">
        <v>81</v>
      </c>
      <c r="F738" s="27" t="s">
        <v>160</v>
      </c>
      <c r="G738" s="27" t="s">
        <v>83</v>
      </c>
      <c r="H738" s="27" t="s">
        <v>84</v>
      </c>
      <c r="I738" s="27" t="s">
        <v>85</v>
      </c>
      <c r="J738" s="27">
        <v>5</v>
      </c>
      <c r="K738" s="27">
        <v>37.99</v>
      </c>
      <c r="L738" s="27">
        <v>39.99</v>
      </c>
      <c r="M738" s="27">
        <v>5</v>
      </c>
      <c r="N738" s="27">
        <v>2</v>
      </c>
      <c r="O738" s="27">
        <v>1</v>
      </c>
      <c r="P738" s="27" t="s">
        <v>86</v>
      </c>
      <c r="Q738" s="27">
        <v>3.663305</v>
      </c>
      <c r="R738" s="27">
        <v>4.75</v>
      </c>
      <c r="S738" s="27">
        <v>152</v>
      </c>
      <c r="T738" s="27">
        <v>10</v>
      </c>
      <c r="U738" s="27">
        <v>0.9383</v>
      </c>
      <c r="V738" s="27" t="s">
        <v>72</v>
      </c>
      <c r="W738" s="27">
        <v>5774.48</v>
      </c>
      <c r="X738" s="27">
        <v>5.030438</v>
      </c>
      <c r="Y738" s="27">
        <v>8.661377</v>
      </c>
      <c r="Z738" s="27">
        <v>3.1623</v>
      </c>
      <c r="AA738" s="27" t="s">
        <v>313</v>
      </c>
      <c r="AB738" s="27">
        <v>0</v>
      </c>
      <c r="AC738" s="27">
        <v>0</v>
      </c>
      <c r="AD738" s="27">
        <v>0</v>
      </c>
      <c r="AE738" s="27">
        <v>0</v>
      </c>
      <c r="AF738" s="27">
        <v>0</v>
      </c>
      <c r="AG738" s="27">
        <v>0</v>
      </c>
      <c r="AH738" s="27">
        <v>1</v>
      </c>
      <c r="AI738" s="27">
        <v>0</v>
      </c>
      <c r="AJ738" s="27">
        <v>0</v>
      </c>
      <c r="AK738" s="27">
        <v>0</v>
      </c>
      <c r="AL738" s="27">
        <v>0</v>
      </c>
      <c r="AM738" s="27">
        <v>0</v>
      </c>
      <c r="AN738" s="27">
        <v>0</v>
      </c>
      <c r="AO738" s="27">
        <v>0</v>
      </c>
      <c r="AP738" s="27">
        <v>0</v>
      </c>
      <c r="AQ738" s="27">
        <v>0</v>
      </c>
      <c r="AR738" s="27">
        <v>0</v>
      </c>
      <c r="AS738" s="27">
        <v>0</v>
      </c>
      <c r="AT738" s="27">
        <v>1</v>
      </c>
      <c r="AU738" s="27">
        <v>0</v>
      </c>
      <c r="AV738" s="27">
        <v>0</v>
      </c>
      <c r="AW738" s="27">
        <v>1</v>
      </c>
      <c r="AX738" s="27">
        <v>0</v>
      </c>
      <c r="AY738" s="27">
        <v>8</v>
      </c>
      <c r="AZ738" s="27">
        <v>1</v>
      </c>
      <c r="BA738" s="27">
        <v>1</v>
      </c>
      <c r="BB738" s="27">
        <v>68.88</v>
      </c>
      <c r="BC738" s="27" t="s">
        <v>385</v>
      </c>
      <c r="BD738" s="27" t="s">
        <v>386</v>
      </c>
      <c r="BE738" s="27" t="s">
        <v>226</v>
      </c>
      <c r="BF738" s="27" t="s">
        <v>77</v>
      </c>
      <c r="BG738" s="27">
        <v>1</v>
      </c>
      <c r="BH738" s="27">
        <v>28</v>
      </c>
      <c r="BI738" s="27">
        <v>0.0345</v>
      </c>
      <c r="BJ738" s="27">
        <v>1</v>
      </c>
      <c r="BK738" s="27">
        <v>2</v>
      </c>
      <c r="BL738" s="27">
        <v>99.5</v>
      </c>
    </row>
    <row r="739" customHeight="1" spans="1:64">
      <c r="A739" s="27" t="s">
        <v>2208</v>
      </c>
      <c r="B739" s="27" t="s">
        <v>144</v>
      </c>
      <c r="C739" s="27" t="s">
        <v>2209</v>
      </c>
      <c r="D739" s="27">
        <v>649722501763</v>
      </c>
      <c r="E739" s="27" t="s">
        <v>2210</v>
      </c>
      <c r="F739" s="27" t="s">
        <v>132</v>
      </c>
      <c r="G739" s="27" t="s">
        <v>83</v>
      </c>
      <c r="H739" s="27" t="s">
        <v>84</v>
      </c>
      <c r="I739" s="27" t="s">
        <v>85</v>
      </c>
      <c r="J739" s="27">
        <v>5</v>
      </c>
      <c r="K739" s="27">
        <v>6.99</v>
      </c>
      <c r="M739" s="27">
        <v>0</v>
      </c>
      <c r="N739" s="27">
        <v>0</v>
      </c>
      <c r="O739" s="27">
        <v>0</v>
      </c>
      <c r="P739" s="27" t="s">
        <v>133</v>
      </c>
      <c r="Q739" s="27">
        <v>2.078191</v>
      </c>
      <c r="S739" s="27">
        <v>144</v>
      </c>
      <c r="T739" s="27">
        <v>10</v>
      </c>
      <c r="U739" s="27">
        <v>0.9351</v>
      </c>
      <c r="V739" s="27" t="s">
        <v>72</v>
      </c>
      <c r="W739" s="27">
        <v>1006.56</v>
      </c>
      <c r="X739" s="27">
        <v>4.976734</v>
      </c>
      <c r="Y739" s="27">
        <v>6.915287</v>
      </c>
      <c r="Z739" s="27">
        <v>3.1623</v>
      </c>
      <c r="AA739" s="27" t="s">
        <v>125</v>
      </c>
      <c r="AB739" s="27">
        <v>0</v>
      </c>
      <c r="AC739" s="27">
        <v>0</v>
      </c>
      <c r="AD739" s="27">
        <v>0</v>
      </c>
      <c r="AE739" s="27">
        <v>0</v>
      </c>
      <c r="AF739" s="27">
        <v>0</v>
      </c>
      <c r="AG739" s="27">
        <v>0</v>
      </c>
      <c r="AH739" s="27">
        <v>0</v>
      </c>
      <c r="AI739" s="27">
        <v>0</v>
      </c>
      <c r="AJ739" s="27">
        <v>0</v>
      </c>
      <c r="AK739" s="27">
        <v>0</v>
      </c>
      <c r="AL739" s="27">
        <v>0</v>
      </c>
      <c r="AM739" s="27">
        <v>0</v>
      </c>
      <c r="AN739" s="27">
        <v>0</v>
      </c>
      <c r="AO739" s="27">
        <v>0</v>
      </c>
      <c r="AP739" s="27">
        <v>0</v>
      </c>
      <c r="AQ739" s="27">
        <v>0</v>
      </c>
      <c r="AR739" s="27">
        <v>0</v>
      </c>
      <c r="AS739" s="27">
        <v>0</v>
      </c>
      <c r="AT739" s="27">
        <v>0</v>
      </c>
      <c r="AU739" s="27">
        <v>0</v>
      </c>
      <c r="AV739" s="27">
        <v>0</v>
      </c>
      <c r="AW739" s="27">
        <v>1</v>
      </c>
      <c r="AX739" s="27">
        <v>0</v>
      </c>
      <c r="AZ739" s="27">
        <v>1</v>
      </c>
      <c r="BA739" s="27">
        <v>0</v>
      </c>
      <c r="BB739" s="27">
        <v>37.4</v>
      </c>
      <c r="BC739" s="27" t="s">
        <v>1049</v>
      </c>
      <c r="BD739" s="27" t="s">
        <v>1050</v>
      </c>
      <c r="BE739" s="27" t="s">
        <v>2211</v>
      </c>
      <c r="BF739" s="27" t="s">
        <v>77</v>
      </c>
      <c r="BG739" s="27">
        <v>163</v>
      </c>
      <c r="BH739" s="27">
        <v>45</v>
      </c>
      <c r="BI739" s="27">
        <v>0.7837</v>
      </c>
      <c r="BJ739" s="27">
        <v>0</v>
      </c>
      <c r="BK739" s="27">
        <v>814</v>
      </c>
      <c r="BL739" s="27">
        <v>0</v>
      </c>
    </row>
    <row r="740" customHeight="1" spans="1:64">
      <c r="A740" s="27" t="s">
        <v>2212</v>
      </c>
      <c r="B740" s="27" t="s">
        <v>125</v>
      </c>
      <c r="E740" s="27" t="s">
        <v>255</v>
      </c>
      <c r="F740" s="27" t="s">
        <v>82</v>
      </c>
      <c r="G740" s="27" t="s">
        <v>83</v>
      </c>
      <c r="H740" s="27" t="s">
        <v>138</v>
      </c>
      <c r="I740" s="27" t="s">
        <v>85</v>
      </c>
      <c r="J740" s="27">
        <v>5</v>
      </c>
      <c r="K740" s="27">
        <v>43.95</v>
      </c>
      <c r="M740" s="27">
        <v>0</v>
      </c>
      <c r="N740" s="27">
        <v>0</v>
      </c>
      <c r="O740" s="27">
        <v>0</v>
      </c>
      <c r="P740" s="27" t="s">
        <v>86</v>
      </c>
      <c r="Q740" s="27">
        <v>3.805551</v>
      </c>
      <c r="S740" s="27">
        <v>40</v>
      </c>
      <c r="T740" s="27">
        <v>39</v>
      </c>
      <c r="U740" s="27">
        <v>0.5063</v>
      </c>
      <c r="V740" s="27" t="s">
        <v>72</v>
      </c>
      <c r="W740" s="27">
        <v>1758</v>
      </c>
      <c r="X740" s="27">
        <v>3.713572</v>
      </c>
      <c r="Y740" s="27">
        <v>7.472501</v>
      </c>
      <c r="Z740" s="27">
        <v>6.245</v>
      </c>
      <c r="AA740" s="27" t="s">
        <v>291</v>
      </c>
      <c r="AB740" s="27">
        <v>1</v>
      </c>
      <c r="AC740" s="27">
        <v>1</v>
      </c>
      <c r="AD740" s="27">
        <v>0</v>
      </c>
      <c r="AE740" s="27">
        <v>0</v>
      </c>
      <c r="AF740" s="27">
        <v>0</v>
      </c>
      <c r="AG740" s="27">
        <v>1</v>
      </c>
      <c r="AH740" s="27">
        <v>0</v>
      </c>
      <c r="AI740" s="27">
        <v>1</v>
      </c>
      <c r="AJ740" s="27">
        <v>0</v>
      </c>
      <c r="AK740" s="27">
        <v>0</v>
      </c>
      <c r="AL740" s="27">
        <v>0</v>
      </c>
      <c r="AM740" s="27">
        <v>0</v>
      </c>
      <c r="AN740" s="27">
        <v>0</v>
      </c>
      <c r="AO740" s="27">
        <v>0</v>
      </c>
      <c r="AP740" s="27">
        <v>0</v>
      </c>
      <c r="AQ740" s="27">
        <v>0</v>
      </c>
      <c r="AR740" s="27">
        <v>0</v>
      </c>
      <c r="AS740" s="27">
        <v>0</v>
      </c>
      <c r="AT740" s="27">
        <v>0</v>
      </c>
      <c r="AU740" s="27">
        <v>0</v>
      </c>
      <c r="AV740" s="27">
        <v>0</v>
      </c>
      <c r="AW740" s="27">
        <v>0</v>
      </c>
      <c r="AX740" s="27">
        <v>0</v>
      </c>
      <c r="AZ740" s="27">
        <v>1</v>
      </c>
      <c r="BA740" s="27">
        <v>2</v>
      </c>
      <c r="BB740" s="27">
        <v>48.45</v>
      </c>
      <c r="BC740" s="27" t="s">
        <v>409</v>
      </c>
      <c r="BD740" s="27" t="s">
        <v>410</v>
      </c>
      <c r="BE740" s="27" t="s">
        <v>557</v>
      </c>
      <c r="BF740" s="27" t="s">
        <v>77</v>
      </c>
      <c r="BG740" s="27">
        <v>162</v>
      </c>
      <c r="BH740" s="27">
        <v>19</v>
      </c>
      <c r="BI740" s="27">
        <v>0.895</v>
      </c>
      <c r="BJ740" s="27">
        <v>0</v>
      </c>
      <c r="BK740" s="27">
        <v>22</v>
      </c>
      <c r="BL740" s="27">
        <v>94</v>
      </c>
    </row>
    <row r="741" customHeight="1" spans="1:64">
      <c r="A741" s="27" t="s">
        <v>2213</v>
      </c>
      <c r="B741" s="27" t="s">
        <v>171</v>
      </c>
      <c r="C741" s="27" t="s">
        <v>2214</v>
      </c>
      <c r="E741" s="27" t="s">
        <v>250</v>
      </c>
      <c r="F741" s="27" t="s">
        <v>160</v>
      </c>
      <c r="G741" s="27" t="s">
        <v>83</v>
      </c>
      <c r="H741" s="27" t="s">
        <v>84</v>
      </c>
      <c r="I741" s="27" t="s">
        <v>85</v>
      </c>
      <c r="J741" s="27">
        <v>5</v>
      </c>
      <c r="K741" s="27">
        <v>146.99</v>
      </c>
      <c r="L741" s="27">
        <v>174.99</v>
      </c>
      <c r="M741" s="27">
        <v>16</v>
      </c>
      <c r="N741" s="27">
        <v>28</v>
      </c>
      <c r="O741" s="27">
        <v>1</v>
      </c>
      <c r="P741" s="27" t="s">
        <v>95</v>
      </c>
      <c r="Q741" s="27">
        <v>4.997145</v>
      </c>
      <c r="R741" s="27">
        <v>36.75</v>
      </c>
      <c r="S741" s="27">
        <v>1</v>
      </c>
      <c r="T741" s="27">
        <v>10</v>
      </c>
      <c r="U741" s="27">
        <v>0.0909</v>
      </c>
      <c r="V741" s="27" t="s">
        <v>87</v>
      </c>
      <c r="W741" s="27">
        <v>146.99</v>
      </c>
      <c r="X741" s="27">
        <v>0.693147</v>
      </c>
      <c r="Y741" s="27">
        <v>4.997145</v>
      </c>
      <c r="Z741" s="27">
        <v>3.1623</v>
      </c>
      <c r="AA741" s="27" t="s">
        <v>313</v>
      </c>
      <c r="AB741" s="27">
        <v>0</v>
      </c>
      <c r="AC741" s="27">
        <v>0</v>
      </c>
      <c r="AD741" s="27">
        <v>0</v>
      </c>
      <c r="AE741" s="27">
        <v>0</v>
      </c>
      <c r="AF741" s="27">
        <v>0</v>
      </c>
      <c r="AG741" s="27">
        <v>0</v>
      </c>
      <c r="AH741" s="27">
        <v>1</v>
      </c>
      <c r="AI741" s="27">
        <v>0</v>
      </c>
      <c r="AJ741" s="27">
        <v>0</v>
      </c>
      <c r="AK741" s="27">
        <v>0</v>
      </c>
      <c r="AL741" s="27">
        <v>0</v>
      </c>
      <c r="AM741" s="27">
        <v>0</v>
      </c>
      <c r="AN741" s="27">
        <v>0</v>
      </c>
      <c r="AO741" s="27">
        <v>0</v>
      </c>
      <c r="AP741" s="27">
        <v>0</v>
      </c>
      <c r="AQ741" s="27">
        <v>1</v>
      </c>
      <c r="AR741" s="27">
        <v>0</v>
      </c>
      <c r="AS741" s="27">
        <v>0</v>
      </c>
      <c r="AT741" s="27">
        <v>0</v>
      </c>
      <c r="AU741" s="27">
        <v>0</v>
      </c>
      <c r="AV741" s="27">
        <v>1</v>
      </c>
      <c r="AW741" s="27">
        <v>1</v>
      </c>
      <c r="AX741" s="27">
        <v>0</v>
      </c>
      <c r="AY741" s="27">
        <v>4</v>
      </c>
      <c r="AZ741" s="27">
        <v>1</v>
      </c>
      <c r="BA741" s="27">
        <v>2</v>
      </c>
      <c r="BB741" s="27">
        <v>37.36</v>
      </c>
      <c r="BC741" s="27" t="s">
        <v>174</v>
      </c>
      <c r="BD741" s="27" t="s">
        <v>175</v>
      </c>
      <c r="BE741" s="27" t="s">
        <v>226</v>
      </c>
      <c r="BF741" s="27" t="s">
        <v>77</v>
      </c>
      <c r="BG741" s="27">
        <v>162</v>
      </c>
      <c r="BH741" s="27">
        <v>60</v>
      </c>
      <c r="BI741" s="27">
        <v>0.7297</v>
      </c>
      <c r="BJ741" s="27">
        <v>0</v>
      </c>
      <c r="BK741" s="27">
        <v>13</v>
      </c>
      <c r="BL741" s="27">
        <v>96.4</v>
      </c>
    </row>
    <row r="742" customHeight="1" spans="1:64">
      <c r="A742" s="27" t="s">
        <v>2215</v>
      </c>
      <c r="B742" s="27" t="s">
        <v>65</v>
      </c>
      <c r="E742" s="27" t="s">
        <v>81</v>
      </c>
      <c r="F742" s="27" t="s">
        <v>82</v>
      </c>
      <c r="G742" s="27" t="s">
        <v>65</v>
      </c>
      <c r="H742" s="27" t="s">
        <v>69</v>
      </c>
      <c r="I742" s="27" t="s">
        <v>85</v>
      </c>
      <c r="J742" s="27">
        <v>5</v>
      </c>
      <c r="K742" s="27">
        <v>223.99</v>
      </c>
      <c r="M742" s="27">
        <v>0</v>
      </c>
      <c r="N742" s="27">
        <v>0</v>
      </c>
      <c r="O742" s="27">
        <v>0</v>
      </c>
      <c r="P742" s="27" t="s">
        <v>71</v>
      </c>
      <c r="Q742" s="27">
        <v>5.416056</v>
      </c>
      <c r="S742" s="27">
        <v>13</v>
      </c>
      <c r="T742" s="27">
        <v>1</v>
      </c>
      <c r="U742" s="27">
        <v>0.9286</v>
      </c>
      <c r="V742" s="27" t="s">
        <v>72</v>
      </c>
      <c r="W742" s="27">
        <v>2911.87</v>
      </c>
      <c r="X742" s="27">
        <v>2.639057</v>
      </c>
      <c r="Y742" s="27">
        <v>7.976894</v>
      </c>
      <c r="Z742" s="27">
        <v>1</v>
      </c>
      <c r="AA742" s="27" t="s">
        <v>73</v>
      </c>
      <c r="AB742" s="27">
        <v>0</v>
      </c>
      <c r="AC742" s="27">
        <v>0</v>
      </c>
      <c r="AD742" s="27">
        <v>0</v>
      </c>
      <c r="AE742" s="27">
        <v>0</v>
      </c>
      <c r="AF742" s="27">
        <v>0</v>
      </c>
      <c r="AG742" s="27">
        <v>0</v>
      </c>
      <c r="AH742" s="27">
        <v>0</v>
      </c>
      <c r="AI742" s="27">
        <v>0</v>
      </c>
      <c r="AJ742" s="27">
        <v>0</v>
      </c>
      <c r="AK742" s="27">
        <v>0</v>
      </c>
      <c r="AL742" s="27">
        <v>1</v>
      </c>
      <c r="AM742" s="27">
        <v>0</v>
      </c>
      <c r="AN742" s="27">
        <v>0</v>
      </c>
      <c r="AO742" s="27">
        <v>0</v>
      </c>
      <c r="AP742" s="27">
        <v>0</v>
      </c>
      <c r="AQ742" s="27">
        <v>0</v>
      </c>
      <c r="AR742" s="27">
        <v>0</v>
      </c>
      <c r="AS742" s="27">
        <v>0</v>
      </c>
      <c r="AT742" s="27">
        <v>0</v>
      </c>
      <c r="AU742" s="27">
        <v>0</v>
      </c>
      <c r="AV742" s="27">
        <v>0</v>
      </c>
      <c r="AW742" s="27">
        <v>0</v>
      </c>
      <c r="AX742" s="27">
        <v>0</v>
      </c>
      <c r="AZ742" s="27">
        <v>1</v>
      </c>
      <c r="BA742" s="27">
        <v>0</v>
      </c>
      <c r="BB742" s="27">
        <v>65.25</v>
      </c>
      <c r="BC742" s="27" t="s">
        <v>1825</v>
      </c>
      <c r="BD742" s="27" t="s">
        <v>156</v>
      </c>
      <c r="BE742" s="27" t="s">
        <v>98</v>
      </c>
      <c r="BF742" s="27" t="s">
        <v>77</v>
      </c>
      <c r="BG742" s="27">
        <v>4</v>
      </c>
      <c r="BH742" s="27">
        <v>215</v>
      </c>
      <c r="BI742" s="27">
        <v>0.0183</v>
      </c>
      <c r="BJ742" s="27">
        <v>0</v>
      </c>
      <c r="BK742" s="27">
        <v>23</v>
      </c>
      <c r="BL742" s="27">
        <v>93.7</v>
      </c>
    </row>
    <row r="743" customHeight="1" spans="1:64">
      <c r="A743" s="27" t="s">
        <v>2216</v>
      </c>
      <c r="B743" s="27" t="s">
        <v>704</v>
      </c>
      <c r="E743" s="27" t="s">
        <v>1048</v>
      </c>
      <c r="F743" s="27" t="s">
        <v>132</v>
      </c>
      <c r="G743" s="27" t="s">
        <v>83</v>
      </c>
      <c r="H743" s="27" t="s">
        <v>84</v>
      </c>
      <c r="I743" s="27" t="s">
        <v>85</v>
      </c>
      <c r="J743" s="27">
        <v>5</v>
      </c>
      <c r="K743" s="27">
        <v>6.75</v>
      </c>
      <c r="M743" s="27">
        <v>0</v>
      </c>
      <c r="N743" s="27">
        <v>0</v>
      </c>
      <c r="O743" s="27">
        <v>0</v>
      </c>
      <c r="P743" s="27" t="s">
        <v>133</v>
      </c>
      <c r="Q743" s="27">
        <v>2.047693</v>
      </c>
      <c r="S743" s="27">
        <v>41</v>
      </c>
      <c r="T743" s="27">
        <v>10</v>
      </c>
      <c r="U743" s="27">
        <v>0.8039</v>
      </c>
      <c r="V743" s="27" t="s">
        <v>72</v>
      </c>
      <c r="W743" s="27">
        <v>276.75</v>
      </c>
      <c r="X743" s="27">
        <v>3.73767</v>
      </c>
      <c r="Y743" s="27">
        <v>5.626721</v>
      </c>
      <c r="Z743" s="27">
        <v>3.1623</v>
      </c>
      <c r="AA743" s="27" t="s">
        <v>125</v>
      </c>
      <c r="AB743" s="27">
        <v>0</v>
      </c>
      <c r="AC743" s="27">
        <v>0</v>
      </c>
      <c r="AD743" s="27">
        <v>0</v>
      </c>
      <c r="AE743" s="27">
        <v>0</v>
      </c>
      <c r="AF743" s="27">
        <v>0</v>
      </c>
      <c r="AG743" s="27">
        <v>0</v>
      </c>
      <c r="AH743" s="27">
        <v>0</v>
      </c>
      <c r="AI743" s="27">
        <v>0</v>
      </c>
      <c r="AJ743" s="27">
        <v>0</v>
      </c>
      <c r="AK743" s="27">
        <v>0</v>
      </c>
      <c r="AL743" s="27">
        <v>0</v>
      </c>
      <c r="AM743" s="27">
        <v>0</v>
      </c>
      <c r="AN743" s="27">
        <v>0</v>
      </c>
      <c r="AO743" s="27">
        <v>0</v>
      </c>
      <c r="AP743" s="27">
        <v>0</v>
      </c>
      <c r="AQ743" s="27">
        <v>0</v>
      </c>
      <c r="AR743" s="27">
        <v>0</v>
      </c>
      <c r="AS743" s="27">
        <v>0</v>
      </c>
      <c r="AT743" s="27">
        <v>0</v>
      </c>
      <c r="AU743" s="27">
        <v>0</v>
      </c>
      <c r="AV743" s="27">
        <v>0</v>
      </c>
      <c r="AW743" s="27">
        <v>0</v>
      </c>
      <c r="AX743" s="27">
        <v>0</v>
      </c>
      <c r="AZ743" s="27">
        <v>1</v>
      </c>
      <c r="BA743" s="27">
        <v>0</v>
      </c>
      <c r="BB743" s="27">
        <v>46.86</v>
      </c>
      <c r="BC743" s="27" t="s">
        <v>706</v>
      </c>
      <c r="BD743" s="27" t="s">
        <v>135</v>
      </c>
      <c r="BE743" s="27" t="s">
        <v>136</v>
      </c>
      <c r="BF743" s="27" t="s">
        <v>77</v>
      </c>
      <c r="BG743" s="27">
        <v>168</v>
      </c>
      <c r="BH743" s="27">
        <v>11</v>
      </c>
      <c r="BI743" s="27">
        <v>0.9385</v>
      </c>
      <c r="BJ743" s="27">
        <v>0</v>
      </c>
      <c r="BK743" s="27">
        <v>186</v>
      </c>
      <c r="BL743" s="27">
        <v>49</v>
      </c>
    </row>
    <row r="744" customHeight="1" spans="1:64">
      <c r="A744" s="27" t="s">
        <v>2217</v>
      </c>
      <c r="B744" s="27" t="s">
        <v>171</v>
      </c>
      <c r="C744" s="27" t="s">
        <v>2218</v>
      </c>
      <c r="E744" s="27" t="s">
        <v>173</v>
      </c>
      <c r="F744" s="27" t="s">
        <v>160</v>
      </c>
      <c r="G744" s="27" t="s">
        <v>83</v>
      </c>
      <c r="H744" s="27" t="s">
        <v>84</v>
      </c>
      <c r="I744" s="27" t="s">
        <v>85</v>
      </c>
      <c r="J744" s="27">
        <v>5</v>
      </c>
      <c r="K744" s="27">
        <v>79.79</v>
      </c>
      <c r="M744" s="27">
        <v>0</v>
      </c>
      <c r="N744" s="27">
        <v>0</v>
      </c>
      <c r="O744" s="27">
        <v>0</v>
      </c>
      <c r="P744" s="27" t="s">
        <v>95</v>
      </c>
      <c r="Q744" s="27">
        <v>4.391853</v>
      </c>
      <c r="S744" s="27">
        <v>375</v>
      </c>
      <c r="T744" s="27">
        <v>10</v>
      </c>
      <c r="U744" s="27">
        <v>0.974</v>
      </c>
      <c r="V744" s="27" t="s">
        <v>154</v>
      </c>
      <c r="W744" s="27">
        <v>29921.25</v>
      </c>
      <c r="X744" s="27">
        <v>5.929589</v>
      </c>
      <c r="Y744" s="27">
        <v>10.306358</v>
      </c>
      <c r="Z744" s="27">
        <v>3.1623</v>
      </c>
      <c r="AA744" s="27" t="s">
        <v>125</v>
      </c>
      <c r="AB744" s="27">
        <v>1</v>
      </c>
      <c r="AC744" s="27">
        <v>1</v>
      </c>
      <c r="AD744" s="27">
        <v>0</v>
      </c>
      <c r="AE744" s="27">
        <v>0</v>
      </c>
      <c r="AF744" s="27">
        <v>0</v>
      </c>
      <c r="AG744" s="27">
        <v>1</v>
      </c>
      <c r="AH744" s="27">
        <v>0</v>
      </c>
      <c r="AI744" s="27">
        <v>1</v>
      </c>
      <c r="AJ744" s="27">
        <v>0</v>
      </c>
      <c r="AK744" s="27">
        <v>0</v>
      </c>
      <c r="AL744" s="27">
        <v>0</v>
      </c>
      <c r="AM744" s="27">
        <v>0</v>
      </c>
      <c r="AN744" s="27">
        <v>1</v>
      </c>
      <c r="AO744" s="27">
        <v>0</v>
      </c>
      <c r="AP744" s="27">
        <v>0</v>
      </c>
      <c r="AQ744" s="27">
        <v>0</v>
      </c>
      <c r="AR744" s="27">
        <v>0</v>
      </c>
      <c r="AS744" s="27">
        <v>0</v>
      </c>
      <c r="AT744" s="27">
        <v>1</v>
      </c>
      <c r="AU744" s="27">
        <v>0</v>
      </c>
      <c r="AV744" s="27">
        <v>0</v>
      </c>
      <c r="AW744" s="27">
        <v>0</v>
      </c>
      <c r="AX744" s="27">
        <v>0</v>
      </c>
      <c r="AZ744" s="27">
        <v>1</v>
      </c>
      <c r="BA744" s="27">
        <v>3</v>
      </c>
      <c r="BB744" s="27">
        <v>68.3</v>
      </c>
      <c r="BC744" s="27" t="s">
        <v>174</v>
      </c>
      <c r="BG744" s="27">
        <v>0</v>
      </c>
      <c r="BH744" s="27">
        <v>0</v>
      </c>
      <c r="BJ744" s="27">
        <v>0</v>
      </c>
      <c r="BK744" s="27">
        <v>8</v>
      </c>
      <c r="BL744" s="27">
        <v>97.8</v>
      </c>
    </row>
    <row r="745" customHeight="1" spans="1:64">
      <c r="A745" s="27" t="s">
        <v>2219</v>
      </c>
      <c r="B745" s="27" t="s">
        <v>125</v>
      </c>
      <c r="E745" s="27" t="s">
        <v>81</v>
      </c>
      <c r="F745" s="27" t="s">
        <v>82</v>
      </c>
      <c r="G745" s="27" t="s">
        <v>83</v>
      </c>
      <c r="H745" s="27" t="s">
        <v>138</v>
      </c>
      <c r="I745" s="27" t="s">
        <v>85</v>
      </c>
      <c r="J745" s="27">
        <v>5</v>
      </c>
      <c r="K745" s="27">
        <v>58.98</v>
      </c>
      <c r="M745" s="27">
        <v>0</v>
      </c>
      <c r="N745" s="27">
        <v>0</v>
      </c>
      <c r="O745" s="27">
        <v>0</v>
      </c>
      <c r="P745" s="27" t="s">
        <v>86</v>
      </c>
      <c r="Q745" s="27">
        <v>4.094011</v>
      </c>
      <c r="S745" s="27">
        <v>11</v>
      </c>
      <c r="T745" s="27">
        <v>10</v>
      </c>
      <c r="U745" s="27">
        <v>0.5238</v>
      </c>
      <c r="V745" s="27" t="s">
        <v>72</v>
      </c>
      <c r="W745" s="27">
        <v>648.78</v>
      </c>
      <c r="X745" s="27">
        <v>2.484907</v>
      </c>
      <c r="Y745" s="27">
        <v>6.476634</v>
      </c>
      <c r="Z745" s="27">
        <v>3.1623</v>
      </c>
      <c r="AA745" s="27" t="s">
        <v>187</v>
      </c>
      <c r="AB745" s="27">
        <v>0</v>
      </c>
      <c r="AC745" s="27">
        <v>0</v>
      </c>
      <c r="AD745" s="27">
        <v>0</v>
      </c>
      <c r="AE745" s="27">
        <v>1</v>
      </c>
      <c r="AF745" s="27">
        <v>1</v>
      </c>
      <c r="AG745" s="27">
        <v>0</v>
      </c>
      <c r="AH745" s="27">
        <v>1</v>
      </c>
      <c r="AI745" s="27">
        <v>0</v>
      </c>
      <c r="AJ745" s="27">
        <v>0</v>
      </c>
      <c r="AK745" s="27">
        <v>1</v>
      </c>
      <c r="AL745" s="27">
        <v>0</v>
      </c>
      <c r="AM745" s="27">
        <v>0</v>
      </c>
      <c r="AN745" s="27">
        <v>0</v>
      </c>
      <c r="AO745" s="27">
        <v>0</v>
      </c>
      <c r="AP745" s="27">
        <v>0</v>
      </c>
      <c r="AQ745" s="27">
        <v>0</v>
      </c>
      <c r="AR745" s="27">
        <v>0</v>
      </c>
      <c r="AS745" s="27">
        <v>0</v>
      </c>
      <c r="AT745" s="27">
        <v>1</v>
      </c>
      <c r="AU745" s="27">
        <v>0</v>
      </c>
      <c r="AV745" s="27">
        <v>0</v>
      </c>
      <c r="AW745" s="27">
        <v>0</v>
      </c>
      <c r="AX745" s="27">
        <v>0</v>
      </c>
      <c r="AZ745" s="27">
        <v>1</v>
      </c>
      <c r="BA745" s="27">
        <v>3</v>
      </c>
      <c r="BB745" s="27">
        <v>50.38</v>
      </c>
      <c r="BC745" s="27" t="s">
        <v>2220</v>
      </c>
      <c r="BD745" s="27" t="s">
        <v>112</v>
      </c>
      <c r="BE745" s="27" t="s">
        <v>128</v>
      </c>
      <c r="BF745" s="27" t="s">
        <v>77</v>
      </c>
      <c r="BG745" s="27">
        <v>1</v>
      </c>
      <c r="BH745" s="27">
        <v>28</v>
      </c>
      <c r="BI745" s="27">
        <v>0.0345</v>
      </c>
      <c r="BJ745" s="27">
        <v>1</v>
      </c>
      <c r="BK745" s="27">
        <v>7</v>
      </c>
      <c r="BL745" s="27">
        <v>98.1</v>
      </c>
    </row>
    <row r="746" customHeight="1" spans="1:64">
      <c r="A746" s="27" t="s">
        <v>2221</v>
      </c>
      <c r="B746" s="27" t="s">
        <v>448</v>
      </c>
      <c r="E746" s="27" t="s">
        <v>2222</v>
      </c>
      <c r="F746" s="27" t="s">
        <v>160</v>
      </c>
      <c r="G746" s="27" t="s">
        <v>83</v>
      </c>
      <c r="H746" s="27" t="s">
        <v>450</v>
      </c>
      <c r="I746" s="27" t="s">
        <v>85</v>
      </c>
      <c r="J746" s="27">
        <v>5</v>
      </c>
      <c r="K746" s="27">
        <v>21.95</v>
      </c>
      <c r="M746" s="27">
        <v>0</v>
      </c>
      <c r="N746" s="27">
        <v>0</v>
      </c>
      <c r="O746" s="27">
        <v>0</v>
      </c>
      <c r="P746" s="27" t="s">
        <v>133</v>
      </c>
      <c r="Q746" s="27">
        <v>3.133318</v>
      </c>
      <c r="S746" s="27">
        <v>1</v>
      </c>
      <c r="T746" s="27">
        <v>1</v>
      </c>
      <c r="U746" s="27">
        <v>0.5</v>
      </c>
      <c r="V746" s="27" t="s">
        <v>87</v>
      </c>
      <c r="W746" s="27">
        <v>21.95</v>
      </c>
      <c r="X746" s="27">
        <v>0.693147</v>
      </c>
      <c r="Y746" s="27">
        <v>3.133318</v>
      </c>
      <c r="Z746" s="27">
        <v>1</v>
      </c>
      <c r="AA746" s="27" t="s">
        <v>125</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v>0</v>
      </c>
      <c r="AS746" s="27">
        <v>0</v>
      </c>
      <c r="AT746" s="27">
        <v>0</v>
      </c>
      <c r="AU746" s="27">
        <v>0</v>
      </c>
      <c r="AV746" s="27">
        <v>0</v>
      </c>
      <c r="AW746" s="27">
        <v>0</v>
      </c>
      <c r="AX746" s="27">
        <v>0</v>
      </c>
      <c r="AZ746" s="27">
        <v>1</v>
      </c>
      <c r="BA746" s="27">
        <v>0</v>
      </c>
      <c r="BB746" s="27">
        <v>20</v>
      </c>
      <c r="BC746" s="27" t="s">
        <v>2223</v>
      </c>
      <c r="BD746" s="27" t="s">
        <v>2224</v>
      </c>
      <c r="BE746" s="27" t="s">
        <v>1034</v>
      </c>
      <c r="BF746" s="27" t="s">
        <v>77</v>
      </c>
      <c r="BG746" s="27">
        <v>168</v>
      </c>
      <c r="BH746" s="27">
        <v>11</v>
      </c>
      <c r="BI746" s="27">
        <v>0.9385</v>
      </c>
      <c r="BJ746" s="27">
        <v>0</v>
      </c>
    </row>
    <row r="747" customHeight="1" spans="1:64">
      <c r="A747" s="27" t="s">
        <v>2225</v>
      </c>
      <c r="B747" s="27" t="s">
        <v>171</v>
      </c>
      <c r="C747" s="27" t="s">
        <v>2226</v>
      </c>
      <c r="E747" s="27" t="s">
        <v>255</v>
      </c>
      <c r="F747" s="27" t="s">
        <v>160</v>
      </c>
      <c r="G747" s="27" t="s">
        <v>83</v>
      </c>
      <c r="H747" s="27" t="s">
        <v>84</v>
      </c>
      <c r="I747" s="27" t="s">
        <v>85</v>
      </c>
      <c r="J747" s="27">
        <v>5</v>
      </c>
      <c r="K747" s="27">
        <v>167.99</v>
      </c>
      <c r="L747" s="27">
        <v>199.99</v>
      </c>
      <c r="M747" s="27">
        <v>16</v>
      </c>
      <c r="N747" s="27">
        <v>32</v>
      </c>
      <c r="O747" s="27">
        <v>1</v>
      </c>
      <c r="P747" s="27" t="s">
        <v>95</v>
      </c>
      <c r="Q747" s="27">
        <v>5.12984</v>
      </c>
      <c r="S747" s="27">
        <v>24</v>
      </c>
      <c r="T747" s="27">
        <v>10</v>
      </c>
      <c r="U747" s="27">
        <v>0.7059</v>
      </c>
      <c r="V747" s="27" t="s">
        <v>72</v>
      </c>
      <c r="W747" s="27">
        <v>4031.76</v>
      </c>
      <c r="X747" s="27">
        <v>3.218876</v>
      </c>
      <c r="Y747" s="27">
        <v>8.302206</v>
      </c>
      <c r="Z747" s="27">
        <v>3.1623</v>
      </c>
      <c r="AA747" s="27" t="s">
        <v>88</v>
      </c>
      <c r="AB747" s="27">
        <v>0</v>
      </c>
      <c r="AC747" s="27">
        <v>0</v>
      </c>
      <c r="AD747" s="27">
        <v>0</v>
      </c>
      <c r="AE747" s="27">
        <v>1</v>
      </c>
      <c r="AF747" s="27">
        <v>0</v>
      </c>
      <c r="AG747" s="27">
        <v>0</v>
      </c>
      <c r="AH747" s="27">
        <v>1</v>
      </c>
      <c r="AI747" s="27">
        <v>0</v>
      </c>
      <c r="AJ747" s="27">
        <v>0</v>
      </c>
      <c r="AK747" s="27">
        <v>0</v>
      </c>
      <c r="AL747" s="27">
        <v>0</v>
      </c>
      <c r="AM747" s="27">
        <v>0</v>
      </c>
      <c r="AN747" s="27">
        <v>1</v>
      </c>
      <c r="AO747" s="27">
        <v>0</v>
      </c>
      <c r="AP747" s="27">
        <v>0</v>
      </c>
      <c r="AQ747" s="27">
        <v>0</v>
      </c>
      <c r="AR747" s="27">
        <v>0</v>
      </c>
      <c r="AS747" s="27">
        <v>0</v>
      </c>
      <c r="AT747" s="27">
        <v>0</v>
      </c>
      <c r="AU747" s="27">
        <v>0</v>
      </c>
      <c r="AV747" s="27">
        <v>0</v>
      </c>
      <c r="AW747" s="27">
        <v>1</v>
      </c>
      <c r="AX747" s="27">
        <v>0</v>
      </c>
      <c r="AZ747" s="27">
        <v>1</v>
      </c>
      <c r="BA747" s="27">
        <v>3</v>
      </c>
      <c r="BB747" s="27">
        <v>62.62</v>
      </c>
      <c r="BC747" s="27" t="s">
        <v>174</v>
      </c>
      <c r="BD747" s="27" t="s">
        <v>175</v>
      </c>
      <c r="BE747" s="27" t="s">
        <v>91</v>
      </c>
      <c r="BF747" s="27" t="s">
        <v>77</v>
      </c>
      <c r="BG747" s="27">
        <v>162</v>
      </c>
      <c r="BH747" s="27">
        <v>60</v>
      </c>
      <c r="BI747" s="27">
        <v>0.7297</v>
      </c>
      <c r="BJ747" s="27">
        <v>0</v>
      </c>
      <c r="BK747" s="27">
        <v>5</v>
      </c>
      <c r="BL747" s="27">
        <v>98.6</v>
      </c>
    </row>
    <row r="748" customHeight="1" spans="1:64">
      <c r="A748" s="27" t="s">
        <v>2227</v>
      </c>
      <c r="B748" s="27" t="s">
        <v>125</v>
      </c>
      <c r="E748" s="27" t="s">
        <v>81</v>
      </c>
      <c r="F748" s="27" t="s">
        <v>82</v>
      </c>
      <c r="G748" s="27" t="s">
        <v>83</v>
      </c>
      <c r="H748" s="27" t="s">
        <v>138</v>
      </c>
      <c r="I748" s="27" t="s">
        <v>85</v>
      </c>
      <c r="J748" s="27">
        <v>5</v>
      </c>
      <c r="K748" s="27">
        <v>9.98</v>
      </c>
      <c r="M748" s="27">
        <v>0</v>
      </c>
      <c r="N748" s="27">
        <v>0</v>
      </c>
      <c r="O748" s="27">
        <v>0</v>
      </c>
      <c r="P748" s="27" t="s">
        <v>133</v>
      </c>
      <c r="Q748" s="27">
        <v>2.396075</v>
      </c>
      <c r="S748" s="27">
        <v>20</v>
      </c>
      <c r="T748" s="27">
        <v>10</v>
      </c>
      <c r="U748" s="27">
        <v>0.6667</v>
      </c>
      <c r="V748" s="27" t="s">
        <v>72</v>
      </c>
      <c r="W748" s="27">
        <v>199.6</v>
      </c>
      <c r="X748" s="27">
        <v>3.044522</v>
      </c>
      <c r="Y748" s="27">
        <v>5.301313</v>
      </c>
      <c r="Z748" s="27">
        <v>3.1623</v>
      </c>
      <c r="AA748" s="27" t="s">
        <v>125</v>
      </c>
      <c r="AB748" s="27">
        <v>1</v>
      </c>
      <c r="AC748" s="27">
        <v>0</v>
      </c>
      <c r="AD748" s="27">
        <v>0</v>
      </c>
      <c r="AE748" s="27">
        <v>0</v>
      </c>
      <c r="AF748" s="27">
        <v>0</v>
      </c>
      <c r="AG748" s="27">
        <v>0</v>
      </c>
      <c r="AH748" s="27">
        <v>1</v>
      </c>
      <c r="AI748" s="27">
        <v>0</v>
      </c>
      <c r="AJ748" s="27">
        <v>0</v>
      </c>
      <c r="AK748" s="27">
        <v>0</v>
      </c>
      <c r="AL748" s="27">
        <v>1</v>
      </c>
      <c r="AM748" s="27">
        <v>0</v>
      </c>
      <c r="AN748" s="27">
        <v>0</v>
      </c>
      <c r="AO748" s="27">
        <v>0</v>
      </c>
      <c r="AP748" s="27">
        <v>0</v>
      </c>
      <c r="AQ748" s="27">
        <v>0</v>
      </c>
      <c r="AR748" s="27">
        <v>0</v>
      </c>
      <c r="AS748" s="27">
        <v>0</v>
      </c>
      <c r="AT748" s="27">
        <v>0</v>
      </c>
      <c r="AU748" s="27">
        <v>0</v>
      </c>
      <c r="AV748" s="27">
        <v>0</v>
      </c>
      <c r="AW748" s="27">
        <v>0</v>
      </c>
      <c r="AX748" s="27">
        <v>0</v>
      </c>
      <c r="AZ748" s="27">
        <v>1</v>
      </c>
      <c r="BA748" s="27">
        <v>2</v>
      </c>
      <c r="BB748" s="27">
        <v>56.52</v>
      </c>
      <c r="BC748" s="27" t="s">
        <v>2228</v>
      </c>
      <c r="BD748" s="27" t="s">
        <v>2229</v>
      </c>
      <c r="BE748" s="27" t="s">
        <v>393</v>
      </c>
      <c r="BF748" s="27" t="s">
        <v>77</v>
      </c>
      <c r="BG748" s="27">
        <v>1</v>
      </c>
      <c r="BH748" s="27">
        <v>19</v>
      </c>
      <c r="BI748" s="27">
        <v>0.05</v>
      </c>
      <c r="BJ748" s="27">
        <v>1</v>
      </c>
      <c r="BK748" s="27">
        <v>2</v>
      </c>
      <c r="BL748" s="27">
        <v>99.5</v>
      </c>
    </row>
    <row r="749" customHeight="1" spans="1:64">
      <c r="A749" s="27" t="s">
        <v>2230</v>
      </c>
      <c r="B749" s="27" t="s">
        <v>115</v>
      </c>
      <c r="C749" s="27" t="s">
        <v>2231</v>
      </c>
      <c r="D749" s="27">
        <v>656081895105</v>
      </c>
      <c r="E749" s="27" t="s">
        <v>131</v>
      </c>
      <c r="F749" s="27" t="s">
        <v>132</v>
      </c>
      <c r="G749" s="27" t="s">
        <v>117</v>
      </c>
      <c r="H749" s="27" t="s">
        <v>107</v>
      </c>
      <c r="I749" s="27" t="s">
        <v>85</v>
      </c>
      <c r="J749" s="27">
        <v>5</v>
      </c>
      <c r="K749" s="27">
        <v>14.99</v>
      </c>
      <c r="M749" s="27">
        <v>0</v>
      </c>
      <c r="N749" s="27">
        <v>0</v>
      </c>
      <c r="O749" s="27">
        <v>0</v>
      </c>
      <c r="P749" s="27" t="s">
        <v>133</v>
      </c>
      <c r="Q749" s="27">
        <v>2.771964</v>
      </c>
      <c r="S749" s="27">
        <v>16</v>
      </c>
      <c r="T749" s="27">
        <v>1</v>
      </c>
      <c r="U749" s="27">
        <v>0.9412</v>
      </c>
      <c r="V749" s="27" t="s">
        <v>72</v>
      </c>
      <c r="W749" s="27">
        <v>239.84</v>
      </c>
      <c r="X749" s="27">
        <v>2.833213</v>
      </c>
      <c r="Y749" s="27">
        <v>5.484133</v>
      </c>
      <c r="Z749" s="27">
        <v>1</v>
      </c>
      <c r="AA749" s="27" t="s">
        <v>125</v>
      </c>
      <c r="AB749" s="27">
        <v>0</v>
      </c>
      <c r="AC749" s="27">
        <v>0</v>
      </c>
      <c r="AD749" s="27">
        <v>0</v>
      </c>
      <c r="AE749" s="27">
        <v>1</v>
      </c>
      <c r="AF749" s="27">
        <v>0</v>
      </c>
      <c r="AG749" s="27">
        <v>0</v>
      </c>
      <c r="AH749" s="27">
        <v>0</v>
      </c>
      <c r="AI749" s="27">
        <v>0</v>
      </c>
      <c r="AJ749" s="27">
        <v>0</v>
      </c>
      <c r="AK749" s="27">
        <v>0</v>
      </c>
      <c r="AL749" s="27">
        <v>0</v>
      </c>
      <c r="AM749" s="27">
        <v>0</v>
      </c>
      <c r="AN749" s="27">
        <v>0</v>
      </c>
      <c r="AO749" s="27">
        <v>0</v>
      </c>
      <c r="AP749" s="27">
        <v>0</v>
      </c>
      <c r="AQ749" s="27">
        <v>0</v>
      </c>
      <c r="AR749" s="27">
        <v>0</v>
      </c>
      <c r="AS749" s="27">
        <v>0</v>
      </c>
      <c r="AT749" s="27">
        <v>0</v>
      </c>
      <c r="AU749" s="27">
        <v>0</v>
      </c>
      <c r="AV749" s="27">
        <v>0</v>
      </c>
      <c r="AW749" s="27">
        <v>0</v>
      </c>
      <c r="AX749" s="27">
        <v>0</v>
      </c>
      <c r="AZ749" s="27">
        <v>1</v>
      </c>
      <c r="BA749" s="27">
        <v>1</v>
      </c>
      <c r="BB749" s="27">
        <v>66.42</v>
      </c>
      <c r="BC749" s="27" t="s">
        <v>974</v>
      </c>
      <c r="BD749" s="27" t="s">
        <v>975</v>
      </c>
      <c r="BE749" s="27" t="s">
        <v>113</v>
      </c>
      <c r="BF749" s="27" t="s">
        <v>77</v>
      </c>
      <c r="BG749" s="27">
        <v>168</v>
      </c>
      <c r="BH749" s="27">
        <v>11</v>
      </c>
      <c r="BI749" s="27">
        <v>0.9385</v>
      </c>
      <c r="BJ749" s="27">
        <v>0</v>
      </c>
      <c r="BK749" s="27">
        <v>15</v>
      </c>
      <c r="BL749" s="27">
        <v>95.9</v>
      </c>
    </row>
    <row r="750" customHeight="1" spans="1:64">
      <c r="A750" s="27" t="s">
        <v>2232</v>
      </c>
      <c r="B750" s="27" t="s">
        <v>2233</v>
      </c>
      <c r="C750" s="27" t="s">
        <v>2234</v>
      </c>
      <c r="E750" s="27" t="s">
        <v>239</v>
      </c>
      <c r="F750" s="27" t="s">
        <v>240</v>
      </c>
      <c r="G750" s="27" t="s">
        <v>83</v>
      </c>
      <c r="H750" s="27" t="s">
        <v>84</v>
      </c>
      <c r="I750" s="27" t="s">
        <v>508</v>
      </c>
      <c r="J750" s="27">
        <v>1</v>
      </c>
      <c r="K750" s="27">
        <v>199.99</v>
      </c>
      <c r="M750" s="27">
        <v>0</v>
      </c>
      <c r="N750" s="27">
        <v>0</v>
      </c>
      <c r="O750" s="27">
        <v>0</v>
      </c>
      <c r="P750" s="27" t="s">
        <v>95</v>
      </c>
      <c r="Q750" s="27">
        <v>5.303255</v>
      </c>
      <c r="V750" s="27" t="s">
        <v>231</v>
      </c>
      <c r="W750" s="27">
        <v>0</v>
      </c>
      <c r="X750" s="27">
        <v>0</v>
      </c>
      <c r="Y750" s="27">
        <v>0</v>
      </c>
      <c r="Z750" s="27">
        <v>0</v>
      </c>
      <c r="AA750" s="27" t="s">
        <v>125</v>
      </c>
      <c r="AB750" s="27">
        <v>0</v>
      </c>
      <c r="AC750" s="27">
        <v>0</v>
      </c>
      <c r="AD750" s="27">
        <v>0</v>
      </c>
      <c r="AE750" s="27">
        <v>0</v>
      </c>
      <c r="AF750" s="27">
        <v>0</v>
      </c>
      <c r="AG750" s="27">
        <v>0</v>
      </c>
      <c r="AH750" s="27">
        <v>0</v>
      </c>
      <c r="AI750" s="27">
        <v>0</v>
      </c>
      <c r="AJ750" s="27">
        <v>0</v>
      </c>
      <c r="AK750" s="27">
        <v>0</v>
      </c>
      <c r="AL750" s="27">
        <v>0</v>
      </c>
      <c r="AM750" s="27">
        <v>0</v>
      </c>
      <c r="AN750" s="27">
        <v>0</v>
      </c>
      <c r="AO750" s="27">
        <v>0</v>
      </c>
      <c r="AP750" s="27">
        <v>0</v>
      </c>
      <c r="AQ750" s="27">
        <v>1</v>
      </c>
      <c r="AR750" s="27">
        <v>0</v>
      </c>
      <c r="AS750" s="27">
        <v>0</v>
      </c>
      <c r="AT750" s="27">
        <v>0</v>
      </c>
      <c r="AU750" s="27">
        <v>0</v>
      </c>
      <c r="AV750" s="27">
        <v>1</v>
      </c>
      <c r="AW750" s="27">
        <v>0</v>
      </c>
      <c r="AX750" s="27">
        <v>0</v>
      </c>
      <c r="AZ750" s="27">
        <v>1</v>
      </c>
      <c r="BA750" s="27">
        <v>1</v>
      </c>
      <c r="BB750" s="27">
        <v>0</v>
      </c>
      <c r="BC750" s="27" t="s">
        <v>2235</v>
      </c>
      <c r="BD750" s="27" t="s">
        <v>2236</v>
      </c>
      <c r="BE750" s="27" t="s">
        <v>2237</v>
      </c>
      <c r="BF750" s="27" t="s">
        <v>77</v>
      </c>
      <c r="BG750" s="27">
        <v>167</v>
      </c>
      <c r="BH750" s="27">
        <v>11</v>
      </c>
      <c r="BI750" s="27">
        <v>0.9382</v>
      </c>
      <c r="BJ750" s="27">
        <v>0</v>
      </c>
    </row>
    <row r="751" customHeight="1" spans="1:64">
      <c r="A751" s="27" t="s">
        <v>2238</v>
      </c>
      <c r="B751" s="27" t="s">
        <v>1615</v>
      </c>
      <c r="E751" s="27" t="s">
        <v>81</v>
      </c>
      <c r="F751" s="27" t="s">
        <v>240</v>
      </c>
      <c r="G751" s="27" t="s">
        <v>83</v>
      </c>
      <c r="H751" s="27" t="s">
        <v>84</v>
      </c>
      <c r="I751" s="27" t="s">
        <v>203</v>
      </c>
      <c r="J751" s="27">
        <v>4</v>
      </c>
      <c r="K751" s="27">
        <v>84.22</v>
      </c>
      <c r="M751" s="27">
        <v>0</v>
      </c>
      <c r="N751" s="27">
        <v>0</v>
      </c>
      <c r="O751" s="27">
        <v>0</v>
      </c>
      <c r="P751" s="27" t="s">
        <v>95</v>
      </c>
      <c r="Q751" s="27">
        <v>4.445236</v>
      </c>
      <c r="V751" s="27" t="s">
        <v>231</v>
      </c>
      <c r="W751" s="27">
        <v>0</v>
      </c>
      <c r="X751" s="27">
        <v>0</v>
      </c>
      <c r="Y751" s="27">
        <v>0</v>
      </c>
      <c r="Z751" s="27">
        <v>0</v>
      </c>
      <c r="AA751" s="27" t="s">
        <v>125</v>
      </c>
      <c r="AB751" s="27">
        <v>0</v>
      </c>
      <c r="AC751" s="27">
        <v>0</v>
      </c>
      <c r="AD751" s="27">
        <v>0</v>
      </c>
      <c r="AE751" s="27">
        <v>0</v>
      </c>
      <c r="AF751" s="27">
        <v>0</v>
      </c>
      <c r="AG751" s="27">
        <v>0</v>
      </c>
      <c r="AH751" s="27">
        <v>0</v>
      </c>
      <c r="AI751" s="27">
        <v>0</v>
      </c>
      <c r="AJ751" s="27">
        <v>0</v>
      </c>
      <c r="AK751" s="27">
        <v>0</v>
      </c>
      <c r="AL751" s="27">
        <v>0</v>
      </c>
      <c r="AM751" s="27">
        <v>0</v>
      </c>
      <c r="AN751" s="27">
        <v>0</v>
      </c>
      <c r="AO751" s="27">
        <v>0</v>
      </c>
      <c r="AP751" s="27">
        <v>0</v>
      </c>
      <c r="AQ751" s="27">
        <v>0</v>
      </c>
      <c r="AR751" s="27">
        <v>0</v>
      </c>
      <c r="AS751" s="27">
        <v>0</v>
      </c>
      <c r="AT751" s="27">
        <v>0</v>
      </c>
      <c r="AU751" s="27">
        <v>0</v>
      </c>
      <c r="AV751" s="27">
        <v>1</v>
      </c>
      <c r="AW751" s="27">
        <v>0</v>
      </c>
      <c r="AX751" s="27">
        <v>0</v>
      </c>
      <c r="AZ751" s="27">
        <v>1</v>
      </c>
      <c r="BA751" s="27">
        <v>0</v>
      </c>
      <c r="BB751" s="27">
        <v>22.2</v>
      </c>
      <c r="BC751" s="27" t="s">
        <v>2239</v>
      </c>
      <c r="BD751" s="27" t="s">
        <v>2240</v>
      </c>
      <c r="BE751" s="27" t="s">
        <v>363</v>
      </c>
      <c r="BF751" s="27" t="s">
        <v>77</v>
      </c>
      <c r="BG751" s="27">
        <v>168</v>
      </c>
      <c r="BH751" s="27">
        <v>11</v>
      </c>
      <c r="BI751" s="27">
        <v>0.9385</v>
      </c>
      <c r="BJ751" s="27">
        <v>0</v>
      </c>
      <c r="BK751" s="27">
        <v>95</v>
      </c>
      <c r="BL751" s="27">
        <v>74</v>
      </c>
    </row>
    <row r="752" customHeight="1" spans="1:64">
      <c r="A752" s="27" t="s">
        <v>2241</v>
      </c>
      <c r="B752" s="27" t="s">
        <v>2242</v>
      </c>
      <c r="C752" s="27" t="s">
        <v>2243</v>
      </c>
      <c r="E752" s="27" t="s">
        <v>2244</v>
      </c>
      <c r="F752" s="27" t="s">
        <v>198</v>
      </c>
      <c r="G752" s="27" t="s">
        <v>83</v>
      </c>
      <c r="H752" s="27" t="s">
        <v>84</v>
      </c>
      <c r="I752" s="27" t="s">
        <v>85</v>
      </c>
      <c r="J752" s="27">
        <v>5</v>
      </c>
      <c r="K752" s="27">
        <v>17</v>
      </c>
      <c r="M752" s="27">
        <v>0</v>
      </c>
      <c r="N752" s="27">
        <v>0</v>
      </c>
      <c r="O752" s="27">
        <v>0</v>
      </c>
      <c r="P752" s="27" t="s">
        <v>133</v>
      </c>
      <c r="Q752" s="27">
        <v>2.890372</v>
      </c>
      <c r="S752" s="27">
        <v>833</v>
      </c>
      <c r="T752" s="27">
        <v>10</v>
      </c>
      <c r="U752" s="27">
        <v>0.9881</v>
      </c>
      <c r="V752" s="27" t="s">
        <v>154</v>
      </c>
      <c r="W752" s="27">
        <v>14161</v>
      </c>
      <c r="X752" s="27">
        <v>6.726233</v>
      </c>
      <c r="Y752" s="27">
        <v>9.558318</v>
      </c>
      <c r="Z752" s="27">
        <v>3.1623</v>
      </c>
      <c r="AA752" s="27" t="s">
        <v>125</v>
      </c>
      <c r="AB752" s="27">
        <v>0</v>
      </c>
      <c r="AC752" s="27">
        <v>0</v>
      </c>
      <c r="AD752" s="27">
        <v>0</v>
      </c>
      <c r="AE752" s="27">
        <v>0</v>
      </c>
      <c r="AF752" s="27">
        <v>0</v>
      </c>
      <c r="AG752" s="27">
        <v>0</v>
      </c>
      <c r="AH752" s="27">
        <v>0</v>
      </c>
      <c r="AI752" s="27">
        <v>0</v>
      </c>
      <c r="AJ752" s="27">
        <v>0</v>
      </c>
      <c r="AK752" s="27">
        <v>0</v>
      </c>
      <c r="AL752" s="27">
        <v>0</v>
      </c>
      <c r="AM752" s="27">
        <v>0</v>
      </c>
      <c r="AN752" s="27">
        <v>0</v>
      </c>
      <c r="AO752" s="27">
        <v>0</v>
      </c>
      <c r="AP752" s="27">
        <v>0</v>
      </c>
      <c r="AQ752" s="27">
        <v>0</v>
      </c>
      <c r="AR752" s="27">
        <v>0</v>
      </c>
      <c r="AS752" s="27">
        <v>0</v>
      </c>
      <c r="AT752" s="27">
        <v>0</v>
      </c>
      <c r="AU752" s="27">
        <v>0</v>
      </c>
      <c r="AV752" s="27">
        <v>0</v>
      </c>
      <c r="AW752" s="27">
        <v>1</v>
      </c>
      <c r="AX752" s="27">
        <v>0</v>
      </c>
      <c r="AZ752" s="27">
        <v>1</v>
      </c>
      <c r="BA752" s="27">
        <v>0</v>
      </c>
      <c r="BB752" s="27">
        <v>64.18</v>
      </c>
      <c r="BC752" s="27" t="s">
        <v>2245</v>
      </c>
      <c r="BD752" s="27" t="s">
        <v>2246</v>
      </c>
      <c r="BE752" s="27" t="s">
        <v>1814</v>
      </c>
      <c r="BF752" s="27" t="s">
        <v>77</v>
      </c>
      <c r="BG752" s="27">
        <v>1</v>
      </c>
      <c r="BH752" s="27">
        <v>24</v>
      </c>
      <c r="BI752" s="27">
        <v>0.04</v>
      </c>
      <c r="BJ752" s="27">
        <v>1</v>
      </c>
      <c r="BK752" s="27">
        <v>65</v>
      </c>
      <c r="BL752" s="27">
        <v>82.2</v>
      </c>
    </row>
    <row r="753" customHeight="1" spans="1:64">
      <c r="A753" s="27" t="s">
        <v>2247</v>
      </c>
      <c r="B753" s="27" t="s">
        <v>245</v>
      </c>
      <c r="C753" s="27" t="s">
        <v>2248</v>
      </c>
      <c r="E753" s="27" t="s">
        <v>805</v>
      </c>
      <c r="F753" s="27" t="s">
        <v>160</v>
      </c>
      <c r="G753" s="27" t="s">
        <v>83</v>
      </c>
      <c r="H753" s="27" t="s">
        <v>84</v>
      </c>
      <c r="I753" s="27" t="s">
        <v>85</v>
      </c>
      <c r="J753" s="27">
        <v>5</v>
      </c>
      <c r="K753" s="27">
        <v>49.38</v>
      </c>
      <c r="L753" s="27">
        <v>60.96</v>
      </c>
      <c r="M753" s="27">
        <v>19</v>
      </c>
      <c r="N753" s="27">
        <v>11.58</v>
      </c>
      <c r="O753" s="27">
        <v>1</v>
      </c>
      <c r="P753" s="27" t="s">
        <v>86</v>
      </c>
      <c r="Q753" s="27">
        <v>3.919594</v>
      </c>
      <c r="R753" s="27">
        <v>6.17</v>
      </c>
      <c r="S753" s="27">
        <v>78</v>
      </c>
      <c r="T753" s="27">
        <v>10</v>
      </c>
      <c r="U753" s="27">
        <v>0.8864</v>
      </c>
      <c r="V753" s="27" t="s">
        <v>72</v>
      </c>
      <c r="W753" s="27">
        <v>3851.64</v>
      </c>
      <c r="X753" s="27">
        <v>4.369448</v>
      </c>
      <c r="Y753" s="27">
        <v>8.256514</v>
      </c>
      <c r="Z753" s="27">
        <v>3.1623</v>
      </c>
      <c r="AA753" s="27" t="s">
        <v>139</v>
      </c>
      <c r="AB753" s="27">
        <v>1</v>
      </c>
      <c r="AC753" s="27">
        <v>0</v>
      </c>
      <c r="AD753" s="27">
        <v>0</v>
      </c>
      <c r="AE753" s="27">
        <v>0</v>
      </c>
      <c r="AF753" s="27">
        <v>0</v>
      </c>
      <c r="AG753" s="27">
        <v>0</v>
      </c>
      <c r="AH753" s="27">
        <v>0</v>
      </c>
      <c r="AI753" s="27">
        <v>0</v>
      </c>
      <c r="AJ753" s="27">
        <v>0</v>
      </c>
      <c r="AK753" s="27">
        <v>0</v>
      </c>
      <c r="AL753" s="27">
        <v>0</v>
      </c>
      <c r="AM753" s="27">
        <v>0</v>
      </c>
      <c r="AN753" s="27">
        <v>0</v>
      </c>
      <c r="AO753" s="27">
        <v>0</v>
      </c>
      <c r="AP753" s="27">
        <v>0</v>
      </c>
      <c r="AQ753" s="27">
        <v>1</v>
      </c>
      <c r="AR753" s="27">
        <v>0</v>
      </c>
      <c r="AS753" s="27">
        <v>0</v>
      </c>
      <c r="AT753" s="27">
        <v>1</v>
      </c>
      <c r="AU753" s="27">
        <v>0</v>
      </c>
      <c r="AV753" s="27">
        <v>1</v>
      </c>
      <c r="AW753" s="27">
        <v>1</v>
      </c>
      <c r="AX753" s="27">
        <v>0</v>
      </c>
      <c r="AY753" s="27">
        <v>8</v>
      </c>
      <c r="AZ753" s="27">
        <v>1</v>
      </c>
      <c r="BA753" s="27">
        <v>2</v>
      </c>
      <c r="BB753" s="27">
        <v>71.01</v>
      </c>
      <c r="BC753" s="27" t="s">
        <v>1186</v>
      </c>
      <c r="BD753" s="27" t="s">
        <v>175</v>
      </c>
      <c r="BE753" s="27" t="s">
        <v>91</v>
      </c>
      <c r="BF753" s="27" t="s">
        <v>77</v>
      </c>
      <c r="BG753" s="27">
        <v>161</v>
      </c>
      <c r="BH753" s="27">
        <v>61</v>
      </c>
      <c r="BI753" s="27">
        <v>0.7252</v>
      </c>
      <c r="BJ753" s="27">
        <v>0</v>
      </c>
      <c r="BK753" s="27">
        <v>2</v>
      </c>
      <c r="BL753" s="27">
        <v>99.5</v>
      </c>
    </row>
    <row r="754" customHeight="1" spans="1:64">
      <c r="A754" s="27" t="s">
        <v>2249</v>
      </c>
      <c r="B754" s="27" t="s">
        <v>171</v>
      </c>
      <c r="C754" s="27" t="s">
        <v>2250</v>
      </c>
      <c r="E754" s="27" t="s">
        <v>250</v>
      </c>
      <c r="F754" s="27" t="s">
        <v>160</v>
      </c>
      <c r="G754" s="27" t="s">
        <v>83</v>
      </c>
      <c r="H754" s="27" t="s">
        <v>84</v>
      </c>
      <c r="I754" s="27" t="s">
        <v>85</v>
      </c>
      <c r="J754" s="27">
        <v>5</v>
      </c>
      <c r="K754" s="27">
        <v>182.24</v>
      </c>
      <c r="M754" s="27">
        <v>0</v>
      </c>
      <c r="N754" s="27">
        <v>0</v>
      </c>
      <c r="O754" s="27">
        <v>0</v>
      </c>
      <c r="P754" s="27" t="s">
        <v>95</v>
      </c>
      <c r="Q754" s="27">
        <v>5.210797</v>
      </c>
      <c r="R754" s="27">
        <v>22.78</v>
      </c>
      <c r="S754" s="27">
        <v>161</v>
      </c>
      <c r="T754" s="27">
        <v>99</v>
      </c>
      <c r="U754" s="27">
        <v>0.6192</v>
      </c>
      <c r="V754" s="27" t="s">
        <v>72</v>
      </c>
      <c r="W754" s="27">
        <v>29340.64</v>
      </c>
      <c r="X754" s="27">
        <v>5.087596</v>
      </c>
      <c r="Y754" s="27">
        <v>10.286763</v>
      </c>
      <c r="Z754" s="27">
        <v>9.9499</v>
      </c>
      <c r="AA754" s="27" t="s">
        <v>73</v>
      </c>
      <c r="AB754" s="27">
        <v>0</v>
      </c>
      <c r="AC754" s="27">
        <v>0</v>
      </c>
      <c r="AD754" s="27">
        <v>0</v>
      </c>
      <c r="AE754" s="27">
        <v>0</v>
      </c>
      <c r="AF754" s="27">
        <v>0</v>
      </c>
      <c r="AG754" s="27">
        <v>0</v>
      </c>
      <c r="AH754" s="27">
        <v>0</v>
      </c>
      <c r="AI754" s="27">
        <v>0</v>
      </c>
      <c r="AJ754" s="27">
        <v>0</v>
      </c>
      <c r="AK754" s="27">
        <v>0</v>
      </c>
      <c r="AL754" s="27">
        <v>0</v>
      </c>
      <c r="AM754" s="27">
        <v>0</v>
      </c>
      <c r="AN754" s="27">
        <v>0</v>
      </c>
      <c r="AO754" s="27">
        <v>0</v>
      </c>
      <c r="AP754" s="27">
        <v>0</v>
      </c>
      <c r="AQ754" s="27">
        <v>1</v>
      </c>
      <c r="AR754" s="27">
        <v>0</v>
      </c>
      <c r="AS754" s="27">
        <v>0</v>
      </c>
      <c r="AT754" s="27">
        <v>1</v>
      </c>
      <c r="AU754" s="27">
        <v>0</v>
      </c>
      <c r="AV754" s="27">
        <v>1</v>
      </c>
      <c r="AW754" s="27">
        <v>1</v>
      </c>
      <c r="AX754" s="27">
        <v>0</v>
      </c>
      <c r="AY754" s="27">
        <v>8</v>
      </c>
      <c r="AZ754" s="27">
        <v>1</v>
      </c>
      <c r="BA754" s="27">
        <v>1</v>
      </c>
      <c r="BB754" s="27">
        <v>53.87</v>
      </c>
      <c r="BC754" s="27" t="s">
        <v>251</v>
      </c>
      <c r="BD754" s="27" t="s">
        <v>175</v>
      </c>
      <c r="BE754" s="27" t="s">
        <v>91</v>
      </c>
      <c r="BF754" s="27" t="s">
        <v>77</v>
      </c>
      <c r="BG754" s="27">
        <v>161</v>
      </c>
      <c r="BH754" s="27">
        <v>61</v>
      </c>
      <c r="BI754" s="27">
        <v>0.7252</v>
      </c>
      <c r="BJ754" s="27">
        <v>0</v>
      </c>
      <c r="BK754" s="27">
        <v>11</v>
      </c>
      <c r="BL754" s="27">
        <v>97</v>
      </c>
    </row>
    <row r="755" customHeight="1" spans="1:64">
      <c r="A755" s="27" t="s">
        <v>2251</v>
      </c>
      <c r="B755" s="27" t="s">
        <v>2252</v>
      </c>
      <c r="E755" s="27" t="s">
        <v>250</v>
      </c>
      <c r="F755" s="27" t="s">
        <v>276</v>
      </c>
      <c r="G755" s="27" t="s">
        <v>83</v>
      </c>
      <c r="H755" s="27" t="s">
        <v>84</v>
      </c>
      <c r="I755" s="27" t="s">
        <v>85</v>
      </c>
      <c r="J755" s="27">
        <v>5</v>
      </c>
      <c r="K755" s="27">
        <v>89.99</v>
      </c>
      <c r="M755" s="27">
        <v>0</v>
      </c>
      <c r="N755" s="27">
        <v>0</v>
      </c>
      <c r="O755" s="27">
        <v>0</v>
      </c>
      <c r="P755" s="27" t="s">
        <v>95</v>
      </c>
      <c r="Q755" s="27">
        <v>4.51075</v>
      </c>
      <c r="S755" s="27">
        <v>4</v>
      </c>
      <c r="T755" s="27">
        <v>10</v>
      </c>
      <c r="U755" s="27">
        <v>0.2857</v>
      </c>
      <c r="V755" s="27" t="s">
        <v>87</v>
      </c>
      <c r="W755" s="27">
        <v>359.96</v>
      </c>
      <c r="X755" s="27">
        <v>1.609438</v>
      </c>
      <c r="Y755" s="27">
        <v>5.888767</v>
      </c>
      <c r="Z755" s="27">
        <v>3.1623</v>
      </c>
      <c r="AA755" s="27" t="s">
        <v>73</v>
      </c>
      <c r="AB755" s="27">
        <v>0</v>
      </c>
      <c r="AC755" s="27">
        <v>0</v>
      </c>
      <c r="AD755" s="27">
        <v>1</v>
      </c>
      <c r="AE755" s="27">
        <v>0</v>
      </c>
      <c r="AF755" s="27">
        <v>0</v>
      </c>
      <c r="AG755" s="27">
        <v>1</v>
      </c>
      <c r="AH755" s="27">
        <v>0</v>
      </c>
      <c r="AI755" s="27">
        <v>1</v>
      </c>
      <c r="AJ755" s="27">
        <v>0</v>
      </c>
      <c r="AK755" s="27">
        <v>0</v>
      </c>
      <c r="AL755" s="27">
        <v>0</v>
      </c>
      <c r="AM755" s="27">
        <v>0</v>
      </c>
      <c r="AN755" s="27">
        <v>0</v>
      </c>
      <c r="AO755" s="27">
        <v>0</v>
      </c>
      <c r="AP755" s="27">
        <v>0</v>
      </c>
      <c r="AQ755" s="27">
        <v>0</v>
      </c>
      <c r="AR755" s="27">
        <v>0</v>
      </c>
      <c r="AS755" s="27">
        <v>0</v>
      </c>
      <c r="AT755" s="27">
        <v>1</v>
      </c>
      <c r="AU755" s="27">
        <v>0</v>
      </c>
      <c r="AV755" s="27">
        <v>0</v>
      </c>
      <c r="AW755" s="27">
        <v>0</v>
      </c>
      <c r="AX755" s="27">
        <v>0</v>
      </c>
      <c r="AZ755" s="27">
        <v>1</v>
      </c>
      <c r="BA755" s="27">
        <v>0</v>
      </c>
      <c r="BB755" s="27">
        <v>36.9</v>
      </c>
      <c r="BC755" s="27" t="s">
        <v>1952</v>
      </c>
      <c r="BD755" s="27" t="s">
        <v>97</v>
      </c>
      <c r="BE755" s="27" t="s">
        <v>98</v>
      </c>
      <c r="BF755" s="27" t="s">
        <v>77</v>
      </c>
      <c r="BG755" s="27">
        <v>1</v>
      </c>
      <c r="BH755" s="27">
        <v>11</v>
      </c>
      <c r="BI755" s="27">
        <v>0.0833</v>
      </c>
      <c r="BJ755" s="27">
        <v>1</v>
      </c>
      <c r="BK755" s="27">
        <v>55</v>
      </c>
      <c r="BL755" s="27">
        <v>84.9</v>
      </c>
    </row>
    <row r="756" customHeight="1" spans="1:64">
      <c r="A756" s="27" t="s">
        <v>2253</v>
      </c>
      <c r="B756" s="27" t="s">
        <v>104</v>
      </c>
      <c r="D756" s="27">
        <v>194644308117</v>
      </c>
      <c r="E756" s="27" t="s">
        <v>81</v>
      </c>
      <c r="F756" s="27" t="s">
        <v>82</v>
      </c>
      <c r="G756" s="27" t="s">
        <v>106</v>
      </c>
      <c r="H756" s="27" t="s">
        <v>107</v>
      </c>
      <c r="I756" s="27" t="s">
        <v>108</v>
      </c>
      <c r="J756" s="27">
        <v>3</v>
      </c>
      <c r="K756" s="27">
        <v>199.99</v>
      </c>
      <c r="L756" s="27">
        <v>263.99</v>
      </c>
      <c r="M756" s="27">
        <v>24.24</v>
      </c>
      <c r="N756" s="27">
        <v>64</v>
      </c>
      <c r="O756" s="27">
        <v>1</v>
      </c>
      <c r="P756" s="27" t="s">
        <v>95</v>
      </c>
      <c r="Q756" s="27">
        <v>5.303255</v>
      </c>
      <c r="S756" s="27">
        <v>27</v>
      </c>
      <c r="T756" s="27">
        <v>121</v>
      </c>
      <c r="U756" s="27">
        <v>0.1824</v>
      </c>
      <c r="V756" s="27" t="s">
        <v>72</v>
      </c>
      <c r="W756" s="27">
        <v>5399.73</v>
      </c>
      <c r="X756" s="27">
        <v>3.332205</v>
      </c>
      <c r="Y756" s="27">
        <v>8.594289</v>
      </c>
      <c r="Z756" s="27">
        <v>11</v>
      </c>
      <c r="AA756" s="27" t="s">
        <v>73</v>
      </c>
      <c r="AB756" s="27">
        <v>0</v>
      </c>
      <c r="AC756" s="27">
        <v>0</v>
      </c>
      <c r="AD756" s="27">
        <v>0</v>
      </c>
      <c r="AE756" s="27">
        <v>0</v>
      </c>
      <c r="AF756" s="27">
        <v>0</v>
      </c>
      <c r="AG756" s="27">
        <v>1</v>
      </c>
      <c r="AH756" s="27">
        <v>0</v>
      </c>
      <c r="AI756" s="27">
        <v>1</v>
      </c>
      <c r="AJ756" s="27">
        <v>0</v>
      </c>
      <c r="AK756" s="27">
        <v>1</v>
      </c>
      <c r="AL756" s="27">
        <v>0</v>
      </c>
      <c r="AM756" s="27">
        <v>0</v>
      </c>
      <c r="AN756" s="27">
        <v>0</v>
      </c>
      <c r="AO756" s="27">
        <v>0</v>
      </c>
      <c r="AP756" s="27">
        <v>0</v>
      </c>
      <c r="AQ756" s="27">
        <v>1</v>
      </c>
      <c r="AR756" s="27">
        <v>0</v>
      </c>
      <c r="AS756" s="27">
        <v>0</v>
      </c>
      <c r="AT756" s="27">
        <v>0</v>
      </c>
      <c r="AU756" s="27">
        <v>0</v>
      </c>
      <c r="AV756" s="27">
        <v>1</v>
      </c>
      <c r="AW756" s="27">
        <v>0</v>
      </c>
      <c r="AX756" s="27">
        <v>1</v>
      </c>
      <c r="AZ756" s="27">
        <v>1</v>
      </c>
      <c r="BA756" s="27">
        <v>2</v>
      </c>
      <c r="BB756" s="27">
        <v>44.42</v>
      </c>
      <c r="BC756" s="27" t="s">
        <v>111</v>
      </c>
      <c r="BD756" s="27" t="s">
        <v>112</v>
      </c>
      <c r="BE756" s="27" t="s">
        <v>128</v>
      </c>
      <c r="BF756" s="27" t="s">
        <v>77</v>
      </c>
      <c r="BG756" s="27">
        <v>162</v>
      </c>
      <c r="BH756" s="27">
        <v>24</v>
      </c>
      <c r="BI756" s="27">
        <v>0.871</v>
      </c>
      <c r="BJ756" s="27">
        <v>0</v>
      </c>
      <c r="BK756" s="27">
        <v>2</v>
      </c>
      <c r="BL756" s="27">
        <v>99.5</v>
      </c>
    </row>
    <row r="757" customHeight="1" spans="1:64">
      <c r="A757" s="27" t="s">
        <v>2254</v>
      </c>
      <c r="B757" s="27" t="s">
        <v>171</v>
      </c>
      <c r="C757" s="27" t="s">
        <v>2255</v>
      </c>
      <c r="E757" s="27" t="s">
        <v>2256</v>
      </c>
      <c r="F757" s="27" t="s">
        <v>160</v>
      </c>
      <c r="G757" s="27" t="s">
        <v>83</v>
      </c>
      <c r="H757" s="27" t="s">
        <v>84</v>
      </c>
      <c r="I757" s="27" t="s">
        <v>85</v>
      </c>
      <c r="J757" s="27">
        <v>5</v>
      </c>
      <c r="K757" s="27">
        <v>117.59</v>
      </c>
      <c r="M757" s="27">
        <v>0</v>
      </c>
      <c r="N757" s="27">
        <v>0</v>
      </c>
      <c r="O757" s="27">
        <v>0</v>
      </c>
      <c r="P757" s="27" t="s">
        <v>95</v>
      </c>
      <c r="Q757" s="27">
        <v>4.775672</v>
      </c>
      <c r="S757" s="27">
        <v>13</v>
      </c>
      <c r="T757" s="27">
        <v>20</v>
      </c>
      <c r="U757" s="27">
        <v>0.3939</v>
      </c>
      <c r="V757" s="27" t="s">
        <v>72</v>
      </c>
      <c r="W757" s="27">
        <v>1528.67</v>
      </c>
      <c r="X757" s="27">
        <v>2.639057</v>
      </c>
      <c r="Y757" s="27">
        <v>7.332807</v>
      </c>
      <c r="Z757" s="27">
        <v>4.4721</v>
      </c>
      <c r="AA757" s="27" t="s">
        <v>88</v>
      </c>
      <c r="AB757" s="27">
        <v>0</v>
      </c>
      <c r="AC757" s="27">
        <v>0</v>
      </c>
      <c r="AD757" s="27">
        <v>0</v>
      </c>
      <c r="AE757" s="27">
        <v>1</v>
      </c>
      <c r="AF757" s="27">
        <v>1</v>
      </c>
      <c r="AG757" s="27">
        <v>0</v>
      </c>
      <c r="AH757" s="27">
        <v>1</v>
      </c>
      <c r="AI757" s="27">
        <v>0</v>
      </c>
      <c r="AJ757" s="27">
        <v>0</v>
      </c>
      <c r="AK757" s="27">
        <v>0</v>
      </c>
      <c r="AL757" s="27">
        <v>0</v>
      </c>
      <c r="AM757" s="27">
        <v>0</v>
      </c>
      <c r="AN757" s="27">
        <v>1</v>
      </c>
      <c r="AO757" s="27">
        <v>0</v>
      </c>
      <c r="AP757" s="27">
        <v>0</v>
      </c>
      <c r="AQ757" s="27">
        <v>0</v>
      </c>
      <c r="AR757" s="27">
        <v>0</v>
      </c>
      <c r="AS757" s="27">
        <v>0</v>
      </c>
      <c r="AT757" s="27">
        <v>0</v>
      </c>
      <c r="AU757" s="27">
        <v>0</v>
      </c>
      <c r="AV757" s="27">
        <v>0</v>
      </c>
      <c r="AW757" s="27">
        <v>1</v>
      </c>
      <c r="AX757" s="27">
        <v>0</v>
      </c>
      <c r="AZ757" s="27">
        <v>1</v>
      </c>
      <c r="BA757" s="27">
        <v>3</v>
      </c>
      <c r="BB757" s="27">
        <v>45.43</v>
      </c>
      <c r="BC757" s="27" t="s">
        <v>251</v>
      </c>
      <c r="BD757" s="27" t="s">
        <v>175</v>
      </c>
      <c r="BE757" s="27" t="s">
        <v>226</v>
      </c>
      <c r="BF757" s="27" t="s">
        <v>77</v>
      </c>
      <c r="BG757" s="27">
        <v>162</v>
      </c>
      <c r="BH757" s="27">
        <v>60</v>
      </c>
      <c r="BI757" s="27">
        <v>0.7297</v>
      </c>
      <c r="BJ757" s="27">
        <v>0</v>
      </c>
      <c r="BK757" s="27">
        <v>4</v>
      </c>
      <c r="BL757" s="27">
        <v>98.9</v>
      </c>
    </row>
    <row r="758" customHeight="1" spans="1:64">
      <c r="A758" s="27" t="s">
        <v>2257</v>
      </c>
      <c r="B758" s="27" t="s">
        <v>2258</v>
      </c>
      <c r="C758" s="27" t="s">
        <v>2259</v>
      </c>
      <c r="E758" s="27" t="s">
        <v>81</v>
      </c>
      <c r="F758" s="27" t="s">
        <v>82</v>
      </c>
      <c r="G758" s="27" t="s">
        <v>83</v>
      </c>
      <c r="H758" s="27" t="s">
        <v>84</v>
      </c>
      <c r="I758" s="27" t="s">
        <v>153</v>
      </c>
      <c r="J758" s="27">
        <v>2</v>
      </c>
      <c r="K758" s="27">
        <v>88.88</v>
      </c>
      <c r="M758" s="27">
        <v>0</v>
      </c>
      <c r="N758" s="27">
        <v>0</v>
      </c>
      <c r="O758" s="27">
        <v>0</v>
      </c>
      <c r="P758" s="27" t="s">
        <v>95</v>
      </c>
      <c r="Q758" s="27">
        <v>4.498475</v>
      </c>
      <c r="S758" s="27">
        <v>20</v>
      </c>
      <c r="T758" s="27">
        <v>10</v>
      </c>
      <c r="U758" s="27">
        <v>0.6667</v>
      </c>
      <c r="V758" s="27" t="s">
        <v>72</v>
      </c>
      <c r="W758" s="27">
        <v>1777.6</v>
      </c>
      <c r="X758" s="27">
        <v>3.044522</v>
      </c>
      <c r="Y758" s="27">
        <v>7.483582</v>
      </c>
      <c r="Z758" s="27">
        <v>3.1623</v>
      </c>
      <c r="AA758" s="27" t="s">
        <v>139</v>
      </c>
      <c r="AB758" s="27">
        <v>0</v>
      </c>
      <c r="AC758" s="27">
        <v>0</v>
      </c>
      <c r="AD758" s="27">
        <v>0</v>
      </c>
      <c r="AE758" s="27">
        <v>0</v>
      </c>
      <c r="AF758" s="27">
        <v>0</v>
      </c>
      <c r="AG758" s="27">
        <v>1</v>
      </c>
      <c r="AH758" s="27">
        <v>1</v>
      </c>
      <c r="AI758" s="27">
        <v>0</v>
      </c>
      <c r="AJ758" s="27">
        <v>0</v>
      </c>
      <c r="AK758" s="27">
        <v>0</v>
      </c>
      <c r="AL758" s="27">
        <v>0</v>
      </c>
      <c r="AM758" s="27">
        <v>0</v>
      </c>
      <c r="AN758" s="27">
        <v>0</v>
      </c>
      <c r="AO758" s="27">
        <v>0</v>
      </c>
      <c r="AP758" s="27">
        <v>0</v>
      </c>
      <c r="AQ758" s="27">
        <v>0</v>
      </c>
      <c r="AR758" s="27">
        <v>0</v>
      </c>
      <c r="AS758" s="27">
        <v>0</v>
      </c>
      <c r="AT758" s="27">
        <v>1</v>
      </c>
      <c r="AU758" s="27">
        <v>1</v>
      </c>
      <c r="AV758" s="27">
        <v>0</v>
      </c>
      <c r="AW758" s="27">
        <v>0</v>
      </c>
      <c r="AX758" s="27">
        <v>0</v>
      </c>
      <c r="AZ758" s="27">
        <v>1</v>
      </c>
      <c r="BA758" s="27">
        <v>1</v>
      </c>
      <c r="BB758" s="27">
        <v>56.25</v>
      </c>
      <c r="BC758" s="27" t="s">
        <v>2260</v>
      </c>
      <c r="BD758" s="27" t="s">
        <v>474</v>
      </c>
      <c r="BE758" s="27" t="s">
        <v>128</v>
      </c>
      <c r="BF758" s="27" t="s">
        <v>77</v>
      </c>
      <c r="BG758" s="27">
        <v>162</v>
      </c>
      <c r="BH758" s="27">
        <v>59</v>
      </c>
      <c r="BI758" s="27">
        <v>0.733</v>
      </c>
      <c r="BJ758" s="27">
        <v>0</v>
      </c>
      <c r="BK758" s="27">
        <v>5</v>
      </c>
      <c r="BL758" s="27">
        <v>98.6</v>
      </c>
    </row>
    <row r="759" customHeight="1" spans="1:64">
      <c r="A759" s="27" t="s">
        <v>2261</v>
      </c>
      <c r="B759" s="27" t="s">
        <v>171</v>
      </c>
      <c r="C759" s="27" t="s">
        <v>2262</v>
      </c>
      <c r="E759" s="27" t="s">
        <v>250</v>
      </c>
      <c r="F759" s="27" t="s">
        <v>160</v>
      </c>
      <c r="G759" s="27" t="s">
        <v>83</v>
      </c>
      <c r="H759" s="27" t="s">
        <v>84</v>
      </c>
      <c r="I759" s="27" t="s">
        <v>85</v>
      </c>
      <c r="J759" s="27">
        <v>5</v>
      </c>
      <c r="K759" s="27">
        <v>159.59</v>
      </c>
      <c r="L759" s="27">
        <v>189.99</v>
      </c>
      <c r="M759" s="27">
        <v>16</v>
      </c>
      <c r="N759" s="27">
        <v>30.4</v>
      </c>
      <c r="O759" s="27">
        <v>1</v>
      </c>
      <c r="P759" s="27" t="s">
        <v>95</v>
      </c>
      <c r="Q759" s="27">
        <v>5.078855</v>
      </c>
      <c r="R759" s="27">
        <v>19.95</v>
      </c>
      <c r="S759" s="27">
        <v>718</v>
      </c>
      <c r="T759" s="27">
        <v>10</v>
      </c>
      <c r="U759" s="27">
        <v>0.9863</v>
      </c>
      <c r="V759" s="27" t="s">
        <v>154</v>
      </c>
      <c r="W759" s="27">
        <v>114585.62</v>
      </c>
      <c r="X759" s="27">
        <v>6.577861</v>
      </c>
      <c r="Y759" s="27">
        <v>11.649086</v>
      </c>
      <c r="Z759" s="27">
        <v>3.1623</v>
      </c>
      <c r="AA759" s="27" t="s">
        <v>313</v>
      </c>
      <c r="AB759" s="27">
        <v>1</v>
      </c>
      <c r="AC759" s="27">
        <v>1</v>
      </c>
      <c r="AD759" s="27">
        <v>0</v>
      </c>
      <c r="AE759" s="27">
        <v>0</v>
      </c>
      <c r="AF759" s="27">
        <v>0</v>
      </c>
      <c r="AG759" s="27">
        <v>0</v>
      </c>
      <c r="AH759" s="27">
        <v>0</v>
      </c>
      <c r="AI759" s="27">
        <v>0</v>
      </c>
      <c r="AJ759" s="27">
        <v>0</v>
      </c>
      <c r="AK759" s="27">
        <v>0</v>
      </c>
      <c r="AL759" s="27">
        <v>0</v>
      </c>
      <c r="AM759" s="27">
        <v>0</v>
      </c>
      <c r="AN759" s="27">
        <v>0</v>
      </c>
      <c r="AO759" s="27">
        <v>0</v>
      </c>
      <c r="AP759" s="27">
        <v>0</v>
      </c>
      <c r="AQ759" s="27">
        <v>1</v>
      </c>
      <c r="AR759" s="27">
        <v>0</v>
      </c>
      <c r="AS759" s="27">
        <v>0</v>
      </c>
      <c r="AT759" s="27">
        <v>1</v>
      </c>
      <c r="AU759" s="27">
        <v>0</v>
      </c>
      <c r="AV759" s="27">
        <v>1</v>
      </c>
      <c r="AW759" s="27">
        <v>1</v>
      </c>
      <c r="AX759" s="27">
        <v>0</v>
      </c>
      <c r="AY759" s="27">
        <v>8</v>
      </c>
      <c r="AZ759" s="27">
        <v>1</v>
      </c>
      <c r="BA759" s="27">
        <v>3</v>
      </c>
      <c r="BB759" s="27">
        <v>73.77</v>
      </c>
      <c r="BC759" s="27" t="s">
        <v>174</v>
      </c>
      <c r="BD759" s="27" t="s">
        <v>175</v>
      </c>
      <c r="BE759" s="27" t="s">
        <v>226</v>
      </c>
      <c r="BF759" s="27" t="s">
        <v>77</v>
      </c>
      <c r="BG759" s="27">
        <v>161</v>
      </c>
      <c r="BH759" s="27">
        <v>61</v>
      </c>
      <c r="BI759" s="27">
        <v>0.7252</v>
      </c>
      <c r="BJ759" s="27">
        <v>0</v>
      </c>
      <c r="BK759" s="27">
        <v>6</v>
      </c>
      <c r="BL759" s="27">
        <v>98.4</v>
      </c>
    </row>
    <row r="760" customHeight="1" spans="1:64">
      <c r="A760" s="27" t="s">
        <v>2263</v>
      </c>
      <c r="B760" s="27" t="s">
        <v>171</v>
      </c>
      <c r="C760" s="27" t="s">
        <v>1498</v>
      </c>
      <c r="E760" s="27" t="s">
        <v>1499</v>
      </c>
      <c r="F760" s="27" t="s">
        <v>82</v>
      </c>
      <c r="G760" s="27" t="s">
        <v>83</v>
      </c>
      <c r="H760" s="27" t="s">
        <v>84</v>
      </c>
      <c r="I760" s="27" t="s">
        <v>85</v>
      </c>
      <c r="J760" s="27">
        <v>5</v>
      </c>
      <c r="K760" s="27">
        <v>53.99</v>
      </c>
      <c r="M760" s="27">
        <v>0</v>
      </c>
      <c r="N760" s="27">
        <v>0</v>
      </c>
      <c r="O760" s="27">
        <v>0</v>
      </c>
      <c r="P760" s="27" t="s">
        <v>86</v>
      </c>
      <c r="Q760" s="27">
        <v>4.007151</v>
      </c>
      <c r="S760" s="27">
        <v>319</v>
      </c>
      <c r="T760" s="27">
        <v>100</v>
      </c>
      <c r="U760" s="27">
        <v>0.7613</v>
      </c>
      <c r="V760" s="27" t="s">
        <v>154</v>
      </c>
      <c r="W760" s="27">
        <v>17222.81</v>
      </c>
      <c r="X760" s="27">
        <v>5.768321</v>
      </c>
      <c r="Y760" s="27">
        <v>9.754048</v>
      </c>
      <c r="Z760" s="27">
        <v>10</v>
      </c>
      <c r="AA760" s="27" t="s">
        <v>291</v>
      </c>
      <c r="AB760" s="27">
        <v>1</v>
      </c>
      <c r="AC760" s="27">
        <v>0</v>
      </c>
      <c r="AD760" s="27">
        <v>0</v>
      </c>
      <c r="AE760" s="27">
        <v>0</v>
      </c>
      <c r="AF760" s="27">
        <v>0</v>
      </c>
      <c r="AG760" s="27">
        <v>0</v>
      </c>
      <c r="AH760" s="27">
        <v>0</v>
      </c>
      <c r="AI760" s="27">
        <v>0</v>
      </c>
      <c r="AJ760" s="27">
        <v>0</v>
      </c>
      <c r="AK760" s="27">
        <v>0</v>
      </c>
      <c r="AL760" s="27">
        <v>0</v>
      </c>
      <c r="AM760" s="27">
        <v>0</v>
      </c>
      <c r="AN760" s="27">
        <v>0</v>
      </c>
      <c r="AO760" s="27">
        <v>0</v>
      </c>
      <c r="AP760" s="27">
        <v>0</v>
      </c>
      <c r="AQ760" s="27">
        <v>0</v>
      </c>
      <c r="AR760" s="27">
        <v>0</v>
      </c>
      <c r="AS760" s="27">
        <v>0</v>
      </c>
      <c r="AT760" s="27">
        <v>1</v>
      </c>
      <c r="AU760" s="27">
        <v>0</v>
      </c>
      <c r="AV760" s="27">
        <v>0</v>
      </c>
      <c r="AW760" s="27">
        <v>1</v>
      </c>
      <c r="AX760" s="27">
        <v>0</v>
      </c>
      <c r="AZ760" s="27">
        <v>1</v>
      </c>
      <c r="BA760" s="27">
        <v>1</v>
      </c>
      <c r="BB760" s="27">
        <v>59.79</v>
      </c>
      <c r="BC760" s="27" t="s">
        <v>251</v>
      </c>
      <c r="BD760" s="27" t="s">
        <v>175</v>
      </c>
      <c r="BE760" s="27" t="s">
        <v>226</v>
      </c>
      <c r="BF760" s="27" t="s">
        <v>77</v>
      </c>
      <c r="BG760" s="27">
        <v>162</v>
      </c>
      <c r="BH760" s="27">
        <v>60</v>
      </c>
      <c r="BI760" s="27">
        <v>0.7297</v>
      </c>
      <c r="BJ760" s="27">
        <v>0</v>
      </c>
      <c r="BK760" s="27">
        <v>8</v>
      </c>
      <c r="BL760" s="27">
        <v>97.8</v>
      </c>
    </row>
    <row r="761" customHeight="1" spans="1:64">
      <c r="A761" s="27" t="s">
        <v>2264</v>
      </c>
      <c r="B761" s="27" t="s">
        <v>125</v>
      </c>
      <c r="C761" s="27" t="s">
        <v>2265</v>
      </c>
      <c r="E761" s="27" t="s">
        <v>178</v>
      </c>
      <c r="F761" s="27" t="s">
        <v>132</v>
      </c>
      <c r="G761" s="27" t="s">
        <v>427</v>
      </c>
      <c r="H761" s="27" t="s">
        <v>138</v>
      </c>
      <c r="I761" s="27" t="s">
        <v>85</v>
      </c>
      <c r="J761" s="27">
        <v>5</v>
      </c>
      <c r="K761" s="27">
        <v>21.9</v>
      </c>
      <c r="M761" s="27">
        <v>0</v>
      </c>
      <c r="N761" s="27">
        <v>0</v>
      </c>
      <c r="O761" s="27">
        <v>0</v>
      </c>
      <c r="P761" s="27" t="s">
        <v>133</v>
      </c>
      <c r="Q761" s="27">
        <v>3.131137</v>
      </c>
      <c r="S761" s="27">
        <v>133</v>
      </c>
      <c r="T761" s="27">
        <v>10</v>
      </c>
      <c r="U761" s="27">
        <v>0.9301</v>
      </c>
      <c r="V761" s="27" t="s">
        <v>72</v>
      </c>
      <c r="W761" s="27">
        <v>2912.7</v>
      </c>
      <c r="X761" s="27">
        <v>4.89784</v>
      </c>
      <c r="Y761" s="27">
        <v>7.977179</v>
      </c>
      <c r="Z761" s="27">
        <v>3.1623</v>
      </c>
      <c r="AA761" s="27" t="s">
        <v>125</v>
      </c>
      <c r="AB761" s="27">
        <v>0</v>
      </c>
      <c r="AC761" s="27">
        <v>0</v>
      </c>
      <c r="AD761" s="27">
        <v>0</v>
      </c>
      <c r="AE761" s="27">
        <v>0</v>
      </c>
      <c r="AF761" s="27">
        <v>1</v>
      </c>
      <c r="AG761" s="27">
        <v>0</v>
      </c>
      <c r="AH761" s="27">
        <v>0</v>
      </c>
      <c r="AI761" s="27">
        <v>0</v>
      </c>
      <c r="AJ761" s="27">
        <v>0</v>
      </c>
      <c r="AK761" s="27">
        <v>0</v>
      </c>
      <c r="AL761" s="27">
        <v>0</v>
      </c>
      <c r="AM761" s="27">
        <v>0</v>
      </c>
      <c r="AN761" s="27">
        <v>0</v>
      </c>
      <c r="AO761" s="27">
        <v>0</v>
      </c>
      <c r="AP761" s="27">
        <v>0</v>
      </c>
      <c r="AQ761" s="27">
        <v>0</v>
      </c>
      <c r="AR761" s="27">
        <v>0</v>
      </c>
      <c r="AS761" s="27">
        <v>0</v>
      </c>
      <c r="AT761" s="27">
        <v>0</v>
      </c>
      <c r="AU761" s="27">
        <v>0</v>
      </c>
      <c r="AV761" s="27">
        <v>0</v>
      </c>
      <c r="AW761" s="27">
        <v>0</v>
      </c>
      <c r="AX761" s="27">
        <v>0</v>
      </c>
      <c r="AZ761" s="27">
        <v>1</v>
      </c>
      <c r="BA761" s="27">
        <v>0</v>
      </c>
      <c r="BB761" s="27">
        <v>66.87</v>
      </c>
      <c r="BC761" s="27" t="s">
        <v>428</v>
      </c>
      <c r="BD761" s="27" t="s">
        <v>225</v>
      </c>
      <c r="BE761" s="27" t="s">
        <v>226</v>
      </c>
      <c r="BF761" s="27" t="s">
        <v>77</v>
      </c>
      <c r="BG761" s="27">
        <v>1</v>
      </c>
      <c r="BH761" s="27">
        <v>14</v>
      </c>
      <c r="BI761" s="27">
        <v>0.0667</v>
      </c>
      <c r="BJ761" s="27">
        <v>1</v>
      </c>
      <c r="BK761" s="27">
        <v>4</v>
      </c>
      <c r="BL761" s="27">
        <v>98.9</v>
      </c>
    </row>
    <row r="762" customHeight="1" spans="1:64">
      <c r="A762" s="27" t="s">
        <v>2266</v>
      </c>
      <c r="B762" s="27" t="s">
        <v>171</v>
      </c>
      <c r="C762" s="27" t="s">
        <v>2267</v>
      </c>
      <c r="E762" s="27" t="s">
        <v>250</v>
      </c>
      <c r="F762" s="27" t="s">
        <v>160</v>
      </c>
      <c r="G762" s="27" t="s">
        <v>83</v>
      </c>
      <c r="H762" s="27" t="s">
        <v>84</v>
      </c>
      <c r="I762" s="27" t="s">
        <v>85</v>
      </c>
      <c r="J762" s="27">
        <v>5</v>
      </c>
      <c r="K762" s="27">
        <v>49.49</v>
      </c>
      <c r="L762" s="27">
        <v>89.99</v>
      </c>
      <c r="M762" s="27">
        <v>45.01</v>
      </c>
      <c r="N762" s="27">
        <v>40.5</v>
      </c>
      <c r="O762" s="27">
        <v>1</v>
      </c>
      <c r="P762" s="27" t="s">
        <v>86</v>
      </c>
      <c r="Q762" s="27">
        <v>3.921775</v>
      </c>
      <c r="S762" s="27">
        <v>11</v>
      </c>
      <c r="T762" s="27">
        <v>10</v>
      </c>
      <c r="U762" s="27">
        <v>0.5238</v>
      </c>
      <c r="V762" s="27" t="s">
        <v>72</v>
      </c>
      <c r="W762" s="27">
        <v>544.39</v>
      </c>
      <c r="X762" s="27">
        <v>2.484907</v>
      </c>
      <c r="Y762" s="27">
        <v>6.301501</v>
      </c>
      <c r="Z762" s="27">
        <v>3.1623</v>
      </c>
      <c r="AA762" s="27" t="s">
        <v>73</v>
      </c>
      <c r="AB762" s="27">
        <v>1</v>
      </c>
      <c r="AC762" s="27">
        <v>1</v>
      </c>
      <c r="AD762" s="27">
        <v>0</v>
      </c>
      <c r="AE762" s="27">
        <v>0</v>
      </c>
      <c r="AF762" s="27">
        <v>0</v>
      </c>
      <c r="AG762" s="27">
        <v>1</v>
      </c>
      <c r="AH762" s="27">
        <v>0</v>
      </c>
      <c r="AI762" s="27">
        <v>1</v>
      </c>
      <c r="AJ762" s="27">
        <v>0</v>
      </c>
      <c r="AK762" s="27">
        <v>0</v>
      </c>
      <c r="AL762" s="27">
        <v>1</v>
      </c>
      <c r="AM762" s="27">
        <v>1</v>
      </c>
      <c r="AN762" s="27">
        <v>0</v>
      </c>
      <c r="AO762" s="27">
        <v>0</v>
      </c>
      <c r="AP762" s="27">
        <v>0</v>
      </c>
      <c r="AQ762" s="27">
        <v>0</v>
      </c>
      <c r="AR762" s="27">
        <v>0</v>
      </c>
      <c r="AS762" s="27">
        <v>0</v>
      </c>
      <c r="AT762" s="27">
        <v>1</v>
      </c>
      <c r="AU762" s="27">
        <v>0</v>
      </c>
      <c r="AV762" s="27">
        <v>0</v>
      </c>
      <c r="AW762" s="27">
        <v>0</v>
      </c>
      <c r="AX762" s="27">
        <v>0</v>
      </c>
      <c r="AZ762" s="27">
        <v>1</v>
      </c>
      <c r="BA762" s="27">
        <v>3</v>
      </c>
      <c r="BB762" s="27">
        <v>63.64</v>
      </c>
      <c r="BC762" s="27" t="s">
        <v>174</v>
      </c>
      <c r="BD762" s="27" t="s">
        <v>175</v>
      </c>
      <c r="BE762" s="27" t="s">
        <v>226</v>
      </c>
      <c r="BF762" s="27" t="s">
        <v>77</v>
      </c>
      <c r="BG762" s="27">
        <v>162</v>
      </c>
      <c r="BH762" s="27">
        <v>60</v>
      </c>
      <c r="BI762" s="27">
        <v>0.7297</v>
      </c>
      <c r="BJ762" s="27">
        <v>0</v>
      </c>
      <c r="BK762" s="27">
        <v>10</v>
      </c>
      <c r="BL762" s="27">
        <v>97.3</v>
      </c>
    </row>
    <row r="763" customHeight="1" spans="1:64">
      <c r="A763" s="27" t="s">
        <v>2268</v>
      </c>
      <c r="B763" s="27" t="s">
        <v>335</v>
      </c>
      <c r="C763" s="27" t="s">
        <v>2269</v>
      </c>
      <c r="E763" s="27" t="s">
        <v>81</v>
      </c>
      <c r="F763" s="27" t="s">
        <v>160</v>
      </c>
      <c r="G763" s="27" t="s">
        <v>83</v>
      </c>
      <c r="H763" s="27" t="s">
        <v>84</v>
      </c>
      <c r="I763" s="27" t="s">
        <v>85</v>
      </c>
      <c r="J763" s="27">
        <v>5</v>
      </c>
      <c r="K763" s="27">
        <v>206.99</v>
      </c>
      <c r="L763" s="27">
        <v>229.99</v>
      </c>
      <c r="M763" s="27">
        <v>10</v>
      </c>
      <c r="N763" s="27">
        <v>23</v>
      </c>
      <c r="O763" s="27">
        <v>1</v>
      </c>
      <c r="P763" s="27" t="s">
        <v>71</v>
      </c>
      <c r="Q763" s="27">
        <v>5.33749</v>
      </c>
      <c r="R763" s="27">
        <v>20.7</v>
      </c>
      <c r="S763" s="27">
        <v>1</v>
      </c>
      <c r="T763" s="27">
        <v>10</v>
      </c>
      <c r="U763" s="27">
        <v>0.0909</v>
      </c>
      <c r="V763" s="27" t="s">
        <v>87</v>
      </c>
      <c r="W763" s="27">
        <v>206.99</v>
      </c>
      <c r="X763" s="27">
        <v>0.693147</v>
      </c>
      <c r="Y763" s="27">
        <v>5.33749</v>
      </c>
      <c r="Z763" s="27">
        <v>3.1623</v>
      </c>
      <c r="AA763" s="27" t="s">
        <v>313</v>
      </c>
      <c r="AB763" s="27">
        <v>1</v>
      </c>
      <c r="AC763" s="27">
        <v>0</v>
      </c>
      <c r="AD763" s="27">
        <v>0</v>
      </c>
      <c r="AE763" s="27">
        <v>0</v>
      </c>
      <c r="AF763" s="27">
        <v>0</v>
      </c>
      <c r="AG763" s="27">
        <v>0</v>
      </c>
      <c r="AH763" s="27">
        <v>1</v>
      </c>
      <c r="AI763" s="27">
        <v>0</v>
      </c>
      <c r="AJ763" s="27">
        <v>0</v>
      </c>
      <c r="AK763" s="27">
        <v>0</v>
      </c>
      <c r="AL763" s="27">
        <v>0</v>
      </c>
      <c r="AM763" s="27">
        <v>0</v>
      </c>
      <c r="AN763" s="27">
        <v>0</v>
      </c>
      <c r="AO763" s="27">
        <v>0</v>
      </c>
      <c r="AP763" s="27">
        <v>0</v>
      </c>
      <c r="AQ763" s="27">
        <v>1</v>
      </c>
      <c r="AR763" s="27">
        <v>0</v>
      </c>
      <c r="AS763" s="27">
        <v>0</v>
      </c>
      <c r="AT763" s="27">
        <v>1</v>
      </c>
      <c r="AU763" s="27">
        <v>0</v>
      </c>
      <c r="AV763" s="27">
        <v>1</v>
      </c>
      <c r="AW763" s="27">
        <v>1</v>
      </c>
      <c r="AX763" s="27">
        <v>0</v>
      </c>
      <c r="AY763" s="27">
        <v>10</v>
      </c>
      <c r="AZ763" s="27">
        <v>1</v>
      </c>
      <c r="BA763" s="27">
        <v>3</v>
      </c>
      <c r="BB763" s="27">
        <v>36.22</v>
      </c>
      <c r="BC763" s="27" t="s">
        <v>2270</v>
      </c>
      <c r="BD763" s="27" t="s">
        <v>337</v>
      </c>
      <c r="BE763" s="27" t="s">
        <v>98</v>
      </c>
      <c r="BF763" s="27" t="s">
        <v>77</v>
      </c>
      <c r="BG763" s="27">
        <v>168</v>
      </c>
      <c r="BH763" s="27">
        <v>12</v>
      </c>
      <c r="BI763" s="27">
        <v>0.9333</v>
      </c>
      <c r="BJ763" s="27">
        <v>0</v>
      </c>
      <c r="BK763" s="27">
        <v>5</v>
      </c>
      <c r="BL763" s="27">
        <v>98.6</v>
      </c>
    </row>
    <row r="764" customHeight="1" spans="1:64">
      <c r="A764" s="27" t="s">
        <v>2271</v>
      </c>
      <c r="B764" s="27" t="s">
        <v>171</v>
      </c>
      <c r="C764" s="27" t="s">
        <v>2272</v>
      </c>
      <c r="E764" s="27" t="s">
        <v>239</v>
      </c>
      <c r="F764" s="27" t="s">
        <v>160</v>
      </c>
      <c r="G764" s="27" t="s">
        <v>83</v>
      </c>
      <c r="H764" s="27" t="s">
        <v>84</v>
      </c>
      <c r="I764" s="27" t="s">
        <v>85</v>
      </c>
      <c r="J764" s="27">
        <v>5</v>
      </c>
      <c r="K764" s="27">
        <v>49.98</v>
      </c>
      <c r="L764" s="27">
        <v>59.5</v>
      </c>
      <c r="M764" s="27">
        <v>16</v>
      </c>
      <c r="N764" s="27">
        <v>9.52</v>
      </c>
      <c r="O764" s="27">
        <v>1</v>
      </c>
      <c r="P764" s="27" t="s">
        <v>86</v>
      </c>
      <c r="Q764" s="27">
        <v>3.931433</v>
      </c>
      <c r="R764" s="27">
        <v>6.25</v>
      </c>
      <c r="S764" s="27">
        <v>1122</v>
      </c>
      <c r="T764" s="27">
        <v>10</v>
      </c>
      <c r="U764" s="27">
        <v>0.9912</v>
      </c>
      <c r="V764" s="27" t="s">
        <v>154</v>
      </c>
      <c r="W764" s="27">
        <v>56077.56</v>
      </c>
      <c r="X764" s="27">
        <v>7.023759</v>
      </c>
      <c r="Y764" s="27">
        <v>10.934509</v>
      </c>
      <c r="Z764" s="27">
        <v>3.1623</v>
      </c>
      <c r="AA764" s="27" t="s">
        <v>313</v>
      </c>
      <c r="AB764" s="27">
        <v>0</v>
      </c>
      <c r="AC764" s="27">
        <v>0</v>
      </c>
      <c r="AD764" s="27">
        <v>0</v>
      </c>
      <c r="AE764" s="27">
        <v>0</v>
      </c>
      <c r="AF764" s="27">
        <v>0</v>
      </c>
      <c r="AG764" s="27">
        <v>0</v>
      </c>
      <c r="AH764" s="27">
        <v>0</v>
      </c>
      <c r="AI764" s="27">
        <v>0</v>
      </c>
      <c r="AJ764" s="27">
        <v>0</v>
      </c>
      <c r="AK764" s="27">
        <v>0</v>
      </c>
      <c r="AL764" s="27">
        <v>0</v>
      </c>
      <c r="AM764" s="27">
        <v>0</v>
      </c>
      <c r="AN764" s="27">
        <v>0</v>
      </c>
      <c r="AO764" s="27">
        <v>0</v>
      </c>
      <c r="AP764" s="27">
        <v>0</v>
      </c>
      <c r="AQ764" s="27">
        <v>1</v>
      </c>
      <c r="AR764" s="27">
        <v>0</v>
      </c>
      <c r="AS764" s="27">
        <v>0</v>
      </c>
      <c r="AT764" s="27">
        <v>0</v>
      </c>
      <c r="AU764" s="27">
        <v>0</v>
      </c>
      <c r="AV764" s="27">
        <v>1</v>
      </c>
      <c r="AW764" s="27">
        <v>1</v>
      </c>
      <c r="AX764" s="27">
        <v>0</v>
      </c>
      <c r="AY764" s="27">
        <v>8</v>
      </c>
      <c r="AZ764" s="27">
        <v>1</v>
      </c>
      <c r="BA764" s="27">
        <v>1</v>
      </c>
      <c r="BB764" s="27">
        <v>73.55</v>
      </c>
      <c r="BC764" s="27" t="s">
        <v>732</v>
      </c>
      <c r="BD764" s="27" t="s">
        <v>175</v>
      </c>
      <c r="BE764" s="27" t="s">
        <v>226</v>
      </c>
      <c r="BF764" s="27" t="s">
        <v>77</v>
      </c>
      <c r="BG764" s="27">
        <v>162</v>
      </c>
      <c r="BH764" s="27">
        <v>60</v>
      </c>
      <c r="BI764" s="27">
        <v>0.7297</v>
      </c>
      <c r="BJ764" s="27">
        <v>0</v>
      </c>
      <c r="BK764" s="27">
        <v>11</v>
      </c>
      <c r="BL764" s="27">
        <v>97</v>
      </c>
    </row>
    <row r="765" customHeight="1" spans="1:64">
      <c r="A765" s="27" t="s">
        <v>2273</v>
      </c>
      <c r="B765" s="27" t="s">
        <v>125</v>
      </c>
      <c r="C765" s="27" t="s">
        <v>2274</v>
      </c>
      <c r="D765" s="27">
        <v>854109004816</v>
      </c>
      <c r="E765" s="27" t="s">
        <v>2275</v>
      </c>
      <c r="F765" s="27" t="s">
        <v>132</v>
      </c>
      <c r="G765" s="27" t="s">
        <v>83</v>
      </c>
      <c r="H765" s="27" t="s">
        <v>138</v>
      </c>
      <c r="I765" s="27" t="s">
        <v>85</v>
      </c>
      <c r="J765" s="27">
        <v>5</v>
      </c>
      <c r="K765" s="27">
        <v>107.5</v>
      </c>
      <c r="M765" s="27">
        <v>0</v>
      </c>
      <c r="N765" s="27">
        <v>0</v>
      </c>
      <c r="O765" s="27">
        <v>0</v>
      </c>
      <c r="P765" s="27" t="s">
        <v>95</v>
      </c>
      <c r="Q765" s="27">
        <v>4.68675</v>
      </c>
      <c r="S765" s="27">
        <v>120</v>
      </c>
      <c r="T765" s="27">
        <v>9</v>
      </c>
      <c r="U765" s="27">
        <v>0.9302</v>
      </c>
      <c r="V765" s="27" t="s">
        <v>72</v>
      </c>
      <c r="W765" s="27">
        <v>12900</v>
      </c>
      <c r="X765" s="27">
        <v>4.795791</v>
      </c>
      <c r="Y765" s="27">
        <v>9.46506</v>
      </c>
      <c r="Z765" s="27">
        <v>3</v>
      </c>
      <c r="AA765" s="27" t="s">
        <v>125</v>
      </c>
      <c r="AB765" s="27">
        <v>0</v>
      </c>
      <c r="AC765" s="27">
        <v>0</v>
      </c>
      <c r="AD765" s="27">
        <v>0</v>
      </c>
      <c r="AE765" s="27">
        <v>0</v>
      </c>
      <c r="AF765" s="27">
        <v>0</v>
      </c>
      <c r="AG765" s="27">
        <v>0</v>
      </c>
      <c r="AH765" s="27">
        <v>0</v>
      </c>
      <c r="AI765" s="27">
        <v>0</v>
      </c>
      <c r="AJ765" s="27">
        <v>0</v>
      </c>
      <c r="AK765" s="27">
        <v>0</v>
      </c>
      <c r="AL765" s="27">
        <v>0</v>
      </c>
      <c r="AM765" s="27">
        <v>0</v>
      </c>
      <c r="AN765" s="27">
        <v>0</v>
      </c>
      <c r="AO765" s="27">
        <v>0</v>
      </c>
      <c r="AP765" s="27">
        <v>0</v>
      </c>
      <c r="AQ765" s="27">
        <v>0</v>
      </c>
      <c r="AR765" s="27">
        <v>0</v>
      </c>
      <c r="AS765" s="27">
        <v>0</v>
      </c>
      <c r="AT765" s="27">
        <v>0</v>
      </c>
      <c r="AU765" s="27">
        <v>0</v>
      </c>
      <c r="AV765" s="27">
        <v>0</v>
      </c>
      <c r="AW765" s="27">
        <v>0</v>
      </c>
      <c r="AX765" s="27">
        <v>0</v>
      </c>
      <c r="AZ765" s="27">
        <v>1</v>
      </c>
      <c r="BA765" s="27">
        <v>0</v>
      </c>
      <c r="BB765" s="27">
        <v>66.31</v>
      </c>
      <c r="BC765" s="27" t="s">
        <v>2276</v>
      </c>
      <c r="BD765" s="27" t="s">
        <v>2277</v>
      </c>
      <c r="BE765" s="27" t="s">
        <v>128</v>
      </c>
      <c r="BF765" s="27" t="s">
        <v>77</v>
      </c>
      <c r="BG765" s="27">
        <v>1</v>
      </c>
      <c r="BH765" s="27">
        <v>28</v>
      </c>
      <c r="BI765" s="27">
        <v>0.0345</v>
      </c>
      <c r="BJ765" s="27">
        <v>1</v>
      </c>
      <c r="BK765" s="27">
        <v>11</v>
      </c>
      <c r="BL765" s="27">
        <v>97</v>
      </c>
    </row>
    <row r="766" customHeight="1" spans="1:64">
      <c r="A766" s="27" t="s">
        <v>2278</v>
      </c>
      <c r="B766" s="27" t="s">
        <v>487</v>
      </c>
      <c r="C766" s="27" t="s">
        <v>2279</v>
      </c>
      <c r="E766" s="27" t="s">
        <v>2280</v>
      </c>
      <c r="F766" s="27" t="s">
        <v>82</v>
      </c>
      <c r="G766" s="27" t="s">
        <v>346</v>
      </c>
      <c r="H766" s="27" t="s">
        <v>84</v>
      </c>
      <c r="I766" s="27" t="s">
        <v>85</v>
      </c>
      <c r="J766" s="27">
        <v>5</v>
      </c>
      <c r="K766" s="27">
        <v>9.98</v>
      </c>
      <c r="M766" s="27">
        <v>0</v>
      </c>
      <c r="N766" s="27">
        <v>0</v>
      </c>
      <c r="O766" s="27">
        <v>0</v>
      </c>
      <c r="P766" s="27" t="s">
        <v>133</v>
      </c>
      <c r="Q766" s="27">
        <v>2.396075</v>
      </c>
      <c r="S766" s="27">
        <v>2107</v>
      </c>
      <c r="T766" s="27">
        <v>10</v>
      </c>
      <c r="U766" s="27">
        <v>0.9953</v>
      </c>
      <c r="V766" s="27" t="s">
        <v>109</v>
      </c>
      <c r="W766" s="27">
        <v>21027.86</v>
      </c>
      <c r="X766" s="27">
        <v>7.653495</v>
      </c>
      <c r="Y766" s="27">
        <v>9.953651</v>
      </c>
      <c r="Z766" s="27">
        <v>3.1623</v>
      </c>
      <c r="AA766" s="27" t="s">
        <v>125</v>
      </c>
      <c r="AB766" s="27">
        <v>0</v>
      </c>
      <c r="AC766" s="27">
        <v>0</v>
      </c>
      <c r="AD766" s="27">
        <v>0</v>
      </c>
      <c r="AE766" s="27">
        <v>0</v>
      </c>
      <c r="AF766" s="27">
        <v>0</v>
      </c>
      <c r="AG766" s="27">
        <v>0</v>
      </c>
      <c r="AH766" s="27">
        <v>0</v>
      </c>
      <c r="AI766" s="27">
        <v>0</v>
      </c>
      <c r="AJ766" s="27">
        <v>0</v>
      </c>
      <c r="AK766" s="27">
        <v>0</v>
      </c>
      <c r="AL766" s="27">
        <v>0</v>
      </c>
      <c r="AM766" s="27">
        <v>0</v>
      </c>
      <c r="AN766" s="27">
        <v>0</v>
      </c>
      <c r="AO766" s="27">
        <v>0</v>
      </c>
      <c r="AP766" s="27">
        <v>0</v>
      </c>
      <c r="AQ766" s="27">
        <v>0</v>
      </c>
      <c r="AR766" s="27">
        <v>0</v>
      </c>
      <c r="AS766" s="27">
        <v>0</v>
      </c>
      <c r="AT766" s="27">
        <v>1</v>
      </c>
      <c r="AU766" s="27">
        <v>0</v>
      </c>
      <c r="AV766" s="27">
        <v>0</v>
      </c>
      <c r="AW766" s="27">
        <v>0</v>
      </c>
      <c r="AX766" s="27">
        <v>0</v>
      </c>
      <c r="AZ766" s="27">
        <v>1</v>
      </c>
      <c r="BA766" s="27">
        <v>0</v>
      </c>
      <c r="BB766" s="27">
        <v>68.91</v>
      </c>
      <c r="BC766" s="27" t="s">
        <v>489</v>
      </c>
      <c r="BD766" s="27" t="s">
        <v>420</v>
      </c>
      <c r="BE766" s="27" t="s">
        <v>128</v>
      </c>
      <c r="BF766" s="27" t="s">
        <v>77</v>
      </c>
      <c r="BG766" s="27">
        <v>169</v>
      </c>
      <c r="BH766" s="27">
        <v>11</v>
      </c>
      <c r="BI766" s="27">
        <v>0.9389</v>
      </c>
      <c r="BJ766" s="27">
        <v>0</v>
      </c>
      <c r="BK766" s="27">
        <v>11</v>
      </c>
      <c r="BL766" s="27">
        <v>97</v>
      </c>
    </row>
    <row r="767" customHeight="1" spans="1:64">
      <c r="A767" s="27" t="s">
        <v>946</v>
      </c>
      <c r="B767" s="27" t="s">
        <v>344</v>
      </c>
      <c r="E767" s="27" t="s">
        <v>81</v>
      </c>
      <c r="F767" s="27" t="s">
        <v>82</v>
      </c>
      <c r="G767" s="27" t="s">
        <v>346</v>
      </c>
      <c r="H767" s="27" t="s">
        <v>107</v>
      </c>
      <c r="I767" s="27" t="s">
        <v>85</v>
      </c>
      <c r="J767" s="27">
        <v>5</v>
      </c>
      <c r="K767" s="27">
        <v>189.99</v>
      </c>
      <c r="M767" s="27">
        <v>0</v>
      </c>
      <c r="N767" s="27">
        <v>0</v>
      </c>
      <c r="O767" s="27">
        <v>0</v>
      </c>
      <c r="P767" s="27" t="s">
        <v>95</v>
      </c>
      <c r="Q767" s="27">
        <v>5.252221</v>
      </c>
      <c r="S767" s="27">
        <v>9</v>
      </c>
      <c r="T767" s="27">
        <v>10</v>
      </c>
      <c r="U767" s="27">
        <v>0.4737</v>
      </c>
      <c r="V767" s="27" t="s">
        <v>87</v>
      </c>
      <c r="W767" s="27">
        <v>1709.91</v>
      </c>
      <c r="X767" s="27">
        <v>2.302585</v>
      </c>
      <c r="Y767" s="27">
        <v>7.444781</v>
      </c>
      <c r="Z767" s="27">
        <v>3.1623</v>
      </c>
      <c r="AA767" s="27" t="s">
        <v>187</v>
      </c>
      <c r="AB767" s="27">
        <v>0</v>
      </c>
      <c r="AC767" s="27">
        <v>0</v>
      </c>
      <c r="AD767" s="27">
        <v>0</v>
      </c>
      <c r="AE767" s="27">
        <v>0</v>
      </c>
      <c r="AF767" s="27">
        <v>0</v>
      </c>
      <c r="AG767" s="27">
        <v>0</v>
      </c>
      <c r="AH767" s="27">
        <v>1</v>
      </c>
      <c r="AI767" s="27">
        <v>0</v>
      </c>
      <c r="AJ767" s="27">
        <v>0</v>
      </c>
      <c r="AK767" s="27">
        <v>0</v>
      </c>
      <c r="AL767" s="27">
        <v>0</v>
      </c>
      <c r="AM767" s="27">
        <v>0</v>
      </c>
      <c r="AN767" s="27">
        <v>0</v>
      </c>
      <c r="AO767" s="27">
        <v>0</v>
      </c>
      <c r="AP767" s="27">
        <v>0</v>
      </c>
      <c r="AQ767" s="27">
        <v>0</v>
      </c>
      <c r="AR767" s="27">
        <v>0</v>
      </c>
      <c r="AS767" s="27">
        <v>0</v>
      </c>
      <c r="AT767" s="27">
        <v>1</v>
      </c>
      <c r="AU767" s="27">
        <v>0</v>
      </c>
      <c r="AV767" s="27">
        <v>0</v>
      </c>
      <c r="AW767" s="27">
        <v>1</v>
      </c>
      <c r="AX767" s="27">
        <v>0</v>
      </c>
      <c r="AZ767" s="27">
        <v>1</v>
      </c>
      <c r="BA767" s="27">
        <v>1</v>
      </c>
      <c r="BB767" s="27">
        <v>48.2</v>
      </c>
      <c r="BC767" s="27" t="s">
        <v>2281</v>
      </c>
      <c r="BD767" s="27" t="s">
        <v>2282</v>
      </c>
      <c r="BE767" s="27" t="s">
        <v>627</v>
      </c>
      <c r="BF767" s="27" t="s">
        <v>77</v>
      </c>
      <c r="BG767" s="27">
        <v>162</v>
      </c>
      <c r="BH767" s="27">
        <v>19</v>
      </c>
      <c r="BI767" s="27">
        <v>0.895</v>
      </c>
      <c r="BJ767" s="27">
        <v>0</v>
      </c>
      <c r="BK767" s="27">
        <v>9</v>
      </c>
      <c r="BL767" s="27">
        <v>97.5</v>
      </c>
    </row>
    <row r="768" customHeight="1" spans="1:64">
      <c r="A768" s="27" t="s">
        <v>486</v>
      </c>
      <c r="B768" s="27" t="s">
        <v>144</v>
      </c>
      <c r="E768" s="27" t="s">
        <v>488</v>
      </c>
      <c r="F768" s="27" t="s">
        <v>198</v>
      </c>
      <c r="G768" s="27" t="s">
        <v>83</v>
      </c>
      <c r="H768" s="27" t="s">
        <v>84</v>
      </c>
      <c r="I768" s="27" t="s">
        <v>85</v>
      </c>
      <c r="J768" s="27">
        <v>5</v>
      </c>
      <c r="K768" s="27">
        <v>13.8</v>
      </c>
      <c r="L768" s="27">
        <v>17.04</v>
      </c>
      <c r="M768" s="27">
        <v>19.01</v>
      </c>
      <c r="N768" s="27">
        <v>3.24</v>
      </c>
      <c r="O768" s="27">
        <v>1</v>
      </c>
      <c r="P768" s="27" t="s">
        <v>133</v>
      </c>
      <c r="Q768" s="27">
        <v>2.694627</v>
      </c>
      <c r="S768" s="27">
        <v>1812</v>
      </c>
      <c r="T768" s="27">
        <v>10</v>
      </c>
      <c r="U768" s="27">
        <v>0.9945</v>
      </c>
      <c r="V768" s="27" t="s">
        <v>109</v>
      </c>
      <c r="W768" s="27">
        <v>25005.6</v>
      </c>
      <c r="X768" s="27">
        <v>7.502738</v>
      </c>
      <c r="Y768" s="27">
        <v>10.126895</v>
      </c>
      <c r="Z768" s="27">
        <v>3.1623</v>
      </c>
      <c r="AA768" s="27" t="s">
        <v>125</v>
      </c>
      <c r="AB768" s="27">
        <v>0</v>
      </c>
      <c r="AC768" s="27">
        <v>0</v>
      </c>
      <c r="AD768" s="27">
        <v>0</v>
      </c>
      <c r="AE768" s="27">
        <v>1</v>
      </c>
      <c r="AF768" s="27">
        <v>0</v>
      </c>
      <c r="AG768" s="27">
        <v>0</v>
      </c>
      <c r="AH768" s="27">
        <v>1</v>
      </c>
      <c r="AI768" s="27">
        <v>0</v>
      </c>
      <c r="AJ768" s="27">
        <v>0</v>
      </c>
      <c r="AK768" s="27">
        <v>0</v>
      </c>
      <c r="AL768" s="27">
        <v>0</v>
      </c>
      <c r="AM768" s="27">
        <v>0</v>
      </c>
      <c r="AN768" s="27">
        <v>0</v>
      </c>
      <c r="AO768" s="27">
        <v>0</v>
      </c>
      <c r="AP768" s="27">
        <v>0</v>
      </c>
      <c r="AQ768" s="27">
        <v>0</v>
      </c>
      <c r="AR768" s="27">
        <v>0</v>
      </c>
      <c r="AS768" s="27">
        <v>0</v>
      </c>
      <c r="AT768" s="27">
        <v>1</v>
      </c>
      <c r="AU768" s="27">
        <v>0</v>
      </c>
      <c r="AV768" s="27">
        <v>0</v>
      </c>
      <c r="AW768" s="27">
        <v>0</v>
      </c>
      <c r="AX768" s="27">
        <v>0</v>
      </c>
      <c r="AZ768" s="27">
        <v>1</v>
      </c>
      <c r="BA768" s="27">
        <v>2</v>
      </c>
      <c r="BB768" s="27">
        <v>74.73</v>
      </c>
      <c r="BC768" s="27" t="s">
        <v>1084</v>
      </c>
      <c r="BD768" s="27" t="s">
        <v>1085</v>
      </c>
      <c r="BE768" s="27" t="s">
        <v>128</v>
      </c>
      <c r="BF768" s="27" t="s">
        <v>77</v>
      </c>
      <c r="BG768" s="27">
        <v>1</v>
      </c>
      <c r="BH768" s="27">
        <v>48</v>
      </c>
      <c r="BI768" s="27">
        <v>0.0204</v>
      </c>
      <c r="BJ768" s="27">
        <v>1</v>
      </c>
      <c r="BK768" s="27">
        <v>9</v>
      </c>
      <c r="BL768" s="27">
        <v>97.5</v>
      </c>
    </row>
    <row r="769" customHeight="1" spans="1:64">
      <c r="A769" s="27" t="s">
        <v>2283</v>
      </c>
      <c r="B769" s="27" t="s">
        <v>125</v>
      </c>
      <c r="E769" s="27" t="s">
        <v>2284</v>
      </c>
      <c r="F769" s="27" t="s">
        <v>240</v>
      </c>
      <c r="G769" s="27" t="s">
        <v>83</v>
      </c>
      <c r="H769" s="27" t="s">
        <v>138</v>
      </c>
      <c r="I769" s="27" t="s">
        <v>85</v>
      </c>
      <c r="J769" s="27">
        <v>5</v>
      </c>
      <c r="K769" s="27">
        <v>18.99</v>
      </c>
      <c r="M769" s="27">
        <v>0</v>
      </c>
      <c r="N769" s="27">
        <v>0</v>
      </c>
      <c r="O769" s="27">
        <v>0</v>
      </c>
      <c r="P769" s="27" t="s">
        <v>133</v>
      </c>
      <c r="Q769" s="27">
        <v>2.995232</v>
      </c>
      <c r="S769" s="27">
        <v>808</v>
      </c>
      <c r="T769" s="27">
        <v>10</v>
      </c>
      <c r="U769" s="27">
        <v>0.9878</v>
      </c>
      <c r="V769" s="27" t="s">
        <v>154</v>
      </c>
      <c r="W769" s="27">
        <v>15343.92</v>
      </c>
      <c r="X769" s="27">
        <v>6.695799</v>
      </c>
      <c r="Y769" s="27">
        <v>9.63854</v>
      </c>
      <c r="Z769" s="27">
        <v>3.1623</v>
      </c>
      <c r="AA769" s="27" t="s">
        <v>139</v>
      </c>
      <c r="AB769" s="27">
        <v>1</v>
      </c>
      <c r="AC769" s="27">
        <v>0</v>
      </c>
      <c r="AD769" s="27">
        <v>0</v>
      </c>
      <c r="AE769" s="27">
        <v>0</v>
      </c>
      <c r="AF769" s="27">
        <v>0</v>
      </c>
      <c r="AG769" s="27">
        <v>0</v>
      </c>
      <c r="AH769" s="27">
        <v>1</v>
      </c>
      <c r="AI769" s="27">
        <v>0</v>
      </c>
      <c r="AJ769" s="27">
        <v>0</v>
      </c>
      <c r="AK769" s="27">
        <v>0</v>
      </c>
      <c r="AL769" s="27">
        <v>0</v>
      </c>
      <c r="AM769" s="27">
        <v>0</v>
      </c>
      <c r="AN769" s="27">
        <v>0</v>
      </c>
      <c r="AO769" s="27">
        <v>0</v>
      </c>
      <c r="AP769" s="27">
        <v>0</v>
      </c>
      <c r="AQ769" s="27">
        <v>0</v>
      </c>
      <c r="AR769" s="27">
        <v>0</v>
      </c>
      <c r="AS769" s="27">
        <v>0</v>
      </c>
      <c r="AT769" s="27">
        <v>0</v>
      </c>
      <c r="AU769" s="27">
        <v>0</v>
      </c>
      <c r="AV769" s="27">
        <v>0</v>
      </c>
      <c r="AW769" s="27">
        <v>0</v>
      </c>
      <c r="AX769" s="27">
        <v>0</v>
      </c>
      <c r="AZ769" s="27">
        <v>1</v>
      </c>
      <c r="BA769" s="27">
        <v>2</v>
      </c>
      <c r="BB769" s="27">
        <v>69.27</v>
      </c>
      <c r="BC769" s="27" t="s">
        <v>2285</v>
      </c>
      <c r="BD769" s="27" t="s">
        <v>2286</v>
      </c>
      <c r="BE769" s="27" t="s">
        <v>226</v>
      </c>
      <c r="BF769" s="27" t="s">
        <v>77</v>
      </c>
      <c r="BG769" s="27">
        <v>162</v>
      </c>
      <c r="BH769" s="27">
        <v>58</v>
      </c>
      <c r="BI769" s="27">
        <v>0.7364</v>
      </c>
      <c r="BJ769" s="27">
        <v>0</v>
      </c>
      <c r="BK769" s="27">
        <v>3</v>
      </c>
      <c r="BL769" s="27">
        <v>99.2</v>
      </c>
    </row>
    <row r="770" customHeight="1" spans="1:64">
      <c r="A770" s="27" t="s">
        <v>2287</v>
      </c>
      <c r="B770" s="27" t="s">
        <v>2151</v>
      </c>
      <c r="E770" s="27" t="s">
        <v>2288</v>
      </c>
      <c r="F770" s="27" t="s">
        <v>240</v>
      </c>
      <c r="G770" s="27" t="s">
        <v>83</v>
      </c>
      <c r="H770" s="27" t="s">
        <v>84</v>
      </c>
      <c r="I770" s="27" t="s">
        <v>153</v>
      </c>
      <c r="J770" s="27">
        <v>2</v>
      </c>
      <c r="K770" s="27">
        <v>150</v>
      </c>
      <c r="M770" s="27">
        <v>0</v>
      </c>
      <c r="N770" s="27">
        <v>0</v>
      </c>
      <c r="O770" s="27">
        <v>0</v>
      </c>
      <c r="P770" s="27" t="s">
        <v>95</v>
      </c>
      <c r="Q770" s="27">
        <v>5.01728</v>
      </c>
      <c r="V770" s="27" t="s">
        <v>231</v>
      </c>
      <c r="W770" s="27">
        <v>0</v>
      </c>
      <c r="X770" s="27">
        <v>0</v>
      </c>
      <c r="Y770" s="27">
        <v>0</v>
      </c>
      <c r="Z770" s="27">
        <v>0</v>
      </c>
      <c r="AA770" s="27" t="s">
        <v>125</v>
      </c>
      <c r="AB770" s="27">
        <v>0</v>
      </c>
      <c r="AC770" s="27">
        <v>0</v>
      </c>
      <c r="AD770" s="27">
        <v>0</v>
      </c>
      <c r="AE770" s="27">
        <v>0</v>
      </c>
      <c r="AF770" s="27">
        <v>0</v>
      </c>
      <c r="AG770" s="27">
        <v>0</v>
      </c>
      <c r="AH770" s="27">
        <v>0</v>
      </c>
      <c r="AI770" s="27">
        <v>0</v>
      </c>
      <c r="AJ770" s="27">
        <v>0</v>
      </c>
      <c r="AK770" s="27">
        <v>0</v>
      </c>
      <c r="AL770" s="27">
        <v>0</v>
      </c>
      <c r="AM770" s="27">
        <v>0</v>
      </c>
      <c r="AN770" s="27">
        <v>0</v>
      </c>
      <c r="AO770" s="27">
        <v>0</v>
      </c>
      <c r="AP770" s="27">
        <v>0</v>
      </c>
      <c r="AQ770" s="27">
        <v>0</v>
      </c>
      <c r="AR770" s="27">
        <v>0</v>
      </c>
      <c r="AS770" s="27">
        <v>0</v>
      </c>
      <c r="AT770" s="27">
        <v>0</v>
      </c>
      <c r="AU770" s="27">
        <v>0</v>
      </c>
      <c r="AV770" s="27">
        <v>0</v>
      </c>
      <c r="AW770" s="27">
        <v>0</v>
      </c>
      <c r="AX770" s="27">
        <v>0</v>
      </c>
      <c r="AZ770" s="27">
        <v>1</v>
      </c>
      <c r="BA770" s="27">
        <v>0</v>
      </c>
      <c r="BB770" s="27">
        <v>19.65</v>
      </c>
      <c r="BC770" s="27" t="s">
        <v>2153</v>
      </c>
      <c r="BD770" s="27" t="s">
        <v>2154</v>
      </c>
      <c r="BE770" s="27" t="s">
        <v>398</v>
      </c>
      <c r="BF770" s="27" t="s">
        <v>77</v>
      </c>
      <c r="BG770" s="27">
        <v>168</v>
      </c>
      <c r="BH770" s="27">
        <v>11</v>
      </c>
      <c r="BI770" s="27">
        <v>0.9385</v>
      </c>
      <c r="BJ770" s="27">
        <v>0</v>
      </c>
      <c r="BK770" s="27">
        <v>126</v>
      </c>
      <c r="BL770" s="27">
        <v>65.5</v>
      </c>
    </row>
    <row r="771" customHeight="1" spans="1:64">
      <c r="A771" s="27" t="s">
        <v>2289</v>
      </c>
      <c r="B771" s="27" t="s">
        <v>311</v>
      </c>
      <c r="E771" s="27" t="s">
        <v>239</v>
      </c>
      <c r="F771" s="27" t="s">
        <v>240</v>
      </c>
      <c r="G771" s="27" t="s">
        <v>83</v>
      </c>
      <c r="H771" s="27" t="s">
        <v>84</v>
      </c>
      <c r="I771" s="27" t="s">
        <v>85</v>
      </c>
      <c r="J771" s="27">
        <v>5</v>
      </c>
      <c r="K771" s="27">
        <v>179.04</v>
      </c>
      <c r="M771" s="27">
        <v>0</v>
      </c>
      <c r="N771" s="27">
        <v>0</v>
      </c>
      <c r="O771" s="27">
        <v>0</v>
      </c>
      <c r="P771" s="27" t="s">
        <v>95</v>
      </c>
      <c r="Q771" s="27">
        <v>5.193179</v>
      </c>
      <c r="R771" s="27">
        <v>11.19</v>
      </c>
      <c r="S771" s="27">
        <v>4</v>
      </c>
      <c r="T771" s="27">
        <v>4</v>
      </c>
      <c r="U771" s="27">
        <v>0.5</v>
      </c>
      <c r="V771" s="27" t="s">
        <v>87</v>
      </c>
      <c r="W771" s="27">
        <v>716.16</v>
      </c>
      <c r="X771" s="27">
        <v>1.609438</v>
      </c>
      <c r="Y771" s="27">
        <v>6.575299</v>
      </c>
      <c r="Z771" s="27">
        <v>2</v>
      </c>
      <c r="AA771" s="27" t="s">
        <v>313</v>
      </c>
      <c r="AB771" s="27">
        <v>0</v>
      </c>
      <c r="AC771" s="27">
        <v>0</v>
      </c>
      <c r="AD771" s="27">
        <v>0</v>
      </c>
      <c r="AE771" s="27">
        <v>0</v>
      </c>
      <c r="AF771" s="27">
        <v>0</v>
      </c>
      <c r="AG771" s="27">
        <v>0</v>
      </c>
      <c r="AH771" s="27">
        <v>0</v>
      </c>
      <c r="AI771" s="27">
        <v>0</v>
      </c>
      <c r="AJ771" s="27">
        <v>0</v>
      </c>
      <c r="AK771" s="27">
        <v>0</v>
      </c>
      <c r="AL771" s="27">
        <v>0</v>
      </c>
      <c r="AM771" s="27">
        <v>0</v>
      </c>
      <c r="AN771" s="27">
        <v>0</v>
      </c>
      <c r="AO771" s="27">
        <v>0</v>
      </c>
      <c r="AP771" s="27">
        <v>0</v>
      </c>
      <c r="AQ771" s="27">
        <v>1</v>
      </c>
      <c r="AR771" s="27">
        <v>0</v>
      </c>
      <c r="AS771" s="27">
        <v>0</v>
      </c>
      <c r="AT771" s="27">
        <v>0</v>
      </c>
      <c r="AU771" s="27">
        <v>0</v>
      </c>
      <c r="AV771" s="27">
        <v>1</v>
      </c>
      <c r="AW771" s="27">
        <v>1</v>
      </c>
      <c r="AX771" s="27">
        <v>0</v>
      </c>
      <c r="AY771" s="27">
        <v>16</v>
      </c>
      <c r="AZ771" s="27">
        <v>1</v>
      </c>
      <c r="BA771" s="27">
        <v>1</v>
      </c>
      <c r="BB771" s="27">
        <v>49.67</v>
      </c>
      <c r="BC771" s="27" t="s">
        <v>314</v>
      </c>
      <c r="BD771" s="27" t="s">
        <v>91</v>
      </c>
      <c r="BE771" s="27" t="s">
        <v>77</v>
      </c>
      <c r="BF771" s="27" t="s">
        <v>77</v>
      </c>
      <c r="BG771" s="27">
        <v>1</v>
      </c>
      <c r="BH771" s="27">
        <v>28</v>
      </c>
      <c r="BI771" s="27">
        <v>0.0345</v>
      </c>
      <c r="BJ771" s="27">
        <v>1</v>
      </c>
      <c r="BK771" s="27">
        <v>4</v>
      </c>
      <c r="BL771" s="27">
        <v>98.9</v>
      </c>
    </row>
    <row r="772" customHeight="1" spans="1:64">
      <c r="A772" s="27" t="s">
        <v>2290</v>
      </c>
      <c r="B772" s="27" t="s">
        <v>901</v>
      </c>
      <c r="E772" s="27" t="s">
        <v>81</v>
      </c>
      <c r="F772" s="27" t="s">
        <v>82</v>
      </c>
      <c r="G772" s="27" t="s">
        <v>901</v>
      </c>
      <c r="H772" s="27" t="s">
        <v>107</v>
      </c>
      <c r="I772" s="27" t="s">
        <v>203</v>
      </c>
      <c r="J772" s="27">
        <v>4</v>
      </c>
      <c r="K772" s="27">
        <v>164.28</v>
      </c>
      <c r="L772" s="27">
        <v>328.56</v>
      </c>
      <c r="M772" s="27">
        <v>50</v>
      </c>
      <c r="N772" s="27">
        <v>164.28</v>
      </c>
      <c r="O772" s="27">
        <v>1</v>
      </c>
      <c r="P772" s="27" t="s">
        <v>95</v>
      </c>
      <c r="Q772" s="27">
        <v>5.107641</v>
      </c>
      <c r="S772" s="27">
        <v>2</v>
      </c>
      <c r="T772" s="27">
        <v>8</v>
      </c>
      <c r="U772" s="27">
        <v>0.2</v>
      </c>
      <c r="V772" s="27" t="s">
        <v>87</v>
      </c>
      <c r="W772" s="27">
        <v>328.56</v>
      </c>
      <c r="X772" s="27">
        <v>1.098612</v>
      </c>
      <c r="Y772" s="27">
        <v>5.797758</v>
      </c>
      <c r="Z772" s="27">
        <v>2.8284</v>
      </c>
      <c r="AA772" s="27" t="s">
        <v>139</v>
      </c>
      <c r="AB772" s="27">
        <v>1</v>
      </c>
      <c r="AC772" s="27">
        <v>0</v>
      </c>
      <c r="AD772" s="27">
        <v>0</v>
      </c>
      <c r="AE772" s="27">
        <v>0</v>
      </c>
      <c r="AF772" s="27">
        <v>0</v>
      </c>
      <c r="AG772" s="27">
        <v>1</v>
      </c>
      <c r="AH772" s="27">
        <v>0</v>
      </c>
      <c r="AI772" s="27">
        <v>0</v>
      </c>
      <c r="AJ772" s="27">
        <v>0</v>
      </c>
      <c r="AK772" s="27">
        <v>0</v>
      </c>
      <c r="AL772" s="27">
        <v>0</v>
      </c>
      <c r="AM772" s="27">
        <v>0</v>
      </c>
      <c r="AN772" s="27">
        <v>0</v>
      </c>
      <c r="AO772" s="27">
        <v>0</v>
      </c>
      <c r="AP772" s="27">
        <v>0</v>
      </c>
      <c r="AQ772" s="27">
        <v>0</v>
      </c>
      <c r="AR772" s="27">
        <v>0</v>
      </c>
      <c r="AS772" s="27">
        <v>0</v>
      </c>
      <c r="AT772" s="27">
        <v>1</v>
      </c>
      <c r="AU772" s="27">
        <v>0</v>
      </c>
      <c r="AV772" s="27">
        <v>0</v>
      </c>
      <c r="AW772" s="27">
        <v>0</v>
      </c>
      <c r="AX772" s="27">
        <v>0</v>
      </c>
      <c r="AZ772" s="27">
        <v>1</v>
      </c>
      <c r="BA772" s="27">
        <v>1</v>
      </c>
      <c r="BB772" s="27">
        <v>51.35</v>
      </c>
      <c r="BC772" s="27" t="s">
        <v>2291</v>
      </c>
      <c r="BD772" s="27" t="s">
        <v>916</v>
      </c>
      <c r="BE772" s="27" t="s">
        <v>128</v>
      </c>
      <c r="BF772" s="27" t="s">
        <v>77</v>
      </c>
      <c r="BG772" s="27">
        <v>1</v>
      </c>
      <c r="BH772" s="27">
        <v>15</v>
      </c>
      <c r="BI772" s="27">
        <v>0.0625</v>
      </c>
      <c r="BJ772" s="27">
        <v>1</v>
      </c>
      <c r="BK772" s="27">
        <v>20</v>
      </c>
      <c r="BL772" s="27">
        <v>94.5</v>
      </c>
    </row>
    <row r="773" customHeight="1" spans="1:64">
      <c r="A773" s="27" t="s">
        <v>2292</v>
      </c>
      <c r="B773" s="27" t="s">
        <v>245</v>
      </c>
      <c r="C773" s="27" t="s">
        <v>2293</v>
      </c>
      <c r="E773" s="27" t="s">
        <v>239</v>
      </c>
      <c r="F773" s="27" t="s">
        <v>160</v>
      </c>
      <c r="G773" s="27" t="s">
        <v>83</v>
      </c>
      <c r="H773" s="27" t="s">
        <v>84</v>
      </c>
      <c r="I773" s="27" t="s">
        <v>85</v>
      </c>
      <c r="J773" s="27">
        <v>5</v>
      </c>
      <c r="K773" s="27">
        <v>51.99</v>
      </c>
      <c r="M773" s="27">
        <v>0</v>
      </c>
      <c r="N773" s="27">
        <v>0</v>
      </c>
      <c r="O773" s="27">
        <v>0</v>
      </c>
      <c r="P773" s="27" t="s">
        <v>86</v>
      </c>
      <c r="Q773" s="27">
        <v>3.970103</v>
      </c>
      <c r="R773" s="27">
        <v>6.5</v>
      </c>
      <c r="S773" s="27">
        <v>414</v>
      </c>
      <c r="T773" s="27">
        <v>100</v>
      </c>
      <c r="U773" s="27">
        <v>0.8054</v>
      </c>
      <c r="V773" s="27" t="s">
        <v>154</v>
      </c>
      <c r="W773" s="27">
        <v>21523.86</v>
      </c>
      <c r="X773" s="27">
        <v>6.028279</v>
      </c>
      <c r="Y773" s="27">
        <v>9.976964</v>
      </c>
      <c r="Z773" s="27">
        <v>10</v>
      </c>
      <c r="AA773" s="27" t="s">
        <v>313</v>
      </c>
      <c r="AB773" s="27">
        <v>0</v>
      </c>
      <c r="AC773" s="27">
        <v>0</v>
      </c>
      <c r="AD773" s="27">
        <v>0</v>
      </c>
      <c r="AE773" s="27">
        <v>0</v>
      </c>
      <c r="AF773" s="27">
        <v>0</v>
      </c>
      <c r="AG773" s="27">
        <v>0</v>
      </c>
      <c r="AH773" s="27">
        <v>0</v>
      </c>
      <c r="AI773" s="27">
        <v>0</v>
      </c>
      <c r="AJ773" s="27">
        <v>0</v>
      </c>
      <c r="AK773" s="27">
        <v>0</v>
      </c>
      <c r="AL773" s="27">
        <v>0</v>
      </c>
      <c r="AM773" s="27">
        <v>0</v>
      </c>
      <c r="AN773" s="27">
        <v>0</v>
      </c>
      <c r="AO773" s="27">
        <v>0</v>
      </c>
      <c r="AP773" s="27">
        <v>0</v>
      </c>
      <c r="AQ773" s="27">
        <v>1</v>
      </c>
      <c r="AR773" s="27">
        <v>0</v>
      </c>
      <c r="AS773" s="27">
        <v>0</v>
      </c>
      <c r="AT773" s="27">
        <v>0</v>
      </c>
      <c r="AU773" s="27">
        <v>0</v>
      </c>
      <c r="AV773" s="27">
        <v>1</v>
      </c>
      <c r="AW773" s="27">
        <v>1</v>
      </c>
      <c r="AX773" s="27">
        <v>0</v>
      </c>
      <c r="AY773" s="27">
        <v>8</v>
      </c>
      <c r="AZ773" s="27">
        <v>1</v>
      </c>
      <c r="BA773" s="27">
        <v>1</v>
      </c>
      <c r="BB773" s="27">
        <v>61.65</v>
      </c>
      <c r="BC773" s="27" t="s">
        <v>251</v>
      </c>
      <c r="BD773" s="27" t="s">
        <v>175</v>
      </c>
      <c r="BE773" s="27" t="s">
        <v>226</v>
      </c>
      <c r="BF773" s="27" t="s">
        <v>77</v>
      </c>
      <c r="BG773" s="27">
        <v>162</v>
      </c>
      <c r="BH773" s="27">
        <v>60</v>
      </c>
      <c r="BI773" s="27">
        <v>0.7297</v>
      </c>
      <c r="BJ773" s="27">
        <v>0</v>
      </c>
      <c r="BK773" s="27">
        <v>7</v>
      </c>
      <c r="BL773" s="27">
        <v>98.1</v>
      </c>
    </row>
    <row r="774" customHeight="1" spans="1:64">
      <c r="A774" s="27" t="s">
        <v>2294</v>
      </c>
      <c r="B774" s="27" t="s">
        <v>144</v>
      </c>
      <c r="E774" s="27" t="s">
        <v>131</v>
      </c>
      <c r="F774" s="27" t="s">
        <v>132</v>
      </c>
      <c r="G774" s="27" t="s">
        <v>83</v>
      </c>
      <c r="H774" s="27" t="s">
        <v>84</v>
      </c>
      <c r="I774" s="27" t="s">
        <v>85</v>
      </c>
      <c r="J774" s="27">
        <v>5</v>
      </c>
      <c r="K774" s="27">
        <v>11.99</v>
      </c>
      <c r="M774" s="27">
        <v>0</v>
      </c>
      <c r="N774" s="27">
        <v>0</v>
      </c>
      <c r="O774" s="27">
        <v>0</v>
      </c>
      <c r="P774" s="27" t="s">
        <v>133</v>
      </c>
      <c r="Q774" s="27">
        <v>2.56418</v>
      </c>
      <c r="S774" s="27">
        <v>3051</v>
      </c>
      <c r="T774" s="27">
        <v>10</v>
      </c>
      <c r="U774" s="27">
        <v>0.9967</v>
      </c>
      <c r="V774" s="27" t="s">
        <v>109</v>
      </c>
      <c r="W774" s="27">
        <v>36581.49</v>
      </c>
      <c r="X774" s="27">
        <v>8.023552</v>
      </c>
      <c r="Y774" s="27">
        <v>10.507325</v>
      </c>
      <c r="Z774" s="27">
        <v>3.1623</v>
      </c>
      <c r="AA774" s="27" t="s">
        <v>125</v>
      </c>
      <c r="AB774" s="27">
        <v>0</v>
      </c>
      <c r="AC774" s="27">
        <v>0</v>
      </c>
      <c r="AD774" s="27">
        <v>0</v>
      </c>
      <c r="AE774" s="27">
        <v>0</v>
      </c>
      <c r="AF774" s="27">
        <v>0</v>
      </c>
      <c r="AG774" s="27">
        <v>0</v>
      </c>
      <c r="AH774" s="27">
        <v>0</v>
      </c>
      <c r="AI774" s="27">
        <v>0</v>
      </c>
      <c r="AJ774" s="27">
        <v>0</v>
      </c>
      <c r="AK774" s="27">
        <v>0</v>
      </c>
      <c r="AL774" s="27">
        <v>0</v>
      </c>
      <c r="AM774" s="27">
        <v>0</v>
      </c>
      <c r="AN774" s="27">
        <v>0</v>
      </c>
      <c r="AO774" s="27">
        <v>0</v>
      </c>
      <c r="AP774" s="27">
        <v>0</v>
      </c>
      <c r="AQ774" s="27">
        <v>1</v>
      </c>
      <c r="AR774" s="27">
        <v>0</v>
      </c>
      <c r="AS774" s="27">
        <v>0</v>
      </c>
      <c r="AT774" s="27">
        <v>0</v>
      </c>
      <c r="AU774" s="27">
        <v>0</v>
      </c>
      <c r="AV774" s="27">
        <v>1</v>
      </c>
      <c r="AW774" s="27">
        <v>0</v>
      </c>
      <c r="AX774" s="27">
        <v>0</v>
      </c>
      <c r="AZ774" s="27">
        <v>1</v>
      </c>
      <c r="BA774" s="27">
        <v>1</v>
      </c>
      <c r="BB774" s="27">
        <v>69.63</v>
      </c>
      <c r="BC774" s="27" t="s">
        <v>2295</v>
      </c>
      <c r="BD774" s="27" t="s">
        <v>537</v>
      </c>
      <c r="BE774" s="27" t="s">
        <v>226</v>
      </c>
      <c r="BF774" s="27" t="s">
        <v>77</v>
      </c>
      <c r="BG774" s="27">
        <v>162</v>
      </c>
      <c r="BH774" s="27">
        <v>59</v>
      </c>
      <c r="BI774" s="27">
        <v>0.733</v>
      </c>
      <c r="BJ774" s="27">
        <v>0</v>
      </c>
      <c r="BK774" s="27">
        <v>3</v>
      </c>
      <c r="BL774" s="27">
        <v>99.2</v>
      </c>
    </row>
    <row r="775" customHeight="1" spans="1:64">
      <c r="A775" s="27" t="s">
        <v>2296</v>
      </c>
      <c r="B775" s="27" t="s">
        <v>65</v>
      </c>
      <c r="C775" s="27" t="s">
        <v>2297</v>
      </c>
      <c r="D775" s="27">
        <v>695529059501</v>
      </c>
      <c r="E775" s="27" t="s">
        <v>163</v>
      </c>
      <c r="F775" s="27" t="s">
        <v>160</v>
      </c>
      <c r="G775" s="27" t="s">
        <v>65</v>
      </c>
      <c r="H775" s="27" t="s">
        <v>69</v>
      </c>
      <c r="I775" s="27" t="s">
        <v>85</v>
      </c>
      <c r="J775" s="27">
        <v>5</v>
      </c>
      <c r="K775" s="27">
        <v>934.99</v>
      </c>
      <c r="M775" s="27">
        <v>0</v>
      </c>
      <c r="N775" s="27">
        <v>0</v>
      </c>
      <c r="O775" s="27">
        <v>0</v>
      </c>
      <c r="P775" s="27" t="s">
        <v>147</v>
      </c>
      <c r="Q775" s="27">
        <v>6.841605</v>
      </c>
      <c r="R775" s="27">
        <v>58.44</v>
      </c>
      <c r="S775" s="27">
        <v>1</v>
      </c>
      <c r="T775" s="27">
        <v>10</v>
      </c>
      <c r="U775" s="27">
        <v>0.0909</v>
      </c>
      <c r="V775" s="27" t="s">
        <v>87</v>
      </c>
      <c r="W775" s="27">
        <v>934.99</v>
      </c>
      <c r="X775" s="27">
        <v>0.693147</v>
      </c>
      <c r="Y775" s="27">
        <v>6.841605</v>
      </c>
      <c r="Z775" s="27">
        <v>3.1623</v>
      </c>
      <c r="AA775" s="27" t="s">
        <v>73</v>
      </c>
      <c r="AB775" s="27">
        <v>0</v>
      </c>
      <c r="AC775" s="27">
        <v>0</v>
      </c>
      <c r="AD775" s="27">
        <v>0</v>
      </c>
      <c r="AE775" s="27">
        <v>0</v>
      </c>
      <c r="AF775" s="27">
        <v>0</v>
      </c>
      <c r="AG775" s="27">
        <v>1</v>
      </c>
      <c r="AH775" s="27">
        <v>1</v>
      </c>
      <c r="AI775" s="27">
        <v>0</v>
      </c>
      <c r="AJ775" s="27">
        <v>0</v>
      </c>
      <c r="AK775" s="27">
        <v>0</v>
      </c>
      <c r="AL775" s="27">
        <v>0</v>
      </c>
      <c r="AM775" s="27">
        <v>0</v>
      </c>
      <c r="AN775" s="27">
        <v>0</v>
      </c>
      <c r="AO775" s="27">
        <v>0</v>
      </c>
      <c r="AP775" s="27">
        <v>0</v>
      </c>
      <c r="AQ775" s="27">
        <v>1</v>
      </c>
      <c r="AR775" s="27">
        <v>0</v>
      </c>
      <c r="AS775" s="27">
        <v>0</v>
      </c>
      <c r="AT775" s="27">
        <v>0</v>
      </c>
      <c r="AU775" s="27">
        <v>0</v>
      </c>
      <c r="AV775" s="27">
        <v>1</v>
      </c>
      <c r="AW775" s="27">
        <v>1</v>
      </c>
      <c r="AX775" s="27">
        <v>0</v>
      </c>
      <c r="AY775" s="27">
        <v>16</v>
      </c>
      <c r="AZ775" s="27">
        <v>1</v>
      </c>
      <c r="BA775" s="27">
        <v>2</v>
      </c>
      <c r="BB775" s="27">
        <v>33.49</v>
      </c>
      <c r="BC775" s="27" t="s">
        <v>784</v>
      </c>
      <c r="BD775" s="27" t="s">
        <v>785</v>
      </c>
      <c r="BE775" s="27" t="s">
        <v>774</v>
      </c>
      <c r="BF775" s="27" t="s">
        <v>77</v>
      </c>
      <c r="BG775" s="27">
        <v>1</v>
      </c>
      <c r="BH775" s="27">
        <v>27</v>
      </c>
      <c r="BI775" s="27">
        <v>0.0357</v>
      </c>
      <c r="BJ775" s="27">
        <v>1</v>
      </c>
      <c r="BK775" s="27">
        <v>2</v>
      </c>
      <c r="BL775" s="27">
        <v>99.5</v>
      </c>
    </row>
    <row r="776" customHeight="1" spans="1:64">
      <c r="A776" s="27" t="s">
        <v>2298</v>
      </c>
      <c r="B776" s="27" t="s">
        <v>427</v>
      </c>
      <c r="C776" s="27" t="s">
        <v>2299</v>
      </c>
      <c r="D776" s="27">
        <v>659680647939</v>
      </c>
      <c r="E776" s="27" t="s">
        <v>163</v>
      </c>
      <c r="F776" s="27" t="s">
        <v>82</v>
      </c>
      <c r="G776" s="27" t="s">
        <v>427</v>
      </c>
      <c r="H776" s="27" t="s">
        <v>107</v>
      </c>
      <c r="I776" s="27" t="s">
        <v>203</v>
      </c>
      <c r="J776" s="27">
        <v>4</v>
      </c>
      <c r="K776" s="27">
        <v>299.99</v>
      </c>
      <c r="L776" s="27">
        <v>399.99</v>
      </c>
      <c r="M776" s="27">
        <v>25</v>
      </c>
      <c r="N776" s="27">
        <v>100</v>
      </c>
      <c r="O776" s="27">
        <v>1</v>
      </c>
      <c r="P776" s="27" t="s">
        <v>71</v>
      </c>
      <c r="Q776" s="27">
        <v>5.707077</v>
      </c>
      <c r="S776" s="27">
        <v>1</v>
      </c>
      <c r="T776" s="27">
        <v>10</v>
      </c>
      <c r="U776" s="27">
        <v>0.0909</v>
      </c>
      <c r="V776" s="27" t="s">
        <v>87</v>
      </c>
      <c r="W776" s="27">
        <v>299.99</v>
      </c>
      <c r="X776" s="27">
        <v>0.693147</v>
      </c>
      <c r="Y776" s="27">
        <v>5.707077</v>
      </c>
      <c r="Z776" s="27">
        <v>3.1623</v>
      </c>
      <c r="AA776" s="27" t="s">
        <v>73</v>
      </c>
      <c r="AB776" s="27">
        <v>0</v>
      </c>
      <c r="AC776" s="27">
        <v>0</v>
      </c>
      <c r="AD776" s="27">
        <v>0</v>
      </c>
      <c r="AE776" s="27">
        <v>1</v>
      </c>
      <c r="AF776" s="27">
        <v>0</v>
      </c>
      <c r="AG776" s="27">
        <v>0</v>
      </c>
      <c r="AH776" s="27">
        <v>0</v>
      </c>
      <c r="AI776" s="27">
        <v>0</v>
      </c>
      <c r="AJ776" s="27">
        <v>0</v>
      </c>
      <c r="AK776" s="27">
        <v>0</v>
      </c>
      <c r="AL776" s="27">
        <v>0</v>
      </c>
      <c r="AM776" s="27">
        <v>0</v>
      </c>
      <c r="AN776" s="27">
        <v>0</v>
      </c>
      <c r="AO776" s="27">
        <v>0</v>
      </c>
      <c r="AP776" s="27">
        <v>0</v>
      </c>
      <c r="AQ776" s="27">
        <v>0</v>
      </c>
      <c r="AR776" s="27">
        <v>0</v>
      </c>
      <c r="AS776" s="27">
        <v>0</v>
      </c>
      <c r="AT776" s="27">
        <v>1</v>
      </c>
      <c r="AU776" s="27">
        <v>0</v>
      </c>
      <c r="AV776" s="27">
        <v>0</v>
      </c>
      <c r="AW776" s="27">
        <v>1</v>
      </c>
      <c r="AX776" s="27">
        <v>0</v>
      </c>
      <c r="AZ776" s="27">
        <v>1</v>
      </c>
      <c r="BA776" s="27">
        <v>1</v>
      </c>
      <c r="BB776" s="27">
        <v>40.9</v>
      </c>
      <c r="BC776" s="27" t="s">
        <v>2300</v>
      </c>
      <c r="BD776" s="27" t="s">
        <v>2301</v>
      </c>
      <c r="BE776" s="27" t="s">
        <v>627</v>
      </c>
      <c r="BF776" s="27" t="s">
        <v>77</v>
      </c>
      <c r="BG776" s="27">
        <v>162</v>
      </c>
      <c r="BH776" s="27">
        <v>60</v>
      </c>
      <c r="BI776" s="27">
        <v>0.7297</v>
      </c>
      <c r="BJ776" s="27">
        <v>0</v>
      </c>
      <c r="BK776" s="27">
        <v>3</v>
      </c>
      <c r="BL776" s="27">
        <v>99.2</v>
      </c>
    </row>
    <row r="777" customHeight="1" spans="1:64">
      <c r="A777" s="27" t="s">
        <v>2302</v>
      </c>
      <c r="B777" s="27" t="s">
        <v>335</v>
      </c>
      <c r="C777" s="27" t="s">
        <v>972</v>
      </c>
      <c r="E777" s="27" t="s">
        <v>255</v>
      </c>
      <c r="F777" s="27" t="s">
        <v>68</v>
      </c>
      <c r="G777" s="27" t="s">
        <v>83</v>
      </c>
      <c r="H777" s="27" t="s">
        <v>84</v>
      </c>
      <c r="I777" s="27" t="s">
        <v>85</v>
      </c>
      <c r="J777" s="27">
        <v>5</v>
      </c>
      <c r="K777" s="27">
        <v>161.99</v>
      </c>
      <c r="L777" s="27">
        <v>179.99</v>
      </c>
      <c r="M777" s="27">
        <v>10</v>
      </c>
      <c r="N777" s="27">
        <v>18</v>
      </c>
      <c r="O777" s="27">
        <v>1</v>
      </c>
      <c r="P777" s="27" t="s">
        <v>95</v>
      </c>
      <c r="Q777" s="27">
        <v>5.093689</v>
      </c>
      <c r="S777" s="27">
        <v>1</v>
      </c>
      <c r="T777" s="27">
        <v>10</v>
      </c>
      <c r="U777" s="27">
        <v>0.0909</v>
      </c>
      <c r="V777" s="27" t="s">
        <v>87</v>
      </c>
      <c r="W777" s="27">
        <v>161.99</v>
      </c>
      <c r="X777" s="27">
        <v>0.693147</v>
      </c>
      <c r="Y777" s="27">
        <v>5.093689</v>
      </c>
      <c r="Z777" s="27">
        <v>3.1623</v>
      </c>
      <c r="AA777" s="27" t="s">
        <v>291</v>
      </c>
      <c r="AB777" s="27">
        <v>1</v>
      </c>
      <c r="AC777" s="27">
        <v>0</v>
      </c>
      <c r="AD777" s="27">
        <v>0</v>
      </c>
      <c r="AE777" s="27">
        <v>0</v>
      </c>
      <c r="AF777" s="27">
        <v>0</v>
      </c>
      <c r="AG777" s="27">
        <v>1</v>
      </c>
      <c r="AH777" s="27">
        <v>0</v>
      </c>
      <c r="AI777" s="27">
        <v>1</v>
      </c>
      <c r="AJ777" s="27">
        <v>0</v>
      </c>
      <c r="AK777" s="27">
        <v>1</v>
      </c>
      <c r="AL777" s="27">
        <v>0</v>
      </c>
      <c r="AM777" s="27">
        <v>0</v>
      </c>
      <c r="AN777" s="27">
        <v>0</v>
      </c>
      <c r="AO777" s="27">
        <v>0</v>
      </c>
      <c r="AP777" s="27">
        <v>0</v>
      </c>
      <c r="AQ777" s="27">
        <v>0</v>
      </c>
      <c r="AR777" s="27">
        <v>0</v>
      </c>
      <c r="AS777" s="27">
        <v>0</v>
      </c>
      <c r="AT777" s="27">
        <v>1</v>
      </c>
      <c r="AU777" s="27">
        <v>0</v>
      </c>
      <c r="AV777" s="27">
        <v>0</v>
      </c>
      <c r="AW777" s="27">
        <v>0</v>
      </c>
      <c r="AX777" s="27">
        <v>0</v>
      </c>
      <c r="AZ777" s="27">
        <v>1</v>
      </c>
      <c r="BA777" s="27">
        <v>2</v>
      </c>
      <c r="BB777" s="27">
        <v>35.74</v>
      </c>
      <c r="BC777" s="27" t="s">
        <v>1345</v>
      </c>
      <c r="BD777" s="27" t="s">
        <v>337</v>
      </c>
      <c r="BE777" s="27" t="s">
        <v>98</v>
      </c>
      <c r="BF777" s="27" t="s">
        <v>77</v>
      </c>
      <c r="BG777" s="27">
        <v>168</v>
      </c>
      <c r="BH777" s="27">
        <v>51</v>
      </c>
      <c r="BI777" s="27">
        <v>0.7671</v>
      </c>
      <c r="BJ777" s="27">
        <v>0</v>
      </c>
      <c r="BK777" s="27">
        <v>11</v>
      </c>
      <c r="BL777" s="27">
        <v>97</v>
      </c>
    </row>
    <row r="778" customHeight="1" spans="1:64">
      <c r="A778" s="27" t="s">
        <v>2303</v>
      </c>
      <c r="B778" s="27" t="s">
        <v>1768</v>
      </c>
      <c r="C778" s="27" t="s">
        <v>2304</v>
      </c>
      <c r="E778" s="27" t="s">
        <v>239</v>
      </c>
      <c r="F778" s="27" t="s">
        <v>240</v>
      </c>
      <c r="G778" s="27" t="s">
        <v>83</v>
      </c>
      <c r="H778" s="27" t="s">
        <v>84</v>
      </c>
      <c r="I778" s="27" t="s">
        <v>203</v>
      </c>
      <c r="J778" s="27">
        <v>4</v>
      </c>
      <c r="K778" s="27">
        <v>783.99</v>
      </c>
      <c r="M778" s="27">
        <v>0</v>
      </c>
      <c r="N778" s="27">
        <v>0</v>
      </c>
      <c r="O778" s="27">
        <v>0</v>
      </c>
      <c r="P778" s="27" t="s">
        <v>147</v>
      </c>
      <c r="Q778" s="27">
        <v>6.665671</v>
      </c>
      <c r="R778" s="27">
        <v>23.06</v>
      </c>
      <c r="V778" s="27" t="s">
        <v>231</v>
      </c>
      <c r="W778" s="27">
        <v>0</v>
      </c>
      <c r="X778" s="27">
        <v>0</v>
      </c>
      <c r="Y778" s="27">
        <v>0</v>
      </c>
      <c r="Z778" s="27">
        <v>0</v>
      </c>
      <c r="AA778" s="27" t="s">
        <v>291</v>
      </c>
      <c r="AB778" s="27">
        <v>0</v>
      </c>
      <c r="AC778" s="27">
        <v>0</v>
      </c>
      <c r="AD778" s="27">
        <v>0</v>
      </c>
      <c r="AE778" s="27">
        <v>0</v>
      </c>
      <c r="AF778" s="27">
        <v>0</v>
      </c>
      <c r="AG778" s="27">
        <v>0</v>
      </c>
      <c r="AH778" s="27">
        <v>0</v>
      </c>
      <c r="AI778" s="27">
        <v>0</v>
      </c>
      <c r="AJ778" s="27">
        <v>0</v>
      </c>
      <c r="AK778" s="27">
        <v>0</v>
      </c>
      <c r="AL778" s="27">
        <v>0</v>
      </c>
      <c r="AM778" s="27">
        <v>0</v>
      </c>
      <c r="AN778" s="27">
        <v>0</v>
      </c>
      <c r="AO778" s="27">
        <v>0</v>
      </c>
      <c r="AP778" s="27">
        <v>0</v>
      </c>
      <c r="AQ778" s="27">
        <v>1</v>
      </c>
      <c r="AR778" s="27">
        <v>0</v>
      </c>
      <c r="AS778" s="27">
        <v>0</v>
      </c>
      <c r="AT778" s="27">
        <v>0</v>
      </c>
      <c r="AU778" s="27">
        <v>0</v>
      </c>
      <c r="AV778" s="27">
        <v>1</v>
      </c>
      <c r="AW778" s="27">
        <v>0</v>
      </c>
      <c r="AX778" s="27">
        <v>0</v>
      </c>
      <c r="AY778" s="27">
        <v>34</v>
      </c>
      <c r="AZ778" s="27">
        <v>1</v>
      </c>
      <c r="BA778" s="27">
        <v>1</v>
      </c>
      <c r="BB778" s="27">
        <v>0</v>
      </c>
      <c r="BC778" s="27" t="s">
        <v>2305</v>
      </c>
      <c r="BD778" s="27" t="s">
        <v>2306</v>
      </c>
      <c r="BE778" s="27" t="s">
        <v>678</v>
      </c>
      <c r="BF778" s="27" t="s">
        <v>77</v>
      </c>
      <c r="BG778" s="27">
        <v>167</v>
      </c>
      <c r="BH778" s="27">
        <v>11</v>
      </c>
      <c r="BI778" s="27">
        <v>0.9382</v>
      </c>
      <c r="BJ778" s="27">
        <v>0</v>
      </c>
    </row>
    <row r="779" customHeight="1" spans="1:64">
      <c r="A779" s="27" t="s">
        <v>2307</v>
      </c>
      <c r="B779" s="27" t="s">
        <v>171</v>
      </c>
      <c r="C779" s="27" t="s">
        <v>2308</v>
      </c>
      <c r="E779" s="27" t="s">
        <v>250</v>
      </c>
      <c r="F779" s="27" t="s">
        <v>160</v>
      </c>
      <c r="G779" s="27" t="s">
        <v>83</v>
      </c>
      <c r="H779" s="27" t="s">
        <v>84</v>
      </c>
      <c r="I779" s="27" t="s">
        <v>85</v>
      </c>
      <c r="J779" s="27">
        <v>5</v>
      </c>
      <c r="K779" s="27">
        <v>67.19</v>
      </c>
      <c r="M779" s="27">
        <v>0</v>
      </c>
      <c r="N779" s="27">
        <v>0</v>
      </c>
      <c r="O779" s="27">
        <v>0</v>
      </c>
      <c r="P779" s="27" t="s">
        <v>86</v>
      </c>
      <c r="Q779" s="27">
        <v>4.222298</v>
      </c>
      <c r="S779" s="27">
        <v>74</v>
      </c>
      <c r="T779" s="27">
        <v>10</v>
      </c>
      <c r="U779" s="27">
        <v>0.881</v>
      </c>
      <c r="V779" s="27" t="s">
        <v>72</v>
      </c>
      <c r="W779" s="27">
        <v>4972.06</v>
      </c>
      <c r="X779" s="27">
        <v>4.317488</v>
      </c>
      <c r="Y779" s="27">
        <v>8.511791</v>
      </c>
      <c r="Z779" s="27">
        <v>3.1623</v>
      </c>
      <c r="AA779" s="27" t="s">
        <v>139</v>
      </c>
      <c r="AB779" s="27">
        <v>1</v>
      </c>
      <c r="AC779" s="27">
        <v>1</v>
      </c>
      <c r="AD779" s="27">
        <v>0</v>
      </c>
      <c r="AE779" s="27">
        <v>0</v>
      </c>
      <c r="AF779" s="27">
        <v>0</v>
      </c>
      <c r="AG779" s="27">
        <v>0</v>
      </c>
      <c r="AH779" s="27">
        <v>0</v>
      </c>
      <c r="AI779" s="27">
        <v>0</v>
      </c>
      <c r="AJ779" s="27">
        <v>0</v>
      </c>
      <c r="AK779" s="27">
        <v>0</v>
      </c>
      <c r="AL779" s="27">
        <v>0</v>
      </c>
      <c r="AM779" s="27">
        <v>0</v>
      </c>
      <c r="AN779" s="27">
        <v>0</v>
      </c>
      <c r="AO779" s="27">
        <v>0</v>
      </c>
      <c r="AP779" s="27">
        <v>0</v>
      </c>
      <c r="AQ779" s="27">
        <v>0</v>
      </c>
      <c r="AR779" s="27">
        <v>0</v>
      </c>
      <c r="AS779" s="27">
        <v>0</v>
      </c>
      <c r="AT779" s="27">
        <v>1</v>
      </c>
      <c r="AU779" s="27">
        <v>0</v>
      </c>
      <c r="AV779" s="27">
        <v>0</v>
      </c>
      <c r="AW779" s="27">
        <v>0</v>
      </c>
      <c r="AX779" s="27">
        <v>0</v>
      </c>
      <c r="AZ779" s="27">
        <v>4</v>
      </c>
      <c r="BA779" s="27">
        <v>2</v>
      </c>
      <c r="BB779" s="27">
        <v>64.58</v>
      </c>
      <c r="BC779" s="27" t="s">
        <v>174</v>
      </c>
      <c r="BD779" s="27" t="s">
        <v>356</v>
      </c>
      <c r="BE779" s="27" t="s">
        <v>287</v>
      </c>
      <c r="BF779" s="27" t="s">
        <v>77</v>
      </c>
      <c r="BG779" s="27">
        <v>162</v>
      </c>
      <c r="BH779" s="27">
        <v>60</v>
      </c>
      <c r="BI779" s="27">
        <v>0.7297</v>
      </c>
      <c r="BJ779" s="27">
        <v>0</v>
      </c>
      <c r="BK779" s="27">
        <v>8</v>
      </c>
      <c r="BL779" s="27">
        <v>97.8</v>
      </c>
    </row>
    <row r="780" customHeight="1" spans="1:64">
      <c r="A780" s="27" t="s">
        <v>2309</v>
      </c>
      <c r="B780" s="27" t="s">
        <v>739</v>
      </c>
      <c r="E780" s="27" t="s">
        <v>81</v>
      </c>
      <c r="F780" s="27" t="s">
        <v>82</v>
      </c>
      <c r="G780" s="27" t="s">
        <v>83</v>
      </c>
      <c r="H780" s="27" t="s">
        <v>84</v>
      </c>
      <c r="I780" s="27" t="s">
        <v>203</v>
      </c>
      <c r="J780" s="27">
        <v>4</v>
      </c>
      <c r="K780" s="27">
        <v>159.99</v>
      </c>
      <c r="M780" s="27">
        <v>0</v>
      </c>
      <c r="N780" s="27">
        <v>0</v>
      </c>
      <c r="O780" s="27">
        <v>0</v>
      </c>
      <c r="P780" s="27" t="s">
        <v>95</v>
      </c>
      <c r="Q780" s="27">
        <v>5.081342</v>
      </c>
      <c r="S780" s="27">
        <v>6</v>
      </c>
      <c r="T780" s="27">
        <v>1</v>
      </c>
      <c r="U780" s="27">
        <v>0.8571</v>
      </c>
      <c r="V780" s="27" t="s">
        <v>87</v>
      </c>
      <c r="W780" s="27">
        <v>959.94</v>
      </c>
      <c r="X780" s="27">
        <v>1.94591</v>
      </c>
      <c r="Y780" s="27">
        <v>6.867912</v>
      </c>
      <c r="Z780" s="27">
        <v>1</v>
      </c>
      <c r="AA780" s="27" t="s">
        <v>187</v>
      </c>
      <c r="AB780" s="27">
        <v>0</v>
      </c>
      <c r="AC780" s="27">
        <v>0</v>
      </c>
      <c r="AD780" s="27">
        <v>0</v>
      </c>
      <c r="AE780" s="27">
        <v>1</v>
      </c>
      <c r="AF780" s="27">
        <v>0</v>
      </c>
      <c r="AG780" s="27">
        <v>0</v>
      </c>
      <c r="AH780" s="27">
        <v>1</v>
      </c>
      <c r="AI780" s="27">
        <v>0</v>
      </c>
      <c r="AJ780" s="27">
        <v>0</v>
      </c>
      <c r="AK780" s="27">
        <v>0</v>
      </c>
      <c r="AL780" s="27">
        <v>0</v>
      </c>
      <c r="AM780" s="27">
        <v>0</v>
      </c>
      <c r="AN780" s="27">
        <v>0</v>
      </c>
      <c r="AO780" s="27">
        <v>0</v>
      </c>
      <c r="AP780" s="27">
        <v>0</v>
      </c>
      <c r="AQ780" s="27">
        <v>0</v>
      </c>
      <c r="AR780" s="27">
        <v>0</v>
      </c>
      <c r="AS780" s="27">
        <v>0</v>
      </c>
      <c r="AT780" s="27">
        <v>1</v>
      </c>
      <c r="AU780" s="27">
        <v>0</v>
      </c>
      <c r="AV780" s="27">
        <v>0</v>
      </c>
      <c r="AW780" s="27">
        <v>0</v>
      </c>
      <c r="AX780" s="27">
        <v>0</v>
      </c>
      <c r="AZ780" s="27">
        <v>1</v>
      </c>
      <c r="BA780" s="27">
        <v>2</v>
      </c>
      <c r="BB780" s="27">
        <v>61.82</v>
      </c>
      <c r="BC780" s="27" t="s">
        <v>1738</v>
      </c>
      <c r="BD780" s="27" t="s">
        <v>1739</v>
      </c>
      <c r="BE780" s="27" t="s">
        <v>128</v>
      </c>
      <c r="BF780" s="27" t="s">
        <v>77</v>
      </c>
      <c r="BG780" s="27">
        <v>162</v>
      </c>
      <c r="BH780" s="27">
        <v>20</v>
      </c>
      <c r="BI780" s="27">
        <v>0.8901</v>
      </c>
      <c r="BJ780" s="27">
        <v>0</v>
      </c>
      <c r="BK780" s="27">
        <v>30</v>
      </c>
      <c r="BL780" s="27">
        <v>91.8</v>
      </c>
    </row>
    <row r="781" customHeight="1" spans="1:64">
      <c r="A781" s="27" t="s">
        <v>2310</v>
      </c>
      <c r="B781" s="27" t="s">
        <v>171</v>
      </c>
      <c r="C781" s="27" t="s">
        <v>2311</v>
      </c>
      <c r="E781" s="27" t="s">
        <v>250</v>
      </c>
      <c r="F781" s="27" t="s">
        <v>160</v>
      </c>
      <c r="G781" s="27" t="s">
        <v>83</v>
      </c>
      <c r="H781" s="27" t="s">
        <v>84</v>
      </c>
      <c r="I781" s="27" t="s">
        <v>85</v>
      </c>
      <c r="J781" s="27">
        <v>5</v>
      </c>
      <c r="K781" s="27">
        <v>134.39</v>
      </c>
      <c r="L781" s="27">
        <v>159.99</v>
      </c>
      <c r="M781" s="27">
        <v>16</v>
      </c>
      <c r="N781" s="27">
        <v>25.6</v>
      </c>
      <c r="O781" s="27">
        <v>1</v>
      </c>
      <c r="P781" s="27" t="s">
        <v>95</v>
      </c>
      <c r="Q781" s="27">
        <v>4.90816</v>
      </c>
      <c r="R781" s="27">
        <v>8.4</v>
      </c>
      <c r="S781" s="27">
        <v>299</v>
      </c>
      <c r="T781" s="27">
        <v>10</v>
      </c>
      <c r="U781" s="27">
        <v>0.9676</v>
      </c>
      <c r="V781" s="27" t="s">
        <v>154</v>
      </c>
      <c r="W781" s="27">
        <v>40182.61</v>
      </c>
      <c r="X781" s="27">
        <v>5.703782</v>
      </c>
      <c r="Y781" s="27">
        <v>10.601214</v>
      </c>
      <c r="Z781" s="27">
        <v>3.1623</v>
      </c>
      <c r="AA781" s="27" t="s">
        <v>313</v>
      </c>
      <c r="AB781" s="27">
        <v>0</v>
      </c>
      <c r="AC781" s="27">
        <v>0</v>
      </c>
      <c r="AD781" s="27">
        <v>0</v>
      </c>
      <c r="AE781" s="27">
        <v>0</v>
      </c>
      <c r="AF781" s="27">
        <v>0</v>
      </c>
      <c r="AG781" s="27">
        <v>0</v>
      </c>
      <c r="AH781" s="27">
        <v>0</v>
      </c>
      <c r="AI781" s="27">
        <v>0</v>
      </c>
      <c r="AJ781" s="27">
        <v>0</v>
      </c>
      <c r="AK781" s="27">
        <v>0</v>
      </c>
      <c r="AL781" s="27">
        <v>0</v>
      </c>
      <c r="AM781" s="27">
        <v>1</v>
      </c>
      <c r="AN781" s="27">
        <v>0</v>
      </c>
      <c r="AO781" s="27">
        <v>0</v>
      </c>
      <c r="AP781" s="27">
        <v>0</v>
      </c>
      <c r="AQ781" s="27">
        <v>1</v>
      </c>
      <c r="AR781" s="27">
        <v>0</v>
      </c>
      <c r="AS781" s="27">
        <v>0</v>
      </c>
      <c r="AT781" s="27">
        <v>1</v>
      </c>
      <c r="AU781" s="27">
        <v>0</v>
      </c>
      <c r="AV781" s="27">
        <v>1</v>
      </c>
      <c r="AW781" s="27">
        <v>1</v>
      </c>
      <c r="AX781" s="27">
        <v>0</v>
      </c>
      <c r="AY781" s="27">
        <v>16</v>
      </c>
      <c r="AZ781" s="27">
        <v>1</v>
      </c>
      <c r="BA781" s="27">
        <v>2</v>
      </c>
      <c r="BB781" s="27">
        <v>73.08</v>
      </c>
      <c r="BC781" s="27" t="s">
        <v>174</v>
      </c>
      <c r="BD781" s="27" t="s">
        <v>175</v>
      </c>
      <c r="BE781" s="27" t="s">
        <v>226</v>
      </c>
      <c r="BF781" s="27" t="s">
        <v>77</v>
      </c>
      <c r="BG781" s="27">
        <v>161</v>
      </c>
      <c r="BH781" s="27">
        <v>61</v>
      </c>
      <c r="BI781" s="27">
        <v>0.7252</v>
      </c>
      <c r="BJ781" s="27">
        <v>0</v>
      </c>
      <c r="BK781" s="27">
        <v>5</v>
      </c>
      <c r="BL781" s="27">
        <v>98.6</v>
      </c>
    </row>
    <row r="782" customHeight="1" spans="1:64">
      <c r="A782" s="27" t="s">
        <v>2312</v>
      </c>
      <c r="B782" s="27" t="s">
        <v>65</v>
      </c>
      <c r="C782" s="27" t="s">
        <v>2313</v>
      </c>
      <c r="D782" s="27">
        <v>196271032298</v>
      </c>
      <c r="E782" s="27" t="s">
        <v>81</v>
      </c>
      <c r="F782" s="27" t="s">
        <v>160</v>
      </c>
      <c r="G782" s="27" t="s">
        <v>65</v>
      </c>
      <c r="H782" s="27" t="s">
        <v>69</v>
      </c>
      <c r="I782" s="27" t="s">
        <v>85</v>
      </c>
      <c r="J782" s="27">
        <v>5</v>
      </c>
      <c r="K782" s="27">
        <v>399.98</v>
      </c>
      <c r="L782" s="27">
        <v>499.98</v>
      </c>
      <c r="M782" s="27">
        <v>20</v>
      </c>
      <c r="N782" s="27">
        <v>100</v>
      </c>
      <c r="O782" s="27">
        <v>1</v>
      </c>
      <c r="P782" s="27" t="s">
        <v>71</v>
      </c>
      <c r="Q782" s="27">
        <v>5.993912</v>
      </c>
      <c r="S782" s="27">
        <v>36</v>
      </c>
      <c r="T782" s="27">
        <v>1</v>
      </c>
      <c r="U782" s="27">
        <v>0.973</v>
      </c>
      <c r="V782" s="27" t="s">
        <v>72</v>
      </c>
      <c r="W782" s="27">
        <v>14399.28</v>
      </c>
      <c r="X782" s="27">
        <v>3.610918</v>
      </c>
      <c r="Y782" s="27">
        <v>9.575003</v>
      </c>
      <c r="Z782" s="27">
        <v>1</v>
      </c>
      <c r="AA782" s="27" t="s">
        <v>73</v>
      </c>
      <c r="AB782" s="27">
        <v>0</v>
      </c>
      <c r="AC782" s="27">
        <v>0</v>
      </c>
      <c r="AD782" s="27">
        <v>0</v>
      </c>
      <c r="AE782" s="27">
        <v>0</v>
      </c>
      <c r="AF782" s="27">
        <v>0</v>
      </c>
      <c r="AG782" s="27">
        <v>1</v>
      </c>
      <c r="AH782" s="27">
        <v>0</v>
      </c>
      <c r="AI782" s="27">
        <v>0</v>
      </c>
      <c r="AJ782" s="27">
        <v>0</v>
      </c>
      <c r="AK782" s="27">
        <v>0</v>
      </c>
      <c r="AL782" s="27">
        <v>0</v>
      </c>
      <c r="AM782" s="27">
        <v>0</v>
      </c>
      <c r="AN782" s="27">
        <v>0</v>
      </c>
      <c r="AO782" s="27">
        <v>0</v>
      </c>
      <c r="AP782" s="27">
        <v>0</v>
      </c>
      <c r="AQ782" s="27">
        <v>0</v>
      </c>
      <c r="AR782" s="27">
        <v>0</v>
      </c>
      <c r="AS782" s="27">
        <v>0</v>
      </c>
      <c r="AT782" s="27">
        <v>0</v>
      </c>
      <c r="AU782" s="27">
        <v>0</v>
      </c>
      <c r="AV782" s="27">
        <v>0</v>
      </c>
      <c r="AW782" s="27">
        <v>1</v>
      </c>
      <c r="AX782" s="27">
        <v>0</v>
      </c>
      <c r="AZ782" s="27">
        <v>2</v>
      </c>
      <c r="BA782" s="27">
        <v>0</v>
      </c>
      <c r="BB782" s="27">
        <v>74.5</v>
      </c>
      <c r="BC782" s="27" t="s">
        <v>1825</v>
      </c>
      <c r="BG782" s="27">
        <v>0</v>
      </c>
      <c r="BH782" s="27">
        <v>0</v>
      </c>
      <c r="BJ782" s="27">
        <v>0</v>
      </c>
      <c r="BK782" s="27">
        <v>5</v>
      </c>
      <c r="BL782" s="27">
        <v>98.6</v>
      </c>
    </row>
    <row r="783" customHeight="1" spans="1:64">
      <c r="A783" s="27" t="s">
        <v>2314</v>
      </c>
      <c r="B783" s="27" t="s">
        <v>125</v>
      </c>
      <c r="E783" s="27" t="s">
        <v>1313</v>
      </c>
      <c r="F783" s="27" t="s">
        <v>82</v>
      </c>
      <c r="G783" s="27" t="s">
        <v>83</v>
      </c>
      <c r="H783" s="27" t="s">
        <v>138</v>
      </c>
      <c r="I783" s="27" t="s">
        <v>85</v>
      </c>
      <c r="J783" s="27">
        <v>5</v>
      </c>
      <c r="K783" s="27">
        <v>32.99</v>
      </c>
      <c r="M783" s="27">
        <v>0</v>
      </c>
      <c r="N783" s="27">
        <v>0</v>
      </c>
      <c r="O783" s="27">
        <v>0</v>
      </c>
      <c r="P783" s="27" t="s">
        <v>86</v>
      </c>
      <c r="Q783" s="27">
        <v>3.526066</v>
      </c>
      <c r="S783" s="27">
        <v>130</v>
      </c>
      <c r="T783" s="27">
        <v>10</v>
      </c>
      <c r="U783" s="27">
        <v>0.9286</v>
      </c>
      <c r="V783" s="27" t="s">
        <v>72</v>
      </c>
      <c r="W783" s="27">
        <v>4288.7</v>
      </c>
      <c r="X783" s="27">
        <v>4.875197</v>
      </c>
      <c r="Y783" s="27">
        <v>8.363972</v>
      </c>
      <c r="Z783" s="27">
        <v>3.1623</v>
      </c>
      <c r="AA783" s="27" t="s">
        <v>139</v>
      </c>
      <c r="AB783" s="27">
        <v>0</v>
      </c>
      <c r="AC783" s="27">
        <v>0</v>
      </c>
      <c r="AD783" s="27">
        <v>0</v>
      </c>
      <c r="AE783" s="27">
        <v>0</v>
      </c>
      <c r="AF783" s="27">
        <v>0</v>
      </c>
      <c r="AG783" s="27">
        <v>0</v>
      </c>
      <c r="AH783" s="27">
        <v>1</v>
      </c>
      <c r="AI783" s="27">
        <v>0</v>
      </c>
      <c r="AJ783" s="27">
        <v>0</v>
      </c>
      <c r="AK783" s="27">
        <v>0</v>
      </c>
      <c r="AL783" s="27">
        <v>0</v>
      </c>
      <c r="AM783" s="27">
        <v>0</v>
      </c>
      <c r="AN783" s="27">
        <v>0</v>
      </c>
      <c r="AO783" s="27">
        <v>0</v>
      </c>
      <c r="AP783" s="27">
        <v>0</v>
      </c>
      <c r="AQ783" s="27">
        <v>0</v>
      </c>
      <c r="AR783" s="27">
        <v>0</v>
      </c>
      <c r="AS783" s="27">
        <v>0</v>
      </c>
      <c r="AT783" s="27">
        <v>0</v>
      </c>
      <c r="AU783" s="27">
        <v>0</v>
      </c>
      <c r="AV783" s="27">
        <v>0</v>
      </c>
      <c r="AW783" s="27">
        <v>0</v>
      </c>
      <c r="AX783" s="27">
        <v>0</v>
      </c>
      <c r="AZ783" s="27">
        <v>1</v>
      </c>
      <c r="BA783" s="27">
        <v>1</v>
      </c>
      <c r="BB783" s="27">
        <v>66.99</v>
      </c>
      <c r="BC783" s="27" t="s">
        <v>2315</v>
      </c>
      <c r="BD783" s="27" t="s">
        <v>356</v>
      </c>
      <c r="BE783" s="27" t="s">
        <v>287</v>
      </c>
      <c r="BF783" s="27" t="s">
        <v>77</v>
      </c>
      <c r="BG783" s="27">
        <v>1</v>
      </c>
      <c r="BH783" s="27">
        <v>48</v>
      </c>
      <c r="BI783" s="27">
        <v>0.0204</v>
      </c>
      <c r="BJ783" s="27">
        <v>1</v>
      </c>
      <c r="BK783" s="27">
        <v>2</v>
      </c>
      <c r="BL783" s="27">
        <v>99.5</v>
      </c>
    </row>
    <row r="784" customHeight="1" spans="1:64">
      <c r="A784" s="27" t="s">
        <v>2316</v>
      </c>
      <c r="B784" s="27" t="s">
        <v>245</v>
      </c>
      <c r="C784" s="27" t="s">
        <v>2317</v>
      </c>
      <c r="E784" s="27" t="s">
        <v>390</v>
      </c>
      <c r="F784" s="27" t="s">
        <v>160</v>
      </c>
      <c r="G784" s="27" t="s">
        <v>83</v>
      </c>
      <c r="H784" s="27" t="s">
        <v>84</v>
      </c>
      <c r="I784" s="27" t="s">
        <v>85</v>
      </c>
      <c r="J784" s="27">
        <v>5</v>
      </c>
      <c r="K784" s="27">
        <v>113.39</v>
      </c>
      <c r="L784" s="27">
        <v>125.99</v>
      </c>
      <c r="M784" s="27">
        <v>10</v>
      </c>
      <c r="N784" s="27">
        <v>12.6</v>
      </c>
      <c r="O784" s="27">
        <v>1</v>
      </c>
      <c r="P784" s="27" t="s">
        <v>95</v>
      </c>
      <c r="Q784" s="27">
        <v>4.739614</v>
      </c>
      <c r="R784" s="27">
        <v>7.09</v>
      </c>
      <c r="S784" s="27">
        <v>69</v>
      </c>
      <c r="T784" s="27">
        <v>10</v>
      </c>
      <c r="U784" s="27">
        <v>0.8734</v>
      </c>
      <c r="V784" s="27" t="s">
        <v>72</v>
      </c>
      <c r="W784" s="27">
        <v>7823.91</v>
      </c>
      <c r="X784" s="27">
        <v>4.248495</v>
      </c>
      <c r="Y784" s="27">
        <v>8.965068</v>
      </c>
      <c r="Z784" s="27">
        <v>3.1623</v>
      </c>
      <c r="AA784" s="27" t="s">
        <v>73</v>
      </c>
      <c r="AB784" s="27">
        <v>0</v>
      </c>
      <c r="AC784" s="27">
        <v>0</v>
      </c>
      <c r="AD784" s="27">
        <v>0</v>
      </c>
      <c r="AE784" s="27">
        <v>0</v>
      </c>
      <c r="AF784" s="27">
        <v>0</v>
      </c>
      <c r="AG784" s="27">
        <v>1</v>
      </c>
      <c r="AH784" s="27">
        <v>0</v>
      </c>
      <c r="AI784" s="27">
        <v>1</v>
      </c>
      <c r="AJ784" s="27">
        <v>0</v>
      </c>
      <c r="AK784" s="27">
        <v>0</v>
      </c>
      <c r="AL784" s="27">
        <v>0</v>
      </c>
      <c r="AM784" s="27">
        <v>0</v>
      </c>
      <c r="AN784" s="27">
        <v>0</v>
      </c>
      <c r="AO784" s="27">
        <v>0</v>
      </c>
      <c r="AP784" s="27">
        <v>0</v>
      </c>
      <c r="AQ784" s="27">
        <v>1</v>
      </c>
      <c r="AR784" s="27">
        <v>0</v>
      </c>
      <c r="AS784" s="27">
        <v>0</v>
      </c>
      <c r="AT784" s="27">
        <v>0</v>
      </c>
      <c r="AU784" s="27">
        <v>0</v>
      </c>
      <c r="AV784" s="27">
        <v>1</v>
      </c>
      <c r="AW784" s="27">
        <v>1</v>
      </c>
      <c r="AX784" s="27">
        <v>0</v>
      </c>
      <c r="AY784" s="27">
        <v>16</v>
      </c>
      <c r="AZ784" s="27">
        <v>1</v>
      </c>
      <c r="BA784" s="27">
        <v>1</v>
      </c>
      <c r="BB784" s="27">
        <v>66.95</v>
      </c>
      <c r="BC784" s="27" t="s">
        <v>359</v>
      </c>
      <c r="BD784" s="27" t="s">
        <v>175</v>
      </c>
      <c r="BE784" s="27" t="s">
        <v>226</v>
      </c>
      <c r="BF784" s="27" t="s">
        <v>77</v>
      </c>
      <c r="BG784" s="27">
        <v>162</v>
      </c>
      <c r="BH784" s="27">
        <v>60</v>
      </c>
      <c r="BI784" s="27">
        <v>0.7297</v>
      </c>
      <c r="BJ784" s="27">
        <v>0</v>
      </c>
      <c r="BK784" s="27">
        <v>12</v>
      </c>
      <c r="BL784" s="27">
        <v>96.7</v>
      </c>
    </row>
    <row r="785" customHeight="1" spans="1:64">
      <c r="A785" s="27" t="s">
        <v>2318</v>
      </c>
      <c r="B785" s="27" t="s">
        <v>427</v>
      </c>
      <c r="E785" s="27" t="s">
        <v>81</v>
      </c>
      <c r="F785" s="27" t="s">
        <v>82</v>
      </c>
      <c r="G785" s="27" t="s">
        <v>427</v>
      </c>
      <c r="H785" s="27" t="s">
        <v>107</v>
      </c>
      <c r="I785" s="27" t="s">
        <v>153</v>
      </c>
      <c r="J785" s="27">
        <v>2</v>
      </c>
      <c r="K785" s="27">
        <v>49.99</v>
      </c>
      <c r="M785" s="27">
        <v>0</v>
      </c>
      <c r="N785" s="27">
        <v>0</v>
      </c>
      <c r="O785" s="27">
        <v>0</v>
      </c>
      <c r="P785" s="27" t="s">
        <v>86</v>
      </c>
      <c r="Q785" s="27">
        <v>3.93163</v>
      </c>
      <c r="S785" s="27">
        <v>20</v>
      </c>
      <c r="T785" s="27">
        <v>8</v>
      </c>
      <c r="U785" s="27">
        <v>0.7143</v>
      </c>
      <c r="V785" s="27" t="s">
        <v>72</v>
      </c>
      <c r="W785" s="27">
        <v>999.8</v>
      </c>
      <c r="X785" s="27">
        <v>3.044522</v>
      </c>
      <c r="Y785" s="27">
        <v>6.908555</v>
      </c>
      <c r="Z785" s="27">
        <v>2.8284</v>
      </c>
      <c r="AA785" s="27" t="s">
        <v>483</v>
      </c>
      <c r="AB785" s="27">
        <v>0</v>
      </c>
      <c r="AC785" s="27">
        <v>0</v>
      </c>
      <c r="AD785" s="27">
        <v>0</v>
      </c>
      <c r="AE785" s="27">
        <v>0</v>
      </c>
      <c r="AF785" s="27">
        <v>1</v>
      </c>
      <c r="AG785" s="27">
        <v>0</v>
      </c>
      <c r="AH785" s="27">
        <v>0</v>
      </c>
      <c r="AI785" s="27">
        <v>0</v>
      </c>
      <c r="AJ785" s="27">
        <v>0</v>
      </c>
      <c r="AK785" s="27">
        <v>0</v>
      </c>
      <c r="AL785" s="27">
        <v>0</v>
      </c>
      <c r="AM785" s="27">
        <v>0</v>
      </c>
      <c r="AN785" s="27">
        <v>0</v>
      </c>
      <c r="AO785" s="27">
        <v>0</v>
      </c>
      <c r="AP785" s="27">
        <v>0</v>
      </c>
      <c r="AQ785" s="27">
        <v>0</v>
      </c>
      <c r="AR785" s="27">
        <v>0</v>
      </c>
      <c r="AS785" s="27">
        <v>0</v>
      </c>
      <c r="AT785" s="27">
        <v>0</v>
      </c>
      <c r="AU785" s="27">
        <v>0</v>
      </c>
      <c r="AV785" s="27">
        <v>0</v>
      </c>
      <c r="AW785" s="27">
        <v>0</v>
      </c>
      <c r="AX785" s="27">
        <v>0</v>
      </c>
      <c r="AZ785" s="27">
        <v>1</v>
      </c>
      <c r="BA785" s="27">
        <v>0</v>
      </c>
      <c r="BB785" s="27">
        <v>58.42</v>
      </c>
      <c r="BC785" s="27" t="s">
        <v>2319</v>
      </c>
      <c r="BD785" s="27" t="s">
        <v>1761</v>
      </c>
      <c r="BE785" s="27" t="s">
        <v>620</v>
      </c>
      <c r="BF785" s="27" t="s">
        <v>77</v>
      </c>
      <c r="BG785" s="27">
        <v>1</v>
      </c>
      <c r="BH785" s="27">
        <v>11</v>
      </c>
      <c r="BI785" s="27">
        <v>0.0833</v>
      </c>
      <c r="BJ785" s="27">
        <v>1</v>
      </c>
      <c r="BK785" s="27">
        <v>2</v>
      </c>
      <c r="BL785" s="27">
        <v>99.5</v>
      </c>
    </row>
    <row r="786" customHeight="1" spans="1:64">
      <c r="A786" s="27" t="s">
        <v>2320</v>
      </c>
      <c r="B786" s="27" t="s">
        <v>115</v>
      </c>
      <c r="C786" s="27" t="s">
        <v>2321</v>
      </c>
      <c r="E786" s="27" t="s">
        <v>163</v>
      </c>
      <c r="F786" s="27" t="s">
        <v>82</v>
      </c>
      <c r="G786" s="27" t="s">
        <v>117</v>
      </c>
      <c r="H786" s="27" t="s">
        <v>107</v>
      </c>
      <c r="I786" s="27" t="s">
        <v>203</v>
      </c>
      <c r="J786" s="27">
        <v>4</v>
      </c>
      <c r="K786" s="27">
        <v>139.99</v>
      </c>
      <c r="M786" s="27">
        <v>0</v>
      </c>
      <c r="N786" s="27">
        <v>0</v>
      </c>
      <c r="O786" s="27">
        <v>0</v>
      </c>
      <c r="P786" s="27" t="s">
        <v>95</v>
      </c>
      <c r="Q786" s="27">
        <v>4.948689</v>
      </c>
      <c r="S786" s="27">
        <v>1</v>
      </c>
      <c r="T786" s="27">
        <v>1</v>
      </c>
      <c r="U786" s="27">
        <v>0.5</v>
      </c>
      <c r="V786" s="27" t="s">
        <v>87</v>
      </c>
      <c r="W786" s="27">
        <v>139.99</v>
      </c>
      <c r="X786" s="27">
        <v>0.693147</v>
      </c>
      <c r="Y786" s="27">
        <v>4.948689</v>
      </c>
      <c r="Z786" s="27">
        <v>1</v>
      </c>
      <c r="AA786" s="27" t="s">
        <v>125</v>
      </c>
      <c r="AB786" s="27">
        <v>0</v>
      </c>
      <c r="AC786" s="27">
        <v>0</v>
      </c>
      <c r="AD786" s="27">
        <v>0</v>
      </c>
      <c r="AE786" s="27">
        <v>0</v>
      </c>
      <c r="AF786" s="27">
        <v>0</v>
      </c>
      <c r="AG786" s="27">
        <v>1</v>
      </c>
      <c r="AH786" s="27">
        <v>0</v>
      </c>
      <c r="AI786" s="27">
        <v>0</v>
      </c>
      <c r="AJ786" s="27">
        <v>0</v>
      </c>
      <c r="AK786" s="27">
        <v>0</v>
      </c>
      <c r="AL786" s="27">
        <v>1</v>
      </c>
      <c r="AM786" s="27">
        <v>0</v>
      </c>
      <c r="AN786" s="27">
        <v>0</v>
      </c>
      <c r="AO786" s="27">
        <v>0</v>
      </c>
      <c r="AP786" s="27">
        <v>1</v>
      </c>
      <c r="AQ786" s="27">
        <v>0</v>
      </c>
      <c r="AR786" s="27">
        <v>0</v>
      </c>
      <c r="AS786" s="27">
        <v>0</v>
      </c>
      <c r="AT786" s="27">
        <v>0</v>
      </c>
      <c r="AU786" s="27">
        <v>0</v>
      </c>
      <c r="AV786" s="27">
        <v>0</v>
      </c>
      <c r="AW786" s="27">
        <v>0</v>
      </c>
      <c r="AX786" s="27">
        <v>0</v>
      </c>
      <c r="AZ786" s="27">
        <v>1</v>
      </c>
      <c r="BA786" s="27">
        <v>0</v>
      </c>
      <c r="BB786" s="27">
        <v>49.76</v>
      </c>
      <c r="BC786" s="27" t="s">
        <v>2322</v>
      </c>
      <c r="BD786" s="27" t="s">
        <v>1237</v>
      </c>
      <c r="BE786" s="27" t="s">
        <v>398</v>
      </c>
      <c r="BF786" s="27" t="s">
        <v>77</v>
      </c>
      <c r="BG786" s="27">
        <v>208</v>
      </c>
      <c r="BH786" s="27">
        <v>13</v>
      </c>
      <c r="BI786" s="27">
        <v>0.9412</v>
      </c>
      <c r="BJ786" s="27">
        <v>0</v>
      </c>
      <c r="BK786" s="27">
        <v>3</v>
      </c>
      <c r="BL786" s="27">
        <v>99.2</v>
      </c>
    </row>
    <row r="787" customHeight="1" spans="1:64">
      <c r="A787" s="27" t="s">
        <v>2323</v>
      </c>
      <c r="B787" s="27" t="s">
        <v>125</v>
      </c>
      <c r="D787" s="27">
        <v>726084490314</v>
      </c>
      <c r="E787" s="27" t="s">
        <v>163</v>
      </c>
      <c r="F787" s="27" t="s">
        <v>82</v>
      </c>
      <c r="G787" s="27" t="s">
        <v>117</v>
      </c>
      <c r="H787" s="27" t="s">
        <v>138</v>
      </c>
      <c r="I787" s="27" t="s">
        <v>85</v>
      </c>
      <c r="J787" s="27">
        <v>5</v>
      </c>
      <c r="K787" s="27">
        <v>12.99</v>
      </c>
      <c r="M787" s="27">
        <v>0</v>
      </c>
      <c r="N787" s="27">
        <v>0</v>
      </c>
      <c r="O787" s="27">
        <v>0</v>
      </c>
      <c r="P787" s="27" t="s">
        <v>133</v>
      </c>
      <c r="Q787" s="27">
        <v>2.638343</v>
      </c>
      <c r="S787" s="27">
        <v>6</v>
      </c>
      <c r="T787" s="27">
        <v>1</v>
      </c>
      <c r="U787" s="27">
        <v>0.8571</v>
      </c>
      <c r="V787" s="27" t="s">
        <v>87</v>
      </c>
      <c r="W787" s="27">
        <v>77.94</v>
      </c>
      <c r="X787" s="27">
        <v>1.94591</v>
      </c>
      <c r="Y787" s="27">
        <v>4.368688</v>
      </c>
      <c r="Z787" s="27">
        <v>1</v>
      </c>
      <c r="AA787" s="27" t="s">
        <v>139</v>
      </c>
      <c r="AB787" s="27">
        <v>1</v>
      </c>
      <c r="AC787" s="27">
        <v>0</v>
      </c>
      <c r="AD787" s="27">
        <v>0</v>
      </c>
      <c r="AE787" s="27">
        <v>0</v>
      </c>
      <c r="AF787" s="27">
        <v>0</v>
      </c>
      <c r="AG787" s="27">
        <v>0</v>
      </c>
      <c r="AH787" s="27">
        <v>1</v>
      </c>
      <c r="AI787" s="27">
        <v>0</v>
      </c>
      <c r="AJ787" s="27">
        <v>0</v>
      </c>
      <c r="AK787" s="27">
        <v>0</v>
      </c>
      <c r="AL787" s="27">
        <v>1</v>
      </c>
      <c r="AM787" s="27">
        <v>0</v>
      </c>
      <c r="AN787" s="27">
        <v>0</v>
      </c>
      <c r="AO787" s="27">
        <v>0</v>
      </c>
      <c r="AP787" s="27">
        <v>0</v>
      </c>
      <c r="AQ787" s="27">
        <v>0</v>
      </c>
      <c r="AR787" s="27">
        <v>0</v>
      </c>
      <c r="AS787" s="27">
        <v>1</v>
      </c>
      <c r="AT787" s="27">
        <v>0</v>
      </c>
      <c r="AU787" s="27">
        <v>0</v>
      </c>
      <c r="AV787" s="27">
        <v>0</v>
      </c>
      <c r="AW787" s="27">
        <v>0</v>
      </c>
      <c r="AX787" s="27">
        <v>0</v>
      </c>
      <c r="AZ787" s="27">
        <v>1</v>
      </c>
      <c r="BA787" s="27">
        <v>2</v>
      </c>
      <c r="BB787" s="27">
        <v>64.13</v>
      </c>
      <c r="BC787" s="27" t="s">
        <v>2324</v>
      </c>
      <c r="BD787" s="27" t="s">
        <v>1061</v>
      </c>
      <c r="BE787" s="27" t="s">
        <v>774</v>
      </c>
      <c r="BF787" s="27" t="s">
        <v>77</v>
      </c>
      <c r="BG787" s="27">
        <v>43</v>
      </c>
      <c r="BH787" s="27">
        <v>173</v>
      </c>
      <c r="BI787" s="27">
        <v>0.1991</v>
      </c>
      <c r="BJ787" s="27">
        <v>0</v>
      </c>
      <c r="BK787" s="27">
        <v>2</v>
      </c>
      <c r="BL787" s="27">
        <v>99.5</v>
      </c>
    </row>
    <row r="788" customHeight="1" spans="1:64">
      <c r="A788" s="27" t="s">
        <v>2325</v>
      </c>
      <c r="B788" s="27" t="s">
        <v>427</v>
      </c>
      <c r="C788" s="27" t="s">
        <v>2326</v>
      </c>
      <c r="E788" s="27" t="s">
        <v>81</v>
      </c>
      <c r="F788" s="27" t="s">
        <v>68</v>
      </c>
      <c r="G788" s="27" t="s">
        <v>427</v>
      </c>
      <c r="H788" s="27" t="s">
        <v>107</v>
      </c>
      <c r="I788" s="27" t="s">
        <v>85</v>
      </c>
      <c r="J788" s="27">
        <v>5</v>
      </c>
      <c r="K788" s="27">
        <v>119</v>
      </c>
      <c r="L788" s="27">
        <v>139</v>
      </c>
      <c r="M788" s="27">
        <v>14.39</v>
      </c>
      <c r="N788" s="27">
        <v>20</v>
      </c>
      <c r="O788" s="27">
        <v>1</v>
      </c>
      <c r="P788" s="27" t="s">
        <v>95</v>
      </c>
      <c r="Q788" s="27">
        <v>4.787492</v>
      </c>
      <c r="S788" s="27">
        <v>48</v>
      </c>
      <c r="T788" s="27">
        <v>4</v>
      </c>
      <c r="U788" s="27">
        <v>0.9231</v>
      </c>
      <c r="V788" s="27" t="s">
        <v>72</v>
      </c>
      <c r="W788" s="27">
        <v>5712</v>
      </c>
      <c r="X788" s="27">
        <v>3.89182</v>
      </c>
      <c r="Y788" s="27">
        <v>8.6505</v>
      </c>
      <c r="Z788" s="27">
        <v>2</v>
      </c>
      <c r="AA788" s="27" t="s">
        <v>73</v>
      </c>
      <c r="AB788" s="27">
        <v>0</v>
      </c>
      <c r="AC788" s="27">
        <v>0</v>
      </c>
      <c r="AD788" s="27">
        <v>0</v>
      </c>
      <c r="AE788" s="27">
        <v>0</v>
      </c>
      <c r="AF788" s="27">
        <v>1</v>
      </c>
      <c r="AG788" s="27">
        <v>0</v>
      </c>
      <c r="AH788" s="27">
        <v>0</v>
      </c>
      <c r="AI788" s="27">
        <v>0</v>
      </c>
      <c r="AJ788" s="27">
        <v>0</v>
      </c>
      <c r="AK788" s="27">
        <v>0</v>
      </c>
      <c r="AL788" s="27">
        <v>0</v>
      </c>
      <c r="AM788" s="27">
        <v>0</v>
      </c>
      <c r="AN788" s="27">
        <v>0</v>
      </c>
      <c r="AO788" s="27">
        <v>0</v>
      </c>
      <c r="AP788" s="27">
        <v>0</v>
      </c>
      <c r="AQ788" s="27">
        <v>0</v>
      </c>
      <c r="AR788" s="27">
        <v>0</v>
      </c>
      <c r="AS788" s="27">
        <v>0</v>
      </c>
      <c r="AT788" s="27">
        <v>0</v>
      </c>
      <c r="AU788" s="27">
        <v>0</v>
      </c>
      <c r="AV788" s="27">
        <v>0</v>
      </c>
      <c r="AW788" s="27">
        <v>0</v>
      </c>
      <c r="AX788" s="27">
        <v>0</v>
      </c>
      <c r="AZ788" s="27">
        <v>1</v>
      </c>
      <c r="BA788" s="27">
        <v>0</v>
      </c>
      <c r="BB788" s="27">
        <v>69.26</v>
      </c>
      <c r="BC788" s="27" t="s">
        <v>2327</v>
      </c>
      <c r="BD788" s="27" t="s">
        <v>2328</v>
      </c>
      <c r="BE788" s="27" t="s">
        <v>627</v>
      </c>
      <c r="BF788" s="27" t="s">
        <v>77</v>
      </c>
      <c r="BG788" s="27">
        <v>162</v>
      </c>
      <c r="BH788" s="27">
        <v>58</v>
      </c>
      <c r="BI788" s="27">
        <v>0.7364</v>
      </c>
      <c r="BJ788" s="27">
        <v>0</v>
      </c>
      <c r="BK788" s="27">
        <v>24</v>
      </c>
      <c r="BL788" s="27">
        <v>93.4</v>
      </c>
    </row>
    <row r="789" customHeight="1" spans="1:64">
      <c r="A789" s="27" t="s">
        <v>2329</v>
      </c>
      <c r="B789" s="27" t="s">
        <v>65</v>
      </c>
      <c r="C789" s="27" t="s">
        <v>2330</v>
      </c>
      <c r="D789" s="27">
        <v>695529050584</v>
      </c>
      <c r="E789" s="27" t="s">
        <v>163</v>
      </c>
      <c r="F789" s="27" t="s">
        <v>82</v>
      </c>
      <c r="G789" s="27" t="s">
        <v>65</v>
      </c>
      <c r="H789" s="27" t="s">
        <v>69</v>
      </c>
      <c r="I789" s="27" t="s">
        <v>203</v>
      </c>
      <c r="J789" s="27">
        <v>4</v>
      </c>
      <c r="K789" s="27">
        <v>109.99</v>
      </c>
      <c r="M789" s="27">
        <v>0</v>
      </c>
      <c r="N789" s="27">
        <v>0</v>
      </c>
      <c r="O789" s="27">
        <v>0</v>
      </c>
      <c r="P789" s="27" t="s">
        <v>95</v>
      </c>
      <c r="Q789" s="27">
        <v>4.70944</v>
      </c>
      <c r="S789" s="27">
        <v>10</v>
      </c>
      <c r="T789" s="27">
        <v>5</v>
      </c>
      <c r="U789" s="27">
        <v>0.6667</v>
      </c>
      <c r="V789" s="27" t="s">
        <v>87</v>
      </c>
      <c r="W789" s="27">
        <v>1099.9</v>
      </c>
      <c r="X789" s="27">
        <v>2.397895</v>
      </c>
      <c r="Y789" s="27">
        <v>7.003883</v>
      </c>
      <c r="Z789" s="27">
        <v>2.2361</v>
      </c>
      <c r="AA789" s="27" t="s">
        <v>139</v>
      </c>
      <c r="AB789" s="27">
        <v>0</v>
      </c>
      <c r="AC789" s="27">
        <v>0</v>
      </c>
      <c r="AD789" s="27">
        <v>0</v>
      </c>
      <c r="AE789" s="27">
        <v>0</v>
      </c>
      <c r="AF789" s="27">
        <v>0</v>
      </c>
      <c r="AG789" s="27">
        <v>0</v>
      </c>
      <c r="AH789" s="27">
        <v>1</v>
      </c>
      <c r="AI789" s="27">
        <v>0</v>
      </c>
      <c r="AJ789" s="27">
        <v>0</v>
      </c>
      <c r="AK789" s="27">
        <v>0</v>
      </c>
      <c r="AL789" s="27">
        <v>0</v>
      </c>
      <c r="AM789" s="27">
        <v>0</v>
      </c>
      <c r="AN789" s="27">
        <v>0</v>
      </c>
      <c r="AO789" s="27">
        <v>0</v>
      </c>
      <c r="AP789" s="27">
        <v>1</v>
      </c>
      <c r="AQ789" s="27">
        <v>0</v>
      </c>
      <c r="AR789" s="27">
        <v>0</v>
      </c>
      <c r="AS789" s="27">
        <v>0</v>
      </c>
      <c r="AT789" s="27">
        <v>0</v>
      </c>
      <c r="AU789" s="27">
        <v>0</v>
      </c>
      <c r="AV789" s="27">
        <v>0</v>
      </c>
      <c r="AW789" s="27">
        <v>0</v>
      </c>
      <c r="AX789" s="27">
        <v>1</v>
      </c>
      <c r="AZ789" s="27">
        <v>1</v>
      </c>
      <c r="BA789" s="27">
        <v>1</v>
      </c>
      <c r="BB789" s="27">
        <v>56.52</v>
      </c>
      <c r="BC789" s="27" t="s">
        <v>784</v>
      </c>
      <c r="BD789" s="27" t="s">
        <v>785</v>
      </c>
      <c r="BE789" s="27" t="s">
        <v>774</v>
      </c>
      <c r="BF789" s="27" t="s">
        <v>77</v>
      </c>
      <c r="BG789" s="27">
        <v>1</v>
      </c>
      <c r="BH789" s="27">
        <v>27</v>
      </c>
      <c r="BI789" s="27">
        <v>0.0357</v>
      </c>
      <c r="BJ789" s="27">
        <v>1</v>
      </c>
      <c r="BK789" s="27">
        <v>2</v>
      </c>
      <c r="BL789" s="27">
        <v>99.5</v>
      </c>
    </row>
    <row r="790" customHeight="1" spans="1:64">
      <c r="A790" s="27" t="s">
        <v>2331</v>
      </c>
      <c r="B790" s="27" t="s">
        <v>1029</v>
      </c>
      <c r="E790" s="27" t="s">
        <v>239</v>
      </c>
      <c r="F790" s="27" t="s">
        <v>240</v>
      </c>
      <c r="G790" s="27" t="s">
        <v>83</v>
      </c>
      <c r="H790" s="27" t="s">
        <v>450</v>
      </c>
      <c r="I790" s="27" t="s">
        <v>508</v>
      </c>
      <c r="J790" s="27">
        <v>1</v>
      </c>
      <c r="K790" s="27">
        <v>161.99</v>
      </c>
      <c r="M790" s="27">
        <v>0</v>
      </c>
      <c r="N790" s="27">
        <v>0</v>
      </c>
      <c r="O790" s="27">
        <v>0</v>
      </c>
      <c r="P790" s="27" t="s">
        <v>95</v>
      </c>
      <c r="Q790" s="27">
        <v>5.093689</v>
      </c>
      <c r="V790" s="27" t="s">
        <v>231</v>
      </c>
      <c r="W790" s="27">
        <v>0</v>
      </c>
      <c r="X790" s="27">
        <v>0</v>
      </c>
      <c r="Y790" s="27">
        <v>0</v>
      </c>
      <c r="Z790" s="27">
        <v>0</v>
      </c>
      <c r="AA790" s="27" t="s">
        <v>125</v>
      </c>
      <c r="AB790" s="27">
        <v>0</v>
      </c>
      <c r="AC790" s="27">
        <v>0</v>
      </c>
      <c r="AD790" s="27">
        <v>0</v>
      </c>
      <c r="AE790" s="27">
        <v>0</v>
      </c>
      <c r="AF790" s="27">
        <v>0</v>
      </c>
      <c r="AG790" s="27">
        <v>0</v>
      </c>
      <c r="AH790" s="27">
        <v>0</v>
      </c>
      <c r="AI790" s="27">
        <v>0</v>
      </c>
      <c r="AJ790" s="27">
        <v>0</v>
      </c>
      <c r="AK790" s="27">
        <v>0</v>
      </c>
      <c r="AL790" s="27">
        <v>0</v>
      </c>
      <c r="AM790" s="27">
        <v>0</v>
      </c>
      <c r="AN790" s="27">
        <v>0</v>
      </c>
      <c r="AO790" s="27">
        <v>0</v>
      </c>
      <c r="AP790" s="27">
        <v>0</v>
      </c>
      <c r="AQ790" s="27">
        <v>1</v>
      </c>
      <c r="AR790" s="27">
        <v>0</v>
      </c>
      <c r="AS790" s="27">
        <v>0</v>
      </c>
      <c r="AT790" s="27">
        <v>0</v>
      </c>
      <c r="AU790" s="27">
        <v>0</v>
      </c>
      <c r="AV790" s="27">
        <v>1</v>
      </c>
      <c r="AW790" s="27">
        <v>0</v>
      </c>
      <c r="AX790" s="27">
        <v>0</v>
      </c>
      <c r="AZ790" s="27">
        <v>1</v>
      </c>
      <c r="BA790" s="27">
        <v>1</v>
      </c>
      <c r="BB790" s="27">
        <v>0</v>
      </c>
      <c r="BC790" s="27" t="s">
        <v>2332</v>
      </c>
      <c r="BD790" s="27" t="s">
        <v>2333</v>
      </c>
      <c r="BE790" s="27" t="s">
        <v>398</v>
      </c>
      <c r="BF790" s="27" t="s">
        <v>77</v>
      </c>
      <c r="BG790" s="27">
        <v>206</v>
      </c>
      <c r="BH790" s="27">
        <v>13</v>
      </c>
      <c r="BI790" s="27">
        <v>0.9406</v>
      </c>
      <c r="BJ790" s="27">
        <v>0</v>
      </c>
      <c r="BK790" s="27">
        <v>472</v>
      </c>
      <c r="BL790" s="27">
        <v>0</v>
      </c>
    </row>
    <row r="791" customHeight="1" spans="1:64">
      <c r="A791" s="27" t="s">
        <v>2334</v>
      </c>
      <c r="B791" s="27" t="s">
        <v>2335</v>
      </c>
      <c r="E791" s="27" t="s">
        <v>2336</v>
      </c>
      <c r="F791" s="27" t="s">
        <v>240</v>
      </c>
      <c r="G791" s="27" t="s">
        <v>83</v>
      </c>
      <c r="H791" s="27" t="s">
        <v>84</v>
      </c>
      <c r="I791" s="27" t="s">
        <v>153</v>
      </c>
      <c r="J791" s="27">
        <v>2</v>
      </c>
      <c r="K791" s="27">
        <v>200</v>
      </c>
      <c r="M791" s="27">
        <v>0</v>
      </c>
      <c r="N791" s="27">
        <v>0</v>
      </c>
      <c r="O791" s="27">
        <v>0</v>
      </c>
      <c r="P791" s="27" t="s">
        <v>71</v>
      </c>
      <c r="Q791" s="27">
        <v>5.303305</v>
      </c>
      <c r="V791" s="27" t="s">
        <v>231</v>
      </c>
      <c r="W791" s="27">
        <v>0</v>
      </c>
      <c r="X791" s="27">
        <v>0</v>
      </c>
      <c r="Y791" s="27">
        <v>0</v>
      </c>
      <c r="Z791" s="27">
        <v>0</v>
      </c>
      <c r="AA791" s="27" t="s">
        <v>125</v>
      </c>
      <c r="AB791" s="27">
        <v>0</v>
      </c>
      <c r="AC791" s="27">
        <v>0</v>
      </c>
      <c r="AD791" s="27">
        <v>0</v>
      </c>
      <c r="AE791" s="27">
        <v>0</v>
      </c>
      <c r="AF791" s="27">
        <v>0</v>
      </c>
      <c r="AG791" s="27">
        <v>0</v>
      </c>
      <c r="AH791" s="27">
        <v>0</v>
      </c>
      <c r="AI791" s="27">
        <v>0</v>
      </c>
      <c r="AJ791" s="27">
        <v>0</v>
      </c>
      <c r="AK791" s="27">
        <v>0</v>
      </c>
      <c r="AL791" s="27">
        <v>0</v>
      </c>
      <c r="AM791" s="27">
        <v>0</v>
      </c>
      <c r="AN791" s="27">
        <v>0</v>
      </c>
      <c r="AO791" s="27">
        <v>0</v>
      </c>
      <c r="AP791" s="27">
        <v>0</v>
      </c>
      <c r="AQ791" s="27">
        <v>1</v>
      </c>
      <c r="AR791" s="27">
        <v>0</v>
      </c>
      <c r="AS791" s="27">
        <v>0</v>
      </c>
      <c r="AT791" s="27">
        <v>0</v>
      </c>
      <c r="AU791" s="27">
        <v>0</v>
      </c>
      <c r="AV791" s="27">
        <v>1</v>
      </c>
      <c r="AW791" s="27">
        <v>0</v>
      </c>
      <c r="AX791" s="27">
        <v>0</v>
      </c>
      <c r="AZ791" s="27">
        <v>1</v>
      </c>
      <c r="BA791" s="27">
        <v>1</v>
      </c>
      <c r="BB791" s="27">
        <v>21.63</v>
      </c>
      <c r="BC791" s="27" t="s">
        <v>2337</v>
      </c>
      <c r="BD791" s="27" t="s">
        <v>2338</v>
      </c>
      <c r="BE791" s="27" t="s">
        <v>262</v>
      </c>
      <c r="BF791" s="27" t="s">
        <v>77</v>
      </c>
      <c r="BG791" s="27">
        <v>167</v>
      </c>
      <c r="BH791" s="27">
        <v>11</v>
      </c>
      <c r="BI791" s="27">
        <v>0.9382</v>
      </c>
      <c r="BJ791" s="27">
        <v>0</v>
      </c>
      <c r="BK791" s="27">
        <v>102</v>
      </c>
      <c r="BL791" s="27">
        <v>72.1</v>
      </c>
    </row>
    <row r="792" customHeight="1" spans="1:64">
      <c r="A792" s="27" t="s">
        <v>2339</v>
      </c>
      <c r="B792" s="27" t="s">
        <v>427</v>
      </c>
      <c r="C792" s="27" t="s">
        <v>2340</v>
      </c>
      <c r="D792" s="27">
        <v>193108145978</v>
      </c>
      <c r="E792" s="27" t="s">
        <v>209</v>
      </c>
      <c r="F792" s="27" t="s">
        <v>82</v>
      </c>
      <c r="G792" s="27" t="s">
        <v>427</v>
      </c>
      <c r="H792" s="27" t="s">
        <v>107</v>
      </c>
      <c r="I792" s="27" t="s">
        <v>85</v>
      </c>
      <c r="J792" s="27">
        <v>5</v>
      </c>
      <c r="K792" s="27">
        <v>139.99</v>
      </c>
      <c r="M792" s="27">
        <v>0</v>
      </c>
      <c r="N792" s="27">
        <v>0</v>
      </c>
      <c r="O792" s="27">
        <v>0</v>
      </c>
      <c r="P792" s="27" t="s">
        <v>95</v>
      </c>
      <c r="Q792" s="27">
        <v>4.948689</v>
      </c>
      <c r="S792" s="27">
        <v>3</v>
      </c>
      <c r="T792" s="27">
        <v>1</v>
      </c>
      <c r="U792" s="27">
        <v>0.75</v>
      </c>
      <c r="V792" s="27" t="s">
        <v>87</v>
      </c>
      <c r="W792" s="27">
        <v>419.97</v>
      </c>
      <c r="X792" s="27">
        <v>1.386294</v>
      </c>
      <c r="Y792" s="27">
        <v>6.042562</v>
      </c>
      <c r="Z792" s="27">
        <v>1</v>
      </c>
      <c r="AA792" s="27" t="s">
        <v>187</v>
      </c>
      <c r="AB792" s="27">
        <v>0</v>
      </c>
      <c r="AC792" s="27">
        <v>0</v>
      </c>
      <c r="AD792" s="27">
        <v>0</v>
      </c>
      <c r="AE792" s="27">
        <v>1</v>
      </c>
      <c r="AF792" s="27">
        <v>0</v>
      </c>
      <c r="AG792" s="27">
        <v>0</v>
      </c>
      <c r="AH792" s="27">
        <v>0</v>
      </c>
      <c r="AI792" s="27">
        <v>0</v>
      </c>
      <c r="AJ792" s="27">
        <v>0</v>
      </c>
      <c r="AK792" s="27">
        <v>0</v>
      </c>
      <c r="AL792" s="27">
        <v>0</v>
      </c>
      <c r="AM792" s="27">
        <v>0</v>
      </c>
      <c r="AN792" s="27">
        <v>0</v>
      </c>
      <c r="AO792" s="27">
        <v>0</v>
      </c>
      <c r="AP792" s="27">
        <v>0</v>
      </c>
      <c r="AQ792" s="27">
        <v>0</v>
      </c>
      <c r="AR792" s="27">
        <v>0</v>
      </c>
      <c r="AS792" s="27">
        <v>0</v>
      </c>
      <c r="AT792" s="27">
        <v>1</v>
      </c>
      <c r="AU792" s="27">
        <v>0</v>
      </c>
      <c r="AV792" s="27">
        <v>0</v>
      </c>
      <c r="AW792" s="27">
        <v>0</v>
      </c>
      <c r="AX792" s="27">
        <v>0</v>
      </c>
      <c r="AZ792" s="27">
        <v>1</v>
      </c>
      <c r="BA792" s="27">
        <v>1</v>
      </c>
      <c r="BB792" s="27">
        <v>59.67</v>
      </c>
      <c r="BC792" s="27" t="s">
        <v>2341</v>
      </c>
      <c r="BD792" s="27" t="s">
        <v>2342</v>
      </c>
      <c r="BE792" s="27" t="s">
        <v>997</v>
      </c>
      <c r="BF792" s="27" t="s">
        <v>77</v>
      </c>
      <c r="BG792" s="27">
        <v>168</v>
      </c>
      <c r="BH792" s="27">
        <v>54</v>
      </c>
      <c r="BI792" s="27">
        <v>0.7568</v>
      </c>
      <c r="BJ792" s="27">
        <v>0</v>
      </c>
      <c r="BK792" s="27">
        <v>4</v>
      </c>
      <c r="BL792" s="27">
        <v>98.9</v>
      </c>
    </row>
    <row r="793" customHeight="1" spans="1:64">
      <c r="A793" s="27" t="s">
        <v>2343</v>
      </c>
      <c r="B793" s="27" t="s">
        <v>125</v>
      </c>
      <c r="D793" s="27">
        <v>726084614659</v>
      </c>
      <c r="E793" s="27" t="s">
        <v>163</v>
      </c>
      <c r="F793" s="27" t="s">
        <v>198</v>
      </c>
      <c r="G793" s="27" t="s">
        <v>83</v>
      </c>
      <c r="H793" s="27" t="s">
        <v>138</v>
      </c>
      <c r="I793" s="27" t="s">
        <v>85</v>
      </c>
      <c r="J793" s="27">
        <v>5</v>
      </c>
      <c r="K793" s="27">
        <v>89.86</v>
      </c>
      <c r="M793" s="27">
        <v>0</v>
      </c>
      <c r="N793" s="27">
        <v>0</v>
      </c>
      <c r="O793" s="27">
        <v>0</v>
      </c>
      <c r="P793" s="27" t="s">
        <v>95</v>
      </c>
      <c r="Q793" s="27">
        <v>4.50932</v>
      </c>
      <c r="S793" s="27">
        <v>1</v>
      </c>
      <c r="T793" s="27">
        <v>1</v>
      </c>
      <c r="U793" s="27">
        <v>0.5</v>
      </c>
      <c r="V793" s="27" t="s">
        <v>87</v>
      </c>
      <c r="W793" s="27">
        <v>89.86</v>
      </c>
      <c r="X793" s="27">
        <v>0.693147</v>
      </c>
      <c r="Y793" s="27">
        <v>4.50932</v>
      </c>
      <c r="Z793" s="27">
        <v>1</v>
      </c>
      <c r="AA793" s="27" t="s">
        <v>125</v>
      </c>
      <c r="AB793" s="27">
        <v>0</v>
      </c>
      <c r="AC793" s="27">
        <v>0</v>
      </c>
      <c r="AD793" s="27">
        <v>0</v>
      </c>
      <c r="AE793" s="27">
        <v>0</v>
      </c>
      <c r="AF793" s="27">
        <v>0</v>
      </c>
      <c r="AG793" s="27">
        <v>0</v>
      </c>
      <c r="AH793" s="27">
        <v>1</v>
      </c>
      <c r="AI793" s="27">
        <v>0</v>
      </c>
      <c r="AJ793" s="27">
        <v>0</v>
      </c>
      <c r="AK793" s="27">
        <v>0</v>
      </c>
      <c r="AL793" s="27">
        <v>0</v>
      </c>
      <c r="AM793" s="27">
        <v>0</v>
      </c>
      <c r="AN793" s="27">
        <v>0</v>
      </c>
      <c r="AO793" s="27">
        <v>0</v>
      </c>
      <c r="AP793" s="27">
        <v>0</v>
      </c>
      <c r="AQ793" s="27">
        <v>0</v>
      </c>
      <c r="AR793" s="27">
        <v>0</v>
      </c>
      <c r="AS793" s="27">
        <v>0</v>
      </c>
      <c r="AT793" s="27">
        <v>0</v>
      </c>
      <c r="AU793" s="27">
        <v>0</v>
      </c>
      <c r="AV793" s="27">
        <v>0</v>
      </c>
      <c r="AW793" s="27">
        <v>1</v>
      </c>
      <c r="AX793" s="27">
        <v>0</v>
      </c>
      <c r="AZ793" s="27">
        <v>3</v>
      </c>
      <c r="BA793" s="27">
        <v>1</v>
      </c>
      <c r="BB793" s="27">
        <v>49.85</v>
      </c>
      <c r="BC793" s="27" t="s">
        <v>847</v>
      </c>
      <c r="BG793" s="27">
        <v>0</v>
      </c>
      <c r="BH793" s="27">
        <v>0</v>
      </c>
      <c r="BJ793" s="27">
        <v>0</v>
      </c>
      <c r="BK793" s="27">
        <v>2</v>
      </c>
      <c r="BL793" s="27">
        <v>99.5</v>
      </c>
    </row>
    <row r="794" customHeight="1" spans="1:64">
      <c r="A794" s="27" t="s">
        <v>2344</v>
      </c>
      <c r="B794" s="27" t="s">
        <v>125</v>
      </c>
      <c r="E794" s="27" t="s">
        <v>81</v>
      </c>
      <c r="F794" s="27" t="s">
        <v>82</v>
      </c>
      <c r="G794" s="27" t="s">
        <v>83</v>
      </c>
      <c r="H794" s="27" t="s">
        <v>138</v>
      </c>
      <c r="I794" s="27" t="s">
        <v>85</v>
      </c>
      <c r="J794" s="27">
        <v>5</v>
      </c>
      <c r="K794" s="27">
        <v>27.99</v>
      </c>
      <c r="M794" s="27">
        <v>0</v>
      </c>
      <c r="N794" s="27">
        <v>0</v>
      </c>
      <c r="O794" s="27">
        <v>0</v>
      </c>
      <c r="P794" s="27" t="s">
        <v>86</v>
      </c>
      <c r="Q794" s="27">
        <v>3.366951</v>
      </c>
      <c r="S794" s="27">
        <v>49</v>
      </c>
      <c r="T794" s="27">
        <v>10</v>
      </c>
      <c r="U794" s="27">
        <v>0.8305</v>
      </c>
      <c r="V794" s="27" t="s">
        <v>72</v>
      </c>
      <c r="W794" s="27">
        <v>1371.51</v>
      </c>
      <c r="X794" s="27">
        <v>3.912023</v>
      </c>
      <c r="Y794" s="27">
        <v>7.224396</v>
      </c>
      <c r="Z794" s="27">
        <v>3.1623</v>
      </c>
      <c r="AA794" s="27" t="s">
        <v>73</v>
      </c>
      <c r="AB794" s="27">
        <v>0</v>
      </c>
      <c r="AC794" s="27">
        <v>0</v>
      </c>
      <c r="AD794" s="27">
        <v>0</v>
      </c>
      <c r="AE794" s="27">
        <v>0</v>
      </c>
      <c r="AF794" s="27">
        <v>0</v>
      </c>
      <c r="AG794" s="27">
        <v>0</v>
      </c>
      <c r="AH794" s="27">
        <v>1</v>
      </c>
      <c r="AI794" s="27">
        <v>0</v>
      </c>
      <c r="AJ794" s="27">
        <v>0</v>
      </c>
      <c r="AK794" s="27">
        <v>0</v>
      </c>
      <c r="AL794" s="27">
        <v>0</v>
      </c>
      <c r="AM794" s="27">
        <v>0</v>
      </c>
      <c r="AN794" s="27">
        <v>0</v>
      </c>
      <c r="AO794" s="27">
        <v>0</v>
      </c>
      <c r="AP794" s="27">
        <v>0</v>
      </c>
      <c r="AQ794" s="27">
        <v>1</v>
      </c>
      <c r="AR794" s="27">
        <v>0</v>
      </c>
      <c r="AS794" s="27">
        <v>0</v>
      </c>
      <c r="AT794" s="27">
        <v>0</v>
      </c>
      <c r="AU794" s="27">
        <v>0</v>
      </c>
      <c r="AV794" s="27">
        <v>1</v>
      </c>
      <c r="AW794" s="27">
        <v>0</v>
      </c>
      <c r="AX794" s="27">
        <v>0</v>
      </c>
      <c r="AZ794" s="27">
        <v>1</v>
      </c>
      <c r="BA794" s="27">
        <v>2</v>
      </c>
      <c r="BB794" s="27">
        <v>62.98</v>
      </c>
      <c r="BC794" s="27" t="s">
        <v>1980</v>
      </c>
      <c r="BD794" s="27" t="s">
        <v>356</v>
      </c>
      <c r="BE794" s="27" t="s">
        <v>287</v>
      </c>
      <c r="BF794" s="27" t="s">
        <v>77</v>
      </c>
      <c r="BG794" s="27">
        <v>1</v>
      </c>
      <c r="BH794" s="27">
        <v>48</v>
      </c>
      <c r="BI794" s="27">
        <v>0.0204</v>
      </c>
      <c r="BJ794" s="27">
        <v>1</v>
      </c>
      <c r="BK794" s="27">
        <v>3</v>
      </c>
      <c r="BL794" s="27">
        <v>99.2</v>
      </c>
    </row>
    <row r="795" customHeight="1" spans="1:64">
      <c r="A795" s="27" t="s">
        <v>2345</v>
      </c>
      <c r="B795" s="27" t="s">
        <v>93</v>
      </c>
      <c r="E795" s="27" t="s">
        <v>132</v>
      </c>
      <c r="F795" s="27" t="s">
        <v>132</v>
      </c>
      <c r="G795" s="27" t="s">
        <v>93</v>
      </c>
      <c r="H795" s="27" t="s">
        <v>69</v>
      </c>
      <c r="I795" s="27" t="s">
        <v>85</v>
      </c>
      <c r="J795" s="27">
        <v>5</v>
      </c>
      <c r="K795" s="27">
        <v>29.99</v>
      </c>
      <c r="M795" s="27">
        <v>0</v>
      </c>
      <c r="N795" s="27">
        <v>0</v>
      </c>
      <c r="O795" s="27">
        <v>0</v>
      </c>
      <c r="P795" s="27" t="s">
        <v>86</v>
      </c>
      <c r="Q795" s="27">
        <v>3.433665</v>
      </c>
      <c r="S795" s="27">
        <v>35</v>
      </c>
      <c r="T795" s="27">
        <v>10</v>
      </c>
      <c r="U795" s="27">
        <v>0.7778</v>
      </c>
      <c r="V795" s="27" t="s">
        <v>72</v>
      </c>
      <c r="W795" s="27">
        <v>1049.65</v>
      </c>
      <c r="X795" s="27">
        <v>3.583519</v>
      </c>
      <c r="Y795" s="27">
        <v>6.957164</v>
      </c>
      <c r="Z795" s="27">
        <v>3.1623</v>
      </c>
      <c r="AA795" s="27" t="s">
        <v>125</v>
      </c>
      <c r="AB795" s="27">
        <v>0</v>
      </c>
      <c r="AC795" s="27">
        <v>0</v>
      </c>
      <c r="AD795" s="27">
        <v>0</v>
      </c>
      <c r="AE795" s="27">
        <v>1</v>
      </c>
      <c r="AF795" s="27">
        <v>1</v>
      </c>
      <c r="AG795" s="27">
        <v>0</v>
      </c>
      <c r="AH795" s="27">
        <v>0</v>
      </c>
      <c r="AI795" s="27">
        <v>0</v>
      </c>
      <c r="AJ795" s="27">
        <v>0</v>
      </c>
      <c r="AK795" s="27">
        <v>0</v>
      </c>
      <c r="AL795" s="27">
        <v>0</v>
      </c>
      <c r="AM795" s="27">
        <v>0</v>
      </c>
      <c r="AN795" s="27">
        <v>0</v>
      </c>
      <c r="AO795" s="27">
        <v>0</v>
      </c>
      <c r="AP795" s="27">
        <v>0</v>
      </c>
      <c r="AQ795" s="27">
        <v>0</v>
      </c>
      <c r="AR795" s="27">
        <v>0</v>
      </c>
      <c r="AS795" s="27">
        <v>0</v>
      </c>
      <c r="AT795" s="27">
        <v>0</v>
      </c>
      <c r="AU795" s="27">
        <v>0</v>
      </c>
      <c r="AV795" s="27">
        <v>0</v>
      </c>
      <c r="AW795" s="27">
        <v>0</v>
      </c>
      <c r="AX795" s="27">
        <v>0</v>
      </c>
      <c r="AZ795" s="27">
        <v>1</v>
      </c>
      <c r="BA795" s="27">
        <v>1</v>
      </c>
      <c r="BB795" s="27">
        <v>60.96</v>
      </c>
      <c r="BC795" s="27" t="s">
        <v>96</v>
      </c>
      <c r="BD795" s="27" t="s">
        <v>97</v>
      </c>
      <c r="BE795" s="27" t="s">
        <v>98</v>
      </c>
      <c r="BF795" s="27" t="s">
        <v>77</v>
      </c>
      <c r="BG795" s="27">
        <v>1</v>
      </c>
      <c r="BH795" s="27">
        <v>28</v>
      </c>
      <c r="BI795" s="27">
        <v>0.0345</v>
      </c>
      <c r="BJ795" s="27">
        <v>1</v>
      </c>
      <c r="BK795" s="27">
        <v>2</v>
      </c>
      <c r="BL795" s="27">
        <v>99.5</v>
      </c>
    </row>
    <row r="796" customHeight="1" spans="1:64">
      <c r="A796" s="27" t="s">
        <v>2346</v>
      </c>
      <c r="B796" s="27" t="s">
        <v>171</v>
      </c>
      <c r="C796" s="27" t="s">
        <v>2347</v>
      </c>
      <c r="E796" s="27" t="s">
        <v>250</v>
      </c>
      <c r="F796" s="27" t="s">
        <v>160</v>
      </c>
      <c r="G796" s="27" t="s">
        <v>83</v>
      </c>
      <c r="H796" s="27" t="s">
        <v>84</v>
      </c>
      <c r="I796" s="27" t="s">
        <v>85</v>
      </c>
      <c r="J796" s="27">
        <v>5</v>
      </c>
      <c r="K796" s="27">
        <v>17.49</v>
      </c>
      <c r="M796" s="27">
        <v>0</v>
      </c>
      <c r="N796" s="27">
        <v>0</v>
      </c>
      <c r="O796" s="27">
        <v>0</v>
      </c>
      <c r="P796" s="27" t="s">
        <v>133</v>
      </c>
      <c r="Q796" s="27">
        <v>2.91723</v>
      </c>
      <c r="S796" s="27">
        <v>261</v>
      </c>
      <c r="T796" s="27">
        <v>100</v>
      </c>
      <c r="U796" s="27">
        <v>0.723</v>
      </c>
      <c r="V796" s="27" t="s">
        <v>154</v>
      </c>
      <c r="W796" s="27">
        <v>4564.89</v>
      </c>
      <c r="X796" s="27">
        <v>5.568345</v>
      </c>
      <c r="Y796" s="27">
        <v>8.426369</v>
      </c>
      <c r="Z796" s="27">
        <v>10</v>
      </c>
      <c r="AA796" s="27" t="s">
        <v>187</v>
      </c>
      <c r="AB796" s="27">
        <v>0</v>
      </c>
      <c r="AC796" s="27">
        <v>0</v>
      </c>
      <c r="AD796" s="27">
        <v>0</v>
      </c>
      <c r="AE796" s="27">
        <v>0</v>
      </c>
      <c r="AF796" s="27">
        <v>0</v>
      </c>
      <c r="AG796" s="27">
        <v>0</v>
      </c>
      <c r="AH796" s="27">
        <v>0</v>
      </c>
      <c r="AI796" s="27">
        <v>0</v>
      </c>
      <c r="AJ796" s="27">
        <v>0</v>
      </c>
      <c r="AK796" s="27">
        <v>0</v>
      </c>
      <c r="AL796" s="27">
        <v>0</v>
      </c>
      <c r="AM796" s="27">
        <v>0</v>
      </c>
      <c r="AN796" s="27">
        <v>0</v>
      </c>
      <c r="AO796" s="27">
        <v>0</v>
      </c>
      <c r="AP796" s="27">
        <v>0</v>
      </c>
      <c r="AQ796" s="27">
        <v>1</v>
      </c>
      <c r="AR796" s="27">
        <v>0</v>
      </c>
      <c r="AS796" s="27">
        <v>0</v>
      </c>
      <c r="AT796" s="27">
        <v>1</v>
      </c>
      <c r="AU796" s="27">
        <v>0</v>
      </c>
      <c r="AV796" s="27">
        <v>1</v>
      </c>
      <c r="AW796" s="27">
        <v>0</v>
      </c>
      <c r="AX796" s="27">
        <v>0</v>
      </c>
      <c r="AZ796" s="27">
        <v>1</v>
      </c>
      <c r="BA796" s="27">
        <v>1</v>
      </c>
      <c r="BB796" s="27">
        <v>58.44</v>
      </c>
      <c r="BC796" s="27" t="s">
        <v>251</v>
      </c>
      <c r="BD796" s="27" t="s">
        <v>175</v>
      </c>
      <c r="BE796" s="27" t="s">
        <v>91</v>
      </c>
      <c r="BF796" s="27" t="s">
        <v>77</v>
      </c>
      <c r="BG796" s="27">
        <v>162</v>
      </c>
      <c r="BH796" s="27">
        <v>60</v>
      </c>
      <c r="BI796" s="27">
        <v>0.7297</v>
      </c>
      <c r="BJ796" s="27">
        <v>0</v>
      </c>
      <c r="BK796" s="27">
        <v>6</v>
      </c>
      <c r="BL796" s="27">
        <v>98.4</v>
      </c>
    </row>
    <row r="797" customHeight="1" spans="1:64">
      <c r="A797" s="27" t="s">
        <v>2348</v>
      </c>
      <c r="B797" s="27" t="s">
        <v>93</v>
      </c>
      <c r="E797" s="27" t="s">
        <v>250</v>
      </c>
      <c r="F797" s="27" t="s">
        <v>82</v>
      </c>
      <c r="G797" s="27" t="s">
        <v>93</v>
      </c>
      <c r="H797" s="27" t="s">
        <v>69</v>
      </c>
      <c r="I797" s="27" t="s">
        <v>85</v>
      </c>
      <c r="J797" s="27">
        <v>5</v>
      </c>
      <c r="K797" s="27">
        <v>179.99</v>
      </c>
      <c r="M797" s="27">
        <v>0</v>
      </c>
      <c r="N797" s="27">
        <v>0</v>
      </c>
      <c r="O797" s="27">
        <v>0</v>
      </c>
      <c r="P797" s="27" t="s">
        <v>95</v>
      </c>
      <c r="Q797" s="27">
        <v>5.198442</v>
      </c>
      <c r="S797" s="27">
        <v>49</v>
      </c>
      <c r="T797" s="27">
        <v>20</v>
      </c>
      <c r="U797" s="27">
        <v>0.7101</v>
      </c>
      <c r="V797" s="27" t="s">
        <v>72</v>
      </c>
      <c r="W797" s="27">
        <v>8819.51</v>
      </c>
      <c r="X797" s="27">
        <v>3.912023</v>
      </c>
      <c r="Y797" s="27">
        <v>9.084835</v>
      </c>
      <c r="Z797" s="27">
        <v>4.4721</v>
      </c>
      <c r="AA797" s="27" t="s">
        <v>73</v>
      </c>
      <c r="AB797" s="27">
        <v>0</v>
      </c>
      <c r="AC797" s="27">
        <v>0</v>
      </c>
      <c r="AD797" s="27">
        <v>1</v>
      </c>
      <c r="AE797" s="27">
        <v>1</v>
      </c>
      <c r="AF797" s="27">
        <v>0</v>
      </c>
      <c r="AG797" s="27">
        <v>0</v>
      </c>
      <c r="AH797" s="27">
        <v>0</v>
      </c>
      <c r="AI797" s="27">
        <v>0</v>
      </c>
      <c r="AJ797" s="27">
        <v>0</v>
      </c>
      <c r="AK797" s="27">
        <v>0</v>
      </c>
      <c r="AL797" s="27">
        <v>0</v>
      </c>
      <c r="AM797" s="27">
        <v>0</v>
      </c>
      <c r="AN797" s="27">
        <v>0</v>
      </c>
      <c r="AO797" s="27">
        <v>0</v>
      </c>
      <c r="AP797" s="27">
        <v>0</v>
      </c>
      <c r="AQ797" s="27">
        <v>0</v>
      </c>
      <c r="AR797" s="27">
        <v>0</v>
      </c>
      <c r="AS797" s="27">
        <v>0</v>
      </c>
      <c r="AT797" s="27">
        <v>0</v>
      </c>
      <c r="AU797" s="27">
        <v>0</v>
      </c>
      <c r="AV797" s="27">
        <v>0</v>
      </c>
      <c r="AW797" s="27">
        <v>0</v>
      </c>
      <c r="AX797" s="27">
        <v>0</v>
      </c>
      <c r="AZ797" s="27">
        <v>1</v>
      </c>
      <c r="BA797" s="27">
        <v>1</v>
      </c>
      <c r="BB797" s="27">
        <v>57.98</v>
      </c>
      <c r="BC797" s="27" t="s">
        <v>96</v>
      </c>
      <c r="BD797" s="27" t="s">
        <v>97</v>
      </c>
      <c r="BE797" s="27" t="s">
        <v>98</v>
      </c>
      <c r="BF797" s="27" t="s">
        <v>77</v>
      </c>
      <c r="BG797" s="27">
        <v>1</v>
      </c>
      <c r="BH797" s="27">
        <v>28</v>
      </c>
      <c r="BI797" s="27">
        <v>0.0345</v>
      </c>
      <c r="BJ797" s="27">
        <v>1</v>
      </c>
      <c r="BK797" s="27">
        <v>5</v>
      </c>
      <c r="BL797" s="27">
        <v>98.6</v>
      </c>
    </row>
    <row r="798" customHeight="1" spans="1:64">
      <c r="A798" s="27" t="s">
        <v>2349</v>
      </c>
      <c r="B798" s="27" t="s">
        <v>448</v>
      </c>
      <c r="C798" s="27" t="s">
        <v>2350</v>
      </c>
      <c r="E798" s="27" t="s">
        <v>255</v>
      </c>
      <c r="F798" s="27" t="s">
        <v>82</v>
      </c>
      <c r="G798" s="27" t="s">
        <v>83</v>
      </c>
      <c r="H798" s="27" t="s">
        <v>450</v>
      </c>
      <c r="I798" s="27" t="s">
        <v>85</v>
      </c>
      <c r="J798" s="27">
        <v>5</v>
      </c>
      <c r="K798" s="27">
        <v>255</v>
      </c>
      <c r="M798" s="27">
        <v>0</v>
      </c>
      <c r="N798" s="27">
        <v>0</v>
      </c>
      <c r="O798" s="27">
        <v>0</v>
      </c>
      <c r="P798" s="27" t="s">
        <v>71</v>
      </c>
      <c r="Q798" s="27">
        <v>5.545177</v>
      </c>
      <c r="S798" s="27">
        <v>46</v>
      </c>
      <c r="T798" s="27">
        <v>10</v>
      </c>
      <c r="U798" s="27">
        <v>0.8214</v>
      </c>
      <c r="V798" s="27" t="s">
        <v>72</v>
      </c>
      <c r="W798" s="27">
        <v>11730</v>
      </c>
      <c r="X798" s="27">
        <v>3.850148</v>
      </c>
      <c r="Y798" s="27">
        <v>9.36999</v>
      </c>
      <c r="Z798" s="27">
        <v>3.1623</v>
      </c>
      <c r="AA798" s="27" t="s">
        <v>125</v>
      </c>
      <c r="AB798" s="27">
        <v>0</v>
      </c>
      <c r="AC798" s="27">
        <v>0</v>
      </c>
      <c r="AD798" s="27">
        <v>0</v>
      </c>
      <c r="AE798" s="27">
        <v>0</v>
      </c>
      <c r="AF798" s="27">
        <v>0</v>
      </c>
      <c r="AG798" s="27">
        <v>0</v>
      </c>
      <c r="AH798" s="27">
        <v>0</v>
      </c>
      <c r="AI798" s="27">
        <v>0</v>
      </c>
      <c r="AJ798" s="27">
        <v>0</v>
      </c>
      <c r="AK798" s="27">
        <v>0</v>
      </c>
      <c r="AL798" s="27">
        <v>0</v>
      </c>
      <c r="AM798" s="27">
        <v>0</v>
      </c>
      <c r="AN798" s="27">
        <v>0</v>
      </c>
      <c r="AO798" s="27">
        <v>0</v>
      </c>
      <c r="AP798" s="27">
        <v>0</v>
      </c>
      <c r="AQ798" s="27">
        <v>0</v>
      </c>
      <c r="AR798" s="27">
        <v>0</v>
      </c>
      <c r="AS798" s="27">
        <v>0</v>
      </c>
      <c r="AT798" s="27">
        <v>1</v>
      </c>
      <c r="AU798" s="27">
        <v>1</v>
      </c>
      <c r="AV798" s="27">
        <v>0</v>
      </c>
      <c r="AW798" s="27">
        <v>0</v>
      </c>
      <c r="AX798" s="27">
        <v>0</v>
      </c>
      <c r="AZ798" s="27">
        <v>1</v>
      </c>
      <c r="BA798" s="27">
        <v>0</v>
      </c>
      <c r="BB798" s="27">
        <v>61.45</v>
      </c>
      <c r="BC798" s="27" t="s">
        <v>2351</v>
      </c>
      <c r="BD798" s="27" t="s">
        <v>2352</v>
      </c>
      <c r="BE798" s="27" t="s">
        <v>128</v>
      </c>
      <c r="BF798" s="27" t="s">
        <v>77</v>
      </c>
      <c r="BG798" s="27">
        <v>2</v>
      </c>
      <c r="BH798" s="27">
        <v>220</v>
      </c>
      <c r="BI798" s="27">
        <v>0.009</v>
      </c>
      <c r="BJ798" s="27">
        <v>0</v>
      </c>
      <c r="BK798" s="27">
        <v>17</v>
      </c>
      <c r="BL798" s="27">
        <v>95.3</v>
      </c>
    </row>
    <row r="799" customHeight="1" spans="1:64">
      <c r="A799" s="27" t="s">
        <v>2353</v>
      </c>
      <c r="B799" s="27" t="s">
        <v>2354</v>
      </c>
      <c r="C799" s="27" t="s">
        <v>2355</v>
      </c>
      <c r="E799" s="27" t="s">
        <v>559</v>
      </c>
      <c r="F799" s="27" t="s">
        <v>160</v>
      </c>
      <c r="G799" s="27" t="s">
        <v>83</v>
      </c>
      <c r="H799" s="27" t="s">
        <v>84</v>
      </c>
      <c r="I799" s="27" t="s">
        <v>85</v>
      </c>
      <c r="J799" s="27">
        <v>5</v>
      </c>
      <c r="K799" s="27">
        <v>599.89</v>
      </c>
      <c r="M799" s="27">
        <v>0</v>
      </c>
      <c r="N799" s="27">
        <v>0</v>
      </c>
      <c r="O799" s="27">
        <v>0</v>
      </c>
      <c r="P799" s="27" t="s">
        <v>147</v>
      </c>
      <c r="Q799" s="27">
        <v>6.398412</v>
      </c>
      <c r="R799" s="27">
        <v>18.75</v>
      </c>
      <c r="S799" s="27">
        <v>4</v>
      </c>
      <c r="T799" s="27">
        <v>10</v>
      </c>
      <c r="U799" s="27">
        <v>0.2857</v>
      </c>
      <c r="V799" s="27" t="s">
        <v>87</v>
      </c>
      <c r="W799" s="27">
        <v>2399.56</v>
      </c>
      <c r="X799" s="27">
        <v>1.609438</v>
      </c>
      <c r="Y799" s="27">
        <v>7.783457</v>
      </c>
      <c r="Z799" s="27">
        <v>3.1623</v>
      </c>
      <c r="AA799" s="27" t="s">
        <v>187</v>
      </c>
      <c r="AB799" s="27">
        <v>0</v>
      </c>
      <c r="AC799" s="27">
        <v>0</v>
      </c>
      <c r="AD799" s="27">
        <v>0</v>
      </c>
      <c r="AE799" s="27">
        <v>0</v>
      </c>
      <c r="AF799" s="27">
        <v>0</v>
      </c>
      <c r="AG799" s="27">
        <v>1</v>
      </c>
      <c r="AH799" s="27">
        <v>0</v>
      </c>
      <c r="AI799" s="27">
        <v>1</v>
      </c>
      <c r="AJ799" s="27">
        <v>0</v>
      </c>
      <c r="AK799" s="27">
        <v>0</v>
      </c>
      <c r="AL799" s="27">
        <v>0</v>
      </c>
      <c r="AM799" s="27">
        <v>0</v>
      </c>
      <c r="AN799" s="27">
        <v>0</v>
      </c>
      <c r="AO799" s="27">
        <v>0</v>
      </c>
      <c r="AP799" s="27">
        <v>0</v>
      </c>
      <c r="AQ799" s="27">
        <v>1</v>
      </c>
      <c r="AR799" s="27">
        <v>0</v>
      </c>
      <c r="AS799" s="27">
        <v>0</v>
      </c>
      <c r="AT799" s="27">
        <v>0</v>
      </c>
      <c r="AU799" s="27">
        <v>0</v>
      </c>
      <c r="AV799" s="27">
        <v>1</v>
      </c>
      <c r="AW799" s="27">
        <v>0</v>
      </c>
      <c r="AX799" s="27">
        <v>0</v>
      </c>
      <c r="AY799" s="27">
        <v>32</v>
      </c>
      <c r="AZ799" s="27">
        <v>1</v>
      </c>
      <c r="BA799" s="27">
        <v>1</v>
      </c>
      <c r="BB799" s="27">
        <v>28.77</v>
      </c>
      <c r="BC799" s="27" t="s">
        <v>2356</v>
      </c>
      <c r="BD799" s="27" t="s">
        <v>2357</v>
      </c>
      <c r="BE799" s="27" t="s">
        <v>76</v>
      </c>
      <c r="BF799" s="27" t="s">
        <v>77</v>
      </c>
      <c r="BG799" s="27">
        <v>162</v>
      </c>
      <c r="BH799" s="27">
        <v>20</v>
      </c>
      <c r="BI799" s="27">
        <v>0.8901</v>
      </c>
      <c r="BJ799" s="27">
        <v>0</v>
      </c>
      <c r="BK799" s="27">
        <v>154</v>
      </c>
      <c r="BL799" s="27">
        <v>57.8</v>
      </c>
    </row>
    <row r="800" customHeight="1" spans="1:64">
      <c r="A800" s="27" t="s">
        <v>2358</v>
      </c>
      <c r="B800" s="27" t="s">
        <v>1174</v>
      </c>
      <c r="C800" s="27" t="s">
        <v>2359</v>
      </c>
      <c r="E800" s="27" t="s">
        <v>239</v>
      </c>
      <c r="F800" s="27" t="s">
        <v>240</v>
      </c>
      <c r="G800" s="27" t="s">
        <v>83</v>
      </c>
      <c r="H800" s="27" t="s">
        <v>84</v>
      </c>
      <c r="I800" s="27" t="s">
        <v>153</v>
      </c>
      <c r="J800" s="27">
        <v>2</v>
      </c>
      <c r="K800" s="27">
        <v>259.99</v>
      </c>
      <c r="M800" s="27">
        <v>0</v>
      </c>
      <c r="N800" s="27">
        <v>0</v>
      </c>
      <c r="O800" s="27">
        <v>0</v>
      </c>
      <c r="P800" s="27" t="s">
        <v>71</v>
      </c>
      <c r="Q800" s="27">
        <v>5.564482</v>
      </c>
      <c r="V800" s="27" t="s">
        <v>231</v>
      </c>
      <c r="W800" s="27">
        <v>0</v>
      </c>
      <c r="X800" s="27">
        <v>0</v>
      </c>
      <c r="Y800" s="27">
        <v>0</v>
      </c>
      <c r="Z800" s="27">
        <v>0</v>
      </c>
      <c r="AA800" s="27" t="s">
        <v>125</v>
      </c>
      <c r="AB800" s="27">
        <v>0</v>
      </c>
      <c r="AC800" s="27">
        <v>0</v>
      </c>
      <c r="AD800" s="27">
        <v>0</v>
      </c>
      <c r="AE800" s="27">
        <v>0</v>
      </c>
      <c r="AF800" s="27">
        <v>0</v>
      </c>
      <c r="AG800" s="27">
        <v>0</v>
      </c>
      <c r="AH800" s="27">
        <v>0</v>
      </c>
      <c r="AI800" s="27">
        <v>0</v>
      </c>
      <c r="AJ800" s="27">
        <v>0</v>
      </c>
      <c r="AK800" s="27">
        <v>0</v>
      </c>
      <c r="AL800" s="27">
        <v>0</v>
      </c>
      <c r="AM800" s="27">
        <v>0</v>
      </c>
      <c r="AN800" s="27">
        <v>0</v>
      </c>
      <c r="AO800" s="27">
        <v>0</v>
      </c>
      <c r="AP800" s="27">
        <v>0</v>
      </c>
      <c r="AQ800" s="27">
        <v>1</v>
      </c>
      <c r="AR800" s="27">
        <v>0</v>
      </c>
      <c r="AS800" s="27">
        <v>0</v>
      </c>
      <c r="AT800" s="27">
        <v>0</v>
      </c>
      <c r="AU800" s="27">
        <v>0</v>
      </c>
      <c r="AV800" s="27">
        <v>1</v>
      </c>
      <c r="AW800" s="27">
        <v>0</v>
      </c>
      <c r="AX800" s="27">
        <v>0</v>
      </c>
      <c r="AZ800" s="27">
        <v>1</v>
      </c>
      <c r="BA800" s="27">
        <v>1</v>
      </c>
      <c r="BB800" s="27">
        <v>0</v>
      </c>
      <c r="BC800" s="27" t="s">
        <v>1236</v>
      </c>
      <c r="BD800" s="27" t="s">
        <v>1237</v>
      </c>
      <c r="BE800" s="27" t="s">
        <v>1110</v>
      </c>
      <c r="BF800" s="27" t="s">
        <v>77</v>
      </c>
      <c r="BG800" s="27">
        <v>162</v>
      </c>
      <c r="BH800" s="27">
        <v>60</v>
      </c>
      <c r="BI800" s="27">
        <v>0.7297</v>
      </c>
      <c r="BJ800" s="27">
        <v>0</v>
      </c>
      <c r="BK800" s="27">
        <v>562</v>
      </c>
      <c r="BL800" s="27">
        <v>0</v>
      </c>
    </row>
    <row r="801" customHeight="1" spans="1:64">
      <c r="A801" s="27" t="s">
        <v>2360</v>
      </c>
      <c r="B801" s="27" t="s">
        <v>301</v>
      </c>
      <c r="C801" s="27" t="s">
        <v>2361</v>
      </c>
      <c r="E801" s="27" t="s">
        <v>559</v>
      </c>
      <c r="F801" s="27" t="s">
        <v>68</v>
      </c>
      <c r="G801" s="27" t="s">
        <v>83</v>
      </c>
      <c r="H801" s="27" t="s">
        <v>84</v>
      </c>
      <c r="I801" s="27" t="s">
        <v>153</v>
      </c>
      <c r="J801" s="27">
        <v>2</v>
      </c>
      <c r="K801" s="27">
        <v>64.88</v>
      </c>
      <c r="M801" s="27">
        <v>0</v>
      </c>
      <c r="N801" s="27">
        <v>0</v>
      </c>
      <c r="O801" s="27">
        <v>0</v>
      </c>
      <c r="P801" s="27" t="s">
        <v>86</v>
      </c>
      <c r="Q801" s="27">
        <v>4.187835</v>
      </c>
      <c r="R801" s="27">
        <v>16.22</v>
      </c>
      <c r="V801" s="27" t="s">
        <v>231</v>
      </c>
      <c r="W801" s="27">
        <v>0</v>
      </c>
      <c r="X801" s="27">
        <v>0</v>
      </c>
      <c r="Y801" s="27">
        <v>0</v>
      </c>
      <c r="Z801" s="27">
        <v>0</v>
      </c>
      <c r="AA801" s="27" t="s">
        <v>125</v>
      </c>
      <c r="AB801" s="27">
        <v>0</v>
      </c>
      <c r="AC801" s="27">
        <v>0</v>
      </c>
      <c r="AD801" s="27">
        <v>0</v>
      </c>
      <c r="AE801" s="27">
        <v>0</v>
      </c>
      <c r="AF801" s="27">
        <v>0</v>
      </c>
      <c r="AG801" s="27">
        <v>0</v>
      </c>
      <c r="AH801" s="27">
        <v>0</v>
      </c>
      <c r="AI801" s="27">
        <v>0</v>
      </c>
      <c r="AJ801" s="27">
        <v>0</v>
      </c>
      <c r="AK801" s="27">
        <v>0</v>
      </c>
      <c r="AL801" s="27">
        <v>0</v>
      </c>
      <c r="AM801" s="27">
        <v>0</v>
      </c>
      <c r="AN801" s="27">
        <v>0</v>
      </c>
      <c r="AO801" s="27">
        <v>0</v>
      </c>
      <c r="AP801" s="27">
        <v>0</v>
      </c>
      <c r="AQ801" s="27">
        <v>1</v>
      </c>
      <c r="AR801" s="27">
        <v>0</v>
      </c>
      <c r="AS801" s="27">
        <v>0</v>
      </c>
      <c r="AT801" s="27">
        <v>0</v>
      </c>
      <c r="AU801" s="27">
        <v>0</v>
      </c>
      <c r="AV801" s="27">
        <v>1</v>
      </c>
      <c r="AW801" s="27">
        <v>0</v>
      </c>
      <c r="AX801" s="27">
        <v>0</v>
      </c>
      <c r="AY801" s="27">
        <v>4</v>
      </c>
      <c r="AZ801" s="27">
        <v>1</v>
      </c>
      <c r="BA801" s="27">
        <v>1</v>
      </c>
      <c r="BB801" s="27">
        <v>0</v>
      </c>
      <c r="BC801" s="27" t="s">
        <v>2362</v>
      </c>
      <c r="BD801" s="27" t="s">
        <v>2363</v>
      </c>
      <c r="BE801" s="27" t="s">
        <v>620</v>
      </c>
      <c r="BF801" s="27" t="s">
        <v>77</v>
      </c>
      <c r="BG801" s="27">
        <v>1</v>
      </c>
      <c r="BH801" s="27">
        <v>11</v>
      </c>
      <c r="BI801" s="27">
        <v>0.0833</v>
      </c>
      <c r="BJ801" s="27">
        <v>1</v>
      </c>
    </row>
    <row r="802" customHeight="1" spans="1:64">
      <c r="A802" s="27" t="s">
        <v>2364</v>
      </c>
      <c r="B802" s="27" t="s">
        <v>2365</v>
      </c>
      <c r="E802" s="27" t="s">
        <v>81</v>
      </c>
      <c r="F802" s="27" t="s">
        <v>240</v>
      </c>
      <c r="G802" s="27" t="s">
        <v>83</v>
      </c>
      <c r="H802" s="27" t="s">
        <v>84</v>
      </c>
      <c r="I802" s="27" t="s">
        <v>85</v>
      </c>
      <c r="J802" s="27">
        <v>5</v>
      </c>
      <c r="K802" s="27">
        <v>19.99</v>
      </c>
      <c r="M802" s="27">
        <v>0</v>
      </c>
      <c r="N802" s="27">
        <v>0</v>
      </c>
      <c r="O802" s="27">
        <v>0</v>
      </c>
      <c r="P802" s="27" t="s">
        <v>133</v>
      </c>
      <c r="Q802" s="27">
        <v>3.044046</v>
      </c>
      <c r="S802" s="27">
        <v>871</v>
      </c>
      <c r="T802" s="27">
        <v>16</v>
      </c>
      <c r="U802" s="27">
        <v>0.982</v>
      </c>
      <c r="V802" s="27" t="s">
        <v>154</v>
      </c>
      <c r="W802" s="27">
        <v>17411.29</v>
      </c>
      <c r="X802" s="27">
        <v>6.770789</v>
      </c>
      <c r="Y802" s="27">
        <v>9.764932</v>
      </c>
      <c r="Z802" s="27">
        <v>4</v>
      </c>
      <c r="AA802" s="27" t="s">
        <v>139</v>
      </c>
      <c r="AB802" s="27">
        <v>0</v>
      </c>
      <c r="AC802" s="27">
        <v>0</v>
      </c>
      <c r="AD802" s="27">
        <v>0</v>
      </c>
      <c r="AE802" s="27">
        <v>0</v>
      </c>
      <c r="AF802" s="27">
        <v>0</v>
      </c>
      <c r="AG802" s="27">
        <v>0</v>
      </c>
      <c r="AH802" s="27">
        <v>1</v>
      </c>
      <c r="AI802" s="27">
        <v>0</v>
      </c>
      <c r="AJ802" s="27">
        <v>0</v>
      </c>
      <c r="AK802" s="27">
        <v>0</v>
      </c>
      <c r="AL802" s="27">
        <v>1</v>
      </c>
      <c r="AM802" s="27">
        <v>0</v>
      </c>
      <c r="AN802" s="27">
        <v>0</v>
      </c>
      <c r="AO802" s="27">
        <v>0</v>
      </c>
      <c r="AP802" s="27">
        <v>0</v>
      </c>
      <c r="AQ802" s="27">
        <v>0</v>
      </c>
      <c r="AR802" s="27">
        <v>0</v>
      </c>
      <c r="AS802" s="27">
        <v>0</v>
      </c>
      <c r="AT802" s="27">
        <v>0</v>
      </c>
      <c r="AU802" s="27">
        <v>0</v>
      </c>
      <c r="AV802" s="27">
        <v>0</v>
      </c>
      <c r="AW802" s="27">
        <v>0</v>
      </c>
      <c r="AX802" s="27">
        <v>0</v>
      </c>
      <c r="AZ802" s="27">
        <v>1</v>
      </c>
      <c r="BA802" s="27">
        <v>1</v>
      </c>
      <c r="BB802" s="27">
        <v>63.7</v>
      </c>
      <c r="BC802" s="27" t="s">
        <v>2366</v>
      </c>
      <c r="BD802" s="27" t="s">
        <v>2286</v>
      </c>
      <c r="BE802" s="27" t="s">
        <v>91</v>
      </c>
      <c r="BF802" s="27" t="s">
        <v>77</v>
      </c>
      <c r="BG802" s="27">
        <v>167</v>
      </c>
      <c r="BH802" s="27">
        <v>49</v>
      </c>
      <c r="BI802" s="27">
        <v>0.7731</v>
      </c>
      <c r="BJ802" s="27">
        <v>0</v>
      </c>
      <c r="BK802" s="27">
        <v>68</v>
      </c>
      <c r="BL802" s="27">
        <v>81.4</v>
      </c>
    </row>
    <row r="803" customHeight="1" spans="1:64">
      <c r="A803" s="27" t="s">
        <v>2367</v>
      </c>
      <c r="B803" s="27" t="s">
        <v>125</v>
      </c>
      <c r="D803" s="27">
        <v>726084631939</v>
      </c>
      <c r="E803" s="27" t="s">
        <v>163</v>
      </c>
      <c r="F803" s="27" t="s">
        <v>82</v>
      </c>
      <c r="G803" s="27" t="s">
        <v>346</v>
      </c>
      <c r="H803" s="27" t="s">
        <v>138</v>
      </c>
      <c r="I803" s="27" t="s">
        <v>85</v>
      </c>
      <c r="J803" s="27">
        <v>5</v>
      </c>
      <c r="K803" s="27">
        <v>14.24</v>
      </c>
      <c r="M803" s="27">
        <v>0</v>
      </c>
      <c r="N803" s="27">
        <v>0</v>
      </c>
      <c r="O803" s="27">
        <v>0</v>
      </c>
      <c r="P803" s="27" t="s">
        <v>133</v>
      </c>
      <c r="Q803" s="27">
        <v>2.723924</v>
      </c>
      <c r="S803" s="27">
        <v>39</v>
      </c>
      <c r="T803" s="27">
        <v>3</v>
      </c>
      <c r="U803" s="27">
        <v>0.9286</v>
      </c>
      <c r="V803" s="27" t="s">
        <v>72</v>
      </c>
      <c r="W803" s="27">
        <v>555.36</v>
      </c>
      <c r="X803" s="27">
        <v>3.688879</v>
      </c>
      <c r="Y803" s="27">
        <v>6.321416</v>
      </c>
      <c r="Z803" s="27">
        <v>1.7321</v>
      </c>
      <c r="AA803" s="27" t="s">
        <v>125</v>
      </c>
      <c r="AB803" s="27">
        <v>0</v>
      </c>
      <c r="AC803" s="27">
        <v>0</v>
      </c>
      <c r="AD803" s="27">
        <v>0</v>
      </c>
      <c r="AE803" s="27">
        <v>0</v>
      </c>
      <c r="AF803" s="27">
        <v>0</v>
      </c>
      <c r="AG803" s="27">
        <v>0</v>
      </c>
      <c r="AH803" s="27">
        <v>0</v>
      </c>
      <c r="AI803" s="27">
        <v>0</v>
      </c>
      <c r="AJ803" s="27">
        <v>0</v>
      </c>
      <c r="AK803" s="27">
        <v>0</v>
      </c>
      <c r="AL803" s="27">
        <v>0</v>
      </c>
      <c r="AM803" s="27">
        <v>0</v>
      </c>
      <c r="AN803" s="27">
        <v>0</v>
      </c>
      <c r="AO803" s="27">
        <v>0</v>
      </c>
      <c r="AP803" s="27">
        <v>0</v>
      </c>
      <c r="AQ803" s="27">
        <v>0</v>
      </c>
      <c r="AR803" s="27">
        <v>0</v>
      </c>
      <c r="AS803" s="27">
        <v>0</v>
      </c>
      <c r="AT803" s="27">
        <v>1</v>
      </c>
      <c r="AU803" s="27">
        <v>0</v>
      </c>
      <c r="AV803" s="27">
        <v>0</v>
      </c>
      <c r="AW803" s="27">
        <v>0</v>
      </c>
      <c r="AX803" s="27">
        <v>0</v>
      </c>
      <c r="AZ803" s="27">
        <v>1</v>
      </c>
      <c r="BA803" s="27">
        <v>0</v>
      </c>
      <c r="BB803" s="27">
        <v>66.57</v>
      </c>
      <c r="BC803" s="27" t="s">
        <v>2368</v>
      </c>
      <c r="BD803" s="27" t="s">
        <v>2369</v>
      </c>
      <c r="BE803" s="27" t="s">
        <v>834</v>
      </c>
      <c r="BF803" s="27" t="s">
        <v>77</v>
      </c>
      <c r="BG803" s="27">
        <v>1</v>
      </c>
      <c r="BH803" s="27">
        <v>20</v>
      </c>
      <c r="BI803" s="27">
        <v>0.0476</v>
      </c>
      <c r="BJ803" s="27">
        <v>1</v>
      </c>
      <c r="BK803" s="27">
        <v>7</v>
      </c>
      <c r="BL803" s="27">
        <v>98.1</v>
      </c>
    </row>
    <row r="804" customHeight="1" spans="1:64">
      <c r="A804" s="27" t="s">
        <v>2370</v>
      </c>
      <c r="B804" s="27" t="s">
        <v>125</v>
      </c>
      <c r="E804" s="27" t="s">
        <v>163</v>
      </c>
      <c r="F804" s="27" t="s">
        <v>132</v>
      </c>
      <c r="G804" s="27" t="s">
        <v>83</v>
      </c>
      <c r="H804" s="27" t="s">
        <v>138</v>
      </c>
      <c r="I804" s="27" t="s">
        <v>85</v>
      </c>
      <c r="J804" s="27">
        <v>5</v>
      </c>
      <c r="K804" s="27">
        <v>3</v>
      </c>
      <c r="M804" s="27">
        <v>0</v>
      </c>
      <c r="N804" s="27">
        <v>0</v>
      </c>
      <c r="O804" s="27">
        <v>0</v>
      </c>
      <c r="P804" s="27" t="s">
        <v>133</v>
      </c>
      <c r="Q804" s="27">
        <v>1.386294</v>
      </c>
      <c r="S804" s="27">
        <v>230</v>
      </c>
      <c r="T804" s="27">
        <v>10</v>
      </c>
      <c r="U804" s="27">
        <v>0.9583</v>
      </c>
      <c r="V804" s="27" t="s">
        <v>154</v>
      </c>
      <c r="W804" s="27">
        <v>690</v>
      </c>
      <c r="X804" s="27">
        <v>5.442418</v>
      </c>
      <c r="Y804" s="27">
        <v>6.53814</v>
      </c>
      <c r="Z804" s="27">
        <v>3.1623</v>
      </c>
      <c r="AA804" s="27" t="s">
        <v>125</v>
      </c>
      <c r="AB804" s="27">
        <v>0</v>
      </c>
      <c r="AC804" s="27">
        <v>0</v>
      </c>
      <c r="AD804" s="27">
        <v>0</v>
      </c>
      <c r="AE804" s="27">
        <v>0</v>
      </c>
      <c r="AF804" s="27">
        <v>0</v>
      </c>
      <c r="AG804" s="27">
        <v>0</v>
      </c>
      <c r="AH804" s="27">
        <v>0</v>
      </c>
      <c r="AI804" s="27">
        <v>0</v>
      </c>
      <c r="AJ804" s="27">
        <v>0</v>
      </c>
      <c r="AK804" s="27">
        <v>0</v>
      </c>
      <c r="AL804" s="27">
        <v>0</v>
      </c>
      <c r="AM804" s="27">
        <v>0</v>
      </c>
      <c r="AN804" s="27">
        <v>0</v>
      </c>
      <c r="AO804" s="27">
        <v>0</v>
      </c>
      <c r="AP804" s="27">
        <v>0</v>
      </c>
      <c r="AQ804" s="27">
        <v>0</v>
      </c>
      <c r="AR804" s="27">
        <v>0</v>
      </c>
      <c r="AS804" s="27">
        <v>0</v>
      </c>
      <c r="AT804" s="27">
        <v>0</v>
      </c>
      <c r="AU804" s="27">
        <v>0</v>
      </c>
      <c r="AV804" s="27">
        <v>0</v>
      </c>
      <c r="AW804" s="27">
        <v>0</v>
      </c>
      <c r="AX804" s="27">
        <v>0</v>
      </c>
      <c r="AZ804" s="27">
        <v>10</v>
      </c>
      <c r="BA804" s="27">
        <v>0</v>
      </c>
      <c r="BB804" s="27">
        <v>61.1</v>
      </c>
      <c r="BC804" s="27" t="s">
        <v>2371</v>
      </c>
      <c r="BD804" s="27" t="s">
        <v>368</v>
      </c>
      <c r="BE804" s="27" t="s">
        <v>76</v>
      </c>
      <c r="BF804" s="27" t="s">
        <v>77</v>
      </c>
      <c r="BG804" s="27">
        <v>168</v>
      </c>
      <c r="BH804" s="27">
        <v>11</v>
      </c>
      <c r="BI804" s="27">
        <v>0.9385</v>
      </c>
      <c r="BJ804" s="27">
        <v>0</v>
      </c>
      <c r="BK804" s="27">
        <v>88</v>
      </c>
      <c r="BL804" s="27">
        <v>75.9</v>
      </c>
    </row>
    <row r="805" customHeight="1" spans="1:64">
      <c r="A805" s="27" t="s">
        <v>2372</v>
      </c>
      <c r="B805" s="27" t="s">
        <v>144</v>
      </c>
      <c r="D805" s="27">
        <v>814763020782</v>
      </c>
      <c r="E805" s="27" t="s">
        <v>250</v>
      </c>
      <c r="F805" s="27" t="s">
        <v>352</v>
      </c>
      <c r="G805" s="27" t="s">
        <v>83</v>
      </c>
      <c r="H805" s="27" t="s">
        <v>84</v>
      </c>
      <c r="I805" s="27" t="s">
        <v>85</v>
      </c>
      <c r="J805" s="27">
        <v>5</v>
      </c>
      <c r="K805" s="27">
        <v>16.95</v>
      </c>
      <c r="M805" s="27">
        <v>0</v>
      </c>
      <c r="N805" s="27">
        <v>0</v>
      </c>
      <c r="O805" s="27">
        <v>0</v>
      </c>
      <c r="P805" s="27" t="s">
        <v>133</v>
      </c>
      <c r="Q805" s="27">
        <v>2.88759</v>
      </c>
      <c r="S805" s="27">
        <v>157</v>
      </c>
      <c r="T805" s="27">
        <v>5</v>
      </c>
      <c r="U805" s="27">
        <v>0.9691</v>
      </c>
      <c r="V805" s="27" t="s">
        <v>72</v>
      </c>
      <c r="W805" s="27">
        <v>2661.15</v>
      </c>
      <c r="X805" s="27">
        <v>5.062595</v>
      </c>
      <c r="Y805" s="27">
        <v>7.886889</v>
      </c>
      <c r="Z805" s="27">
        <v>2.2361</v>
      </c>
      <c r="AA805" s="27" t="s">
        <v>125</v>
      </c>
      <c r="AB805" s="27">
        <v>1</v>
      </c>
      <c r="AC805" s="27">
        <v>0</v>
      </c>
      <c r="AD805" s="27">
        <v>0</v>
      </c>
      <c r="AE805" s="27">
        <v>0</v>
      </c>
      <c r="AF805" s="27">
        <v>0</v>
      </c>
      <c r="AG805" s="27">
        <v>0</v>
      </c>
      <c r="AH805" s="27">
        <v>0</v>
      </c>
      <c r="AI805" s="27">
        <v>0</v>
      </c>
      <c r="AJ805" s="27">
        <v>0</v>
      </c>
      <c r="AK805" s="27">
        <v>0</v>
      </c>
      <c r="AL805" s="27">
        <v>0</v>
      </c>
      <c r="AM805" s="27">
        <v>0</v>
      </c>
      <c r="AN805" s="27">
        <v>0</v>
      </c>
      <c r="AO805" s="27">
        <v>0</v>
      </c>
      <c r="AP805" s="27">
        <v>0</v>
      </c>
      <c r="AQ805" s="27">
        <v>0</v>
      </c>
      <c r="AR805" s="27">
        <v>0</v>
      </c>
      <c r="AS805" s="27">
        <v>0</v>
      </c>
      <c r="AT805" s="27">
        <v>0</v>
      </c>
      <c r="AU805" s="27">
        <v>0</v>
      </c>
      <c r="AV805" s="27">
        <v>0</v>
      </c>
      <c r="AW805" s="27">
        <v>1</v>
      </c>
      <c r="AX805" s="27">
        <v>0</v>
      </c>
      <c r="AZ805" s="27">
        <v>3</v>
      </c>
      <c r="BA805" s="27">
        <v>1</v>
      </c>
      <c r="BB805" s="27">
        <v>66.06</v>
      </c>
      <c r="BC805" s="27" t="s">
        <v>2076</v>
      </c>
      <c r="BD805" s="27" t="s">
        <v>261</v>
      </c>
      <c r="BE805" s="27" t="s">
        <v>262</v>
      </c>
      <c r="BF805" s="27" t="s">
        <v>77</v>
      </c>
      <c r="BG805" s="27">
        <v>1</v>
      </c>
      <c r="BH805" s="27">
        <v>26</v>
      </c>
      <c r="BI805" s="27">
        <v>0.037</v>
      </c>
      <c r="BJ805" s="27">
        <v>1</v>
      </c>
      <c r="BK805" s="27">
        <v>33</v>
      </c>
      <c r="BL805" s="27">
        <v>91</v>
      </c>
    </row>
    <row r="806" customHeight="1" spans="1:64">
      <c r="A806" s="27" t="s">
        <v>2103</v>
      </c>
      <c r="B806" s="27" t="s">
        <v>739</v>
      </c>
      <c r="E806" s="27" t="s">
        <v>81</v>
      </c>
      <c r="F806" s="27" t="s">
        <v>82</v>
      </c>
      <c r="G806" s="27" t="s">
        <v>83</v>
      </c>
      <c r="H806" s="27" t="s">
        <v>84</v>
      </c>
      <c r="I806" s="27" t="s">
        <v>108</v>
      </c>
      <c r="J806" s="27">
        <v>3</v>
      </c>
      <c r="K806" s="27">
        <v>265.46</v>
      </c>
      <c r="M806" s="27">
        <v>0</v>
      </c>
      <c r="N806" s="27">
        <v>0</v>
      </c>
      <c r="O806" s="27">
        <v>0</v>
      </c>
      <c r="P806" s="27" t="s">
        <v>71</v>
      </c>
      <c r="Q806" s="27">
        <v>5.585224</v>
      </c>
      <c r="S806" s="27">
        <v>213</v>
      </c>
      <c r="T806" s="27">
        <v>10</v>
      </c>
      <c r="U806" s="27">
        <v>0.9552</v>
      </c>
      <c r="V806" s="27" t="s">
        <v>154</v>
      </c>
      <c r="W806" s="27">
        <v>56542.98</v>
      </c>
      <c r="X806" s="27">
        <v>5.365976</v>
      </c>
      <c r="Y806" s="27">
        <v>10.942774</v>
      </c>
      <c r="Z806" s="27">
        <v>3.1623</v>
      </c>
      <c r="AA806" s="27" t="s">
        <v>187</v>
      </c>
      <c r="AB806" s="27">
        <v>1</v>
      </c>
      <c r="AC806" s="27">
        <v>1</v>
      </c>
      <c r="AD806" s="27">
        <v>0</v>
      </c>
      <c r="AE806" s="27">
        <v>1</v>
      </c>
      <c r="AF806" s="27">
        <v>0</v>
      </c>
      <c r="AG806" s="27">
        <v>0</v>
      </c>
      <c r="AH806" s="27">
        <v>1</v>
      </c>
      <c r="AI806" s="27">
        <v>0</v>
      </c>
      <c r="AJ806" s="27">
        <v>0</v>
      </c>
      <c r="AK806" s="27">
        <v>0</v>
      </c>
      <c r="AL806" s="27">
        <v>0</v>
      </c>
      <c r="AM806" s="27">
        <v>0</v>
      </c>
      <c r="AN806" s="27">
        <v>0</v>
      </c>
      <c r="AO806" s="27">
        <v>0</v>
      </c>
      <c r="AP806" s="27">
        <v>0</v>
      </c>
      <c r="AQ806" s="27">
        <v>0</v>
      </c>
      <c r="AR806" s="27">
        <v>0</v>
      </c>
      <c r="AS806" s="27">
        <v>0</v>
      </c>
      <c r="AT806" s="27">
        <v>1</v>
      </c>
      <c r="AU806" s="27">
        <v>0</v>
      </c>
      <c r="AV806" s="27">
        <v>0</v>
      </c>
      <c r="AW806" s="27">
        <v>1</v>
      </c>
      <c r="AX806" s="27">
        <v>0</v>
      </c>
      <c r="AZ806" s="27">
        <v>1</v>
      </c>
      <c r="BA806" s="27">
        <v>4</v>
      </c>
      <c r="BB806" s="27">
        <v>67.97</v>
      </c>
      <c r="BC806" s="27" t="s">
        <v>1291</v>
      </c>
      <c r="BD806" s="27" t="s">
        <v>2373</v>
      </c>
      <c r="BE806" s="27" t="s">
        <v>262</v>
      </c>
      <c r="BF806" s="27" t="s">
        <v>77</v>
      </c>
      <c r="BG806" s="27">
        <v>1</v>
      </c>
      <c r="BH806" s="27">
        <v>28</v>
      </c>
      <c r="BI806" s="27">
        <v>0.0345</v>
      </c>
      <c r="BJ806" s="27">
        <v>1</v>
      </c>
      <c r="BK806" s="27">
        <v>3</v>
      </c>
      <c r="BL806" s="27">
        <v>99.2</v>
      </c>
    </row>
    <row r="807" customHeight="1" spans="1:64">
      <c r="A807" s="27" t="s">
        <v>2374</v>
      </c>
      <c r="B807" s="27" t="s">
        <v>171</v>
      </c>
      <c r="C807" s="27" t="s">
        <v>2375</v>
      </c>
      <c r="E807" s="27" t="s">
        <v>250</v>
      </c>
      <c r="F807" s="27" t="s">
        <v>160</v>
      </c>
      <c r="G807" s="27" t="s">
        <v>83</v>
      </c>
      <c r="H807" s="27" t="s">
        <v>84</v>
      </c>
      <c r="I807" s="27" t="s">
        <v>85</v>
      </c>
      <c r="J807" s="27">
        <v>5</v>
      </c>
      <c r="K807" s="27">
        <v>63.99</v>
      </c>
      <c r="L807" s="27">
        <v>75.74</v>
      </c>
      <c r="M807" s="27">
        <v>15.51</v>
      </c>
      <c r="N807" s="27">
        <v>11.75</v>
      </c>
      <c r="O807" s="27">
        <v>1</v>
      </c>
      <c r="P807" s="27" t="s">
        <v>86</v>
      </c>
      <c r="Q807" s="27">
        <v>4.174233</v>
      </c>
      <c r="S807" s="27">
        <v>336</v>
      </c>
      <c r="T807" s="27">
        <v>200</v>
      </c>
      <c r="U807" s="27">
        <v>0.6269</v>
      </c>
      <c r="V807" s="27" t="s">
        <v>154</v>
      </c>
      <c r="W807" s="27">
        <v>21500.64</v>
      </c>
      <c r="X807" s="27">
        <v>5.820083</v>
      </c>
      <c r="Y807" s="27">
        <v>9.975884</v>
      </c>
      <c r="Z807" s="27">
        <v>14.1421</v>
      </c>
      <c r="AA807" s="27" t="s">
        <v>125</v>
      </c>
      <c r="AB807" s="27">
        <v>1</v>
      </c>
      <c r="AC807" s="27">
        <v>1</v>
      </c>
      <c r="AD807" s="27">
        <v>0</v>
      </c>
      <c r="AE807" s="27">
        <v>0</v>
      </c>
      <c r="AF807" s="27">
        <v>0</v>
      </c>
      <c r="AG807" s="27">
        <v>1</v>
      </c>
      <c r="AH807" s="27">
        <v>0</v>
      </c>
      <c r="AI807" s="27">
        <v>1</v>
      </c>
      <c r="AJ807" s="27">
        <v>0</v>
      </c>
      <c r="AK807" s="27">
        <v>0</v>
      </c>
      <c r="AL807" s="27">
        <v>0</v>
      </c>
      <c r="AM807" s="27">
        <v>0</v>
      </c>
      <c r="AN807" s="27">
        <v>1</v>
      </c>
      <c r="AO807" s="27">
        <v>0</v>
      </c>
      <c r="AP807" s="27">
        <v>0</v>
      </c>
      <c r="AQ807" s="27">
        <v>0</v>
      </c>
      <c r="AR807" s="27">
        <v>0</v>
      </c>
      <c r="AS807" s="27">
        <v>0</v>
      </c>
      <c r="AT807" s="27">
        <v>1</v>
      </c>
      <c r="AU807" s="27">
        <v>0</v>
      </c>
      <c r="AV807" s="27">
        <v>0</v>
      </c>
      <c r="AW807" s="27">
        <v>0</v>
      </c>
      <c r="AX807" s="27">
        <v>0</v>
      </c>
      <c r="AZ807" s="27">
        <v>1</v>
      </c>
      <c r="BA807" s="27">
        <v>3</v>
      </c>
      <c r="BB807" s="27">
        <v>59.31</v>
      </c>
      <c r="BC807" s="27" t="s">
        <v>251</v>
      </c>
      <c r="BD807" s="27" t="s">
        <v>175</v>
      </c>
      <c r="BE807" s="27" t="s">
        <v>91</v>
      </c>
      <c r="BF807" s="27" t="s">
        <v>77</v>
      </c>
      <c r="BG807" s="27">
        <v>162</v>
      </c>
      <c r="BH807" s="27">
        <v>60</v>
      </c>
      <c r="BI807" s="27">
        <v>0.7297</v>
      </c>
      <c r="BJ807" s="27">
        <v>0</v>
      </c>
      <c r="BK807" s="27">
        <v>5</v>
      </c>
      <c r="BL807" s="27">
        <v>98.6</v>
      </c>
    </row>
    <row r="808" customHeight="1" spans="1:64">
      <c r="A808" s="27" t="s">
        <v>2376</v>
      </c>
      <c r="B808" s="27" t="s">
        <v>171</v>
      </c>
      <c r="C808" s="27" t="s">
        <v>2377</v>
      </c>
      <c r="E808" s="27" t="s">
        <v>2378</v>
      </c>
      <c r="F808" s="27" t="s">
        <v>160</v>
      </c>
      <c r="G808" s="27" t="s">
        <v>83</v>
      </c>
      <c r="H808" s="27" t="s">
        <v>84</v>
      </c>
      <c r="I808" s="27" t="s">
        <v>85</v>
      </c>
      <c r="J808" s="27">
        <v>5</v>
      </c>
      <c r="K808" s="27">
        <v>89.59</v>
      </c>
      <c r="M808" s="27">
        <v>0</v>
      </c>
      <c r="N808" s="27">
        <v>0</v>
      </c>
      <c r="O808" s="27">
        <v>0</v>
      </c>
      <c r="P808" s="27" t="s">
        <v>95</v>
      </c>
      <c r="Q808" s="27">
        <v>4.506344</v>
      </c>
      <c r="S808" s="27">
        <v>206</v>
      </c>
      <c r="T808" s="27">
        <v>100</v>
      </c>
      <c r="U808" s="27">
        <v>0.6732</v>
      </c>
      <c r="V808" s="27" t="s">
        <v>154</v>
      </c>
      <c r="W808" s="27">
        <v>18455.54</v>
      </c>
      <c r="X808" s="27">
        <v>5.332719</v>
      </c>
      <c r="Y808" s="27">
        <v>9.823174</v>
      </c>
      <c r="Z808" s="27">
        <v>10</v>
      </c>
      <c r="AA808" s="27" t="s">
        <v>73</v>
      </c>
      <c r="AB808" s="27">
        <v>0</v>
      </c>
      <c r="AC808" s="27">
        <v>0</v>
      </c>
      <c r="AD808" s="27">
        <v>0</v>
      </c>
      <c r="AE808" s="27">
        <v>0</v>
      </c>
      <c r="AF808" s="27">
        <v>0</v>
      </c>
      <c r="AG808" s="27">
        <v>1</v>
      </c>
      <c r="AH808" s="27">
        <v>0</v>
      </c>
      <c r="AI808" s="27">
        <v>1</v>
      </c>
      <c r="AJ808" s="27">
        <v>0</v>
      </c>
      <c r="AK808" s="27">
        <v>0</v>
      </c>
      <c r="AL808" s="27">
        <v>0</v>
      </c>
      <c r="AM808" s="27">
        <v>0</v>
      </c>
      <c r="AN808" s="27">
        <v>1</v>
      </c>
      <c r="AO808" s="27">
        <v>0</v>
      </c>
      <c r="AP808" s="27">
        <v>0</v>
      </c>
      <c r="AQ808" s="27">
        <v>0</v>
      </c>
      <c r="AR808" s="27">
        <v>0</v>
      </c>
      <c r="AS808" s="27">
        <v>0</v>
      </c>
      <c r="AT808" s="27">
        <v>1</v>
      </c>
      <c r="AU808" s="27">
        <v>0</v>
      </c>
      <c r="AV808" s="27">
        <v>0</v>
      </c>
      <c r="AW808" s="27">
        <v>0</v>
      </c>
      <c r="AX808" s="27">
        <v>0</v>
      </c>
      <c r="AZ808" s="27">
        <v>1</v>
      </c>
      <c r="BA808" s="27">
        <v>1</v>
      </c>
      <c r="BB808" s="27">
        <v>56.03</v>
      </c>
      <c r="BC808" s="27" t="s">
        <v>251</v>
      </c>
      <c r="BD808" s="27" t="s">
        <v>175</v>
      </c>
      <c r="BE808" s="27" t="s">
        <v>91</v>
      </c>
      <c r="BF808" s="27" t="s">
        <v>77</v>
      </c>
      <c r="BG808" s="27">
        <v>162</v>
      </c>
      <c r="BH808" s="27">
        <v>60</v>
      </c>
      <c r="BI808" s="27">
        <v>0.7297</v>
      </c>
      <c r="BJ808" s="27">
        <v>0</v>
      </c>
      <c r="BK808" s="27">
        <v>11</v>
      </c>
      <c r="BL808" s="27">
        <v>97</v>
      </c>
    </row>
    <row r="809" customHeight="1" spans="1:64">
      <c r="A809" s="27" t="s">
        <v>2379</v>
      </c>
      <c r="B809" s="27" t="s">
        <v>1135</v>
      </c>
      <c r="C809" s="27" t="s">
        <v>2380</v>
      </c>
      <c r="E809" s="27" t="s">
        <v>81</v>
      </c>
      <c r="F809" s="27" t="s">
        <v>82</v>
      </c>
      <c r="G809" s="27" t="s">
        <v>83</v>
      </c>
      <c r="H809" s="27" t="s">
        <v>84</v>
      </c>
      <c r="I809" s="27" t="s">
        <v>203</v>
      </c>
      <c r="J809" s="27">
        <v>4</v>
      </c>
      <c r="K809" s="27">
        <v>86.99</v>
      </c>
      <c r="M809" s="27">
        <v>0</v>
      </c>
      <c r="N809" s="27">
        <v>0</v>
      </c>
      <c r="O809" s="27">
        <v>0</v>
      </c>
      <c r="P809" s="27" t="s">
        <v>95</v>
      </c>
      <c r="Q809" s="27">
        <v>4.477223</v>
      </c>
      <c r="V809" s="27" t="s">
        <v>231</v>
      </c>
      <c r="W809" s="27">
        <v>0</v>
      </c>
      <c r="X809" s="27">
        <v>0</v>
      </c>
      <c r="Y809" s="27">
        <v>0</v>
      </c>
      <c r="Z809" s="27">
        <v>0</v>
      </c>
      <c r="AA809" s="27" t="s">
        <v>483</v>
      </c>
      <c r="AB809" s="27">
        <v>0</v>
      </c>
      <c r="AC809" s="27">
        <v>0</v>
      </c>
      <c r="AD809" s="27">
        <v>0</v>
      </c>
      <c r="AE809" s="27">
        <v>1</v>
      </c>
      <c r="AF809" s="27">
        <v>0</v>
      </c>
      <c r="AG809" s="27">
        <v>0</v>
      </c>
      <c r="AH809" s="27">
        <v>0</v>
      </c>
      <c r="AI809" s="27">
        <v>0</v>
      </c>
      <c r="AJ809" s="27">
        <v>0</v>
      </c>
      <c r="AK809" s="27">
        <v>0</v>
      </c>
      <c r="AL809" s="27">
        <v>0</v>
      </c>
      <c r="AM809" s="27">
        <v>0</v>
      </c>
      <c r="AN809" s="27">
        <v>0</v>
      </c>
      <c r="AO809" s="27">
        <v>0</v>
      </c>
      <c r="AP809" s="27">
        <v>0</v>
      </c>
      <c r="AQ809" s="27">
        <v>0</v>
      </c>
      <c r="AR809" s="27">
        <v>0</v>
      </c>
      <c r="AS809" s="27">
        <v>0</v>
      </c>
      <c r="AT809" s="27">
        <v>0</v>
      </c>
      <c r="AU809" s="27">
        <v>0</v>
      </c>
      <c r="AV809" s="27">
        <v>0</v>
      </c>
      <c r="AW809" s="27">
        <v>1</v>
      </c>
      <c r="AX809" s="27">
        <v>0</v>
      </c>
      <c r="AZ809" s="27">
        <v>1</v>
      </c>
      <c r="BA809" s="27">
        <v>1</v>
      </c>
      <c r="BB809" s="27">
        <v>0</v>
      </c>
      <c r="BC809" s="27" t="s">
        <v>2381</v>
      </c>
      <c r="BD809" s="27" t="s">
        <v>1379</v>
      </c>
      <c r="BE809" s="27" t="s">
        <v>166</v>
      </c>
      <c r="BF809" s="27" t="s">
        <v>77</v>
      </c>
      <c r="BG809" s="27">
        <v>162</v>
      </c>
      <c r="BH809" s="27">
        <v>17</v>
      </c>
      <c r="BI809" s="27">
        <v>0.905</v>
      </c>
      <c r="BJ809" s="27">
        <v>0</v>
      </c>
    </row>
    <row r="810" customHeight="1" spans="1:64">
      <c r="A810" s="27" t="s">
        <v>2382</v>
      </c>
      <c r="B810" s="27" t="s">
        <v>1135</v>
      </c>
      <c r="C810" s="27" t="s">
        <v>1136</v>
      </c>
      <c r="E810" s="27" t="s">
        <v>209</v>
      </c>
      <c r="F810" s="27" t="s">
        <v>160</v>
      </c>
      <c r="G810" s="27" t="s">
        <v>83</v>
      </c>
      <c r="H810" s="27" t="s">
        <v>84</v>
      </c>
      <c r="I810" s="27" t="s">
        <v>85</v>
      </c>
      <c r="J810" s="27">
        <v>5</v>
      </c>
      <c r="K810" s="27">
        <v>55.99</v>
      </c>
      <c r="M810" s="27">
        <v>0</v>
      </c>
      <c r="N810" s="27">
        <v>0</v>
      </c>
      <c r="O810" s="27">
        <v>0</v>
      </c>
      <c r="P810" s="27" t="s">
        <v>86</v>
      </c>
      <c r="Q810" s="27">
        <v>4.042876</v>
      </c>
      <c r="S810" s="27">
        <v>4</v>
      </c>
      <c r="T810" s="27">
        <v>10</v>
      </c>
      <c r="U810" s="27">
        <v>0.2857</v>
      </c>
      <c r="V810" s="27" t="s">
        <v>87</v>
      </c>
      <c r="W810" s="27">
        <v>223.96</v>
      </c>
      <c r="X810" s="27">
        <v>1.609438</v>
      </c>
      <c r="Y810" s="27">
        <v>5.415923</v>
      </c>
      <c r="Z810" s="27">
        <v>3.1623</v>
      </c>
      <c r="AA810" s="27" t="s">
        <v>88</v>
      </c>
      <c r="AB810" s="27">
        <v>0</v>
      </c>
      <c r="AC810" s="27">
        <v>0</v>
      </c>
      <c r="AD810" s="27">
        <v>0</v>
      </c>
      <c r="AE810" s="27">
        <v>1</v>
      </c>
      <c r="AF810" s="27">
        <v>1</v>
      </c>
      <c r="AG810" s="27">
        <v>0</v>
      </c>
      <c r="AH810" s="27">
        <v>1</v>
      </c>
      <c r="AI810" s="27">
        <v>0</v>
      </c>
      <c r="AJ810" s="27">
        <v>0</v>
      </c>
      <c r="AK810" s="27">
        <v>1</v>
      </c>
      <c r="AL810" s="27">
        <v>0</v>
      </c>
      <c r="AM810" s="27">
        <v>0</v>
      </c>
      <c r="AN810" s="27">
        <v>0</v>
      </c>
      <c r="AO810" s="27">
        <v>0</v>
      </c>
      <c r="AP810" s="27">
        <v>0</v>
      </c>
      <c r="AQ810" s="27">
        <v>0</v>
      </c>
      <c r="AR810" s="27">
        <v>0</v>
      </c>
      <c r="AS810" s="27">
        <v>0</v>
      </c>
      <c r="AT810" s="27">
        <v>1</v>
      </c>
      <c r="AU810" s="27">
        <v>0</v>
      </c>
      <c r="AV810" s="27">
        <v>0</v>
      </c>
      <c r="AW810" s="27">
        <v>1</v>
      </c>
      <c r="AX810" s="27">
        <v>0</v>
      </c>
      <c r="AZ810" s="27">
        <v>1</v>
      </c>
      <c r="BA810" s="27">
        <v>3</v>
      </c>
      <c r="BB810" s="27">
        <v>33.87</v>
      </c>
      <c r="BC810" s="27" t="s">
        <v>2383</v>
      </c>
      <c r="BD810" s="27" t="s">
        <v>286</v>
      </c>
      <c r="BE810" s="27" t="s">
        <v>287</v>
      </c>
      <c r="BF810" s="27" t="s">
        <v>77</v>
      </c>
      <c r="BG810" s="27">
        <v>1</v>
      </c>
      <c r="BH810" s="27">
        <v>26</v>
      </c>
      <c r="BI810" s="27">
        <v>0.037</v>
      </c>
      <c r="BJ810" s="27">
        <v>1</v>
      </c>
      <c r="BK810" s="27">
        <v>92</v>
      </c>
      <c r="BL810" s="27">
        <v>74.8</v>
      </c>
    </row>
    <row r="811" customHeight="1" spans="1:64">
      <c r="A811" s="27" t="s">
        <v>2384</v>
      </c>
      <c r="B811" s="27" t="s">
        <v>125</v>
      </c>
      <c r="E811" s="27" t="s">
        <v>255</v>
      </c>
      <c r="F811" s="27" t="s">
        <v>82</v>
      </c>
      <c r="G811" s="27" t="s">
        <v>83</v>
      </c>
      <c r="H811" s="27" t="s">
        <v>138</v>
      </c>
      <c r="I811" s="27" t="s">
        <v>85</v>
      </c>
      <c r="J811" s="27">
        <v>5</v>
      </c>
      <c r="K811" s="27">
        <v>49.99</v>
      </c>
      <c r="M811" s="27">
        <v>0</v>
      </c>
      <c r="N811" s="27">
        <v>0</v>
      </c>
      <c r="O811" s="27">
        <v>0</v>
      </c>
      <c r="P811" s="27" t="s">
        <v>86</v>
      </c>
      <c r="Q811" s="27">
        <v>3.93163</v>
      </c>
      <c r="S811" s="27">
        <v>97</v>
      </c>
      <c r="T811" s="27">
        <v>46</v>
      </c>
      <c r="U811" s="27">
        <v>0.6783</v>
      </c>
      <c r="V811" s="27" t="s">
        <v>72</v>
      </c>
      <c r="W811" s="27">
        <v>4849.03</v>
      </c>
      <c r="X811" s="27">
        <v>4.584967</v>
      </c>
      <c r="Y811" s="27">
        <v>8.48674</v>
      </c>
      <c r="Z811" s="27">
        <v>6.7823</v>
      </c>
      <c r="AA811" s="27" t="s">
        <v>73</v>
      </c>
      <c r="AB811" s="27">
        <v>1</v>
      </c>
      <c r="AC811" s="27">
        <v>0</v>
      </c>
      <c r="AD811" s="27">
        <v>0</v>
      </c>
      <c r="AE811" s="27">
        <v>0</v>
      </c>
      <c r="AF811" s="27">
        <v>0</v>
      </c>
      <c r="AG811" s="27">
        <v>1</v>
      </c>
      <c r="AH811" s="27">
        <v>0</v>
      </c>
      <c r="AI811" s="27">
        <v>1</v>
      </c>
      <c r="AJ811" s="27">
        <v>0</v>
      </c>
      <c r="AK811" s="27">
        <v>0</v>
      </c>
      <c r="AL811" s="27">
        <v>0</v>
      </c>
      <c r="AM811" s="27">
        <v>0</v>
      </c>
      <c r="AN811" s="27">
        <v>0</v>
      </c>
      <c r="AO811" s="27">
        <v>0</v>
      </c>
      <c r="AP811" s="27">
        <v>0</v>
      </c>
      <c r="AQ811" s="27">
        <v>0</v>
      </c>
      <c r="AR811" s="27">
        <v>0</v>
      </c>
      <c r="AS811" s="27">
        <v>0</v>
      </c>
      <c r="AT811" s="27">
        <v>1</v>
      </c>
      <c r="AU811" s="27">
        <v>1</v>
      </c>
      <c r="AV811" s="27">
        <v>0</v>
      </c>
      <c r="AW811" s="27">
        <v>0</v>
      </c>
      <c r="AX811" s="27">
        <v>0</v>
      </c>
      <c r="AZ811" s="27">
        <v>1</v>
      </c>
      <c r="BA811" s="27">
        <v>1</v>
      </c>
      <c r="BB811" s="27">
        <v>55.33</v>
      </c>
      <c r="BC811" s="27" t="s">
        <v>409</v>
      </c>
      <c r="BD811" s="27" t="s">
        <v>410</v>
      </c>
      <c r="BE811" s="27" t="s">
        <v>407</v>
      </c>
      <c r="BF811" s="27" t="s">
        <v>77</v>
      </c>
      <c r="BG811" s="27">
        <v>162</v>
      </c>
      <c r="BH811" s="27">
        <v>19</v>
      </c>
      <c r="BI811" s="27">
        <v>0.895</v>
      </c>
      <c r="BJ811" s="27">
        <v>0</v>
      </c>
      <c r="BK811" s="27">
        <v>22</v>
      </c>
      <c r="BL811" s="27">
        <v>94</v>
      </c>
    </row>
    <row r="812" customHeight="1" spans="1:64">
      <c r="A812" s="27" t="s">
        <v>2385</v>
      </c>
      <c r="B812" s="27" t="s">
        <v>125</v>
      </c>
      <c r="C812" s="27" t="s">
        <v>2386</v>
      </c>
      <c r="D812" s="27">
        <v>313113793708</v>
      </c>
      <c r="E812" s="27" t="s">
        <v>163</v>
      </c>
      <c r="F812" s="27" t="s">
        <v>276</v>
      </c>
      <c r="G812" s="27" t="s">
        <v>901</v>
      </c>
      <c r="H812" s="27" t="s">
        <v>138</v>
      </c>
      <c r="I812" s="27" t="s">
        <v>85</v>
      </c>
      <c r="J812" s="27">
        <v>5</v>
      </c>
      <c r="K812" s="27">
        <v>14.17</v>
      </c>
      <c r="M812" s="27">
        <v>0</v>
      </c>
      <c r="N812" s="27">
        <v>0</v>
      </c>
      <c r="O812" s="27">
        <v>0</v>
      </c>
      <c r="P812" s="27" t="s">
        <v>133</v>
      </c>
      <c r="Q812" s="27">
        <v>2.71932</v>
      </c>
      <c r="S812" s="27">
        <v>1</v>
      </c>
      <c r="T812" s="27">
        <v>5</v>
      </c>
      <c r="U812" s="27">
        <v>0.1667</v>
      </c>
      <c r="V812" s="27" t="s">
        <v>87</v>
      </c>
      <c r="W812" s="27">
        <v>14.17</v>
      </c>
      <c r="X812" s="27">
        <v>0.693147</v>
      </c>
      <c r="Y812" s="27">
        <v>2.71932</v>
      </c>
      <c r="Z812" s="27">
        <v>2.2361</v>
      </c>
      <c r="AA812" s="27" t="s">
        <v>125</v>
      </c>
      <c r="AB812" s="27">
        <v>0</v>
      </c>
      <c r="AC812" s="27">
        <v>0</v>
      </c>
      <c r="AD812" s="27">
        <v>0</v>
      </c>
      <c r="AE812" s="27">
        <v>0</v>
      </c>
      <c r="AF812" s="27">
        <v>0</v>
      </c>
      <c r="AG812" s="27">
        <v>0</v>
      </c>
      <c r="AH812" s="27">
        <v>0</v>
      </c>
      <c r="AI812" s="27">
        <v>0</v>
      </c>
      <c r="AJ812" s="27">
        <v>0</v>
      </c>
      <c r="AK812" s="27">
        <v>0</v>
      </c>
      <c r="AL812" s="27">
        <v>0</v>
      </c>
      <c r="AM812" s="27">
        <v>0</v>
      </c>
      <c r="AN812" s="27">
        <v>0</v>
      </c>
      <c r="AO812" s="27">
        <v>0</v>
      </c>
      <c r="AP812" s="27">
        <v>0</v>
      </c>
      <c r="AQ812" s="27">
        <v>0</v>
      </c>
      <c r="AR812" s="27">
        <v>0</v>
      </c>
      <c r="AS812" s="27">
        <v>0</v>
      </c>
      <c r="AT812" s="27">
        <v>1</v>
      </c>
      <c r="AU812" s="27">
        <v>0</v>
      </c>
      <c r="AV812" s="27">
        <v>0</v>
      </c>
      <c r="AW812" s="27">
        <v>1</v>
      </c>
      <c r="AX812" s="27">
        <v>0</v>
      </c>
      <c r="AZ812" s="27">
        <v>2</v>
      </c>
      <c r="BA812" s="27">
        <v>0</v>
      </c>
      <c r="BB812" s="27">
        <v>36.34</v>
      </c>
      <c r="BC812" s="27" t="s">
        <v>892</v>
      </c>
      <c r="BD812" s="27" t="s">
        <v>698</v>
      </c>
      <c r="BE812" s="27" t="s">
        <v>627</v>
      </c>
      <c r="BF812" s="27" t="s">
        <v>77</v>
      </c>
      <c r="BG812" s="27">
        <v>1</v>
      </c>
      <c r="BH812" s="27">
        <v>15</v>
      </c>
      <c r="BI812" s="27">
        <v>0.0625</v>
      </c>
      <c r="BJ812" s="27">
        <v>1</v>
      </c>
      <c r="BK812" s="27">
        <v>4</v>
      </c>
      <c r="BL812" s="27">
        <v>98.9</v>
      </c>
    </row>
    <row r="813" customHeight="1" spans="1:64">
      <c r="A813" s="27" t="s">
        <v>2387</v>
      </c>
      <c r="B813" s="27" t="s">
        <v>171</v>
      </c>
      <c r="C813" s="27" t="s">
        <v>2388</v>
      </c>
      <c r="E813" s="27" t="s">
        <v>250</v>
      </c>
      <c r="F813" s="27" t="s">
        <v>160</v>
      </c>
      <c r="G813" s="27" t="s">
        <v>83</v>
      </c>
      <c r="H813" s="27" t="s">
        <v>84</v>
      </c>
      <c r="I813" s="27" t="s">
        <v>85</v>
      </c>
      <c r="J813" s="27">
        <v>5</v>
      </c>
      <c r="K813" s="27">
        <v>21.74</v>
      </c>
      <c r="M813" s="27">
        <v>0</v>
      </c>
      <c r="N813" s="27">
        <v>0</v>
      </c>
      <c r="O813" s="27">
        <v>0</v>
      </c>
      <c r="P813" s="27" t="s">
        <v>133</v>
      </c>
      <c r="Q813" s="27">
        <v>3.124125</v>
      </c>
      <c r="S813" s="27">
        <v>327</v>
      </c>
      <c r="T813" s="27">
        <v>10</v>
      </c>
      <c r="U813" s="27">
        <v>0.9703</v>
      </c>
      <c r="V813" s="27" t="s">
        <v>154</v>
      </c>
      <c r="W813" s="27">
        <v>7108.98</v>
      </c>
      <c r="X813" s="27">
        <v>5.793014</v>
      </c>
      <c r="Y813" s="27">
        <v>8.869255</v>
      </c>
      <c r="Z813" s="27">
        <v>3.1623</v>
      </c>
      <c r="AA813" s="27" t="s">
        <v>313</v>
      </c>
      <c r="AB813" s="27">
        <v>1</v>
      </c>
      <c r="AC813" s="27">
        <v>1</v>
      </c>
      <c r="AD813" s="27">
        <v>0</v>
      </c>
      <c r="AE813" s="27">
        <v>0</v>
      </c>
      <c r="AF813" s="27">
        <v>0</v>
      </c>
      <c r="AG813" s="27">
        <v>0</v>
      </c>
      <c r="AH813" s="27">
        <v>0</v>
      </c>
      <c r="AI813" s="27">
        <v>0</v>
      </c>
      <c r="AJ813" s="27">
        <v>0</v>
      </c>
      <c r="AK813" s="27">
        <v>0</v>
      </c>
      <c r="AL813" s="27">
        <v>0</v>
      </c>
      <c r="AM813" s="27">
        <v>1</v>
      </c>
      <c r="AN813" s="27">
        <v>0</v>
      </c>
      <c r="AO813" s="27">
        <v>0</v>
      </c>
      <c r="AP813" s="27">
        <v>0</v>
      </c>
      <c r="AQ813" s="27">
        <v>0</v>
      </c>
      <c r="AR813" s="27">
        <v>0</v>
      </c>
      <c r="AS813" s="27">
        <v>0</v>
      </c>
      <c r="AT813" s="27">
        <v>1</v>
      </c>
      <c r="AU813" s="27">
        <v>0</v>
      </c>
      <c r="AV813" s="27">
        <v>0</v>
      </c>
      <c r="AW813" s="27">
        <v>0</v>
      </c>
      <c r="AX813" s="27">
        <v>0</v>
      </c>
      <c r="AZ813" s="27">
        <v>1</v>
      </c>
      <c r="BA813" s="27">
        <v>3</v>
      </c>
      <c r="BB813" s="27">
        <v>68.15</v>
      </c>
      <c r="BC813" s="27" t="s">
        <v>506</v>
      </c>
      <c r="BD813" s="27" t="s">
        <v>356</v>
      </c>
      <c r="BE813" s="27" t="s">
        <v>423</v>
      </c>
      <c r="BF813" s="27" t="s">
        <v>77</v>
      </c>
      <c r="BG813" s="27">
        <v>162</v>
      </c>
      <c r="BH813" s="27">
        <v>60</v>
      </c>
      <c r="BI813" s="27">
        <v>0.7297</v>
      </c>
      <c r="BJ813" s="27">
        <v>0</v>
      </c>
      <c r="BK813" s="27">
        <v>8</v>
      </c>
      <c r="BL813" s="27">
        <v>97.8</v>
      </c>
    </row>
    <row r="814" customHeight="1" spans="1:64">
      <c r="A814" s="27" t="s">
        <v>2389</v>
      </c>
      <c r="B814" s="27" t="s">
        <v>2390</v>
      </c>
      <c r="C814" s="27" t="s">
        <v>2391</v>
      </c>
      <c r="D814" s="27" t="s">
        <v>2391</v>
      </c>
      <c r="E814" s="27" t="s">
        <v>131</v>
      </c>
      <c r="F814" s="27" t="s">
        <v>132</v>
      </c>
      <c r="G814" s="27" t="s">
        <v>83</v>
      </c>
      <c r="H814" s="27" t="s">
        <v>84</v>
      </c>
      <c r="I814" s="27" t="s">
        <v>85</v>
      </c>
      <c r="J814" s="27">
        <v>5</v>
      </c>
      <c r="K814" s="27">
        <v>39.89</v>
      </c>
      <c r="M814" s="27">
        <v>0</v>
      </c>
      <c r="N814" s="27">
        <v>0</v>
      </c>
      <c r="O814" s="27">
        <v>0</v>
      </c>
      <c r="P814" s="27" t="s">
        <v>86</v>
      </c>
      <c r="Q814" s="27">
        <v>3.710886</v>
      </c>
      <c r="S814" s="27">
        <v>40</v>
      </c>
      <c r="T814" s="27">
        <v>2</v>
      </c>
      <c r="U814" s="27">
        <v>0.9524</v>
      </c>
      <c r="V814" s="27" t="s">
        <v>72</v>
      </c>
      <c r="W814" s="27">
        <v>1595.6</v>
      </c>
      <c r="X814" s="27">
        <v>3.713572</v>
      </c>
      <c r="Y814" s="27">
        <v>7.375632</v>
      </c>
      <c r="Z814" s="27">
        <v>1.4142</v>
      </c>
      <c r="AA814" s="27" t="s">
        <v>483</v>
      </c>
      <c r="AB814" s="27">
        <v>0</v>
      </c>
      <c r="AC814" s="27">
        <v>0</v>
      </c>
      <c r="AD814" s="27">
        <v>0</v>
      </c>
      <c r="AE814" s="27">
        <v>0</v>
      </c>
      <c r="AF814" s="27">
        <v>0</v>
      </c>
      <c r="AG814" s="27">
        <v>0</v>
      </c>
      <c r="AH814" s="27">
        <v>0</v>
      </c>
      <c r="AI814" s="27">
        <v>0</v>
      </c>
      <c r="AJ814" s="27">
        <v>0</v>
      </c>
      <c r="AK814" s="27">
        <v>0</v>
      </c>
      <c r="AL814" s="27">
        <v>0</v>
      </c>
      <c r="AM814" s="27">
        <v>0</v>
      </c>
      <c r="AN814" s="27">
        <v>0</v>
      </c>
      <c r="AO814" s="27">
        <v>0</v>
      </c>
      <c r="AP814" s="27">
        <v>0</v>
      </c>
      <c r="AQ814" s="27">
        <v>0</v>
      </c>
      <c r="AR814" s="27">
        <v>0</v>
      </c>
      <c r="AS814" s="27">
        <v>0</v>
      </c>
      <c r="AT814" s="27">
        <v>0</v>
      </c>
      <c r="AU814" s="27">
        <v>0</v>
      </c>
      <c r="AV814" s="27">
        <v>0</v>
      </c>
      <c r="AW814" s="27">
        <v>0</v>
      </c>
      <c r="AX814" s="27">
        <v>0</v>
      </c>
      <c r="AZ814" s="27">
        <v>1</v>
      </c>
      <c r="BA814" s="27">
        <v>0</v>
      </c>
      <c r="BB814" s="27">
        <v>67.77</v>
      </c>
      <c r="BC814" s="27" t="s">
        <v>2392</v>
      </c>
      <c r="BD814" s="27" t="s">
        <v>2393</v>
      </c>
      <c r="BE814" s="27" t="s">
        <v>2394</v>
      </c>
      <c r="BF814" s="27" t="s">
        <v>77</v>
      </c>
      <c r="BG814" s="27">
        <v>1</v>
      </c>
      <c r="BH814" s="27">
        <v>18</v>
      </c>
      <c r="BI814" s="27">
        <v>0.0526</v>
      </c>
      <c r="BJ814" s="27">
        <v>1</v>
      </c>
      <c r="BK814" s="27">
        <v>4</v>
      </c>
      <c r="BL814" s="27">
        <v>98.9</v>
      </c>
    </row>
    <row r="815" customHeight="1" spans="1:64">
      <c r="A815" s="27" t="s">
        <v>2395</v>
      </c>
      <c r="B815" s="27" t="s">
        <v>1197</v>
      </c>
      <c r="C815" s="27" t="s">
        <v>2396</v>
      </c>
      <c r="D815" s="27">
        <v>840236135356</v>
      </c>
      <c r="E815" s="27" t="s">
        <v>2397</v>
      </c>
      <c r="F815" s="27" t="s">
        <v>82</v>
      </c>
      <c r="G815" s="27" t="s">
        <v>83</v>
      </c>
      <c r="H815" s="27" t="s">
        <v>69</v>
      </c>
      <c r="I815" s="27" t="s">
        <v>85</v>
      </c>
      <c r="J815" s="27">
        <v>5</v>
      </c>
      <c r="K815" s="27">
        <v>45</v>
      </c>
      <c r="M815" s="27">
        <v>0</v>
      </c>
      <c r="N815" s="27">
        <v>0</v>
      </c>
      <c r="O815" s="27">
        <v>0</v>
      </c>
      <c r="P815" s="27" t="s">
        <v>86</v>
      </c>
      <c r="Q815" s="27">
        <v>3.828641</v>
      </c>
      <c r="S815" s="27">
        <v>5</v>
      </c>
      <c r="T815" s="27">
        <v>1</v>
      </c>
      <c r="U815" s="27">
        <v>0.8333</v>
      </c>
      <c r="V815" s="27" t="s">
        <v>87</v>
      </c>
      <c r="W815" s="27">
        <v>225</v>
      </c>
      <c r="X815" s="27">
        <v>1.791759</v>
      </c>
      <c r="Y815" s="27">
        <v>5.420535</v>
      </c>
      <c r="Z815" s="27">
        <v>1</v>
      </c>
      <c r="AA815" s="27" t="s">
        <v>125</v>
      </c>
      <c r="AB815" s="27">
        <v>0</v>
      </c>
      <c r="AC815" s="27">
        <v>0</v>
      </c>
      <c r="AD815" s="27">
        <v>0</v>
      </c>
      <c r="AE815" s="27">
        <v>0</v>
      </c>
      <c r="AF815" s="27">
        <v>1</v>
      </c>
      <c r="AG815" s="27">
        <v>0</v>
      </c>
      <c r="AH815" s="27">
        <v>0</v>
      </c>
      <c r="AI815" s="27">
        <v>0</v>
      </c>
      <c r="AJ815" s="27">
        <v>0</v>
      </c>
      <c r="AK815" s="27">
        <v>0</v>
      </c>
      <c r="AL815" s="27">
        <v>0</v>
      </c>
      <c r="AM815" s="27">
        <v>0</v>
      </c>
      <c r="AN815" s="27">
        <v>0</v>
      </c>
      <c r="AO815" s="27">
        <v>0</v>
      </c>
      <c r="AP815" s="27">
        <v>0</v>
      </c>
      <c r="AQ815" s="27">
        <v>0</v>
      </c>
      <c r="AR815" s="27">
        <v>0</v>
      </c>
      <c r="AS815" s="27">
        <v>0</v>
      </c>
      <c r="AT815" s="27">
        <v>0</v>
      </c>
      <c r="AU815" s="27">
        <v>0</v>
      </c>
      <c r="AV815" s="27">
        <v>0</v>
      </c>
      <c r="AW815" s="27">
        <v>1</v>
      </c>
      <c r="AX815" s="27">
        <v>0</v>
      </c>
      <c r="AZ815" s="27">
        <v>1</v>
      </c>
      <c r="BA815" s="27">
        <v>0</v>
      </c>
      <c r="BB815" s="27">
        <v>33.33</v>
      </c>
      <c r="BC815" s="27" t="s">
        <v>2398</v>
      </c>
      <c r="BD815" s="27" t="s">
        <v>113</v>
      </c>
      <c r="BE815" s="27" t="s">
        <v>77</v>
      </c>
      <c r="BF815" s="27" t="s">
        <v>77</v>
      </c>
      <c r="BG815" s="27">
        <v>168</v>
      </c>
      <c r="BH815" s="27">
        <v>11</v>
      </c>
      <c r="BI815" s="27">
        <v>0.9385</v>
      </c>
      <c r="BJ815" s="27">
        <v>0</v>
      </c>
    </row>
    <row r="816" customHeight="1" spans="1:64">
      <c r="A816" s="27" t="s">
        <v>2399</v>
      </c>
      <c r="B816" s="27" t="s">
        <v>1503</v>
      </c>
      <c r="E816" s="27" t="s">
        <v>2400</v>
      </c>
      <c r="F816" s="27" t="s">
        <v>82</v>
      </c>
      <c r="G816" s="27" t="s">
        <v>83</v>
      </c>
      <c r="H816" s="27" t="s">
        <v>84</v>
      </c>
      <c r="I816" s="27" t="s">
        <v>85</v>
      </c>
      <c r="J816" s="27">
        <v>5</v>
      </c>
      <c r="K816" s="27">
        <v>29.99</v>
      </c>
      <c r="L816" s="27">
        <v>34.99</v>
      </c>
      <c r="M816" s="27">
        <v>14.29</v>
      </c>
      <c r="N816" s="27">
        <v>5</v>
      </c>
      <c r="O816" s="27">
        <v>1</v>
      </c>
      <c r="P816" s="27" t="s">
        <v>86</v>
      </c>
      <c r="Q816" s="27">
        <v>3.433665</v>
      </c>
      <c r="S816" s="27">
        <v>19</v>
      </c>
      <c r="T816" s="27">
        <v>10</v>
      </c>
      <c r="U816" s="27">
        <v>0.6552</v>
      </c>
      <c r="V816" s="27" t="s">
        <v>72</v>
      </c>
      <c r="W816" s="27">
        <v>569.81</v>
      </c>
      <c r="X816" s="27">
        <v>2.995732</v>
      </c>
      <c r="Y816" s="27">
        <v>6.347056</v>
      </c>
      <c r="Z816" s="27">
        <v>3.1623</v>
      </c>
      <c r="AA816" s="27" t="s">
        <v>187</v>
      </c>
      <c r="AB816" s="27">
        <v>0</v>
      </c>
      <c r="AC816" s="27">
        <v>0</v>
      </c>
      <c r="AD816" s="27">
        <v>0</v>
      </c>
      <c r="AE816" s="27">
        <v>0</v>
      </c>
      <c r="AF816" s="27">
        <v>0</v>
      </c>
      <c r="AG816" s="27">
        <v>0</v>
      </c>
      <c r="AH816" s="27">
        <v>0</v>
      </c>
      <c r="AI816" s="27">
        <v>0</v>
      </c>
      <c r="AJ816" s="27">
        <v>0</v>
      </c>
      <c r="AK816" s="27">
        <v>0</v>
      </c>
      <c r="AL816" s="27">
        <v>0</v>
      </c>
      <c r="AM816" s="27">
        <v>1</v>
      </c>
      <c r="AN816" s="27">
        <v>0</v>
      </c>
      <c r="AO816" s="27">
        <v>0</v>
      </c>
      <c r="AP816" s="27">
        <v>0</v>
      </c>
      <c r="AQ816" s="27">
        <v>0</v>
      </c>
      <c r="AR816" s="27">
        <v>0</v>
      </c>
      <c r="AS816" s="27">
        <v>0</v>
      </c>
      <c r="AT816" s="27">
        <v>1</v>
      </c>
      <c r="AU816" s="27">
        <v>0</v>
      </c>
      <c r="AV816" s="27">
        <v>0</v>
      </c>
      <c r="AW816" s="27">
        <v>0</v>
      </c>
      <c r="AX816" s="27">
        <v>0</v>
      </c>
      <c r="AZ816" s="27">
        <v>1</v>
      </c>
      <c r="BA816" s="27">
        <v>1</v>
      </c>
      <c r="BB816" s="27">
        <v>60.34</v>
      </c>
      <c r="BC816" s="27" t="s">
        <v>2056</v>
      </c>
      <c r="BD816" s="27" t="s">
        <v>537</v>
      </c>
      <c r="BE816" s="27" t="s">
        <v>226</v>
      </c>
      <c r="BF816" s="27" t="s">
        <v>77</v>
      </c>
      <c r="BG816" s="27">
        <v>1</v>
      </c>
      <c r="BH816" s="27">
        <v>93</v>
      </c>
      <c r="BI816" s="27">
        <v>0.0106</v>
      </c>
      <c r="BJ816" s="27">
        <v>1</v>
      </c>
      <c r="BK816" s="27">
        <v>2</v>
      </c>
      <c r="BL816" s="27">
        <v>99.5</v>
      </c>
    </row>
    <row r="817" customHeight="1" spans="1:64">
      <c r="A817" s="27" t="s">
        <v>2401</v>
      </c>
      <c r="B817" s="27" t="s">
        <v>125</v>
      </c>
      <c r="E817" s="27" t="s">
        <v>239</v>
      </c>
      <c r="F817" s="27" t="s">
        <v>2402</v>
      </c>
      <c r="G817" s="27" t="s">
        <v>83</v>
      </c>
      <c r="H817" s="27" t="s">
        <v>138</v>
      </c>
      <c r="I817" s="27" t="s">
        <v>85</v>
      </c>
      <c r="J817" s="27">
        <v>5</v>
      </c>
      <c r="K817" s="27">
        <v>25.79</v>
      </c>
      <c r="M817" s="27">
        <v>0</v>
      </c>
      <c r="N817" s="27">
        <v>0</v>
      </c>
      <c r="O817" s="27">
        <v>0</v>
      </c>
      <c r="P817" s="27" t="s">
        <v>86</v>
      </c>
      <c r="Q817" s="27">
        <v>3.288029</v>
      </c>
      <c r="S817" s="27">
        <v>728</v>
      </c>
      <c r="T817" s="27">
        <v>10</v>
      </c>
      <c r="U817" s="27">
        <v>0.9864</v>
      </c>
      <c r="V817" s="27" t="s">
        <v>154</v>
      </c>
      <c r="W817" s="27">
        <v>18775.12</v>
      </c>
      <c r="X817" s="27">
        <v>6.591674</v>
      </c>
      <c r="Y817" s="27">
        <v>9.840341</v>
      </c>
      <c r="Z817" s="27">
        <v>3.1623</v>
      </c>
      <c r="AA817" s="27" t="s">
        <v>139</v>
      </c>
      <c r="AB817" s="27">
        <v>0</v>
      </c>
      <c r="AC817" s="27">
        <v>0</v>
      </c>
      <c r="AD817" s="27">
        <v>0</v>
      </c>
      <c r="AE817" s="27">
        <v>0</v>
      </c>
      <c r="AF817" s="27">
        <v>0</v>
      </c>
      <c r="AG817" s="27">
        <v>0</v>
      </c>
      <c r="AH817" s="27">
        <v>0</v>
      </c>
      <c r="AI817" s="27">
        <v>0</v>
      </c>
      <c r="AJ817" s="27">
        <v>0</v>
      </c>
      <c r="AK817" s="27">
        <v>0</v>
      </c>
      <c r="AL817" s="27">
        <v>0</v>
      </c>
      <c r="AM817" s="27">
        <v>0</v>
      </c>
      <c r="AN817" s="27">
        <v>0</v>
      </c>
      <c r="AO817" s="27">
        <v>0</v>
      </c>
      <c r="AP817" s="27">
        <v>0</v>
      </c>
      <c r="AQ817" s="27">
        <v>1</v>
      </c>
      <c r="AR817" s="27">
        <v>0</v>
      </c>
      <c r="AS817" s="27">
        <v>0</v>
      </c>
      <c r="AT817" s="27">
        <v>0</v>
      </c>
      <c r="AU817" s="27">
        <v>0</v>
      </c>
      <c r="AV817" s="27">
        <v>1</v>
      </c>
      <c r="AW817" s="27">
        <v>0</v>
      </c>
      <c r="AX817" s="27">
        <v>0</v>
      </c>
      <c r="AZ817" s="27">
        <v>1</v>
      </c>
      <c r="BA817" s="27">
        <v>1</v>
      </c>
      <c r="BB817" s="27">
        <v>69.22</v>
      </c>
      <c r="BC817" s="27" t="s">
        <v>1127</v>
      </c>
      <c r="BD817" s="27" t="s">
        <v>626</v>
      </c>
      <c r="BE817" s="27" t="s">
        <v>627</v>
      </c>
      <c r="BF817" s="27" t="s">
        <v>77</v>
      </c>
      <c r="BG817" s="27">
        <v>1</v>
      </c>
      <c r="BH817" s="27">
        <v>107</v>
      </c>
      <c r="BI817" s="27">
        <v>0.0093</v>
      </c>
      <c r="BJ817" s="27">
        <v>1</v>
      </c>
      <c r="BK817" s="27">
        <v>3</v>
      </c>
      <c r="BL817" s="27">
        <v>99.2</v>
      </c>
    </row>
    <row r="818" customHeight="1" spans="1:64">
      <c r="A818" s="27" t="s">
        <v>2403</v>
      </c>
      <c r="B818" s="27" t="s">
        <v>171</v>
      </c>
      <c r="C818" s="27" t="s">
        <v>2404</v>
      </c>
      <c r="E818" s="27" t="s">
        <v>255</v>
      </c>
      <c r="F818" s="27" t="s">
        <v>160</v>
      </c>
      <c r="G818" s="27" t="s">
        <v>83</v>
      </c>
      <c r="H818" s="27" t="s">
        <v>84</v>
      </c>
      <c r="I818" s="27" t="s">
        <v>85</v>
      </c>
      <c r="J818" s="27">
        <v>5</v>
      </c>
      <c r="K818" s="27">
        <v>68.79</v>
      </c>
      <c r="M818" s="27">
        <v>0</v>
      </c>
      <c r="N818" s="27">
        <v>0</v>
      </c>
      <c r="O818" s="27">
        <v>0</v>
      </c>
      <c r="P818" s="27" t="s">
        <v>86</v>
      </c>
      <c r="Q818" s="27">
        <v>4.245491</v>
      </c>
      <c r="S818" s="27">
        <v>96</v>
      </c>
      <c r="T818" s="27">
        <v>18</v>
      </c>
      <c r="U818" s="27">
        <v>0.8421</v>
      </c>
      <c r="V818" s="27" t="s">
        <v>72</v>
      </c>
      <c r="W818" s="27">
        <v>6603.84</v>
      </c>
      <c r="X818" s="27">
        <v>4.574711</v>
      </c>
      <c r="Y818" s="27">
        <v>8.795558</v>
      </c>
      <c r="Z818" s="27">
        <v>4.2426</v>
      </c>
      <c r="AA818" s="27" t="s">
        <v>125</v>
      </c>
      <c r="AB818" s="27">
        <v>1</v>
      </c>
      <c r="AC818" s="27">
        <v>1</v>
      </c>
      <c r="AD818" s="27">
        <v>0</v>
      </c>
      <c r="AE818" s="27">
        <v>0</v>
      </c>
      <c r="AF818" s="27">
        <v>0</v>
      </c>
      <c r="AG818" s="27">
        <v>0</v>
      </c>
      <c r="AH818" s="27">
        <v>1</v>
      </c>
      <c r="AI818" s="27">
        <v>0</v>
      </c>
      <c r="AJ818" s="27">
        <v>0</v>
      </c>
      <c r="AK818" s="27">
        <v>1</v>
      </c>
      <c r="AL818" s="27">
        <v>0</v>
      </c>
      <c r="AM818" s="27">
        <v>0</v>
      </c>
      <c r="AN818" s="27">
        <v>1</v>
      </c>
      <c r="AO818" s="27">
        <v>0</v>
      </c>
      <c r="AP818" s="27">
        <v>0</v>
      </c>
      <c r="AQ818" s="27">
        <v>0</v>
      </c>
      <c r="AR818" s="27">
        <v>0</v>
      </c>
      <c r="AS818" s="27">
        <v>0</v>
      </c>
      <c r="AT818" s="27">
        <v>0</v>
      </c>
      <c r="AU818" s="27">
        <v>0</v>
      </c>
      <c r="AV818" s="27">
        <v>0</v>
      </c>
      <c r="AW818" s="27">
        <v>0</v>
      </c>
      <c r="AX818" s="27">
        <v>0</v>
      </c>
      <c r="AZ818" s="27">
        <v>1</v>
      </c>
      <c r="BA818" s="27">
        <v>5</v>
      </c>
      <c r="BB818" s="27">
        <v>63.35</v>
      </c>
      <c r="BC818" s="27" t="s">
        <v>251</v>
      </c>
      <c r="BD818" s="27" t="s">
        <v>175</v>
      </c>
      <c r="BE818" s="27" t="s">
        <v>91</v>
      </c>
      <c r="BF818" s="27" t="s">
        <v>77</v>
      </c>
      <c r="BG818" s="27">
        <v>162</v>
      </c>
      <c r="BH818" s="27">
        <v>60</v>
      </c>
      <c r="BI818" s="27">
        <v>0.7297</v>
      </c>
      <c r="BJ818" s="27">
        <v>0</v>
      </c>
      <c r="BK818" s="27">
        <v>4</v>
      </c>
      <c r="BL818" s="27">
        <v>98.9</v>
      </c>
    </row>
    <row r="819" customHeight="1" spans="1:64">
      <c r="A819" s="27" t="s">
        <v>2405</v>
      </c>
      <c r="B819" s="27" t="s">
        <v>144</v>
      </c>
      <c r="E819" s="27" t="s">
        <v>1509</v>
      </c>
      <c r="F819" s="27" t="s">
        <v>132</v>
      </c>
      <c r="G819" s="27" t="s">
        <v>83</v>
      </c>
      <c r="H819" s="27" t="s">
        <v>84</v>
      </c>
      <c r="I819" s="27" t="s">
        <v>85</v>
      </c>
      <c r="J819" s="27">
        <v>5</v>
      </c>
      <c r="K819" s="27">
        <v>7.25</v>
      </c>
      <c r="M819" s="27">
        <v>0</v>
      </c>
      <c r="N819" s="27">
        <v>0</v>
      </c>
      <c r="O819" s="27">
        <v>0</v>
      </c>
      <c r="P819" s="27" t="s">
        <v>133</v>
      </c>
      <c r="Q819" s="27">
        <v>2.110213</v>
      </c>
      <c r="S819" s="27">
        <v>381</v>
      </c>
      <c r="T819" s="27">
        <v>10</v>
      </c>
      <c r="U819" s="27">
        <v>0.9744</v>
      </c>
      <c r="V819" s="27" t="s">
        <v>154</v>
      </c>
      <c r="W819" s="27">
        <v>2762.25</v>
      </c>
      <c r="X819" s="27">
        <v>5.945421</v>
      </c>
      <c r="Y819" s="27">
        <v>7.924163</v>
      </c>
      <c r="Z819" s="27">
        <v>3.1623</v>
      </c>
      <c r="AA819" s="27" t="s">
        <v>125</v>
      </c>
      <c r="AB819" s="27">
        <v>0</v>
      </c>
      <c r="AC819" s="27">
        <v>0</v>
      </c>
      <c r="AD819" s="27">
        <v>0</v>
      </c>
      <c r="AE819" s="27">
        <v>0</v>
      </c>
      <c r="AF819" s="27">
        <v>0</v>
      </c>
      <c r="AG819" s="27">
        <v>0</v>
      </c>
      <c r="AH819" s="27">
        <v>0</v>
      </c>
      <c r="AI819" s="27">
        <v>0</v>
      </c>
      <c r="AJ819" s="27">
        <v>0</v>
      </c>
      <c r="AK819" s="27">
        <v>0</v>
      </c>
      <c r="AL819" s="27">
        <v>0</v>
      </c>
      <c r="AM819" s="27">
        <v>0</v>
      </c>
      <c r="AN819" s="27">
        <v>0</v>
      </c>
      <c r="AO819" s="27">
        <v>0</v>
      </c>
      <c r="AP819" s="27">
        <v>0</v>
      </c>
      <c r="AQ819" s="27">
        <v>1</v>
      </c>
      <c r="AR819" s="27">
        <v>0</v>
      </c>
      <c r="AS819" s="27">
        <v>0</v>
      </c>
      <c r="AT819" s="27">
        <v>0</v>
      </c>
      <c r="AU819" s="27">
        <v>0</v>
      </c>
      <c r="AV819" s="27">
        <v>1</v>
      </c>
      <c r="AW819" s="27">
        <v>0</v>
      </c>
      <c r="AX819" s="27">
        <v>0</v>
      </c>
      <c r="AZ819" s="27">
        <v>1</v>
      </c>
      <c r="BA819" s="27">
        <v>1</v>
      </c>
      <c r="BB819" s="27">
        <v>56.32</v>
      </c>
      <c r="BC819" s="27" t="s">
        <v>2406</v>
      </c>
      <c r="BD819" s="27" t="s">
        <v>261</v>
      </c>
      <c r="BE819" s="27" t="s">
        <v>262</v>
      </c>
      <c r="BF819" s="27" t="s">
        <v>77</v>
      </c>
      <c r="BG819" s="27">
        <v>1</v>
      </c>
      <c r="BH819" s="27">
        <v>27</v>
      </c>
      <c r="BI819" s="27">
        <v>0.0357</v>
      </c>
      <c r="BJ819" s="27">
        <v>1</v>
      </c>
      <c r="BK819" s="27">
        <v>154</v>
      </c>
      <c r="BL819" s="27">
        <v>57.8</v>
      </c>
    </row>
    <row r="820" customHeight="1" spans="1:64">
      <c r="A820" s="27" t="s">
        <v>2407</v>
      </c>
      <c r="B820" s="27" t="s">
        <v>245</v>
      </c>
      <c r="C820" s="27" t="s">
        <v>2408</v>
      </c>
      <c r="E820" s="27" t="s">
        <v>250</v>
      </c>
      <c r="F820" s="27" t="s">
        <v>160</v>
      </c>
      <c r="G820" s="27" t="s">
        <v>83</v>
      </c>
      <c r="H820" s="27" t="s">
        <v>84</v>
      </c>
      <c r="I820" s="27" t="s">
        <v>85</v>
      </c>
      <c r="J820" s="27">
        <v>5</v>
      </c>
      <c r="K820" s="27">
        <v>144.49</v>
      </c>
      <c r="L820" s="27">
        <v>169.99</v>
      </c>
      <c r="M820" s="27">
        <v>15</v>
      </c>
      <c r="N820" s="27">
        <v>25.5</v>
      </c>
      <c r="O820" s="27">
        <v>1</v>
      </c>
      <c r="P820" s="27" t="s">
        <v>95</v>
      </c>
      <c r="Q820" s="27">
        <v>4.980107</v>
      </c>
      <c r="R820" s="27">
        <v>18.06</v>
      </c>
      <c r="S820" s="27">
        <v>59</v>
      </c>
      <c r="T820" s="27">
        <v>10</v>
      </c>
      <c r="U820" s="27">
        <v>0.8551</v>
      </c>
      <c r="V820" s="27" t="s">
        <v>72</v>
      </c>
      <c r="W820" s="27">
        <v>8524.91</v>
      </c>
      <c r="X820" s="27">
        <v>4.094345</v>
      </c>
      <c r="Y820" s="27">
        <v>9.050865</v>
      </c>
      <c r="Z820" s="27">
        <v>3.1623</v>
      </c>
      <c r="AA820" s="27" t="s">
        <v>73</v>
      </c>
      <c r="AB820" s="27">
        <v>0</v>
      </c>
      <c r="AC820" s="27">
        <v>0</v>
      </c>
      <c r="AD820" s="27">
        <v>0</v>
      </c>
      <c r="AE820" s="27">
        <v>0</v>
      </c>
      <c r="AF820" s="27">
        <v>0</v>
      </c>
      <c r="AG820" s="27">
        <v>1</v>
      </c>
      <c r="AH820" s="27">
        <v>0</v>
      </c>
      <c r="AI820" s="27">
        <v>1</v>
      </c>
      <c r="AJ820" s="27">
        <v>0</v>
      </c>
      <c r="AK820" s="27">
        <v>0</v>
      </c>
      <c r="AL820" s="27">
        <v>0</v>
      </c>
      <c r="AM820" s="27">
        <v>0</v>
      </c>
      <c r="AN820" s="27">
        <v>1</v>
      </c>
      <c r="AO820" s="27">
        <v>0</v>
      </c>
      <c r="AP820" s="27">
        <v>0</v>
      </c>
      <c r="AQ820" s="27">
        <v>1</v>
      </c>
      <c r="AR820" s="27">
        <v>0</v>
      </c>
      <c r="AS820" s="27">
        <v>0</v>
      </c>
      <c r="AT820" s="27">
        <v>1</v>
      </c>
      <c r="AU820" s="27">
        <v>0</v>
      </c>
      <c r="AV820" s="27">
        <v>1</v>
      </c>
      <c r="AW820" s="27">
        <v>1</v>
      </c>
      <c r="AX820" s="27">
        <v>0</v>
      </c>
      <c r="AY820" s="27">
        <v>8</v>
      </c>
      <c r="AZ820" s="27">
        <v>1</v>
      </c>
      <c r="BA820" s="27">
        <v>2</v>
      </c>
      <c r="BB820" s="27">
        <v>68.13</v>
      </c>
      <c r="BC820" s="27" t="s">
        <v>247</v>
      </c>
      <c r="BD820" s="27" t="s">
        <v>175</v>
      </c>
      <c r="BE820" s="27" t="s">
        <v>91</v>
      </c>
      <c r="BF820" s="27" t="s">
        <v>77</v>
      </c>
      <c r="BG820" s="27">
        <v>161</v>
      </c>
      <c r="BH820" s="27">
        <v>61</v>
      </c>
      <c r="BI820" s="27">
        <v>0.7252</v>
      </c>
      <c r="BJ820" s="27">
        <v>0</v>
      </c>
      <c r="BK820" s="27">
        <v>7</v>
      </c>
      <c r="BL820" s="27">
        <v>98.1</v>
      </c>
    </row>
    <row r="821" customHeight="1" spans="1:64">
      <c r="A821" s="27" t="s">
        <v>2409</v>
      </c>
      <c r="B821" s="27" t="s">
        <v>901</v>
      </c>
      <c r="E821" s="27" t="s">
        <v>163</v>
      </c>
      <c r="F821" s="27" t="s">
        <v>132</v>
      </c>
      <c r="G821" s="27" t="s">
        <v>901</v>
      </c>
      <c r="H821" s="27" t="s">
        <v>107</v>
      </c>
      <c r="I821" s="27" t="s">
        <v>85</v>
      </c>
      <c r="J821" s="27">
        <v>5</v>
      </c>
      <c r="K821" s="27">
        <v>6.99</v>
      </c>
      <c r="M821" s="27">
        <v>0</v>
      </c>
      <c r="N821" s="27">
        <v>0</v>
      </c>
      <c r="O821" s="27">
        <v>0</v>
      </c>
      <c r="P821" s="27" t="s">
        <v>133</v>
      </c>
      <c r="Q821" s="27">
        <v>2.078191</v>
      </c>
      <c r="S821" s="27">
        <v>164</v>
      </c>
      <c r="T821" s="27">
        <v>10</v>
      </c>
      <c r="U821" s="27">
        <v>0.9425</v>
      </c>
      <c r="V821" s="27" t="s">
        <v>72</v>
      </c>
      <c r="W821" s="27">
        <v>1146.36</v>
      </c>
      <c r="X821" s="27">
        <v>5.105945</v>
      </c>
      <c r="Y821" s="27">
        <v>7.045219</v>
      </c>
      <c r="Z821" s="27">
        <v>3.1623</v>
      </c>
      <c r="AA821" s="27" t="s">
        <v>125</v>
      </c>
      <c r="AB821" s="27">
        <v>0</v>
      </c>
      <c r="AC821" s="27">
        <v>0</v>
      </c>
      <c r="AD821" s="27">
        <v>0</v>
      </c>
      <c r="AE821" s="27">
        <v>0</v>
      </c>
      <c r="AF821" s="27">
        <v>0</v>
      </c>
      <c r="AG821" s="27">
        <v>0</v>
      </c>
      <c r="AH821" s="27">
        <v>0</v>
      </c>
      <c r="AI821" s="27">
        <v>0</v>
      </c>
      <c r="AJ821" s="27">
        <v>0</v>
      </c>
      <c r="AK821" s="27">
        <v>0</v>
      </c>
      <c r="AL821" s="27">
        <v>0</v>
      </c>
      <c r="AM821" s="27">
        <v>0</v>
      </c>
      <c r="AN821" s="27">
        <v>0</v>
      </c>
      <c r="AO821" s="27">
        <v>0</v>
      </c>
      <c r="AP821" s="27">
        <v>0</v>
      </c>
      <c r="AQ821" s="27">
        <v>0</v>
      </c>
      <c r="AR821" s="27">
        <v>0</v>
      </c>
      <c r="AS821" s="27">
        <v>0</v>
      </c>
      <c r="AT821" s="27">
        <v>0</v>
      </c>
      <c r="AU821" s="27">
        <v>0</v>
      </c>
      <c r="AV821" s="27">
        <v>0</v>
      </c>
      <c r="AW821" s="27">
        <v>0</v>
      </c>
      <c r="AX821" s="27">
        <v>0</v>
      </c>
      <c r="AZ821" s="27">
        <v>1</v>
      </c>
      <c r="BA821" s="27">
        <v>0</v>
      </c>
      <c r="BB821" s="27">
        <v>51.17</v>
      </c>
      <c r="BC821" s="27" t="s">
        <v>2410</v>
      </c>
      <c r="BD821" s="27" t="s">
        <v>2411</v>
      </c>
      <c r="BE821" s="27" t="s">
        <v>941</v>
      </c>
      <c r="BF821" s="27" t="s">
        <v>77</v>
      </c>
      <c r="BG821" s="27">
        <v>168</v>
      </c>
      <c r="BH821" s="27">
        <v>11</v>
      </c>
      <c r="BI821" s="27">
        <v>0.9385</v>
      </c>
      <c r="BJ821" s="27">
        <v>0</v>
      </c>
      <c r="BK821" s="27">
        <v>201</v>
      </c>
      <c r="BL821" s="27">
        <v>44.9</v>
      </c>
    </row>
    <row r="822" customHeight="1" spans="1:64">
      <c r="A822" s="27" t="s">
        <v>2412</v>
      </c>
      <c r="B822" s="27" t="s">
        <v>384</v>
      </c>
      <c r="C822" s="27" t="s">
        <v>1071</v>
      </c>
      <c r="E822" s="27" t="s">
        <v>209</v>
      </c>
      <c r="F822" s="27" t="s">
        <v>462</v>
      </c>
      <c r="G822" s="27" t="s">
        <v>83</v>
      </c>
      <c r="H822" s="27" t="s">
        <v>84</v>
      </c>
      <c r="I822" s="27" t="s">
        <v>85</v>
      </c>
      <c r="J822" s="27">
        <v>5</v>
      </c>
      <c r="K822" s="27">
        <v>145.99</v>
      </c>
      <c r="L822" s="27">
        <v>162.21</v>
      </c>
      <c r="M822" s="27">
        <v>10</v>
      </c>
      <c r="N822" s="27">
        <v>16.22</v>
      </c>
      <c r="O822" s="27">
        <v>1</v>
      </c>
      <c r="P822" s="27" t="s">
        <v>95</v>
      </c>
      <c r="Q822" s="27">
        <v>4.990365</v>
      </c>
      <c r="R822" s="27">
        <v>9.12</v>
      </c>
      <c r="S822" s="27">
        <v>46</v>
      </c>
      <c r="T822" s="27">
        <v>2</v>
      </c>
      <c r="U822" s="27">
        <v>0.9583</v>
      </c>
      <c r="V822" s="27" t="s">
        <v>72</v>
      </c>
      <c r="W822" s="27">
        <v>6715.54</v>
      </c>
      <c r="X822" s="27">
        <v>3.850148</v>
      </c>
      <c r="Y822" s="27">
        <v>8.812328</v>
      </c>
      <c r="Z822" s="27">
        <v>1.4142</v>
      </c>
      <c r="AA822" s="27" t="s">
        <v>110</v>
      </c>
      <c r="AB822" s="27">
        <v>0</v>
      </c>
      <c r="AC822" s="27">
        <v>0</v>
      </c>
      <c r="AD822" s="27">
        <v>0</v>
      </c>
      <c r="AE822" s="27">
        <v>0</v>
      </c>
      <c r="AF822" s="27">
        <v>0</v>
      </c>
      <c r="AG822" s="27">
        <v>0</v>
      </c>
      <c r="AH822" s="27">
        <v>1</v>
      </c>
      <c r="AI822" s="27">
        <v>0</v>
      </c>
      <c r="AJ822" s="27">
        <v>1</v>
      </c>
      <c r="AK822" s="27">
        <v>1</v>
      </c>
      <c r="AL822" s="27">
        <v>0</v>
      </c>
      <c r="AM822" s="27">
        <v>0</v>
      </c>
      <c r="AN822" s="27">
        <v>0</v>
      </c>
      <c r="AO822" s="27">
        <v>0</v>
      </c>
      <c r="AP822" s="27">
        <v>0</v>
      </c>
      <c r="AQ822" s="27">
        <v>1</v>
      </c>
      <c r="AR822" s="27">
        <v>0</v>
      </c>
      <c r="AS822" s="27">
        <v>0</v>
      </c>
      <c r="AT822" s="27">
        <v>0</v>
      </c>
      <c r="AU822" s="27">
        <v>0</v>
      </c>
      <c r="AV822" s="27">
        <v>1</v>
      </c>
      <c r="AW822" s="27">
        <v>1</v>
      </c>
      <c r="AX822" s="27">
        <v>0</v>
      </c>
      <c r="AY822" s="27">
        <v>16</v>
      </c>
      <c r="AZ822" s="27">
        <v>4</v>
      </c>
      <c r="BA822" s="27">
        <v>3</v>
      </c>
      <c r="BB822" s="27">
        <v>70.85</v>
      </c>
      <c r="BC822" s="27" t="s">
        <v>309</v>
      </c>
      <c r="BG822" s="27">
        <v>0</v>
      </c>
      <c r="BH822" s="27">
        <v>0</v>
      </c>
      <c r="BJ822" s="27">
        <v>0</v>
      </c>
      <c r="BK822" s="27">
        <v>6</v>
      </c>
      <c r="BL822" s="27">
        <v>98.4</v>
      </c>
    </row>
    <row r="823" customHeight="1" spans="1:64">
      <c r="A823" s="27" t="s">
        <v>2413</v>
      </c>
      <c r="B823" s="27" t="s">
        <v>2414</v>
      </c>
      <c r="D823" s="27">
        <v>850045533144</v>
      </c>
      <c r="E823" s="27" t="s">
        <v>163</v>
      </c>
      <c r="F823" s="27" t="s">
        <v>82</v>
      </c>
      <c r="G823" s="27" t="s">
        <v>83</v>
      </c>
      <c r="H823" s="27" t="s">
        <v>84</v>
      </c>
      <c r="I823" s="27" t="s">
        <v>85</v>
      </c>
      <c r="J823" s="27">
        <v>5</v>
      </c>
      <c r="K823" s="27">
        <v>21.95</v>
      </c>
      <c r="M823" s="27">
        <v>0</v>
      </c>
      <c r="N823" s="27">
        <v>0</v>
      </c>
      <c r="O823" s="27">
        <v>0</v>
      </c>
      <c r="P823" s="27" t="s">
        <v>133</v>
      </c>
      <c r="Q823" s="27">
        <v>3.133318</v>
      </c>
      <c r="S823" s="27">
        <v>1</v>
      </c>
      <c r="T823" s="27">
        <v>4</v>
      </c>
      <c r="U823" s="27">
        <v>0.2</v>
      </c>
      <c r="V823" s="27" t="s">
        <v>87</v>
      </c>
      <c r="W823" s="27">
        <v>21.95</v>
      </c>
      <c r="X823" s="27">
        <v>0.693147</v>
      </c>
      <c r="Y823" s="27">
        <v>3.133318</v>
      </c>
      <c r="Z823" s="27">
        <v>2</v>
      </c>
      <c r="AA823" s="27" t="s">
        <v>125</v>
      </c>
      <c r="AB823" s="27">
        <v>0</v>
      </c>
      <c r="AC823" s="27">
        <v>0</v>
      </c>
      <c r="AD823" s="27">
        <v>0</v>
      </c>
      <c r="AE823" s="27">
        <v>0</v>
      </c>
      <c r="AF823" s="27">
        <v>0</v>
      </c>
      <c r="AG823" s="27">
        <v>0</v>
      </c>
      <c r="AH823" s="27">
        <v>1</v>
      </c>
      <c r="AI823" s="27">
        <v>0</v>
      </c>
      <c r="AJ823" s="27">
        <v>0</v>
      </c>
      <c r="AK823" s="27">
        <v>0</v>
      </c>
      <c r="AL823" s="27">
        <v>0</v>
      </c>
      <c r="AM823" s="27">
        <v>0</v>
      </c>
      <c r="AN823" s="27">
        <v>0</v>
      </c>
      <c r="AO823" s="27">
        <v>0</v>
      </c>
      <c r="AP823" s="27">
        <v>0</v>
      </c>
      <c r="AQ823" s="27">
        <v>0</v>
      </c>
      <c r="AR823" s="27">
        <v>0</v>
      </c>
      <c r="AS823" s="27">
        <v>0</v>
      </c>
      <c r="AT823" s="27">
        <v>0</v>
      </c>
      <c r="AU823" s="27">
        <v>0</v>
      </c>
      <c r="AV823" s="27">
        <v>0</v>
      </c>
      <c r="AW823" s="27">
        <v>0</v>
      </c>
      <c r="AX823" s="27">
        <v>0</v>
      </c>
      <c r="AZ823" s="27">
        <v>1</v>
      </c>
      <c r="BA823" s="27">
        <v>1</v>
      </c>
      <c r="BB823" s="27">
        <v>8</v>
      </c>
      <c r="BC823" s="27" t="s">
        <v>2415</v>
      </c>
      <c r="BD823" s="27" t="s">
        <v>2416</v>
      </c>
      <c r="BE823" s="27" t="s">
        <v>987</v>
      </c>
      <c r="BF823" s="27" t="s">
        <v>77</v>
      </c>
      <c r="BG823" s="27">
        <v>162</v>
      </c>
      <c r="BH823" s="27">
        <v>58</v>
      </c>
      <c r="BI823" s="27">
        <v>0.7364</v>
      </c>
      <c r="BJ823" s="27">
        <v>0</v>
      </c>
    </row>
    <row r="824" customHeight="1" spans="1:64">
      <c r="A824" s="27" t="s">
        <v>2417</v>
      </c>
      <c r="B824" s="27" t="s">
        <v>202</v>
      </c>
      <c r="C824" s="27" t="s">
        <v>2418</v>
      </c>
      <c r="E824" s="27" t="s">
        <v>81</v>
      </c>
      <c r="F824" s="27" t="s">
        <v>82</v>
      </c>
      <c r="G824" s="27" t="s">
        <v>83</v>
      </c>
      <c r="H824" s="27" t="s">
        <v>84</v>
      </c>
      <c r="I824" s="27" t="s">
        <v>203</v>
      </c>
      <c r="J824" s="27">
        <v>4</v>
      </c>
      <c r="K824" s="27">
        <v>30</v>
      </c>
      <c r="M824" s="27">
        <v>0</v>
      </c>
      <c r="N824" s="27">
        <v>0</v>
      </c>
      <c r="O824" s="27">
        <v>0</v>
      </c>
      <c r="P824" s="27" t="s">
        <v>86</v>
      </c>
      <c r="Q824" s="27">
        <v>3.433987</v>
      </c>
      <c r="S824" s="27">
        <v>118</v>
      </c>
      <c r="T824" s="27">
        <v>4</v>
      </c>
      <c r="U824" s="27">
        <v>0.9672</v>
      </c>
      <c r="V824" s="27" t="s">
        <v>72</v>
      </c>
      <c r="W824" s="27">
        <v>3540</v>
      </c>
      <c r="X824" s="27">
        <v>4.779123</v>
      </c>
      <c r="Y824" s="27">
        <v>8.172164</v>
      </c>
      <c r="Z824" s="27">
        <v>2</v>
      </c>
      <c r="AA824" s="27" t="s">
        <v>73</v>
      </c>
      <c r="AB824" s="27">
        <v>0</v>
      </c>
      <c r="AC824" s="27">
        <v>0</v>
      </c>
      <c r="AD824" s="27">
        <v>0</v>
      </c>
      <c r="AE824" s="27">
        <v>0</v>
      </c>
      <c r="AF824" s="27">
        <v>0</v>
      </c>
      <c r="AG824" s="27">
        <v>1</v>
      </c>
      <c r="AH824" s="27">
        <v>0</v>
      </c>
      <c r="AI824" s="27">
        <v>0</v>
      </c>
      <c r="AJ824" s="27">
        <v>0</v>
      </c>
      <c r="AK824" s="27">
        <v>0</v>
      </c>
      <c r="AL824" s="27">
        <v>0</v>
      </c>
      <c r="AM824" s="27">
        <v>0</v>
      </c>
      <c r="AN824" s="27">
        <v>0</v>
      </c>
      <c r="AO824" s="27">
        <v>0</v>
      </c>
      <c r="AP824" s="27">
        <v>1</v>
      </c>
      <c r="AQ824" s="27">
        <v>0</v>
      </c>
      <c r="AR824" s="27">
        <v>0</v>
      </c>
      <c r="AS824" s="27">
        <v>0</v>
      </c>
      <c r="AT824" s="27">
        <v>0</v>
      </c>
      <c r="AU824" s="27">
        <v>0</v>
      </c>
      <c r="AV824" s="27">
        <v>0</v>
      </c>
      <c r="AW824" s="27">
        <v>0</v>
      </c>
      <c r="AX824" s="27">
        <v>0</v>
      </c>
      <c r="AZ824" s="27">
        <v>1</v>
      </c>
      <c r="BA824" s="27">
        <v>0</v>
      </c>
      <c r="BB824" s="27">
        <v>68.54</v>
      </c>
      <c r="BC824" s="27" t="s">
        <v>2167</v>
      </c>
      <c r="BD824" s="27" t="s">
        <v>698</v>
      </c>
      <c r="BE824" s="27" t="s">
        <v>166</v>
      </c>
      <c r="BF824" s="27" t="s">
        <v>77</v>
      </c>
      <c r="BG824" s="27">
        <v>168</v>
      </c>
      <c r="BH824" s="27">
        <v>11</v>
      </c>
      <c r="BI824" s="27">
        <v>0.9385</v>
      </c>
      <c r="BJ824" s="27">
        <v>0</v>
      </c>
      <c r="BK824" s="27">
        <v>2</v>
      </c>
      <c r="BL824" s="27">
        <v>99.5</v>
      </c>
    </row>
    <row r="825" customHeight="1" spans="1:64">
      <c r="A825" s="27" t="s">
        <v>2419</v>
      </c>
      <c r="B825" s="27" t="s">
        <v>1503</v>
      </c>
      <c r="E825" s="27" t="s">
        <v>81</v>
      </c>
      <c r="F825" s="27" t="s">
        <v>82</v>
      </c>
      <c r="G825" s="27" t="s">
        <v>83</v>
      </c>
      <c r="H825" s="27" t="s">
        <v>84</v>
      </c>
      <c r="I825" s="27" t="s">
        <v>85</v>
      </c>
      <c r="J825" s="27">
        <v>5</v>
      </c>
      <c r="K825" s="27">
        <v>24.99</v>
      </c>
      <c r="L825" s="27">
        <v>29.99</v>
      </c>
      <c r="M825" s="27">
        <v>16.67</v>
      </c>
      <c r="N825" s="27">
        <v>5</v>
      </c>
      <c r="O825" s="27">
        <v>1</v>
      </c>
      <c r="P825" s="27" t="s">
        <v>133</v>
      </c>
      <c r="Q825" s="27">
        <v>3.257712</v>
      </c>
      <c r="S825" s="27">
        <v>8</v>
      </c>
      <c r="T825" s="27">
        <v>10</v>
      </c>
      <c r="U825" s="27">
        <v>0.4444</v>
      </c>
      <c r="V825" s="27" t="s">
        <v>87</v>
      </c>
      <c r="W825" s="27">
        <v>199.92</v>
      </c>
      <c r="X825" s="27">
        <v>2.197225</v>
      </c>
      <c r="Y825" s="27">
        <v>5.302907</v>
      </c>
      <c r="Z825" s="27">
        <v>3.1623</v>
      </c>
      <c r="AA825" s="27" t="s">
        <v>125</v>
      </c>
      <c r="AB825" s="27">
        <v>1</v>
      </c>
      <c r="AC825" s="27">
        <v>0</v>
      </c>
      <c r="AD825" s="27">
        <v>1</v>
      </c>
      <c r="AE825" s="27">
        <v>0</v>
      </c>
      <c r="AF825" s="27">
        <v>0</v>
      </c>
      <c r="AG825" s="27">
        <v>0</v>
      </c>
      <c r="AH825" s="27">
        <v>1</v>
      </c>
      <c r="AI825" s="27">
        <v>0</v>
      </c>
      <c r="AJ825" s="27">
        <v>0</v>
      </c>
      <c r="AK825" s="27">
        <v>1</v>
      </c>
      <c r="AL825" s="27">
        <v>0</v>
      </c>
      <c r="AM825" s="27">
        <v>0</v>
      </c>
      <c r="AN825" s="27">
        <v>0</v>
      </c>
      <c r="AO825" s="27">
        <v>0</v>
      </c>
      <c r="AP825" s="27">
        <v>0</v>
      </c>
      <c r="AQ825" s="27">
        <v>0</v>
      </c>
      <c r="AR825" s="27">
        <v>0</v>
      </c>
      <c r="AS825" s="27">
        <v>0</v>
      </c>
      <c r="AT825" s="27">
        <v>0</v>
      </c>
      <c r="AU825" s="27">
        <v>0</v>
      </c>
      <c r="AV825" s="27">
        <v>0</v>
      </c>
      <c r="AW825" s="27">
        <v>0</v>
      </c>
      <c r="AX825" s="27">
        <v>0</v>
      </c>
      <c r="AZ825" s="27">
        <v>1</v>
      </c>
      <c r="BA825" s="27">
        <v>3</v>
      </c>
      <c r="BB825" s="27">
        <v>51.97</v>
      </c>
      <c r="BC825" s="27" t="s">
        <v>2420</v>
      </c>
      <c r="BD825" s="27" t="s">
        <v>537</v>
      </c>
      <c r="BE825" s="27" t="s">
        <v>226</v>
      </c>
      <c r="BF825" s="27" t="s">
        <v>77</v>
      </c>
      <c r="BG825" s="27">
        <v>1</v>
      </c>
      <c r="BH825" s="27">
        <v>93</v>
      </c>
      <c r="BI825" s="27">
        <v>0.0106</v>
      </c>
      <c r="BJ825" s="27">
        <v>1</v>
      </c>
      <c r="BK825" s="27">
        <v>10</v>
      </c>
      <c r="BL825" s="27">
        <v>97.3</v>
      </c>
    </row>
    <row r="826" customHeight="1" spans="1:64">
      <c r="A826" s="27" t="s">
        <v>2421</v>
      </c>
      <c r="B826" s="27" t="s">
        <v>2422</v>
      </c>
      <c r="C826" s="27" t="s">
        <v>2423</v>
      </c>
      <c r="D826" s="27">
        <v>788924502519</v>
      </c>
      <c r="E826" s="27" t="s">
        <v>2424</v>
      </c>
      <c r="F826" s="27" t="s">
        <v>198</v>
      </c>
      <c r="G826" s="27" t="s">
        <v>83</v>
      </c>
      <c r="H826" s="27" t="s">
        <v>84</v>
      </c>
      <c r="I826" s="27" t="s">
        <v>85</v>
      </c>
      <c r="J826" s="27">
        <v>5</v>
      </c>
      <c r="K826" s="27">
        <v>129.99</v>
      </c>
      <c r="M826" s="27">
        <v>0</v>
      </c>
      <c r="N826" s="27">
        <v>0</v>
      </c>
      <c r="O826" s="27">
        <v>0</v>
      </c>
      <c r="P826" s="27" t="s">
        <v>95</v>
      </c>
      <c r="Q826" s="27">
        <v>4.875121</v>
      </c>
      <c r="S826" s="27">
        <v>4</v>
      </c>
      <c r="T826" s="27">
        <v>12</v>
      </c>
      <c r="U826" s="27">
        <v>0.25</v>
      </c>
      <c r="V826" s="27" t="s">
        <v>87</v>
      </c>
      <c r="W826" s="27">
        <v>519.96</v>
      </c>
      <c r="X826" s="27">
        <v>1.609438</v>
      </c>
      <c r="Y826" s="27">
        <v>6.255673</v>
      </c>
      <c r="Z826" s="27">
        <v>3.4641</v>
      </c>
      <c r="AA826" s="27" t="s">
        <v>125</v>
      </c>
      <c r="AB826" s="27">
        <v>0</v>
      </c>
      <c r="AC826" s="27">
        <v>0</v>
      </c>
      <c r="AD826" s="27">
        <v>0</v>
      </c>
      <c r="AE826" s="27">
        <v>0</v>
      </c>
      <c r="AF826" s="27">
        <v>0</v>
      </c>
      <c r="AG826" s="27">
        <v>0</v>
      </c>
      <c r="AH826" s="27">
        <v>0</v>
      </c>
      <c r="AI826" s="27">
        <v>0</v>
      </c>
      <c r="AJ826" s="27">
        <v>0</v>
      </c>
      <c r="AK826" s="27">
        <v>0</v>
      </c>
      <c r="AL826" s="27">
        <v>0</v>
      </c>
      <c r="AM826" s="27">
        <v>0</v>
      </c>
      <c r="AN826" s="27">
        <v>0</v>
      </c>
      <c r="AO826" s="27">
        <v>0</v>
      </c>
      <c r="AP826" s="27">
        <v>0</v>
      </c>
      <c r="AQ826" s="27">
        <v>0</v>
      </c>
      <c r="AR826" s="27">
        <v>0</v>
      </c>
      <c r="AS826" s="27">
        <v>0</v>
      </c>
      <c r="AT826" s="27">
        <v>1</v>
      </c>
      <c r="AU826" s="27">
        <v>0</v>
      </c>
      <c r="AV826" s="27">
        <v>0</v>
      </c>
      <c r="AW826" s="27">
        <v>0</v>
      </c>
      <c r="AX826" s="27">
        <v>0</v>
      </c>
      <c r="AZ826" s="27">
        <v>1</v>
      </c>
      <c r="BA826" s="27">
        <v>0</v>
      </c>
      <c r="BB826" s="27">
        <v>28.9</v>
      </c>
      <c r="BC826" s="27" t="s">
        <v>2425</v>
      </c>
      <c r="BD826" s="27" t="s">
        <v>2426</v>
      </c>
      <c r="BE826" s="27" t="s">
        <v>243</v>
      </c>
      <c r="BF826" s="27" t="s">
        <v>77</v>
      </c>
      <c r="BG826" s="27">
        <v>162</v>
      </c>
      <c r="BH826" s="27">
        <v>18</v>
      </c>
      <c r="BI826" s="27">
        <v>0.9</v>
      </c>
      <c r="BJ826" s="27">
        <v>0</v>
      </c>
      <c r="BK826" s="27">
        <v>135</v>
      </c>
      <c r="BL826" s="27">
        <v>63</v>
      </c>
    </row>
    <row r="827" customHeight="1" spans="1:64">
      <c r="A827" s="27" t="s">
        <v>2427</v>
      </c>
      <c r="B827" s="27" t="s">
        <v>2428</v>
      </c>
      <c r="C827" s="27" t="s">
        <v>2429</v>
      </c>
      <c r="E827" s="27" t="s">
        <v>2430</v>
      </c>
      <c r="F827" s="27" t="s">
        <v>160</v>
      </c>
      <c r="G827" s="27" t="s">
        <v>83</v>
      </c>
      <c r="H827" s="27" t="s">
        <v>84</v>
      </c>
      <c r="I827" s="27" t="s">
        <v>85</v>
      </c>
      <c r="J827" s="27">
        <v>5</v>
      </c>
      <c r="K827" s="27">
        <v>124.99</v>
      </c>
      <c r="M827" s="27">
        <v>0</v>
      </c>
      <c r="N827" s="27">
        <v>0</v>
      </c>
      <c r="O827" s="27">
        <v>0</v>
      </c>
      <c r="P827" s="27" t="s">
        <v>95</v>
      </c>
      <c r="Q827" s="27">
        <v>4.836203</v>
      </c>
      <c r="S827" s="27">
        <v>31</v>
      </c>
      <c r="T827" s="27">
        <v>9</v>
      </c>
      <c r="U827" s="27">
        <v>0.775</v>
      </c>
      <c r="V827" s="27" t="s">
        <v>72</v>
      </c>
      <c r="W827" s="27">
        <v>3874.69</v>
      </c>
      <c r="X827" s="27">
        <v>3.465736</v>
      </c>
      <c r="Y827" s="27">
        <v>8.262479</v>
      </c>
      <c r="Z827" s="27">
        <v>3</v>
      </c>
      <c r="AA827" s="27" t="s">
        <v>125</v>
      </c>
      <c r="AB827" s="27">
        <v>0</v>
      </c>
      <c r="AC827" s="27">
        <v>0</v>
      </c>
      <c r="AD827" s="27">
        <v>0</v>
      </c>
      <c r="AE827" s="27">
        <v>0</v>
      </c>
      <c r="AF827" s="27">
        <v>0</v>
      </c>
      <c r="AG827" s="27">
        <v>0</v>
      </c>
      <c r="AH827" s="27">
        <v>0</v>
      </c>
      <c r="AI827" s="27">
        <v>0</v>
      </c>
      <c r="AJ827" s="27">
        <v>0</v>
      </c>
      <c r="AK827" s="27">
        <v>0</v>
      </c>
      <c r="AL827" s="27">
        <v>0</v>
      </c>
      <c r="AM827" s="27">
        <v>0</v>
      </c>
      <c r="AN827" s="27">
        <v>0</v>
      </c>
      <c r="AO827" s="27">
        <v>0</v>
      </c>
      <c r="AP827" s="27">
        <v>0</v>
      </c>
      <c r="AQ827" s="27">
        <v>0</v>
      </c>
      <c r="AR827" s="27">
        <v>0</v>
      </c>
      <c r="AS827" s="27">
        <v>0</v>
      </c>
      <c r="AT827" s="27">
        <v>0</v>
      </c>
      <c r="AU827" s="27">
        <v>0</v>
      </c>
      <c r="AV827" s="27">
        <v>0</v>
      </c>
      <c r="AW827" s="27">
        <v>1</v>
      </c>
      <c r="AX827" s="27">
        <v>0</v>
      </c>
      <c r="AZ827" s="27">
        <v>1</v>
      </c>
      <c r="BA827" s="27">
        <v>0</v>
      </c>
      <c r="BB827" s="27">
        <v>49.99</v>
      </c>
      <c r="BC827" s="27" t="s">
        <v>2431</v>
      </c>
      <c r="BD827" s="27" t="s">
        <v>2432</v>
      </c>
      <c r="BE827" s="27" t="s">
        <v>243</v>
      </c>
      <c r="BF827" s="27" t="s">
        <v>77</v>
      </c>
      <c r="BG827" s="27">
        <v>168</v>
      </c>
      <c r="BH827" s="27">
        <v>11</v>
      </c>
      <c r="BI827" s="27">
        <v>0.9385</v>
      </c>
      <c r="BJ827" s="27">
        <v>0</v>
      </c>
      <c r="BK827" s="27">
        <v>134</v>
      </c>
      <c r="BL827" s="27">
        <v>63.3</v>
      </c>
    </row>
    <row r="828" customHeight="1" spans="1:64">
      <c r="A828" s="27" t="s">
        <v>2433</v>
      </c>
      <c r="B828" s="27" t="s">
        <v>104</v>
      </c>
      <c r="C828" s="27" t="s">
        <v>594</v>
      </c>
      <c r="D828" s="27">
        <v>194644137380</v>
      </c>
      <c r="E828" s="27" t="s">
        <v>81</v>
      </c>
      <c r="F828" s="27" t="s">
        <v>82</v>
      </c>
      <c r="G828" s="27" t="s">
        <v>106</v>
      </c>
      <c r="H828" s="27" t="s">
        <v>107</v>
      </c>
      <c r="I828" s="27" t="s">
        <v>85</v>
      </c>
      <c r="J828" s="27">
        <v>5</v>
      </c>
      <c r="K828" s="27">
        <v>199.99</v>
      </c>
      <c r="M828" s="27">
        <v>0</v>
      </c>
      <c r="N828" s="27">
        <v>0</v>
      </c>
      <c r="O828" s="27">
        <v>0</v>
      </c>
      <c r="P828" s="27" t="s">
        <v>95</v>
      </c>
      <c r="Q828" s="27">
        <v>5.303255</v>
      </c>
      <c r="S828" s="27">
        <v>1624</v>
      </c>
      <c r="T828" s="27">
        <v>10</v>
      </c>
      <c r="U828" s="27">
        <v>0.9939</v>
      </c>
      <c r="V828" s="27" t="s">
        <v>109</v>
      </c>
      <c r="W828" s="27">
        <v>324783.76</v>
      </c>
      <c r="X828" s="27">
        <v>7.393263</v>
      </c>
      <c r="Y828" s="27">
        <v>12.690918</v>
      </c>
      <c r="Z828" s="27">
        <v>3.1623</v>
      </c>
      <c r="AA828" s="27" t="s">
        <v>125</v>
      </c>
      <c r="AB828" s="27">
        <v>0</v>
      </c>
      <c r="AC828" s="27">
        <v>0</v>
      </c>
      <c r="AD828" s="27">
        <v>0</v>
      </c>
      <c r="AE828" s="27">
        <v>1</v>
      </c>
      <c r="AF828" s="27">
        <v>0</v>
      </c>
      <c r="AG828" s="27">
        <v>0</v>
      </c>
      <c r="AH828" s="27">
        <v>1</v>
      </c>
      <c r="AI828" s="27">
        <v>0</v>
      </c>
      <c r="AJ828" s="27">
        <v>0</v>
      </c>
      <c r="AK828" s="27">
        <v>1</v>
      </c>
      <c r="AL828" s="27">
        <v>0</v>
      </c>
      <c r="AM828" s="27">
        <v>0</v>
      </c>
      <c r="AN828" s="27">
        <v>0</v>
      </c>
      <c r="AO828" s="27">
        <v>0</v>
      </c>
      <c r="AP828" s="27">
        <v>0</v>
      </c>
      <c r="AQ828" s="27">
        <v>0</v>
      </c>
      <c r="AR828" s="27">
        <v>0</v>
      </c>
      <c r="AS828" s="27">
        <v>0</v>
      </c>
      <c r="AT828" s="27">
        <v>1</v>
      </c>
      <c r="AU828" s="27">
        <v>0</v>
      </c>
      <c r="AV828" s="27">
        <v>0</v>
      </c>
      <c r="AW828" s="27">
        <v>0</v>
      </c>
      <c r="AX828" s="27">
        <v>0</v>
      </c>
      <c r="AZ828" s="27">
        <v>1</v>
      </c>
      <c r="BA828" s="27">
        <v>3</v>
      </c>
      <c r="BB828" s="27">
        <v>67.63</v>
      </c>
      <c r="BC828" s="27" t="s">
        <v>161</v>
      </c>
      <c r="BD828" s="27" t="s">
        <v>112</v>
      </c>
      <c r="BE828" s="27" t="s">
        <v>113</v>
      </c>
      <c r="BF828" s="27" t="s">
        <v>77</v>
      </c>
      <c r="BG828" s="27">
        <v>147</v>
      </c>
      <c r="BH828" s="27">
        <v>38</v>
      </c>
      <c r="BI828" s="27">
        <v>0.7946</v>
      </c>
      <c r="BJ828" s="27">
        <v>0</v>
      </c>
      <c r="BK828" s="27">
        <v>26</v>
      </c>
      <c r="BL828" s="27">
        <v>92.9</v>
      </c>
    </row>
    <row r="829" customHeight="1" spans="1:64">
      <c r="A829" s="27" t="s">
        <v>2434</v>
      </c>
      <c r="B829" s="27" t="s">
        <v>115</v>
      </c>
      <c r="E829" s="27" t="s">
        <v>2435</v>
      </c>
      <c r="F829" s="27" t="s">
        <v>82</v>
      </c>
      <c r="G829" s="27" t="s">
        <v>117</v>
      </c>
      <c r="H829" s="27" t="s">
        <v>107</v>
      </c>
      <c r="I829" s="27" t="s">
        <v>85</v>
      </c>
      <c r="J829" s="27">
        <v>5</v>
      </c>
      <c r="K829" s="27">
        <v>13.99</v>
      </c>
      <c r="M829" s="27">
        <v>0</v>
      </c>
      <c r="N829" s="27">
        <v>0</v>
      </c>
      <c r="O829" s="27">
        <v>0</v>
      </c>
      <c r="P829" s="27" t="s">
        <v>133</v>
      </c>
      <c r="Q829" s="27">
        <v>2.707383</v>
      </c>
      <c r="S829" s="27">
        <v>32</v>
      </c>
      <c r="T829" s="27">
        <v>10</v>
      </c>
      <c r="U829" s="27">
        <v>0.7619</v>
      </c>
      <c r="V829" s="27" t="s">
        <v>72</v>
      </c>
      <c r="W829" s="27">
        <v>447.68</v>
      </c>
      <c r="X829" s="27">
        <v>3.496508</v>
      </c>
      <c r="Y829" s="27">
        <v>6.10631</v>
      </c>
      <c r="Z829" s="27">
        <v>3.1623</v>
      </c>
      <c r="AA829" s="27" t="s">
        <v>73</v>
      </c>
      <c r="AB829" s="27">
        <v>0</v>
      </c>
      <c r="AC829" s="27">
        <v>0</v>
      </c>
      <c r="AD829" s="27">
        <v>0</v>
      </c>
      <c r="AE829" s="27">
        <v>0</v>
      </c>
      <c r="AF829" s="27">
        <v>0</v>
      </c>
      <c r="AG829" s="27">
        <v>1</v>
      </c>
      <c r="AH829" s="27">
        <v>0</v>
      </c>
      <c r="AI829" s="27">
        <v>0</v>
      </c>
      <c r="AJ829" s="27">
        <v>0</v>
      </c>
      <c r="AK829" s="27">
        <v>0</v>
      </c>
      <c r="AL829" s="27">
        <v>0</v>
      </c>
      <c r="AM829" s="27">
        <v>0</v>
      </c>
      <c r="AN829" s="27">
        <v>0</v>
      </c>
      <c r="AO829" s="27">
        <v>0</v>
      </c>
      <c r="AP829" s="27">
        <v>0</v>
      </c>
      <c r="AQ829" s="27">
        <v>0</v>
      </c>
      <c r="AR829" s="27">
        <v>0</v>
      </c>
      <c r="AS829" s="27">
        <v>1</v>
      </c>
      <c r="AT829" s="27">
        <v>0</v>
      </c>
      <c r="AU829" s="27">
        <v>0</v>
      </c>
      <c r="AV829" s="27">
        <v>0</v>
      </c>
      <c r="AW829" s="27">
        <v>0</v>
      </c>
      <c r="AX829" s="27">
        <v>0</v>
      </c>
      <c r="AZ829" s="27">
        <v>1</v>
      </c>
      <c r="BA829" s="27">
        <v>0</v>
      </c>
      <c r="BB829" s="27">
        <v>58.11</v>
      </c>
      <c r="BC829" s="27" t="s">
        <v>1311</v>
      </c>
      <c r="BD829" s="27" t="s">
        <v>698</v>
      </c>
      <c r="BE829" s="27" t="s">
        <v>166</v>
      </c>
      <c r="BF829" s="27" t="s">
        <v>77</v>
      </c>
      <c r="BG829" s="27">
        <v>168</v>
      </c>
      <c r="BH829" s="27">
        <v>11</v>
      </c>
      <c r="BI829" s="27">
        <v>0.9385</v>
      </c>
      <c r="BJ829" s="27">
        <v>0</v>
      </c>
      <c r="BK829" s="27">
        <v>29</v>
      </c>
      <c r="BL829" s="27">
        <v>92.1</v>
      </c>
    </row>
    <row r="830" customHeight="1" spans="1:64">
      <c r="A830" s="27" t="s">
        <v>2436</v>
      </c>
      <c r="B830" s="27" t="s">
        <v>2437</v>
      </c>
      <c r="E830" s="27" t="s">
        <v>81</v>
      </c>
      <c r="F830" s="27" t="s">
        <v>82</v>
      </c>
      <c r="G830" s="27" t="s">
        <v>83</v>
      </c>
      <c r="H830" s="27" t="s">
        <v>84</v>
      </c>
      <c r="I830" s="27" t="s">
        <v>85</v>
      </c>
      <c r="J830" s="27">
        <v>5</v>
      </c>
      <c r="K830" s="27">
        <v>10.9</v>
      </c>
      <c r="M830" s="27">
        <v>0</v>
      </c>
      <c r="N830" s="27">
        <v>0</v>
      </c>
      <c r="O830" s="27">
        <v>0</v>
      </c>
      <c r="P830" s="27" t="s">
        <v>133</v>
      </c>
      <c r="Q830" s="27">
        <v>2.476538</v>
      </c>
      <c r="S830" s="27">
        <v>11</v>
      </c>
      <c r="T830" s="27">
        <v>85</v>
      </c>
      <c r="U830" s="27">
        <v>0.1146</v>
      </c>
      <c r="V830" s="27" t="s">
        <v>72</v>
      </c>
      <c r="W830" s="27">
        <v>119.9</v>
      </c>
      <c r="X830" s="27">
        <v>2.484907</v>
      </c>
      <c r="Y830" s="27">
        <v>4.794964</v>
      </c>
      <c r="Z830" s="27">
        <v>9.2195</v>
      </c>
      <c r="AA830" s="27" t="s">
        <v>125</v>
      </c>
      <c r="AB830" s="27">
        <v>0</v>
      </c>
      <c r="AC830" s="27">
        <v>0</v>
      </c>
      <c r="AD830" s="27">
        <v>0</v>
      </c>
      <c r="AE830" s="27">
        <v>0</v>
      </c>
      <c r="AF830" s="27">
        <v>0</v>
      </c>
      <c r="AG830" s="27">
        <v>0</v>
      </c>
      <c r="AH830" s="27">
        <v>1</v>
      </c>
      <c r="AI830" s="27">
        <v>0</v>
      </c>
      <c r="AJ830" s="27">
        <v>0</v>
      </c>
      <c r="AK830" s="27">
        <v>1</v>
      </c>
      <c r="AL830" s="27">
        <v>0</v>
      </c>
      <c r="AM830" s="27">
        <v>0</v>
      </c>
      <c r="AN830" s="27">
        <v>1</v>
      </c>
      <c r="AO830" s="27">
        <v>0</v>
      </c>
      <c r="AP830" s="27">
        <v>0</v>
      </c>
      <c r="AQ830" s="27">
        <v>0</v>
      </c>
      <c r="AR830" s="27">
        <v>0</v>
      </c>
      <c r="AS830" s="27">
        <v>0</v>
      </c>
      <c r="AT830" s="27">
        <v>0</v>
      </c>
      <c r="AU830" s="27">
        <v>1</v>
      </c>
      <c r="AV830" s="27">
        <v>0</v>
      </c>
      <c r="AW830" s="27">
        <v>0</v>
      </c>
      <c r="AX830" s="27">
        <v>0</v>
      </c>
      <c r="AZ830" s="27">
        <v>1</v>
      </c>
      <c r="BA830" s="27">
        <v>3</v>
      </c>
      <c r="BB830" s="27">
        <v>34.43</v>
      </c>
      <c r="BC830" s="27" t="s">
        <v>2438</v>
      </c>
      <c r="BD830" s="27" t="s">
        <v>119</v>
      </c>
      <c r="BE830" s="27" t="s">
        <v>98</v>
      </c>
      <c r="BF830" s="27" t="s">
        <v>77</v>
      </c>
      <c r="BG830" s="27">
        <v>1</v>
      </c>
      <c r="BH830" s="27">
        <v>28</v>
      </c>
      <c r="BI830" s="27">
        <v>0.0345</v>
      </c>
      <c r="BJ830" s="27">
        <v>1</v>
      </c>
      <c r="BK830" s="27">
        <v>2</v>
      </c>
      <c r="BL830" s="27">
        <v>99.5</v>
      </c>
    </row>
    <row r="831" customHeight="1" spans="1:64">
      <c r="A831" s="27" t="s">
        <v>2439</v>
      </c>
      <c r="B831" s="27" t="s">
        <v>125</v>
      </c>
      <c r="E831" s="27" t="s">
        <v>81</v>
      </c>
      <c r="F831" s="27" t="s">
        <v>82</v>
      </c>
      <c r="G831" s="27" t="s">
        <v>83</v>
      </c>
      <c r="H831" s="27" t="s">
        <v>138</v>
      </c>
      <c r="I831" s="27" t="s">
        <v>85</v>
      </c>
      <c r="J831" s="27">
        <v>5</v>
      </c>
      <c r="K831" s="27">
        <v>19.79</v>
      </c>
      <c r="M831" s="27">
        <v>0</v>
      </c>
      <c r="N831" s="27">
        <v>0</v>
      </c>
      <c r="O831" s="27">
        <v>0</v>
      </c>
      <c r="P831" s="27" t="s">
        <v>133</v>
      </c>
      <c r="Q831" s="27">
        <v>3.034472</v>
      </c>
      <c r="S831" s="27">
        <v>34</v>
      </c>
      <c r="T831" s="27">
        <v>4</v>
      </c>
      <c r="U831" s="27">
        <v>0.8947</v>
      </c>
      <c r="V831" s="27" t="s">
        <v>72</v>
      </c>
      <c r="W831" s="27">
        <v>672.86</v>
      </c>
      <c r="X831" s="27">
        <v>3.555348</v>
      </c>
      <c r="Y831" s="27">
        <v>6.513022</v>
      </c>
      <c r="Z831" s="27">
        <v>2</v>
      </c>
      <c r="AA831" s="27" t="s">
        <v>139</v>
      </c>
      <c r="AB831" s="27">
        <v>1</v>
      </c>
      <c r="AC831" s="27">
        <v>0</v>
      </c>
      <c r="AD831" s="27">
        <v>0</v>
      </c>
      <c r="AE831" s="27">
        <v>0</v>
      </c>
      <c r="AF831" s="27">
        <v>0</v>
      </c>
      <c r="AG831" s="27">
        <v>0</v>
      </c>
      <c r="AH831" s="27">
        <v>1</v>
      </c>
      <c r="AI831" s="27">
        <v>0</v>
      </c>
      <c r="AJ831" s="27">
        <v>1</v>
      </c>
      <c r="AK831" s="27">
        <v>0</v>
      </c>
      <c r="AL831" s="27">
        <v>0</v>
      </c>
      <c r="AM831" s="27">
        <v>0</v>
      </c>
      <c r="AN831" s="27">
        <v>0</v>
      </c>
      <c r="AO831" s="27">
        <v>0</v>
      </c>
      <c r="AP831" s="27">
        <v>0</v>
      </c>
      <c r="AQ831" s="27">
        <v>0</v>
      </c>
      <c r="AR831" s="27">
        <v>0</v>
      </c>
      <c r="AS831" s="27">
        <v>0</v>
      </c>
      <c r="AT831" s="27">
        <v>1</v>
      </c>
      <c r="AU831" s="27">
        <v>0</v>
      </c>
      <c r="AV831" s="27">
        <v>0</v>
      </c>
      <c r="AW831" s="27">
        <v>1</v>
      </c>
      <c r="AX831" s="27">
        <v>0</v>
      </c>
      <c r="AZ831" s="27">
        <v>1</v>
      </c>
      <c r="BA831" s="27">
        <v>2</v>
      </c>
      <c r="BB831" s="27">
        <v>65.64</v>
      </c>
      <c r="BC831" s="27" t="s">
        <v>2440</v>
      </c>
      <c r="BD831" s="27" t="s">
        <v>2441</v>
      </c>
      <c r="BE831" s="27" t="s">
        <v>220</v>
      </c>
      <c r="BF831" s="27" t="s">
        <v>77</v>
      </c>
      <c r="BG831" s="27">
        <v>1</v>
      </c>
      <c r="BH831" s="27">
        <v>27</v>
      </c>
      <c r="BI831" s="27">
        <v>0.0357</v>
      </c>
      <c r="BJ831" s="27">
        <v>1</v>
      </c>
      <c r="BK831" s="27">
        <v>2</v>
      </c>
      <c r="BL831" s="27">
        <v>99.5</v>
      </c>
    </row>
    <row r="832" customHeight="1" spans="1:64">
      <c r="A832" s="27" t="s">
        <v>2442</v>
      </c>
      <c r="B832" s="27" t="s">
        <v>1082</v>
      </c>
      <c r="E832" s="27" t="s">
        <v>1247</v>
      </c>
      <c r="F832" s="27" t="s">
        <v>198</v>
      </c>
      <c r="G832" s="27" t="s">
        <v>83</v>
      </c>
      <c r="H832" s="27" t="s">
        <v>84</v>
      </c>
      <c r="I832" s="27" t="s">
        <v>85</v>
      </c>
      <c r="J832" s="27">
        <v>5</v>
      </c>
      <c r="K832" s="27">
        <v>22.18</v>
      </c>
      <c r="L832" s="27">
        <v>27.38</v>
      </c>
      <c r="M832" s="27">
        <v>18.99</v>
      </c>
      <c r="N832" s="27">
        <v>5.2</v>
      </c>
      <c r="O832" s="27">
        <v>1</v>
      </c>
      <c r="P832" s="27" t="s">
        <v>133</v>
      </c>
      <c r="Q832" s="27">
        <v>3.14329</v>
      </c>
      <c r="S832" s="27">
        <v>246</v>
      </c>
      <c r="T832" s="27">
        <v>10</v>
      </c>
      <c r="U832" s="27">
        <v>0.9609</v>
      </c>
      <c r="V832" s="27" t="s">
        <v>154</v>
      </c>
      <c r="W832" s="27">
        <v>5456.28</v>
      </c>
      <c r="X832" s="27">
        <v>5.509388</v>
      </c>
      <c r="Y832" s="27">
        <v>8.604706</v>
      </c>
      <c r="Z832" s="27">
        <v>3.1623</v>
      </c>
      <c r="AA832" s="27" t="s">
        <v>125</v>
      </c>
      <c r="AB832" s="27">
        <v>0</v>
      </c>
      <c r="AC832" s="27">
        <v>0</v>
      </c>
      <c r="AD832" s="27">
        <v>0</v>
      </c>
      <c r="AE832" s="27">
        <v>0</v>
      </c>
      <c r="AF832" s="27">
        <v>0</v>
      </c>
      <c r="AG832" s="27">
        <v>0</v>
      </c>
      <c r="AH832" s="27">
        <v>1</v>
      </c>
      <c r="AI832" s="27">
        <v>0</v>
      </c>
      <c r="AJ832" s="27">
        <v>0</v>
      </c>
      <c r="AK832" s="27">
        <v>0</v>
      </c>
      <c r="AL832" s="27">
        <v>0</v>
      </c>
      <c r="AM832" s="27">
        <v>0</v>
      </c>
      <c r="AN832" s="27">
        <v>0</v>
      </c>
      <c r="AO832" s="27">
        <v>0</v>
      </c>
      <c r="AP832" s="27">
        <v>0</v>
      </c>
      <c r="AQ832" s="27">
        <v>0</v>
      </c>
      <c r="AR832" s="27">
        <v>0</v>
      </c>
      <c r="AS832" s="27">
        <v>0</v>
      </c>
      <c r="AT832" s="27">
        <v>1</v>
      </c>
      <c r="AU832" s="27">
        <v>1</v>
      </c>
      <c r="AV832" s="27">
        <v>0</v>
      </c>
      <c r="AW832" s="27">
        <v>0</v>
      </c>
      <c r="AX832" s="27">
        <v>0</v>
      </c>
      <c r="AZ832" s="27">
        <v>1</v>
      </c>
      <c r="BA832" s="27">
        <v>1</v>
      </c>
      <c r="BB832" s="27">
        <v>73.38</v>
      </c>
      <c r="BC832" s="27" t="s">
        <v>1084</v>
      </c>
      <c r="BD832" s="27" t="s">
        <v>1085</v>
      </c>
      <c r="BE832" s="27" t="s">
        <v>128</v>
      </c>
      <c r="BF832" s="27" t="s">
        <v>77</v>
      </c>
      <c r="BG832" s="27">
        <v>1</v>
      </c>
      <c r="BH832" s="27">
        <v>48</v>
      </c>
      <c r="BI832" s="27">
        <v>0.0204</v>
      </c>
      <c r="BJ832" s="27">
        <v>1</v>
      </c>
      <c r="BK832" s="27">
        <v>9</v>
      </c>
      <c r="BL832" s="27">
        <v>97.5</v>
      </c>
    </row>
    <row r="833" customHeight="1" spans="1:64">
      <c r="A833" s="27" t="s">
        <v>2443</v>
      </c>
      <c r="B833" s="27" t="s">
        <v>901</v>
      </c>
      <c r="D833" s="27">
        <v>193575030968</v>
      </c>
      <c r="E833" s="27" t="s">
        <v>81</v>
      </c>
      <c r="F833" s="27" t="s">
        <v>82</v>
      </c>
      <c r="G833" s="27" t="s">
        <v>901</v>
      </c>
      <c r="H833" s="27" t="s">
        <v>107</v>
      </c>
      <c r="I833" s="27" t="s">
        <v>85</v>
      </c>
      <c r="J833" s="27">
        <v>5</v>
      </c>
      <c r="K833" s="27">
        <v>119</v>
      </c>
      <c r="M833" s="27">
        <v>0</v>
      </c>
      <c r="N833" s="27">
        <v>0</v>
      </c>
      <c r="O833" s="27">
        <v>0</v>
      </c>
      <c r="P833" s="27" t="s">
        <v>95</v>
      </c>
      <c r="Q833" s="27">
        <v>4.787492</v>
      </c>
      <c r="S833" s="27">
        <v>15</v>
      </c>
      <c r="T833" s="27">
        <v>10</v>
      </c>
      <c r="U833" s="27">
        <v>0.6</v>
      </c>
      <c r="V833" s="27" t="s">
        <v>72</v>
      </c>
      <c r="W833" s="27">
        <v>1785</v>
      </c>
      <c r="X833" s="27">
        <v>2.772589</v>
      </c>
      <c r="Y833" s="27">
        <v>7.487734</v>
      </c>
      <c r="Z833" s="27">
        <v>3.1623</v>
      </c>
      <c r="AA833" s="27" t="s">
        <v>125</v>
      </c>
      <c r="AB833" s="27">
        <v>0</v>
      </c>
      <c r="AC833" s="27">
        <v>0</v>
      </c>
      <c r="AD833" s="27">
        <v>0</v>
      </c>
      <c r="AE833" s="27">
        <v>0</v>
      </c>
      <c r="AF833" s="27">
        <v>0</v>
      </c>
      <c r="AG833" s="27">
        <v>0</v>
      </c>
      <c r="AH833" s="27">
        <v>0</v>
      </c>
      <c r="AI833" s="27">
        <v>0</v>
      </c>
      <c r="AJ833" s="27">
        <v>0</v>
      </c>
      <c r="AK833" s="27">
        <v>0</v>
      </c>
      <c r="AL833" s="27">
        <v>0</v>
      </c>
      <c r="AM833" s="27">
        <v>0</v>
      </c>
      <c r="AN833" s="27">
        <v>0</v>
      </c>
      <c r="AO833" s="27">
        <v>0</v>
      </c>
      <c r="AP833" s="27">
        <v>1</v>
      </c>
      <c r="AQ833" s="27">
        <v>0</v>
      </c>
      <c r="AR833" s="27">
        <v>0</v>
      </c>
      <c r="AS833" s="27">
        <v>0</v>
      </c>
      <c r="AT833" s="27">
        <v>0</v>
      </c>
      <c r="AU833" s="27">
        <v>0</v>
      </c>
      <c r="AV833" s="27">
        <v>0</v>
      </c>
      <c r="AW833" s="27">
        <v>0</v>
      </c>
      <c r="AX833" s="27">
        <v>0</v>
      </c>
      <c r="AZ833" s="27">
        <v>1</v>
      </c>
      <c r="BA833" s="27">
        <v>0</v>
      </c>
      <c r="BB833" s="27">
        <v>53.58</v>
      </c>
      <c r="BC833" s="27" t="s">
        <v>2089</v>
      </c>
      <c r="BD833" s="27" t="s">
        <v>1271</v>
      </c>
      <c r="BE833" s="27" t="s">
        <v>136</v>
      </c>
      <c r="BF833" s="27" t="s">
        <v>77</v>
      </c>
      <c r="BG833" s="27">
        <v>168</v>
      </c>
      <c r="BH833" s="27">
        <v>11</v>
      </c>
      <c r="BI833" s="27">
        <v>0.9385</v>
      </c>
      <c r="BJ833" s="27">
        <v>0</v>
      </c>
      <c r="BK833" s="27">
        <v>5</v>
      </c>
      <c r="BL833" s="27">
        <v>98.6</v>
      </c>
    </row>
    <row r="834" customHeight="1" spans="1:64">
      <c r="A834" s="27" t="s">
        <v>2444</v>
      </c>
      <c r="B834" s="27" t="s">
        <v>350</v>
      </c>
      <c r="C834" s="27" t="s">
        <v>2075</v>
      </c>
      <c r="D834" s="27">
        <v>814763020782</v>
      </c>
      <c r="E834" s="27" t="s">
        <v>250</v>
      </c>
      <c r="F834" s="27" t="s">
        <v>352</v>
      </c>
      <c r="G834" s="27" t="s">
        <v>83</v>
      </c>
      <c r="H834" s="27" t="s">
        <v>84</v>
      </c>
      <c r="I834" s="27" t="s">
        <v>85</v>
      </c>
      <c r="J834" s="27">
        <v>5</v>
      </c>
      <c r="K834" s="27">
        <v>24.65</v>
      </c>
      <c r="L834" s="27">
        <v>25.95</v>
      </c>
      <c r="M834" s="27">
        <v>5.01</v>
      </c>
      <c r="N834" s="27">
        <v>1.3</v>
      </c>
      <c r="O834" s="27">
        <v>1</v>
      </c>
      <c r="P834" s="27" t="s">
        <v>133</v>
      </c>
      <c r="Q834" s="27">
        <v>3.244544</v>
      </c>
      <c r="S834" s="27">
        <v>663</v>
      </c>
      <c r="T834" s="27">
        <v>7</v>
      </c>
      <c r="U834" s="27">
        <v>0.9896</v>
      </c>
      <c r="V834" s="27" t="s">
        <v>154</v>
      </c>
      <c r="W834" s="27">
        <v>16342.95</v>
      </c>
      <c r="X834" s="27">
        <v>6.498282</v>
      </c>
      <c r="Y834" s="27">
        <v>9.701613</v>
      </c>
      <c r="Z834" s="27">
        <v>2.6458</v>
      </c>
      <c r="AA834" s="27" t="s">
        <v>125</v>
      </c>
      <c r="AB834" s="27">
        <v>0</v>
      </c>
      <c r="AC834" s="27">
        <v>0</v>
      </c>
      <c r="AD834" s="27">
        <v>0</v>
      </c>
      <c r="AE834" s="27">
        <v>1</v>
      </c>
      <c r="AF834" s="27">
        <v>0</v>
      </c>
      <c r="AG834" s="27">
        <v>0</v>
      </c>
      <c r="AH834" s="27">
        <v>0</v>
      </c>
      <c r="AI834" s="27">
        <v>0</v>
      </c>
      <c r="AJ834" s="27">
        <v>0</v>
      </c>
      <c r="AK834" s="27">
        <v>0</v>
      </c>
      <c r="AL834" s="27">
        <v>0</v>
      </c>
      <c r="AM834" s="27">
        <v>0</v>
      </c>
      <c r="AN834" s="27">
        <v>0</v>
      </c>
      <c r="AO834" s="27">
        <v>0</v>
      </c>
      <c r="AP834" s="27">
        <v>0</v>
      </c>
      <c r="AQ834" s="27">
        <v>0</v>
      </c>
      <c r="AR834" s="27">
        <v>0</v>
      </c>
      <c r="AS834" s="27">
        <v>0</v>
      </c>
      <c r="AT834" s="27">
        <v>0</v>
      </c>
      <c r="AU834" s="27">
        <v>0</v>
      </c>
      <c r="AV834" s="27">
        <v>0</v>
      </c>
      <c r="AW834" s="27">
        <v>0</v>
      </c>
      <c r="AX834" s="27">
        <v>0</v>
      </c>
      <c r="AZ834" s="27">
        <v>1</v>
      </c>
      <c r="BA834" s="27">
        <v>1</v>
      </c>
      <c r="BB834" s="27">
        <v>69.2</v>
      </c>
      <c r="BC834" s="27" t="s">
        <v>2076</v>
      </c>
      <c r="BD834" s="27" t="s">
        <v>261</v>
      </c>
      <c r="BE834" s="27" t="s">
        <v>262</v>
      </c>
      <c r="BF834" s="27" t="s">
        <v>77</v>
      </c>
      <c r="BG834" s="27">
        <v>1</v>
      </c>
      <c r="BH834" s="27">
        <v>26</v>
      </c>
      <c r="BI834" s="27">
        <v>0.037</v>
      </c>
      <c r="BJ834" s="27">
        <v>1</v>
      </c>
      <c r="BK834" s="27">
        <v>23</v>
      </c>
      <c r="BL834" s="27">
        <v>93.7</v>
      </c>
    </row>
    <row r="835" customHeight="1" spans="1:64">
      <c r="A835" s="27" t="s">
        <v>2445</v>
      </c>
      <c r="B835" s="27" t="s">
        <v>553</v>
      </c>
      <c r="C835" s="27" t="s">
        <v>2446</v>
      </c>
      <c r="D835" s="27" t="s">
        <v>2447</v>
      </c>
      <c r="E835" s="27" t="s">
        <v>250</v>
      </c>
      <c r="F835" s="27" t="s">
        <v>82</v>
      </c>
      <c r="G835" s="27" t="s">
        <v>553</v>
      </c>
      <c r="H835" s="27" t="s">
        <v>69</v>
      </c>
      <c r="I835" s="27" t="s">
        <v>85</v>
      </c>
      <c r="J835" s="27">
        <v>5</v>
      </c>
      <c r="K835" s="27">
        <v>109.1</v>
      </c>
      <c r="M835" s="27">
        <v>0</v>
      </c>
      <c r="N835" s="27">
        <v>0</v>
      </c>
      <c r="O835" s="27">
        <v>0</v>
      </c>
      <c r="P835" s="27" t="s">
        <v>95</v>
      </c>
      <c r="Q835" s="27">
        <v>4.701389</v>
      </c>
      <c r="R835" s="27">
        <v>27.28</v>
      </c>
      <c r="S835" s="27">
        <v>1</v>
      </c>
      <c r="T835" s="27">
        <v>10</v>
      </c>
      <c r="U835" s="27">
        <v>0.0909</v>
      </c>
      <c r="V835" s="27" t="s">
        <v>87</v>
      </c>
      <c r="W835" s="27">
        <v>109.1</v>
      </c>
      <c r="X835" s="27">
        <v>0.693147</v>
      </c>
      <c r="Y835" s="27">
        <v>4.701389</v>
      </c>
      <c r="Z835" s="27">
        <v>3.1623</v>
      </c>
      <c r="AA835" s="27" t="s">
        <v>483</v>
      </c>
      <c r="AB835" s="27">
        <v>0</v>
      </c>
      <c r="AC835" s="27">
        <v>0</v>
      </c>
      <c r="AD835" s="27">
        <v>0</v>
      </c>
      <c r="AE835" s="27">
        <v>0</v>
      </c>
      <c r="AF835" s="27">
        <v>0</v>
      </c>
      <c r="AG835" s="27">
        <v>1</v>
      </c>
      <c r="AH835" s="27">
        <v>0</v>
      </c>
      <c r="AI835" s="27">
        <v>1</v>
      </c>
      <c r="AJ835" s="27">
        <v>0</v>
      </c>
      <c r="AK835" s="27">
        <v>0</v>
      </c>
      <c r="AL835" s="27">
        <v>0</v>
      </c>
      <c r="AM835" s="27">
        <v>0</v>
      </c>
      <c r="AN835" s="27">
        <v>0</v>
      </c>
      <c r="AO835" s="27">
        <v>0</v>
      </c>
      <c r="AP835" s="27">
        <v>0</v>
      </c>
      <c r="AQ835" s="27">
        <v>0</v>
      </c>
      <c r="AR835" s="27">
        <v>0</v>
      </c>
      <c r="AS835" s="27">
        <v>0</v>
      </c>
      <c r="AT835" s="27">
        <v>0</v>
      </c>
      <c r="AU835" s="27">
        <v>0</v>
      </c>
      <c r="AV835" s="27">
        <v>0</v>
      </c>
      <c r="AW835" s="27">
        <v>1</v>
      </c>
      <c r="AX835" s="27">
        <v>0</v>
      </c>
      <c r="AY835" s="27">
        <v>4</v>
      </c>
      <c r="AZ835" s="27">
        <v>1</v>
      </c>
      <c r="BA835" s="27">
        <v>0</v>
      </c>
      <c r="BB835" s="27">
        <v>32.83</v>
      </c>
      <c r="BC835" s="27" t="s">
        <v>555</v>
      </c>
      <c r="BD835" s="27" t="s">
        <v>556</v>
      </c>
      <c r="BE835" s="27" t="s">
        <v>557</v>
      </c>
      <c r="BF835" s="27" t="s">
        <v>77</v>
      </c>
      <c r="BG835" s="27">
        <v>1</v>
      </c>
      <c r="BH835" s="27">
        <v>28</v>
      </c>
      <c r="BI835" s="27">
        <v>0.0345</v>
      </c>
      <c r="BJ835" s="27">
        <v>1</v>
      </c>
      <c r="BK835" s="27">
        <v>10</v>
      </c>
      <c r="BL835" s="27">
        <v>97.3</v>
      </c>
    </row>
    <row r="836" customHeight="1" spans="1:64">
      <c r="A836" s="27" t="s">
        <v>2448</v>
      </c>
      <c r="B836" s="27" t="s">
        <v>125</v>
      </c>
      <c r="E836" s="27" t="s">
        <v>255</v>
      </c>
      <c r="F836" s="27" t="s">
        <v>82</v>
      </c>
      <c r="G836" s="27" t="s">
        <v>83</v>
      </c>
      <c r="H836" s="27" t="s">
        <v>138</v>
      </c>
      <c r="I836" s="27" t="s">
        <v>153</v>
      </c>
      <c r="J836" s="27">
        <v>2</v>
      </c>
      <c r="K836" s="27">
        <v>79.89</v>
      </c>
      <c r="M836" s="27">
        <v>0</v>
      </c>
      <c r="N836" s="27">
        <v>0</v>
      </c>
      <c r="O836" s="27">
        <v>0</v>
      </c>
      <c r="P836" s="27" t="s">
        <v>95</v>
      </c>
      <c r="Q836" s="27">
        <v>4.39309</v>
      </c>
      <c r="S836" s="27">
        <v>23</v>
      </c>
      <c r="T836" s="27">
        <v>4</v>
      </c>
      <c r="U836" s="27">
        <v>0.8519</v>
      </c>
      <c r="V836" s="27" t="s">
        <v>72</v>
      </c>
      <c r="W836" s="27">
        <v>1837.47</v>
      </c>
      <c r="X836" s="27">
        <v>3.178054</v>
      </c>
      <c r="Y836" s="27">
        <v>7.516689</v>
      </c>
      <c r="Z836" s="27">
        <v>2</v>
      </c>
      <c r="AA836" s="27" t="s">
        <v>88</v>
      </c>
      <c r="AB836" s="27">
        <v>0</v>
      </c>
      <c r="AC836" s="27">
        <v>0</v>
      </c>
      <c r="AD836" s="27">
        <v>0</v>
      </c>
      <c r="AE836" s="27">
        <v>0</v>
      </c>
      <c r="AF836" s="27">
        <v>0</v>
      </c>
      <c r="AG836" s="27">
        <v>1</v>
      </c>
      <c r="AH836" s="27">
        <v>0</v>
      </c>
      <c r="AI836" s="27">
        <v>1</v>
      </c>
      <c r="AJ836" s="27">
        <v>0</v>
      </c>
      <c r="AK836" s="27">
        <v>0</v>
      </c>
      <c r="AL836" s="27">
        <v>0</v>
      </c>
      <c r="AM836" s="27">
        <v>0</v>
      </c>
      <c r="AN836" s="27">
        <v>0</v>
      </c>
      <c r="AO836" s="27">
        <v>0</v>
      </c>
      <c r="AP836" s="27">
        <v>0</v>
      </c>
      <c r="AQ836" s="27">
        <v>0</v>
      </c>
      <c r="AR836" s="27">
        <v>0</v>
      </c>
      <c r="AS836" s="27">
        <v>0</v>
      </c>
      <c r="AT836" s="27">
        <v>0</v>
      </c>
      <c r="AU836" s="27">
        <v>0</v>
      </c>
      <c r="AV836" s="27">
        <v>0</v>
      </c>
      <c r="AW836" s="27">
        <v>0</v>
      </c>
      <c r="AX836" s="27">
        <v>0</v>
      </c>
      <c r="AZ836" s="27">
        <v>1</v>
      </c>
      <c r="BA836" s="27">
        <v>0</v>
      </c>
      <c r="BB836" s="27">
        <v>63.84</v>
      </c>
      <c r="BC836" s="27" t="s">
        <v>2449</v>
      </c>
      <c r="BD836" s="27" t="s">
        <v>856</v>
      </c>
      <c r="BE836" s="27" t="s">
        <v>690</v>
      </c>
      <c r="BF836" s="27" t="s">
        <v>77</v>
      </c>
      <c r="BG836" s="27">
        <v>168</v>
      </c>
      <c r="BH836" s="27">
        <v>11</v>
      </c>
      <c r="BI836" s="27">
        <v>0.9385</v>
      </c>
      <c r="BJ836" s="27">
        <v>0</v>
      </c>
      <c r="BK836" s="27">
        <v>3</v>
      </c>
      <c r="BL836" s="27">
        <v>99.2</v>
      </c>
    </row>
    <row r="837" customHeight="1" spans="1:64">
      <c r="A837" s="27" t="s">
        <v>2450</v>
      </c>
      <c r="B837" s="27" t="s">
        <v>1328</v>
      </c>
      <c r="E837" s="27" t="s">
        <v>1329</v>
      </c>
      <c r="F837" s="27" t="s">
        <v>132</v>
      </c>
      <c r="G837" s="27" t="s">
        <v>83</v>
      </c>
      <c r="H837" s="27" t="s">
        <v>84</v>
      </c>
      <c r="I837" s="27" t="s">
        <v>85</v>
      </c>
      <c r="J837" s="27">
        <v>5</v>
      </c>
      <c r="K837" s="27">
        <v>99.99</v>
      </c>
      <c r="M837" s="27">
        <v>0</v>
      </c>
      <c r="N837" s="27">
        <v>0</v>
      </c>
      <c r="O837" s="27">
        <v>0</v>
      </c>
      <c r="P837" s="27" t="s">
        <v>95</v>
      </c>
      <c r="Q837" s="27">
        <v>4.615022</v>
      </c>
      <c r="S837" s="27">
        <v>7</v>
      </c>
      <c r="T837" s="27">
        <v>10</v>
      </c>
      <c r="U837" s="27">
        <v>0.4118</v>
      </c>
      <c r="V837" s="27" t="s">
        <v>87</v>
      </c>
      <c r="W837" s="27">
        <v>699.93</v>
      </c>
      <c r="X837" s="27">
        <v>2.079442</v>
      </c>
      <c r="Y837" s="27">
        <v>6.552408</v>
      </c>
      <c r="Z837" s="27">
        <v>3.1623</v>
      </c>
      <c r="AA837" s="27" t="s">
        <v>125</v>
      </c>
      <c r="AB837" s="27">
        <v>0</v>
      </c>
      <c r="AC837" s="27">
        <v>0</v>
      </c>
      <c r="AD837" s="27">
        <v>0</v>
      </c>
      <c r="AE837" s="27">
        <v>0</v>
      </c>
      <c r="AF837" s="27">
        <v>0</v>
      </c>
      <c r="AG837" s="27">
        <v>0</v>
      </c>
      <c r="AH837" s="27">
        <v>0</v>
      </c>
      <c r="AI837" s="27">
        <v>0</v>
      </c>
      <c r="AJ837" s="27">
        <v>0</v>
      </c>
      <c r="AK837" s="27">
        <v>0</v>
      </c>
      <c r="AL837" s="27">
        <v>0</v>
      </c>
      <c r="AM837" s="27">
        <v>0</v>
      </c>
      <c r="AN837" s="27">
        <v>0</v>
      </c>
      <c r="AO837" s="27">
        <v>0</v>
      </c>
      <c r="AP837" s="27">
        <v>0</v>
      </c>
      <c r="AQ837" s="27">
        <v>0</v>
      </c>
      <c r="AR837" s="27">
        <v>0</v>
      </c>
      <c r="AS837" s="27">
        <v>0</v>
      </c>
      <c r="AT837" s="27">
        <v>0</v>
      </c>
      <c r="AU837" s="27">
        <v>0</v>
      </c>
      <c r="AV837" s="27">
        <v>0</v>
      </c>
      <c r="AW837" s="27">
        <v>0</v>
      </c>
      <c r="AX837" s="27">
        <v>0</v>
      </c>
      <c r="AZ837" s="27">
        <v>1</v>
      </c>
      <c r="BA837" s="27">
        <v>0</v>
      </c>
      <c r="BB837" s="27">
        <v>46.14</v>
      </c>
      <c r="BC837" s="27" t="s">
        <v>1330</v>
      </c>
      <c r="BD837" s="27" t="s">
        <v>1331</v>
      </c>
      <c r="BE837" s="27" t="s">
        <v>407</v>
      </c>
      <c r="BF837" s="27" t="s">
        <v>77</v>
      </c>
      <c r="BG837" s="27">
        <v>169</v>
      </c>
      <c r="BH837" s="27">
        <v>11</v>
      </c>
      <c r="BI837" s="27">
        <v>0.9389</v>
      </c>
      <c r="BJ837" s="27">
        <v>0</v>
      </c>
      <c r="BK837" s="27">
        <v>4</v>
      </c>
      <c r="BL837" s="27">
        <v>98.9</v>
      </c>
    </row>
    <row r="838" customHeight="1" spans="1:64">
      <c r="A838" s="27" t="s">
        <v>2451</v>
      </c>
      <c r="B838" s="27" t="s">
        <v>125</v>
      </c>
      <c r="E838" s="27" t="s">
        <v>81</v>
      </c>
      <c r="F838" s="27" t="s">
        <v>82</v>
      </c>
      <c r="G838" s="27" t="s">
        <v>83</v>
      </c>
      <c r="H838" s="27" t="s">
        <v>138</v>
      </c>
      <c r="I838" s="27" t="s">
        <v>85</v>
      </c>
      <c r="J838" s="27">
        <v>5</v>
      </c>
      <c r="K838" s="27">
        <v>21.99</v>
      </c>
      <c r="M838" s="27">
        <v>0</v>
      </c>
      <c r="N838" s="27">
        <v>0</v>
      </c>
      <c r="O838" s="27">
        <v>0</v>
      </c>
      <c r="P838" s="27" t="s">
        <v>133</v>
      </c>
      <c r="Q838" s="27">
        <v>3.135059</v>
      </c>
      <c r="S838" s="27">
        <v>33</v>
      </c>
      <c r="T838" s="27">
        <v>10</v>
      </c>
      <c r="U838" s="27">
        <v>0.7674</v>
      </c>
      <c r="V838" s="27" t="s">
        <v>72</v>
      </c>
      <c r="W838" s="27">
        <v>725.67</v>
      </c>
      <c r="X838" s="27">
        <v>3.526361</v>
      </c>
      <c r="Y838" s="27">
        <v>6.588472</v>
      </c>
      <c r="Z838" s="27">
        <v>3.1623</v>
      </c>
      <c r="AA838" s="27" t="s">
        <v>88</v>
      </c>
      <c r="AB838" s="27">
        <v>0</v>
      </c>
      <c r="AC838" s="27">
        <v>0</v>
      </c>
      <c r="AD838" s="27">
        <v>0</v>
      </c>
      <c r="AE838" s="27">
        <v>1</v>
      </c>
      <c r="AF838" s="27">
        <v>0</v>
      </c>
      <c r="AG838" s="27">
        <v>0</v>
      </c>
      <c r="AH838" s="27">
        <v>1</v>
      </c>
      <c r="AI838" s="27">
        <v>0</v>
      </c>
      <c r="AJ838" s="27">
        <v>1</v>
      </c>
      <c r="AK838" s="27">
        <v>0</v>
      </c>
      <c r="AL838" s="27">
        <v>0</v>
      </c>
      <c r="AM838" s="27">
        <v>0</v>
      </c>
      <c r="AN838" s="27">
        <v>0</v>
      </c>
      <c r="AO838" s="27">
        <v>0</v>
      </c>
      <c r="AP838" s="27">
        <v>0</v>
      </c>
      <c r="AQ838" s="27">
        <v>0</v>
      </c>
      <c r="AR838" s="27">
        <v>0</v>
      </c>
      <c r="AS838" s="27">
        <v>0</v>
      </c>
      <c r="AT838" s="27">
        <v>1</v>
      </c>
      <c r="AU838" s="27">
        <v>0</v>
      </c>
      <c r="AV838" s="27">
        <v>0</v>
      </c>
      <c r="AW838" s="27">
        <v>0</v>
      </c>
      <c r="AX838" s="27">
        <v>0</v>
      </c>
      <c r="AZ838" s="27">
        <v>1</v>
      </c>
      <c r="BA838" s="27">
        <v>2</v>
      </c>
      <c r="BB838" s="27">
        <v>59.95</v>
      </c>
      <c r="BC838" s="27" t="s">
        <v>155</v>
      </c>
      <c r="BD838" s="27" t="s">
        <v>75</v>
      </c>
      <c r="BE838" s="27" t="s">
        <v>98</v>
      </c>
      <c r="BF838" s="27" t="s">
        <v>77</v>
      </c>
      <c r="BG838" s="27">
        <v>2</v>
      </c>
      <c r="BH838" s="27">
        <v>220</v>
      </c>
      <c r="BI838" s="27">
        <v>0.009</v>
      </c>
      <c r="BJ838" s="27">
        <v>0</v>
      </c>
      <c r="BK838" s="27">
        <v>9</v>
      </c>
      <c r="BL838" s="27">
        <v>97.5</v>
      </c>
    </row>
    <row r="839" customHeight="1" spans="1:64">
      <c r="A839" s="27" t="s">
        <v>2452</v>
      </c>
      <c r="B839" s="27" t="s">
        <v>171</v>
      </c>
      <c r="C839" s="27" t="s">
        <v>2453</v>
      </c>
      <c r="E839" s="27" t="s">
        <v>250</v>
      </c>
      <c r="F839" s="27" t="s">
        <v>160</v>
      </c>
      <c r="G839" s="27" t="s">
        <v>83</v>
      </c>
      <c r="H839" s="27" t="s">
        <v>84</v>
      </c>
      <c r="I839" s="27" t="s">
        <v>85</v>
      </c>
      <c r="J839" s="27">
        <v>5</v>
      </c>
      <c r="K839" s="27">
        <v>155.39</v>
      </c>
      <c r="M839" s="27">
        <v>0</v>
      </c>
      <c r="N839" s="27">
        <v>0</v>
      </c>
      <c r="O839" s="27">
        <v>0</v>
      </c>
      <c r="P839" s="27" t="s">
        <v>95</v>
      </c>
      <c r="Q839" s="27">
        <v>5.052353</v>
      </c>
      <c r="R839" s="27">
        <v>19.42</v>
      </c>
      <c r="S839" s="27">
        <v>297</v>
      </c>
      <c r="T839" s="27">
        <v>100</v>
      </c>
      <c r="U839" s="27">
        <v>0.7481</v>
      </c>
      <c r="V839" s="27" t="s">
        <v>154</v>
      </c>
      <c r="W839" s="27">
        <v>46150.83</v>
      </c>
      <c r="X839" s="27">
        <v>5.697093</v>
      </c>
      <c r="Y839" s="27">
        <v>10.739692</v>
      </c>
      <c r="Z839" s="27">
        <v>10</v>
      </c>
      <c r="AA839" s="27" t="s">
        <v>110</v>
      </c>
      <c r="AB839" s="27">
        <v>0</v>
      </c>
      <c r="AC839" s="27">
        <v>0</v>
      </c>
      <c r="AD839" s="27">
        <v>0</v>
      </c>
      <c r="AE839" s="27">
        <v>0</v>
      </c>
      <c r="AF839" s="27">
        <v>0</v>
      </c>
      <c r="AG839" s="27">
        <v>0</v>
      </c>
      <c r="AH839" s="27">
        <v>0</v>
      </c>
      <c r="AI839" s="27">
        <v>0</v>
      </c>
      <c r="AJ839" s="27">
        <v>0</v>
      </c>
      <c r="AK839" s="27">
        <v>0</v>
      </c>
      <c r="AL839" s="27">
        <v>0</v>
      </c>
      <c r="AM839" s="27">
        <v>0</v>
      </c>
      <c r="AN839" s="27">
        <v>0</v>
      </c>
      <c r="AO839" s="27">
        <v>0</v>
      </c>
      <c r="AP839" s="27">
        <v>0</v>
      </c>
      <c r="AQ839" s="27">
        <v>1</v>
      </c>
      <c r="AR839" s="27">
        <v>0</v>
      </c>
      <c r="AS839" s="27">
        <v>0</v>
      </c>
      <c r="AT839" s="27">
        <v>1</v>
      </c>
      <c r="AU839" s="27">
        <v>0</v>
      </c>
      <c r="AV839" s="27">
        <v>1</v>
      </c>
      <c r="AW839" s="27">
        <v>1</v>
      </c>
      <c r="AX839" s="27">
        <v>0</v>
      </c>
      <c r="AY839" s="27">
        <v>8</v>
      </c>
      <c r="AZ839" s="27">
        <v>1</v>
      </c>
      <c r="BA839" s="27">
        <v>1</v>
      </c>
      <c r="BB839" s="27">
        <v>39.61</v>
      </c>
      <c r="BC839" s="27" t="s">
        <v>251</v>
      </c>
      <c r="BD839" s="27" t="s">
        <v>175</v>
      </c>
      <c r="BE839" s="27" t="s">
        <v>91</v>
      </c>
      <c r="BF839" s="27" t="s">
        <v>77</v>
      </c>
      <c r="BG839" s="27">
        <v>161</v>
      </c>
      <c r="BH839" s="27">
        <v>61</v>
      </c>
      <c r="BI839" s="27">
        <v>0.7252</v>
      </c>
      <c r="BJ839" s="27">
        <v>0</v>
      </c>
      <c r="BK839" s="27">
        <v>247</v>
      </c>
      <c r="BL839" s="27">
        <v>32.3</v>
      </c>
    </row>
    <row r="840" customHeight="1" spans="1:64">
      <c r="A840" s="27" t="s">
        <v>2454</v>
      </c>
      <c r="B840" s="27" t="s">
        <v>104</v>
      </c>
      <c r="C840" s="27" t="s">
        <v>2455</v>
      </c>
      <c r="D840" s="27">
        <v>786513666574</v>
      </c>
      <c r="E840" s="27" t="s">
        <v>81</v>
      </c>
      <c r="F840" s="27" t="s">
        <v>82</v>
      </c>
      <c r="G840" s="27" t="s">
        <v>106</v>
      </c>
      <c r="H840" s="27" t="s">
        <v>107</v>
      </c>
      <c r="I840" s="27" t="s">
        <v>108</v>
      </c>
      <c r="J840" s="27">
        <v>3</v>
      </c>
      <c r="K840" s="27">
        <v>28.49</v>
      </c>
      <c r="L840" s="27">
        <v>42.99</v>
      </c>
      <c r="M840" s="27">
        <v>33.73</v>
      </c>
      <c r="N840" s="27">
        <v>14.5</v>
      </c>
      <c r="O840" s="27">
        <v>1</v>
      </c>
      <c r="P840" s="27" t="s">
        <v>86</v>
      </c>
      <c r="Q840" s="27">
        <v>3.384051</v>
      </c>
      <c r="S840" s="27">
        <v>368</v>
      </c>
      <c r="T840" s="27">
        <v>127</v>
      </c>
      <c r="U840" s="27">
        <v>0.7434</v>
      </c>
      <c r="V840" s="27" t="s">
        <v>154</v>
      </c>
      <c r="W840" s="27">
        <v>10484.32</v>
      </c>
      <c r="X840" s="27">
        <v>5.910797</v>
      </c>
      <c r="Y840" s="27">
        <v>9.257731</v>
      </c>
      <c r="Z840" s="27">
        <v>11.2694</v>
      </c>
      <c r="AA840" s="27" t="s">
        <v>187</v>
      </c>
      <c r="AB840" s="27">
        <v>1</v>
      </c>
      <c r="AC840" s="27">
        <v>0</v>
      </c>
      <c r="AD840" s="27">
        <v>0</v>
      </c>
      <c r="AE840" s="27">
        <v>0</v>
      </c>
      <c r="AF840" s="27">
        <v>0</v>
      </c>
      <c r="AG840" s="27">
        <v>1</v>
      </c>
      <c r="AH840" s="27">
        <v>1</v>
      </c>
      <c r="AI840" s="27">
        <v>0</v>
      </c>
      <c r="AJ840" s="27">
        <v>0</v>
      </c>
      <c r="AK840" s="27">
        <v>0</v>
      </c>
      <c r="AL840" s="27">
        <v>0</v>
      </c>
      <c r="AM840" s="27">
        <v>0</v>
      </c>
      <c r="AN840" s="27">
        <v>0</v>
      </c>
      <c r="AO840" s="27">
        <v>0</v>
      </c>
      <c r="AP840" s="27">
        <v>0</v>
      </c>
      <c r="AQ840" s="27">
        <v>0</v>
      </c>
      <c r="AR840" s="27">
        <v>0</v>
      </c>
      <c r="AS840" s="27">
        <v>0</v>
      </c>
      <c r="AT840" s="27">
        <v>0</v>
      </c>
      <c r="AU840" s="27">
        <v>1</v>
      </c>
      <c r="AV840" s="27">
        <v>0</v>
      </c>
      <c r="AW840" s="27">
        <v>0</v>
      </c>
      <c r="AX840" s="27">
        <v>1</v>
      </c>
      <c r="AZ840" s="27">
        <v>1</v>
      </c>
      <c r="BA840" s="27">
        <v>2</v>
      </c>
      <c r="BB840" s="27">
        <v>69.7</v>
      </c>
      <c r="BC840" s="27" t="s">
        <v>111</v>
      </c>
      <c r="BD840" s="27" t="s">
        <v>112</v>
      </c>
      <c r="BE840" s="27" t="s">
        <v>113</v>
      </c>
      <c r="BF840" s="27" t="s">
        <v>77</v>
      </c>
      <c r="BG840" s="27">
        <v>162</v>
      </c>
      <c r="BH840" s="27">
        <v>24</v>
      </c>
      <c r="BI840" s="27">
        <v>0.871</v>
      </c>
      <c r="BJ840" s="27">
        <v>0</v>
      </c>
      <c r="BK840" s="27">
        <v>2</v>
      </c>
      <c r="BL840" s="27">
        <v>99.5</v>
      </c>
    </row>
    <row r="841" customHeight="1" spans="1:64">
      <c r="A841" s="27" t="s">
        <v>2456</v>
      </c>
      <c r="B841" s="27" t="s">
        <v>215</v>
      </c>
      <c r="C841" s="27" t="s">
        <v>2457</v>
      </c>
      <c r="D841" s="27">
        <v>845832018287</v>
      </c>
      <c r="E841" s="27" t="s">
        <v>2458</v>
      </c>
      <c r="F841" s="27" t="s">
        <v>132</v>
      </c>
      <c r="G841" s="27" t="s">
        <v>83</v>
      </c>
      <c r="H841" s="27" t="s">
        <v>84</v>
      </c>
      <c r="I841" s="27" t="s">
        <v>85</v>
      </c>
      <c r="J841" s="27">
        <v>5</v>
      </c>
      <c r="K841" s="27">
        <v>8.99</v>
      </c>
      <c r="M841" s="27">
        <v>0</v>
      </c>
      <c r="N841" s="27">
        <v>0</v>
      </c>
      <c r="O841" s="27">
        <v>0</v>
      </c>
      <c r="P841" s="27" t="s">
        <v>133</v>
      </c>
      <c r="Q841" s="27">
        <v>2.301585</v>
      </c>
      <c r="S841" s="27">
        <v>1250</v>
      </c>
      <c r="T841" s="27">
        <v>10</v>
      </c>
      <c r="U841" s="27">
        <v>0.9921</v>
      </c>
      <c r="V841" s="27" t="s">
        <v>109</v>
      </c>
      <c r="W841" s="27">
        <v>11237.5</v>
      </c>
      <c r="X841" s="27">
        <v>7.131699</v>
      </c>
      <c r="Y841" s="27">
        <v>9.327101</v>
      </c>
      <c r="Z841" s="27">
        <v>3.1623</v>
      </c>
      <c r="AA841" s="27" t="s">
        <v>125</v>
      </c>
      <c r="AB841" s="27">
        <v>0</v>
      </c>
      <c r="AC841" s="27">
        <v>0</v>
      </c>
      <c r="AD841" s="27">
        <v>0</v>
      </c>
      <c r="AE841" s="27">
        <v>0</v>
      </c>
      <c r="AF841" s="27">
        <v>0</v>
      </c>
      <c r="AG841" s="27">
        <v>0</v>
      </c>
      <c r="AH841" s="27">
        <v>0</v>
      </c>
      <c r="AI841" s="27">
        <v>0</v>
      </c>
      <c r="AJ841" s="27">
        <v>0</v>
      </c>
      <c r="AK841" s="27">
        <v>0</v>
      </c>
      <c r="AL841" s="27">
        <v>0</v>
      </c>
      <c r="AM841" s="27">
        <v>0</v>
      </c>
      <c r="AN841" s="27">
        <v>0</v>
      </c>
      <c r="AO841" s="27">
        <v>0</v>
      </c>
      <c r="AP841" s="27">
        <v>0</v>
      </c>
      <c r="AQ841" s="27">
        <v>1</v>
      </c>
      <c r="AR841" s="27">
        <v>0</v>
      </c>
      <c r="AS841" s="27">
        <v>0</v>
      </c>
      <c r="AT841" s="27">
        <v>0</v>
      </c>
      <c r="AU841" s="27">
        <v>0</v>
      </c>
      <c r="AV841" s="27">
        <v>1</v>
      </c>
      <c r="AW841" s="27">
        <v>0</v>
      </c>
      <c r="AX841" s="27">
        <v>0</v>
      </c>
      <c r="AZ841" s="27">
        <v>1</v>
      </c>
      <c r="BA841" s="27">
        <v>1</v>
      </c>
      <c r="BB841" s="27">
        <v>69.53</v>
      </c>
      <c r="BC841" s="27" t="s">
        <v>218</v>
      </c>
      <c r="BD841" s="27" t="s">
        <v>219</v>
      </c>
      <c r="BE841" s="27" t="s">
        <v>690</v>
      </c>
      <c r="BF841" s="27" t="s">
        <v>77</v>
      </c>
      <c r="BG841" s="27">
        <v>168</v>
      </c>
      <c r="BH841" s="27">
        <v>11</v>
      </c>
      <c r="BI841" s="27">
        <v>0.9385</v>
      </c>
      <c r="BJ841" s="27">
        <v>0</v>
      </c>
      <c r="BK841" s="27">
        <v>2</v>
      </c>
      <c r="BL841" s="27">
        <v>99.5</v>
      </c>
    </row>
    <row r="842" customHeight="1" spans="1:64">
      <c r="A842" s="27" t="s">
        <v>2459</v>
      </c>
      <c r="B842" s="27" t="s">
        <v>125</v>
      </c>
      <c r="D842" s="27">
        <v>7445054699658</v>
      </c>
      <c r="E842" s="27" t="s">
        <v>163</v>
      </c>
      <c r="F842" s="27" t="s">
        <v>160</v>
      </c>
      <c r="G842" s="27" t="s">
        <v>83</v>
      </c>
      <c r="H842" s="27" t="s">
        <v>138</v>
      </c>
      <c r="I842" s="27" t="s">
        <v>85</v>
      </c>
      <c r="J842" s="27">
        <v>5</v>
      </c>
      <c r="K842" s="27">
        <v>90.99</v>
      </c>
      <c r="M842" s="27">
        <v>0</v>
      </c>
      <c r="N842" s="27">
        <v>0</v>
      </c>
      <c r="O842" s="27">
        <v>0</v>
      </c>
      <c r="P842" s="27" t="s">
        <v>95</v>
      </c>
      <c r="Q842" s="27">
        <v>4.52168</v>
      </c>
      <c r="S842" s="27">
        <v>3</v>
      </c>
      <c r="T842" s="27">
        <v>1</v>
      </c>
      <c r="U842" s="27">
        <v>0.75</v>
      </c>
      <c r="V842" s="27" t="s">
        <v>87</v>
      </c>
      <c r="W842" s="27">
        <v>272.97</v>
      </c>
      <c r="X842" s="27">
        <v>1.386294</v>
      </c>
      <c r="Y842" s="27">
        <v>5.613019</v>
      </c>
      <c r="Z842" s="27">
        <v>1</v>
      </c>
      <c r="AA842" s="27" t="s">
        <v>125</v>
      </c>
      <c r="AB842" s="27">
        <v>0</v>
      </c>
      <c r="AC842" s="27">
        <v>0</v>
      </c>
      <c r="AD842" s="27">
        <v>0</v>
      </c>
      <c r="AE842" s="27">
        <v>0</v>
      </c>
      <c r="AF842" s="27">
        <v>0</v>
      </c>
      <c r="AG842" s="27">
        <v>1</v>
      </c>
      <c r="AH842" s="27">
        <v>1</v>
      </c>
      <c r="AI842" s="27">
        <v>1</v>
      </c>
      <c r="AJ842" s="27">
        <v>0</v>
      </c>
      <c r="AK842" s="27">
        <v>0</v>
      </c>
      <c r="AL842" s="27">
        <v>0</v>
      </c>
      <c r="AM842" s="27">
        <v>0</v>
      </c>
      <c r="AN842" s="27">
        <v>0</v>
      </c>
      <c r="AO842" s="27">
        <v>0</v>
      </c>
      <c r="AP842" s="27">
        <v>0</v>
      </c>
      <c r="AQ842" s="27">
        <v>1</v>
      </c>
      <c r="AR842" s="27">
        <v>0</v>
      </c>
      <c r="AS842" s="27">
        <v>0</v>
      </c>
      <c r="AT842" s="27">
        <v>0</v>
      </c>
      <c r="AU842" s="27">
        <v>0</v>
      </c>
      <c r="AV842" s="27">
        <v>1</v>
      </c>
      <c r="AW842" s="27">
        <v>1</v>
      </c>
      <c r="AX842" s="27">
        <v>0</v>
      </c>
      <c r="AZ842" s="27">
        <v>1</v>
      </c>
      <c r="BA842" s="27">
        <v>2</v>
      </c>
      <c r="BB842" s="27">
        <v>59.76</v>
      </c>
      <c r="BC842" s="27" t="s">
        <v>2460</v>
      </c>
      <c r="BD842" s="27" t="s">
        <v>2461</v>
      </c>
      <c r="BE842" s="27" t="s">
        <v>590</v>
      </c>
      <c r="BF842" s="27" t="s">
        <v>77</v>
      </c>
      <c r="BG842" s="27">
        <v>162</v>
      </c>
      <c r="BH842" s="27">
        <v>20</v>
      </c>
      <c r="BI842" s="27">
        <v>0.8901</v>
      </c>
      <c r="BJ842" s="27">
        <v>0</v>
      </c>
      <c r="BK842" s="27">
        <v>3</v>
      </c>
      <c r="BL842" s="27">
        <v>99.2</v>
      </c>
    </row>
    <row r="843" customHeight="1" spans="1:64">
      <c r="A843" s="27" t="s">
        <v>2462</v>
      </c>
      <c r="B843" s="27" t="s">
        <v>125</v>
      </c>
      <c r="E843" s="27" t="s">
        <v>2463</v>
      </c>
      <c r="F843" s="27" t="s">
        <v>198</v>
      </c>
      <c r="G843" s="27" t="s">
        <v>83</v>
      </c>
      <c r="H843" s="27" t="s">
        <v>138</v>
      </c>
      <c r="I843" s="27" t="s">
        <v>85</v>
      </c>
      <c r="J843" s="27">
        <v>5</v>
      </c>
      <c r="K843" s="27">
        <v>13.29</v>
      </c>
      <c r="L843" s="27">
        <v>14.77</v>
      </c>
      <c r="M843" s="27">
        <v>10.02</v>
      </c>
      <c r="N843" s="27">
        <v>1.48</v>
      </c>
      <c r="O843" s="27">
        <v>1</v>
      </c>
      <c r="P843" s="27" t="s">
        <v>133</v>
      </c>
      <c r="Q843" s="27">
        <v>2.65956</v>
      </c>
      <c r="S843" s="27">
        <v>37</v>
      </c>
      <c r="T843" s="27">
        <v>10</v>
      </c>
      <c r="U843" s="27">
        <v>0.7872</v>
      </c>
      <c r="V843" s="27" t="s">
        <v>72</v>
      </c>
      <c r="W843" s="27">
        <v>491.73</v>
      </c>
      <c r="X843" s="27">
        <v>3.637586</v>
      </c>
      <c r="Y843" s="27">
        <v>6.199961</v>
      </c>
      <c r="Z843" s="27">
        <v>3.1623</v>
      </c>
      <c r="AA843" s="27" t="s">
        <v>125</v>
      </c>
      <c r="AB843" s="27">
        <v>1</v>
      </c>
      <c r="AC843" s="27">
        <v>0</v>
      </c>
      <c r="AD843" s="27">
        <v>0</v>
      </c>
      <c r="AE843" s="27">
        <v>0</v>
      </c>
      <c r="AF843" s="27">
        <v>0</v>
      </c>
      <c r="AG843" s="27">
        <v>0</v>
      </c>
      <c r="AH843" s="27">
        <v>0</v>
      </c>
      <c r="AI843" s="27">
        <v>0</v>
      </c>
      <c r="AJ843" s="27">
        <v>0</v>
      </c>
      <c r="AK843" s="27">
        <v>0</v>
      </c>
      <c r="AL843" s="27">
        <v>0</v>
      </c>
      <c r="AM843" s="27">
        <v>0</v>
      </c>
      <c r="AN843" s="27">
        <v>0</v>
      </c>
      <c r="AO843" s="27">
        <v>0</v>
      </c>
      <c r="AP843" s="27">
        <v>0</v>
      </c>
      <c r="AQ843" s="27">
        <v>0</v>
      </c>
      <c r="AR843" s="27">
        <v>0</v>
      </c>
      <c r="AS843" s="27">
        <v>0</v>
      </c>
      <c r="AT843" s="27">
        <v>0</v>
      </c>
      <c r="AU843" s="27">
        <v>0</v>
      </c>
      <c r="AV843" s="27">
        <v>0</v>
      </c>
      <c r="AW843" s="27">
        <v>0</v>
      </c>
      <c r="AX843" s="27">
        <v>0</v>
      </c>
      <c r="AZ843" s="27">
        <v>2</v>
      </c>
      <c r="BA843" s="27">
        <v>1</v>
      </c>
      <c r="BB843" s="27">
        <v>64.16</v>
      </c>
      <c r="BC843" s="27" t="s">
        <v>2464</v>
      </c>
      <c r="BD843" s="27" t="s">
        <v>180</v>
      </c>
      <c r="BE843" s="27" t="s">
        <v>113</v>
      </c>
      <c r="BF843" s="27" t="s">
        <v>77</v>
      </c>
      <c r="BG843" s="27">
        <v>1</v>
      </c>
      <c r="BH843" s="27">
        <v>226</v>
      </c>
      <c r="BI843" s="27">
        <v>0.0044</v>
      </c>
      <c r="BJ843" s="27">
        <v>1</v>
      </c>
      <c r="BK843" s="27">
        <v>4</v>
      </c>
      <c r="BL843" s="27">
        <v>98.9</v>
      </c>
    </row>
    <row r="844" customHeight="1" spans="1:64">
      <c r="A844" s="27" t="s">
        <v>2465</v>
      </c>
      <c r="B844" s="27" t="s">
        <v>65</v>
      </c>
      <c r="C844" s="27" t="s">
        <v>2466</v>
      </c>
      <c r="E844" s="27" t="s">
        <v>163</v>
      </c>
      <c r="F844" s="27" t="s">
        <v>82</v>
      </c>
      <c r="G844" s="27" t="s">
        <v>65</v>
      </c>
      <c r="H844" s="27" t="s">
        <v>69</v>
      </c>
      <c r="I844" s="27" t="s">
        <v>85</v>
      </c>
      <c r="J844" s="27">
        <v>5</v>
      </c>
      <c r="K844" s="27">
        <v>99.99</v>
      </c>
      <c r="M844" s="27">
        <v>0</v>
      </c>
      <c r="N844" s="27">
        <v>0</v>
      </c>
      <c r="O844" s="27">
        <v>0</v>
      </c>
      <c r="P844" s="27" t="s">
        <v>95</v>
      </c>
      <c r="Q844" s="27">
        <v>4.615022</v>
      </c>
      <c r="S844" s="27">
        <v>2</v>
      </c>
      <c r="T844" s="27">
        <v>10</v>
      </c>
      <c r="U844" s="27">
        <v>0.1667</v>
      </c>
      <c r="V844" s="27" t="s">
        <v>87</v>
      </c>
      <c r="W844" s="27">
        <v>199.98</v>
      </c>
      <c r="X844" s="27">
        <v>1.098612</v>
      </c>
      <c r="Y844" s="27">
        <v>5.303205</v>
      </c>
      <c r="Z844" s="27">
        <v>3.1623</v>
      </c>
      <c r="AA844" s="27" t="s">
        <v>187</v>
      </c>
      <c r="AB844" s="27">
        <v>0</v>
      </c>
      <c r="AC844" s="27">
        <v>0</v>
      </c>
      <c r="AD844" s="27">
        <v>0</v>
      </c>
      <c r="AE844" s="27">
        <v>0</v>
      </c>
      <c r="AF844" s="27">
        <v>0</v>
      </c>
      <c r="AG844" s="27">
        <v>0</v>
      </c>
      <c r="AH844" s="27">
        <v>1</v>
      </c>
      <c r="AI844" s="27">
        <v>0</v>
      </c>
      <c r="AJ844" s="27">
        <v>0</v>
      </c>
      <c r="AK844" s="27">
        <v>1</v>
      </c>
      <c r="AL844" s="27">
        <v>0</v>
      </c>
      <c r="AM844" s="27">
        <v>0</v>
      </c>
      <c r="AN844" s="27">
        <v>0</v>
      </c>
      <c r="AO844" s="27">
        <v>0</v>
      </c>
      <c r="AP844" s="27">
        <v>0</v>
      </c>
      <c r="AQ844" s="27">
        <v>0</v>
      </c>
      <c r="AR844" s="27">
        <v>0</v>
      </c>
      <c r="AS844" s="27">
        <v>0</v>
      </c>
      <c r="AT844" s="27">
        <v>0</v>
      </c>
      <c r="AU844" s="27">
        <v>1</v>
      </c>
      <c r="AV844" s="27">
        <v>0</v>
      </c>
      <c r="AW844" s="27">
        <v>0</v>
      </c>
      <c r="AX844" s="27">
        <v>0</v>
      </c>
      <c r="AZ844" s="27">
        <v>1</v>
      </c>
      <c r="BA844" s="27">
        <v>2</v>
      </c>
      <c r="BB844" s="27">
        <v>36.52</v>
      </c>
      <c r="BC844" s="27" t="s">
        <v>784</v>
      </c>
      <c r="BD844" s="27" t="s">
        <v>785</v>
      </c>
      <c r="BE844" s="27" t="s">
        <v>774</v>
      </c>
      <c r="BF844" s="27" t="s">
        <v>77</v>
      </c>
      <c r="BG844" s="27">
        <v>1</v>
      </c>
      <c r="BH844" s="27">
        <v>27</v>
      </c>
      <c r="BI844" s="27">
        <v>0.0357</v>
      </c>
      <c r="BJ844" s="27">
        <v>1</v>
      </c>
      <c r="BK844" s="27">
        <v>2</v>
      </c>
      <c r="BL844" s="27">
        <v>99.5</v>
      </c>
    </row>
    <row r="845" customHeight="1" spans="1:64">
      <c r="A845" s="27" t="s">
        <v>2467</v>
      </c>
      <c r="B845" s="27" t="s">
        <v>171</v>
      </c>
      <c r="C845" s="27" t="s">
        <v>2468</v>
      </c>
      <c r="E845" s="27" t="s">
        <v>250</v>
      </c>
      <c r="F845" s="27" t="s">
        <v>160</v>
      </c>
      <c r="G845" s="27" t="s">
        <v>83</v>
      </c>
      <c r="H845" s="27" t="s">
        <v>84</v>
      </c>
      <c r="I845" s="27" t="s">
        <v>85</v>
      </c>
      <c r="J845" s="27">
        <v>5</v>
      </c>
      <c r="K845" s="27">
        <v>129.93</v>
      </c>
      <c r="M845" s="27">
        <v>0</v>
      </c>
      <c r="N845" s="27">
        <v>0</v>
      </c>
      <c r="O845" s="27">
        <v>0</v>
      </c>
      <c r="P845" s="27" t="s">
        <v>95</v>
      </c>
      <c r="Q845" s="27">
        <v>4.874663</v>
      </c>
      <c r="R845" s="27">
        <v>16.24</v>
      </c>
      <c r="S845" s="27">
        <v>79</v>
      </c>
      <c r="T845" s="27">
        <v>100</v>
      </c>
      <c r="U845" s="27">
        <v>0.4413</v>
      </c>
      <c r="V845" s="27" t="s">
        <v>72</v>
      </c>
      <c r="W845" s="27">
        <v>10264.47</v>
      </c>
      <c r="X845" s="27">
        <v>4.382027</v>
      </c>
      <c r="Y845" s="27">
        <v>9.236541</v>
      </c>
      <c r="Z845" s="27">
        <v>10</v>
      </c>
      <c r="AA845" s="27" t="s">
        <v>313</v>
      </c>
      <c r="AB845" s="27">
        <v>0</v>
      </c>
      <c r="AC845" s="27">
        <v>0</v>
      </c>
      <c r="AD845" s="27">
        <v>0</v>
      </c>
      <c r="AE845" s="27">
        <v>0</v>
      </c>
      <c r="AF845" s="27">
        <v>0</v>
      </c>
      <c r="AG845" s="27">
        <v>0</v>
      </c>
      <c r="AH845" s="27">
        <v>1</v>
      </c>
      <c r="AI845" s="27">
        <v>0</v>
      </c>
      <c r="AJ845" s="27">
        <v>0</v>
      </c>
      <c r="AK845" s="27">
        <v>0</v>
      </c>
      <c r="AL845" s="27">
        <v>0</v>
      </c>
      <c r="AM845" s="27">
        <v>0</v>
      </c>
      <c r="AN845" s="27">
        <v>1</v>
      </c>
      <c r="AO845" s="27">
        <v>0</v>
      </c>
      <c r="AP845" s="27">
        <v>0</v>
      </c>
      <c r="AQ845" s="27">
        <v>1</v>
      </c>
      <c r="AR845" s="27">
        <v>0</v>
      </c>
      <c r="AS845" s="27">
        <v>0</v>
      </c>
      <c r="AT845" s="27">
        <v>1</v>
      </c>
      <c r="AU845" s="27">
        <v>0</v>
      </c>
      <c r="AV845" s="27">
        <v>1</v>
      </c>
      <c r="AW845" s="27">
        <v>1</v>
      </c>
      <c r="AX845" s="27">
        <v>0</v>
      </c>
      <c r="AY845" s="27">
        <v>8</v>
      </c>
      <c r="AZ845" s="27">
        <v>1</v>
      </c>
      <c r="BA845" s="27">
        <v>3</v>
      </c>
      <c r="BB845" s="27">
        <v>47.41</v>
      </c>
      <c r="BC845" s="27" t="s">
        <v>251</v>
      </c>
      <c r="BG845" s="27">
        <v>0</v>
      </c>
      <c r="BH845" s="27">
        <v>0</v>
      </c>
      <c r="BJ845" s="27">
        <v>0</v>
      </c>
      <c r="BK845" s="27">
        <v>3</v>
      </c>
      <c r="BL845" s="27">
        <v>99.2</v>
      </c>
    </row>
    <row r="846" customHeight="1" spans="1:64">
      <c r="A846" s="27" t="s">
        <v>2469</v>
      </c>
      <c r="B846" s="27" t="s">
        <v>104</v>
      </c>
      <c r="C846" s="27" t="s">
        <v>2470</v>
      </c>
      <c r="D846" s="27">
        <v>194644176099</v>
      </c>
      <c r="E846" s="27" t="s">
        <v>81</v>
      </c>
      <c r="F846" s="27" t="s">
        <v>82</v>
      </c>
      <c r="G846" s="27" t="s">
        <v>106</v>
      </c>
      <c r="H846" s="27" t="s">
        <v>107</v>
      </c>
      <c r="I846" s="27" t="s">
        <v>108</v>
      </c>
      <c r="J846" s="27">
        <v>3</v>
      </c>
      <c r="K846" s="27">
        <v>124.99</v>
      </c>
      <c r="L846" s="27">
        <v>299.99</v>
      </c>
      <c r="M846" s="27">
        <v>58.34</v>
      </c>
      <c r="N846" s="27">
        <v>175</v>
      </c>
      <c r="O846" s="27">
        <v>1</v>
      </c>
      <c r="P846" s="27" t="s">
        <v>95</v>
      </c>
      <c r="Q846" s="27">
        <v>4.836203</v>
      </c>
      <c r="S846" s="27">
        <v>516</v>
      </c>
      <c r="U846" s="27">
        <v>1</v>
      </c>
      <c r="V846" s="27" t="s">
        <v>154</v>
      </c>
      <c r="W846" s="27">
        <v>64494.84</v>
      </c>
      <c r="X846" s="27">
        <v>6.248043</v>
      </c>
      <c r="Y846" s="27">
        <v>11.074356</v>
      </c>
      <c r="Z846" s="27">
        <v>0</v>
      </c>
      <c r="AA846" s="27" t="s">
        <v>187</v>
      </c>
      <c r="AB846" s="27">
        <v>0</v>
      </c>
      <c r="AC846" s="27">
        <v>0</v>
      </c>
      <c r="AD846" s="27">
        <v>0</v>
      </c>
      <c r="AE846" s="27">
        <v>1</v>
      </c>
      <c r="AF846" s="27">
        <v>0</v>
      </c>
      <c r="AG846" s="27">
        <v>0</v>
      </c>
      <c r="AH846" s="27">
        <v>1</v>
      </c>
      <c r="AI846" s="27">
        <v>0</v>
      </c>
      <c r="AJ846" s="27">
        <v>0</v>
      </c>
      <c r="AK846" s="27">
        <v>0</v>
      </c>
      <c r="AL846" s="27">
        <v>0</v>
      </c>
      <c r="AM846" s="27">
        <v>0</v>
      </c>
      <c r="AN846" s="27">
        <v>0</v>
      </c>
      <c r="AO846" s="27">
        <v>0</v>
      </c>
      <c r="AP846" s="27">
        <v>1</v>
      </c>
      <c r="AQ846" s="27">
        <v>0</v>
      </c>
      <c r="AR846" s="27">
        <v>0</v>
      </c>
      <c r="AS846" s="27">
        <v>0</v>
      </c>
      <c r="AT846" s="27">
        <v>1</v>
      </c>
      <c r="AU846" s="27">
        <v>0</v>
      </c>
      <c r="AV846" s="27">
        <v>0</v>
      </c>
      <c r="AW846" s="27">
        <v>1</v>
      </c>
      <c r="AX846" s="27">
        <v>0</v>
      </c>
      <c r="AZ846" s="27">
        <v>2</v>
      </c>
      <c r="BA846" s="27">
        <v>2</v>
      </c>
      <c r="BB846" s="27">
        <v>87.35</v>
      </c>
      <c r="BC846" s="27" t="s">
        <v>111</v>
      </c>
      <c r="BG846" s="27">
        <v>0</v>
      </c>
      <c r="BH846" s="27">
        <v>0</v>
      </c>
      <c r="BJ846" s="27">
        <v>0</v>
      </c>
      <c r="BK846" s="27">
        <v>2</v>
      </c>
      <c r="BL846" s="27">
        <v>99.5</v>
      </c>
    </row>
    <row r="847" customHeight="1" spans="1:64">
      <c r="A847" s="27" t="s">
        <v>2471</v>
      </c>
      <c r="B847" s="27" t="s">
        <v>104</v>
      </c>
      <c r="C847" s="27" t="s">
        <v>960</v>
      </c>
      <c r="D847" s="27">
        <v>194644245658</v>
      </c>
      <c r="E847" s="27" t="s">
        <v>81</v>
      </c>
      <c r="F847" s="27" t="s">
        <v>82</v>
      </c>
      <c r="G847" s="27" t="s">
        <v>106</v>
      </c>
      <c r="H847" s="27" t="s">
        <v>107</v>
      </c>
      <c r="I847" s="27" t="s">
        <v>85</v>
      </c>
      <c r="J847" s="27">
        <v>5</v>
      </c>
      <c r="K847" s="27">
        <v>59.98</v>
      </c>
      <c r="L847" s="27">
        <v>89.99</v>
      </c>
      <c r="M847" s="27">
        <v>33.35</v>
      </c>
      <c r="N847" s="27">
        <v>30.01</v>
      </c>
      <c r="O847" s="27">
        <v>1</v>
      </c>
      <c r="P847" s="27" t="s">
        <v>86</v>
      </c>
      <c r="Q847" s="27">
        <v>4.110546</v>
      </c>
      <c r="S847" s="27">
        <v>33</v>
      </c>
      <c r="T847" s="27">
        <v>10</v>
      </c>
      <c r="U847" s="27">
        <v>0.7674</v>
      </c>
      <c r="V847" s="27" t="s">
        <v>72</v>
      </c>
      <c r="W847" s="27">
        <v>1979.34</v>
      </c>
      <c r="X847" s="27">
        <v>3.526361</v>
      </c>
      <c r="Y847" s="27">
        <v>7.591024</v>
      </c>
      <c r="Z847" s="27">
        <v>3.1623</v>
      </c>
      <c r="AA847" s="27" t="s">
        <v>125</v>
      </c>
      <c r="AB847" s="27">
        <v>1</v>
      </c>
      <c r="AC847" s="27">
        <v>0</v>
      </c>
      <c r="AD847" s="27">
        <v>0</v>
      </c>
      <c r="AE847" s="27">
        <v>0</v>
      </c>
      <c r="AF847" s="27">
        <v>0</v>
      </c>
      <c r="AG847" s="27">
        <v>0</v>
      </c>
      <c r="AH847" s="27">
        <v>1</v>
      </c>
      <c r="AI847" s="27">
        <v>0</v>
      </c>
      <c r="AJ847" s="27">
        <v>0</v>
      </c>
      <c r="AK847" s="27">
        <v>0</v>
      </c>
      <c r="AL847" s="27">
        <v>0</v>
      </c>
      <c r="AM847" s="27">
        <v>0</v>
      </c>
      <c r="AN847" s="27">
        <v>0</v>
      </c>
      <c r="AO847" s="27">
        <v>0</v>
      </c>
      <c r="AP847" s="27">
        <v>0</v>
      </c>
      <c r="AQ847" s="27">
        <v>0</v>
      </c>
      <c r="AR847" s="27">
        <v>0</v>
      </c>
      <c r="AS847" s="27">
        <v>0</v>
      </c>
      <c r="AT847" s="27">
        <v>1</v>
      </c>
      <c r="AU847" s="27">
        <v>1</v>
      </c>
      <c r="AV847" s="27">
        <v>0</v>
      </c>
      <c r="AW847" s="27">
        <v>0</v>
      </c>
      <c r="AX847" s="27">
        <v>0</v>
      </c>
      <c r="AZ847" s="27">
        <v>1</v>
      </c>
      <c r="BA847" s="27">
        <v>2</v>
      </c>
      <c r="BB847" s="27">
        <v>70.28</v>
      </c>
      <c r="BC847" s="27" t="s">
        <v>161</v>
      </c>
      <c r="BG847" s="27">
        <v>0</v>
      </c>
      <c r="BH847" s="27">
        <v>0</v>
      </c>
      <c r="BJ847" s="27">
        <v>0</v>
      </c>
      <c r="BK847" s="27">
        <v>5</v>
      </c>
      <c r="BL847" s="27">
        <v>98.6</v>
      </c>
    </row>
    <row r="848" customHeight="1" spans="1:64">
      <c r="A848" s="27" t="s">
        <v>2472</v>
      </c>
      <c r="B848" s="27" t="s">
        <v>1082</v>
      </c>
      <c r="E848" s="27" t="s">
        <v>81</v>
      </c>
      <c r="F848" s="27" t="s">
        <v>160</v>
      </c>
      <c r="G848" s="27" t="s">
        <v>83</v>
      </c>
      <c r="H848" s="27" t="s">
        <v>84</v>
      </c>
      <c r="I848" s="27" t="s">
        <v>85</v>
      </c>
      <c r="J848" s="27">
        <v>5</v>
      </c>
      <c r="K848" s="27">
        <v>59.82</v>
      </c>
      <c r="L848" s="27">
        <v>73.85</v>
      </c>
      <c r="M848" s="27">
        <v>19</v>
      </c>
      <c r="N848" s="27">
        <v>14.03</v>
      </c>
      <c r="O848" s="27">
        <v>1</v>
      </c>
      <c r="P848" s="27" t="s">
        <v>86</v>
      </c>
      <c r="Q848" s="27">
        <v>4.107919</v>
      </c>
      <c r="S848" s="27">
        <v>437</v>
      </c>
      <c r="T848" s="27">
        <v>10</v>
      </c>
      <c r="U848" s="27">
        <v>0.9776</v>
      </c>
      <c r="V848" s="27" t="s">
        <v>154</v>
      </c>
      <c r="W848" s="27">
        <v>26141.34</v>
      </c>
      <c r="X848" s="27">
        <v>6.082219</v>
      </c>
      <c r="Y848" s="27">
        <v>10.171312</v>
      </c>
      <c r="Z848" s="27">
        <v>3.1623</v>
      </c>
      <c r="AA848" s="27" t="s">
        <v>139</v>
      </c>
      <c r="AB848" s="27">
        <v>1</v>
      </c>
      <c r="AC848" s="27">
        <v>0</v>
      </c>
      <c r="AD848" s="27">
        <v>0</v>
      </c>
      <c r="AE848" s="27">
        <v>0</v>
      </c>
      <c r="AF848" s="27">
        <v>0</v>
      </c>
      <c r="AG848" s="27">
        <v>0</v>
      </c>
      <c r="AH848" s="27">
        <v>1</v>
      </c>
      <c r="AI848" s="27">
        <v>0</v>
      </c>
      <c r="AJ848" s="27">
        <v>1</v>
      </c>
      <c r="AK848" s="27">
        <v>0</v>
      </c>
      <c r="AL848" s="27">
        <v>0</v>
      </c>
      <c r="AM848" s="27">
        <v>0</v>
      </c>
      <c r="AN848" s="27">
        <v>0</v>
      </c>
      <c r="AO848" s="27">
        <v>0</v>
      </c>
      <c r="AP848" s="27">
        <v>0</v>
      </c>
      <c r="AQ848" s="27">
        <v>0</v>
      </c>
      <c r="AR848" s="27">
        <v>0</v>
      </c>
      <c r="AS848" s="27">
        <v>0</v>
      </c>
      <c r="AT848" s="27">
        <v>1</v>
      </c>
      <c r="AU848" s="27">
        <v>0</v>
      </c>
      <c r="AV848" s="27">
        <v>0</v>
      </c>
      <c r="AW848" s="27">
        <v>1</v>
      </c>
      <c r="AX848" s="27">
        <v>0</v>
      </c>
      <c r="AZ848" s="27">
        <v>4</v>
      </c>
      <c r="BA848" s="27">
        <v>2</v>
      </c>
      <c r="BB848" s="27">
        <v>74.05</v>
      </c>
      <c r="BC848" s="27" t="s">
        <v>1084</v>
      </c>
      <c r="BD848" s="27" t="s">
        <v>1085</v>
      </c>
      <c r="BE848" s="27" t="s">
        <v>128</v>
      </c>
      <c r="BF848" s="27" t="s">
        <v>77</v>
      </c>
      <c r="BG848" s="27">
        <v>1</v>
      </c>
      <c r="BH848" s="27">
        <v>48</v>
      </c>
      <c r="BI848" s="27">
        <v>0.0204</v>
      </c>
      <c r="BJ848" s="27">
        <v>1</v>
      </c>
      <c r="BK848" s="27">
        <v>9</v>
      </c>
      <c r="BL848" s="27">
        <v>97.5</v>
      </c>
    </row>
    <row r="849" customHeight="1" spans="1:64">
      <c r="A849" s="27" t="s">
        <v>2473</v>
      </c>
      <c r="B849" s="27" t="s">
        <v>2474</v>
      </c>
      <c r="E849" s="27" t="s">
        <v>1203</v>
      </c>
      <c r="F849" s="27" t="s">
        <v>240</v>
      </c>
      <c r="G849" s="27" t="s">
        <v>83</v>
      </c>
      <c r="H849" s="27" t="s">
        <v>84</v>
      </c>
      <c r="I849" s="27" t="s">
        <v>153</v>
      </c>
      <c r="J849" s="27">
        <v>2</v>
      </c>
      <c r="K849" s="27">
        <v>175</v>
      </c>
      <c r="M849" s="27">
        <v>0</v>
      </c>
      <c r="N849" s="27">
        <v>0</v>
      </c>
      <c r="O849" s="27">
        <v>0</v>
      </c>
      <c r="P849" s="27" t="s">
        <v>95</v>
      </c>
      <c r="Q849" s="27">
        <v>5.170484</v>
      </c>
      <c r="V849" s="27" t="s">
        <v>231</v>
      </c>
      <c r="W849" s="27">
        <v>0</v>
      </c>
      <c r="X849" s="27">
        <v>0</v>
      </c>
      <c r="Y849" s="27">
        <v>0</v>
      </c>
      <c r="Z849" s="27">
        <v>0</v>
      </c>
      <c r="AA849" s="27" t="s">
        <v>125</v>
      </c>
      <c r="AB849" s="27">
        <v>0</v>
      </c>
      <c r="AC849" s="27">
        <v>0</v>
      </c>
      <c r="AD849" s="27">
        <v>0</v>
      </c>
      <c r="AE849" s="27">
        <v>0</v>
      </c>
      <c r="AF849" s="27">
        <v>0</v>
      </c>
      <c r="AG849" s="27">
        <v>0</v>
      </c>
      <c r="AH849" s="27">
        <v>0</v>
      </c>
      <c r="AI849" s="27">
        <v>0</v>
      </c>
      <c r="AJ849" s="27">
        <v>0</v>
      </c>
      <c r="AK849" s="27">
        <v>0</v>
      </c>
      <c r="AL849" s="27">
        <v>0</v>
      </c>
      <c r="AM849" s="27">
        <v>0</v>
      </c>
      <c r="AN849" s="27">
        <v>0</v>
      </c>
      <c r="AO849" s="27">
        <v>0</v>
      </c>
      <c r="AP849" s="27">
        <v>0</v>
      </c>
      <c r="AQ849" s="27">
        <v>1</v>
      </c>
      <c r="AR849" s="27">
        <v>0</v>
      </c>
      <c r="AS849" s="27">
        <v>0</v>
      </c>
      <c r="AT849" s="27">
        <v>0</v>
      </c>
      <c r="AU849" s="27">
        <v>0</v>
      </c>
      <c r="AV849" s="27">
        <v>1</v>
      </c>
      <c r="AW849" s="27">
        <v>1</v>
      </c>
      <c r="AX849" s="27">
        <v>0</v>
      </c>
      <c r="AZ849" s="27">
        <v>1</v>
      </c>
      <c r="BA849" s="27">
        <v>1</v>
      </c>
      <c r="BB849" s="27">
        <v>29.67</v>
      </c>
      <c r="BC849" s="27" t="s">
        <v>2475</v>
      </c>
      <c r="BD849" s="27" t="s">
        <v>2476</v>
      </c>
      <c r="BE849" s="27" t="s">
        <v>2477</v>
      </c>
      <c r="BF849" s="27" t="s">
        <v>77</v>
      </c>
      <c r="BG849" s="27">
        <v>1</v>
      </c>
      <c r="BH849" s="27">
        <v>11</v>
      </c>
      <c r="BI849" s="27">
        <v>0.0833</v>
      </c>
      <c r="BJ849" s="27">
        <v>1</v>
      </c>
      <c r="BK849" s="27">
        <v>4</v>
      </c>
      <c r="BL849" s="27">
        <v>98.9</v>
      </c>
    </row>
    <row r="850" customHeight="1" spans="1:64">
      <c r="A850" s="27" t="s">
        <v>2478</v>
      </c>
      <c r="B850" s="27" t="s">
        <v>384</v>
      </c>
      <c r="E850" s="27" t="s">
        <v>876</v>
      </c>
      <c r="F850" s="27" t="s">
        <v>462</v>
      </c>
      <c r="G850" s="27" t="s">
        <v>83</v>
      </c>
      <c r="H850" s="27" t="s">
        <v>84</v>
      </c>
      <c r="I850" s="27" t="s">
        <v>85</v>
      </c>
      <c r="J850" s="27">
        <v>5</v>
      </c>
      <c r="K850" s="27">
        <v>189.99</v>
      </c>
      <c r="L850" s="27">
        <v>287.49</v>
      </c>
      <c r="M850" s="27">
        <v>33.91</v>
      </c>
      <c r="N850" s="27">
        <v>97.5</v>
      </c>
      <c r="O850" s="27">
        <v>1</v>
      </c>
      <c r="P850" s="27" t="s">
        <v>95</v>
      </c>
      <c r="Q850" s="27">
        <v>5.252221</v>
      </c>
      <c r="R850" s="27">
        <v>19</v>
      </c>
      <c r="S850" s="27">
        <v>4</v>
      </c>
      <c r="T850" s="27">
        <v>4</v>
      </c>
      <c r="U850" s="27">
        <v>0.5</v>
      </c>
      <c r="V850" s="27" t="s">
        <v>87</v>
      </c>
      <c r="W850" s="27">
        <v>759.96</v>
      </c>
      <c r="X850" s="27">
        <v>1.609438</v>
      </c>
      <c r="Y850" s="27">
        <v>6.634581</v>
      </c>
      <c r="Z850" s="27">
        <v>2</v>
      </c>
      <c r="AA850" s="27" t="s">
        <v>88</v>
      </c>
      <c r="AB850" s="27">
        <v>0</v>
      </c>
      <c r="AC850" s="27">
        <v>0</v>
      </c>
      <c r="AD850" s="27">
        <v>0</v>
      </c>
      <c r="AE850" s="27">
        <v>1</v>
      </c>
      <c r="AF850" s="27">
        <v>1</v>
      </c>
      <c r="AG850" s="27">
        <v>0</v>
      </c>
      <c r="AH850" s="27">
        <v>1</v>
      </c>
      <c r="AI850" s="27">
        <v>0</v>
      </c>
      <c r="AJ850" s="27">
        <v>0</v>
      </c>
      <c r="AK850" s="27">
        <v>0</v>
      </c>
      <c r="AL850" s="27">
        <v>0</v>
      </c>
      <c r="AM850" s="27">
        <v>1</v>
      </c>
      <c r="AN850" s="27">
        <v>0</v>
      </c>
      <c r="AO850" s="27">
        <v>0</v>
      </c>
      <c r="AP850" s="27">
        <v>0</v>
      </c>
      <c r="AQ850" s="27">
        <v>0</v>
      </c>
      <c r="AR850" s="27">
        <v>0</v>
      </c>
      <c r="AS850" s="27">
        <v>0</v>
      </c>
      <c r="AT850" s="27">
        <v>0</v>
      </c>
      <c r="AU850" s="27">
        <v>0</v>
      </c>
      <c r="AV850" s="27">
        <v>0</v>
      </c>
      <c r="AW850" s="27">
        <v>1</v>
      </c>
      <c r="AX850" s="27">
        <v>0</v>
      </c>
      <c r="AY850" s="27">
        <v>10</v>
      </c>
      <c r="AZ850" s="27">
        <v>1</v>
      </c>
      <c r="BA850" s="27">
        <v>3</v>
      </c>
      <c r="BB850" s="27">
        <v>59.75</v>
      </c>
      <c r="BC850" s="27" t="s">
        <v>309</v>
      </c>
      <c r="BG850" s="27">
        <v>0</v>
      </c>
      <c r="BH850" s="27">
        <v>0</v>
      </c>
      <c r="BJ850" s="27">
        <v>0</v>
      </c>
      <c r="BK850" s="27">
        <v>5</v>
      </c>
      <c r="BL850" s="27">
        <v>98.6</v>
      </c>
    </row>
    <row r="851" customHeight="1" spans="1:64">
      <c r="A851" s="27" t="s">
        <v>2479</v>
      </c>
      <c r="B851" s="27" t="s">
        <v>2480</v>
      </c>
      <c r="C851" s="27" t="s">
        <v>2481</v>
      </c>
      <c r="E851" s="27" t="s">
        <v>2482</v>
      </c>
      <c r="F851" s="27" t="s">
        <v>240</v>
      </c>
      <c r="G851" s="27" t="s">
        <v>83</v>
      </c>
      <c r="H851" s="27" t="s">
        <v>84</v>
      </c>
      <c r="I851" s="27" t="s">
        <v>203</v>
      </c>
      <c r="J851" s="27">
        <v>4</v>
      </c>
      <c r="K851" s="27">
        <v>187.15</v>
      </c>
      <c r="L851" s="27">
        <v>197</v>
      </c>
      <c r="M851" s="27">
        <v>5</v>
      </c>
      <c r="N851" s="27">
        <v>9.85</v>
      </c>
      <c r="O851" s="27">
        <v>1</v>
      </c>
      <c r="P851" s="27" t="s">
        <v>95</v>
      </c>
      <c r="Q851" s="27">
        <v>5.23724</v>
      </c>
      <c r="R851" s="27">
        <v>23.39</v>
      </c>
      <c r="V851" s="27" t="s">
        <v>231</v>
      </c>
      <c r="W851" s="27">
        <v>0</v>
      </c>
      <c r="X851" s="27">
        <v>0</v>
      </c>
      <c r="Y851" s="27">
        <v>0</v>
      </c>
      <c r="Z851" s="27">
        <v>0</v>
      </c>
      <c r="AA851" s="27" t="s">
        <v>125</v>
      </c>
      <c r="AB851" s="27">
        <v>0</v>
      </c>
      <c r="AC851" s="27">
        <v>0</v>
      </c>
      <c r="AD851" s="27">
        <v>0</v>
      </c>
      <c r="AE851" s="27">
        <v>0</v>
      </c>
      <c r="AF851" s="27">
        <v>0</v>
      </c>
      <c r="AG851" s="27">
        <v>0</v>
      </c>
      <c r="AH851" s="27">
        <v>0</v>
      </c>
      <c r="AI851" s="27">
        <v>0</v>
      </c>
      <c r="AJ851" s="27">
        <v>0</v>
      </c>
      <c r="AK851" s="27">
        <v>0</v>
      </c>
      <c r="AL851" s="27">
        <v>0</v>
      </c>
      <c r="AM851" s="27">
        <v>0</v>
      </c>
      <c r="AN851" s="27">
        <v>0</v>
      </c>
      <c r="AO851" s="27">
        <v>0</v>
      </c>
      <c r="AP851" s="27">
        <v>0</v>
      </c>
      <c r="AQ851" s="27">
        <v>1</v>
      </c>
      <c r="AR851" s="27">
        <v>0</v>
      </c>
      <c r="AS851" s="27">
        <v>0</v>
      </c>
      <c r="AT851" s="27">
        <v>0</v>
      </c>
      <c r="AU851" s="27">
        <v>0</v>
      </c>
      <c r="AV851" s="27">
        <v>1</v>
      </c>
      <c r="AW851" s="27">
        <v>1</v>
      </c>
      <c r="AX851" s="27">
        <v>0</v>
      </c>
      <c r="AY851" s="27">
        <v>8</v>
      </c>
      <c r="AZ851" s="27">
        <v>1</v>
      </c>
      <c r="BA851" s="27">
        <v>1</v>
      </c>
      <c r="BB851" s="27">
        <v>1.5</v>
      </c>
      <c r="BC851" s="27" t="s">
        <v>1323</v>
      </c>
      <c r="BG851" s="27">
        <v>0</v>
      </c>
      <c r="BH851" s="27">
        <v>0</v>
      </c>
      <c r="BJ851" s="27">
        <v>0</v>
      </c>
      <c r="BK851" s="27">
        <v>425</v>
      </c>
      <c r="BL851" s="27">
        <v>0</v>
      </c>
    </row>
    <row r="852" customHeight="1" spans="1:64">
      <c r="A852" s="27" t="s">
        <v>2483</v>
      </c>
      <c r="B852" s="27" t="s">
        <v>282</v>
      </c>
      <c r="E852" s="27" t="s">
        <v>239</v>
      </c>
      <c r="F852" s="27" t="s">
        <v>240</v>
      </c>
      <c r="G852" s="27" t="s">
        <v>83</v>
      </c>
      <c r="H852" s="27" t="s">
        <v>84</v>
      </c>
      <c r="I852" s="27" t="s">
        <v>153</v>
      </c>
      <c r="J852" s="27">
        <v>2</v>
      </c>
      <c r="K852" s="27">
        <v>45</v>
      </c>
      <c r="M852" s="27">
        <v>0</v>
      </c>
      <c r="N852" s="27">
        <v>0</v>
      </c>
      <c r="O852" s="27">
        <v>0</v>
      </c>
      <c r="P852" s="27" t="s">
        <v>86</v>
      </c>
      <c r="Q852" s="27">
        <v>3.828641</v>
      </c>
      <c r="V852" s="27" t="s">
        <v>231</v>
      </c>
      <c r="W852" s="27">
        <v>0</v>
      </c>
      <c r="X852" s="27">
        <v>0</v>
      </c>
      <c r="Y852" s="27">
        <v>0</v>
      </c>
      <c r="Z852" s="27">
        <v>0</v>
      </c>
      <c r="AA852" s="27" t="s">
        <v>483</v>
      </c>
      <c r="AB852" s="27">
        <v>0</v>
      </c>
      <c r="AC852" s="27">
        <v>0</v>
      </c>
      <c r="AD852" s="27">
        <v>0</v>
      </c>
      <c r="AE852" s="27">
        <v>0</v>
      </c>
      <c r="AF852" s="27">
        <v>0</v>
      </c>
      <c r="AG852" s="27">
        <v>0</v>
      </c>
      <c r="AH852" s="27">
        <v>0</v>
      </c>
      <c r="AI852" s="27">
        <v>0</v>
      </c>
      <c r="AJ852" s="27">
        <v>0</v>
      </c>
      <c r="AK852" s="27">
        <v>0</v>
      </c>
      <c r="AL852" s="27">
        <v>0</v>
      </c>
      <c r="AM852" s="27">
        <v>0</v>
      </c>
      <c r="AN852" s="27">
        <v>0</v>
      </c>
      <c r="AO852" s="27">
        <v>0</v>
      </c>
      <c r="AP852" s="27">
        <v>0</v>
      </c>
      <c r="AQ852" s="27">
        <v>1</v>
      </c>
      <c r="AR852" s="27">
        <v>0</v>
      </c>
      <c r="AS852" s="27">
        <v>0</v>
      </c>
      <c r="AT852" s="27">
        <v>0</v>
      </c>
      <c r="AU852" s="27">
        <v>0</v>
      </c>
      <c r="AV852" s="27">
        <v>1</v>
      </c>
      <c r="AW852" s="27">
        <v>1</v>
      </c>
      <c r="AX852" s="27">
        <v>0</v>
      </c>
      <c r="AZ852" s="27">
        <v>1</v>
      </c>
      <c r="BA852" s="27">
        <v>1</v>
      </c>
      <c r="BB852" s="27">
        <v>29.85</v>
      </c>
      <c r="BC852" s="27" t="s">
        <v>2484</v>
      </c>
      <c r="BD852" s="27" t="s">
        <v>150</v>
      </c>
      <c r="BE852" s="27" t="s">
        <v>150</v>
      </c>
      <c r="BF852" s="27" t="s">
        <v>77</v>
      </c>
      <c r="BG852" s="27">
        <v>1</v>
      </c>
      <c r="BH852" s="27">
        <v>26</v>
      </c>
      <c r="BI852" s="27">
        <v>0.037</v>
      </c>
      <c r="BJ852" s="27">
        <v>1</v>
      </c>
      <c r="BK852" s="27">
        <v>2</v>
      </c>
      <c r="BL852" s="27">
        <v>99.5</v>
      </c>
    </row>
    <row r="853" customHeight="1" spans="1:64">
      <c r="A853" s="27" t="s">
        <v>2485</v>
      </c>
      <c r="B853" s="27" t="s">
        <v>171</v>
      </c>
      <c r="C853" s="27" t="s">
        <v>2486</v>
      </c>
      <c r="E853" s="27" t="s">
        <v>173</v>
      </c>
      <c r="F853" s="27" t="s">
        <v>82</v>
      </c>
      <c r="G853" s="27" t="s">
        <v>83</v>
      </c>
      <c r="H853" s="27" t="s">
        <v>84</v>
      </c>
      <c r="I853" s="27" t="s">
        <v>85</v>
      </c>
      <c r="J853" s="27">
        <v>5</v>
      </c>
      <c r="K853" s="27">
        <v>84.79</v>
      </c>
      <c r="M853" s="27">
        <v>0</v>
      </c>
      <c r="N853" s="27">
        <v>0</v>
      </c>
      <c r="O853" s="27">
        <v>0</v>
      </c>
      <c r="P853" s="27" t="s">
        <v>95</v>
      </c>
      <c r="Q853" s="27">
        <v>4.451902</v>
      </c>
      <c r="R853" s="27">
        <v>10.6</v>
      </c>
      <c r="S853" s="27">
        <v>46</v>
      </c>
      <c r="T853" s="27">
        <v>10</v>
      </c>
      <c r="U853" s="27">
        <v>0.8214</v>
      </c>
      <c r="V853" s="27" t="s">
        <v>72</v>
      </c>
      <c r="W853" s="27">
        <v>3900.34</v>
      </c>
      <c r="X853" s="27">
        <v>3.850148</v>
      </c>
      <c r="Y853" s="27">
        <v>8.269075</v>
      </c>
      <c r="Z853" s="27">
        <v>3.1623</v>
      </c>
      <c r="AA853" s="27" t="s">
        <v>73</v>
      </c>
      <c r="AB853" s="27">
        <v>1</v>
      </c>
      <c r="AC853" s="27">
        <v>1</v>
      </c>
      <c r="AD853" s="27">
        <v>0</v>
      </c>
      <c r="AE853" s="27">
        <v>0</v>
      </c>
      <c r="AF853" s="27">
        <v>0</v>
      </c>
      <c r="AG853" s="27">
        <v>1</v>
      </c>
      <c r="AH853" s="27">
        <v>0</v>
      </c>
      <c r="AI853" s="27">
        <v>1</v>
      </c>
      <c r="AJ853" s="27">
        <v>0</v>
      </c>
      <c r="AK853" s="27">
        <v>0</v>
      </c>
      <c r="AL853" s="27">
        <v>0</v>
      </c>
      <c r="AM853" s="27">
        <v>0</v>
      </c>
      <c r="AN853" s="27">
        <v>0</v>
      </c>
      <c r="AO853" s="27">
        <v>0</v>
      </c>
      <c r="AP853" s="27">
        <v>0</v>
      </c>
      <c r="AQ853" s="27">
        <v>1</v>
      </c>
      <c r="AR853" s="27">
        <v>0</v>
      </c>
      <c r="AS853" s="27">
        <v>0</v>
      </c>
      <c r="AT853" s="27">
        <v>1</v>
      </c>
      <c r="AU853" s="27">
        <v>0</v>
      </c>
      <c r="AV853" s="27">
        <v>1</v>
      </c>
      <c r="AW853" s="27">
        <v>1</v>
      </c>
      <c r="AX853" s="27">
        <v>0</v>
      </c>
      <c r="AY853" s="27">
        <v>8</v>
      </c>
      <c r="AZ853" s="27">
        <v>1</v>
      </c>
      <c r="BA853" s="27">
        <v>3</v>
      </c>
      <c r="BB853" s="27">
        <v>62.29</v>
      </c>
      <c r="BC853" s="27" t="s">
        <v>506</v>
      </c>
      <c r="BG853" s="27">
        <v>0</v>
      </c>
      <c r="BH853" s="27">
        <v>0</v>
      </c>
      <c r="BJ853" s="27">
        <v>0</v>
      </c>
      <c r="BK853" s="27">
        <v>7</v>
      </c>
      <c r="BL853" s="27">
        <v>98.1</v>
      </c>
    </row>
    <row r="854" customHeight="1" spans="1:64">
      <c r="A854" s="27" t="s">
        <v>2487</v>
      </c>
      <c r="B854" s="27" t="s">
        <v>2488</v>
      </c>
      <c r="C854" s="27" t="s">
        <v>2489</v>
      </c>
      <c r="E854" s="27" t="s">
        <v>2490</v>
      </c>
      <c r="F854" s="27" t="s">
        <v>2491</v>
      </c>
      <c r="G854" s="27" t="s">
        <v>83</v>
      </c>
      <c r="H854" s="27" t="s">
        <v>84</v>
      </c>
      <c r="I854" s="27" t="s">
        <v>203</v>
      </c>
      <c r="J854" s="27">
        <v>4</v>
      </c>
      <c r="K854" s="27">
        <v>99.95</v>
      </c>
      <c r="M854" s="27">
        <v>0</v>
      </c>
      <c r="N854" s="27">
        <v>0</v>
      </c>
      <c r="O854" s="27">
        <v>0</v>
      </c>
      <c r="P854" s="27" t="s">
        <v>95</v>
      </c>
      <c r="Q854" s="27">
        <v>4.614625</v>
      </c>
      <c r="T854" s="27">
        <v>3</v>
      </c>
      <c r="U854" s="27">
        <v>0</v>
      </c>
      <c r="V854" s="27" t="s">
        <v>231</v>
      </c>
      <c r="W854" s="27">
        <v>0</v>
      </c>
      <c r="X854" s="27">
        <v>0</v>
      </c>
      <c r="Y854" s="27">
        <v>0</v>
      </c>
      <c r="Z854" s="27">
        <v>1.7321</v>
      </c>
      <c r="AA854" s="27" t="s">
        <v>125</v>
      </c>
      <c r="AB854" s="27">
        <v>0</v>
      </c>
      <c r="AC854" s="27">
        <v>0</v>
      </c>
      <c r="AD854" s="27">
        <v>0</v>
      </c>
      <c r="AE854" s="27">
        <v>0</v>
      </c>
      <c r="AF854" s="27">
        <v>0</v>
      </c>
      <c r="AG854" s="27">
        <v>0</v>
      </c>
      <c r="AH854" s="27">
        <v>0</v>
      </c>
      <c r="AI854" s="27">
        <v>0</v>
      </c>
      <c r="AJ854" s="27">
        <v>0</v>
      </c>
      <c r="AK854" s="27">
        <v>0</v>
      </c>
      <c r="AL854" s="27">
        <v>0</v>
      </c>
      <c r="AM854" s="27">
        <v>0</v>
      </c>
      <c r="AN854" s="27">
        <v>0</v>
      </c>
      <c r="AO854" s="27">
        <v>0</v>
      </c>
      <c r="AP854" s="27">
        <v>0</v>
      </c>
      <c r="AQ854" s="27">
        <v>0</v>
      </c>
      <c r="AR854" s="27">
        <v>0</v>
      </c>
      <c r="AS854" s="27">
        <v>0</v>
      </c>
      <c r="AT854" s="27">
        <v>0</v>
      </c>
      <c r="AU854" s="27">
        <v>0</v>
      </c>
      <c r="AV854" s="27">
        <v>0</v>
      </c>
      <c r="AW854" s="27">
        <v>0</v>
      </c>
      <c r="AX854" s="27">
        <v>0</v>
      </c>
      <c r="AZ854" s="27">
        <v>1</v>
      </c>
      <c r="BA854" s="27">
        <v>0</v>
      </c>
      <c r="BB854" s="27">
        <v>0</v>
      </c>
      <c r="BC854" s="27" t="s">
        <v>2492</v>
      </c>
      <c r="BG854" s="27">
        <v>0</v>
      </c>
      <c r="BH854" s="27">
        <v>0</v>
      </c>
      <c r="BJ854" s="27">
        <v>0</v>
      </c>
    </row>
    <row r="855" customHeight="1" spans="1:64">
      <c r="A855" s="27" t="s">
        <v>2493</v>
      </c>
      <c r="B855" s="27" t="s">
        <v>2494</v>
      </c>
      <c r="E855" s="27" t="s">
        <v>2495</v>
      </c>
      <c r="F855" s="27" t="s">
        <v>82</v>
      </c>
      <c r="G855" s="27" t="s">
        <v>83</v>
      </c>
      <c r="H855" s="27" t="s">
        <v>84</v>
      </c>
      <c r="I855" s="27" t="s">
        <v>203</v>
      </c>
      <c r="J855" s="27">
        <v>4</v>
      </c>
      <c r="K855" s="27">
        <v>39.99</v>
      </c>
      <c r="M855" s="27">
        <v>0</v>
      </c>
      <c r="N855" s="27">
        <v>0</v>
      </c>
      <c r="O855" s="27">
        <v>0</v>
      </c>
      <c r="P855" s="27" t="s">
        <v>86</v>
      </c>
      <c r="Q855" s="27">
        <v>3.713328</v>
      </c>
      <c r="S855" s="27">
        <v>6</v>
      </c>
      <c r="T855" s="27">
        <v>16</v>
      </c>
      <c r="U855" s="27">
        <v>0.2727</v>
      </c>
      <c r="V855" s="27" t="s">
        <v>87</v>
      </c>
      <c r="W855" s="27">
        <v>239.94</v>
      </c>
      <c r="X855" s="27">
        <v>1.94591</v>
      </c>
      <c r="Y855" s="27">
        <v>5.484548</v>
      </c>
      <c r="Z855" s="27">
        <v>4</v>
      </c>
      <c r="AA855" s="27" t="s">
        <v>139</v>
      </c>
      <c r="AB855" s="27">
        <v>0</v>
      </c>
      <c r="AC855" s="27">
        <v>0</v>
      </c>
      <c r="AD855" s="27">
        <v>0</v>
      </c>
      <c r="AE855" s="27">
        <v>0</v>
      </c>
      <c r="AF855" s="27">
        <v>0</v>
      </c>
      <c r="AG855" s="27">
        <v>0</v>
      </c>
      <c r="AH855" s="27">
        <v>0</v>
      </c>
      <c r="AI855" s="27">
        <v>0</v>
      </c>
      <c r="AJ855" s="27">
        <v>0</v>
      </c>
      <c r="AK855" s="27">
        <v>0</v>
      </c>
      <c r="AL855" s="27">
        <v>0</v>
      </c>
      <c r="AM855" s="27">
        <v>0</v>
      </c>
      <c r="AN855" s="27">
        <v>0</v>
      </c>
      <c r="AO855" s="27">
        <v>0</v>
      </c>
      <c r="AP855" s="27">
        <v>0</v>
      </c>
      <c r="AQ855" s="27">
        <v>0</v>
      </c>
      <c r="AR855" s="27">
        <v>0</v>
      </c>
      <c r="AS855" s="27">
        <v>0</v>
      </c>
      <c r="AT855" s="27">
        <v>0</v>
      </c>
      <c r="AU855" s="27">
        <v>0</v>
      </c>
      <c r="AV855" s="27">
        <v>0</v>
      </c>
      <c r="AW855" s="27">
        <v>0</v>
      </c>
      <c r="AX855" s="27">
        <v>0</v>
      </c>
      <c r="AZ855" s="27">
        <v>1</v>
      </c>
      <c r="BA855" s="27">
        <v>0</v>
      </c>
      <c r="BB855" s="27">
        <v>37.61</v>
      </c>
      <c r="BC855" s="27" t="s">
        <v>902</v>
      </c>
      <c r="BD855" s="27" t="s">
        <v>1744</v>
      </c>
      <c r="BE855" s="27" t="s">
        <v>1814</v>
      </c>
      <c r="BF855" s="27" t="s">
        <v>77</v>
      </c>
      <c r="BG855" s="27">
        <v>1</v>
      </c>
      <c r="BH855" s="27">
        <v>27</v>
      </c>
      <c r="BI855" s="27">
        <v>0.0357</v>
      </c>
      <c r="BJ855" s="27">
        <v>1</v>
      </c>
      <c r="BK855" s="27">
        <v>40</v>
      </c>
      <c r="BL855" s="27">
        <v>89</v>
      </c>
    </row>
    <row r="856" customHeight="1" spans="1:64">
      <c r="A856" s="27" t="s">
        <v>2496</v>
      </c>
      <c r="B856" s="27" t="s">
        <v>344</v>
      </c>
      <c r="E856" s="27" t="s">
        <v>81</v>
      </c>
      <c r="F856" s="27" t="s">
        <v>82</v>
      </c>
      <c r="G856" s="27" t="s">
        <v>346</v>
      </c>
      <c r="H856" s="27" t="s">
        <v>107</v>
      </c>
      <c r="I856" s="27" t="s">
        <v>85</v>
      </c>
      <c r="J856" s="27">
        <v>5</v>
      </c>
      <c r="K856" s="27">
        <v>11.34</v>
      </c>
      <c r="M856" s="27">
        <v>0</v>
      </c>
      <c r="N856" s="27">
        <v>0</v>
      </c>
      <c r="O856" s="27">
        <v>0</v>
      </c>
      <c r="P856" s="27" t="s">
        <v>133</v>
      </c>
      <c r="Q856" s="27">
        <v>2.512846</v>
      </c>
      <c r="S856" s="27">
        <v>228</v>
      </c>
      <c r="T856" s="27">
        <v>83</v>
      </c>
      <c r="U856" s="27">
        <v>0.7331</v>
      </c>
      <c r="V856" s="27" t="s">
        <v>154</v>
      </c>
      <c r="W856" s="27">
        <v>2585.52</v>
      </c>
      <c r="X856" s="27">
        <v>5.433722</v>
      </c>
      <c r="Y856" s="27">
        <v>7.858069</v>
      </c>
      <c r="Z856" s="27">
        <v>9.1104</v>
      </c>
      <c r="AA856" s="27" t="s">
        <v>125</v>
      </c>
      <c r="AB856" s="27">
        <v>0</v>
      </c>
      <c r="AC856" s="27">
        <v>0</v>
      </c>
      <c r="AD856" s="27">
        <v>0</v>
      </c>
      <c r="AE856" s="27">
        <v>0</v>
      </c>
      <c r="AF856" s="27">
        <v>0</v>
      </c>
      <c r="AG856" s="27">
        <v>0</v>
      </c>
      <c r="AH856" s="27">
        <v>0</v>
      </c>
      <c r="AI856" s="27">
        <v>0</v>
      </c>
      <c r="AJ856" s="27">
        <v>0</v>
      </c>
      <c r="AK856" s="27">
        <v>0</v>
      </c>
      <c r="AL856" s="27">
        <v>0</v>
      </c>
      <c r="AM856" s="27">
        <v>0</v>
      </c>
      <c r="AN856" s="27">
        <v>0</v>
      </c>
      <c r="AO856" s="27">
        <v>0</v>
      </c>
      <c r="AP856" s="27">
        <v>0</v>
      </c>
      <c r="AQ856" s="27">
        <v>0</v>
      </c>
      <c r="AR856" s="27">
        <v>0</v>
      </c>
      <c r="AS856" s="27">
        <v>0</v>
      </c>
      <c r="AT856" s="27">
        <v>1</v>
      </c>
      <c r="AU856" s="27">
        <v>0</v>
      </c>
      <c r="AV856" s="27">
        <v>0</v>
      </c>
      <c r="AW856" s="27">
        <v>1</v>
      </c>
      <c r="AX856" s="27">
        <v>0</v>
      </c>
      <c r="AZ856" s="27">
        <v>1</v>
      </c>
      <c r="BA856" s="27">
        <v>0</v>
      </c>
      <c r="BB856" s="27">
        <v>47.65</v>
      </c>
      <c r="BC856" s="27" t="s">
        <v>2497</v>
      </c>
      <c r="BG856" s="27">
        <v>0</v>
      </c>
      <c r="BH856" s="27">
        <v>0</v>
      </c>
      <c r="BJ856" s="27">
        <v>0</v>
      </c>
      <c r="BK856" s="27">
        <v>142</v>
      </c>
      <c r="BL856" s="27">
        <v>61.1</v>
      </c>
    </row>
    <row r="857" customHeight="1" spans="1:64">
      <c r="A857" s="27" t="s">
        <v>2498</v>
      </c>
      <c r="B857" s="27" t="s">
        <v>93</v>
      </c>
      <c r="E857" s="27" t="s">
        <v>2499</v>
      </c>
      <c r="F857" s="27" t="s">
        <v>276</v>
      </c>
      <c r="G857" s="27" t="s">
        <v>93</v>
      </c>
      <c r="H857" s="27" t="s">
        <v>69</v>
      </c>
      <c r="I857" s="27" t="s">
        <v>85</v>
      </c>
      <c r="J857" s="27">
        <v>5</v>
      </c>
      <c r="K857" s="27">
        <v>27.99</v>
      </c>
      <c r="M857" s="27">
        <v>0</v>
      </c>
      <c r="N857" s="27">
        <v>0</v>
      </c>
      <c r="O857" s="27">
        <v>0</v>
      </c>
      <c r="P857" s="27" t="s">
        <v>86</v>
      </c>
      <c r="Q857" s="27">
        <v>3.366951</v>
      </c>
      <c r="S857" s="27">
        <v>46</v>
      </c>
      <c r="T857" s="27">
        <v>30</v>
      </c>
      <c r="U857" s="27">
        <v>0.6053</v>
      </c>
      <c r="V857" s="27" t="s">
        <v>72</v>
      </c>
      <c r="W857" s="27">
        <v>1287.54</v>
      </c>
      <c r="X857" s="27">
        <v>3.850148</v>
      </c>
      <c r="Y857" s="27">
        <v>7.161265</v>
      </c>
      <c r="Z857" s="27">
        <v>5.4772</v>
      </c>
      <c r="AA857" s="27" t="s">
        <v>125</v>
      </c>
      <c r="AB857" s="27">
        <v>0</v>
      </c>
      <c r="AC857" s="27">
        <v>0</v>
      </c>
      <c r="AD857" s="27">
        <v>0</v>
      </c>
      <c r="AE857" s="27">
        <v>0</v>
      </c>
      <c r="AF857" s="27">
        <v>0</v>
      </c>
      <c r="AG857" s="27">
        <v>1</v>
      </c>
      <c r="AH857" s="27">
        <v>1</v>
      </c>
      <c r="AI857" s="27">
        <v>1</v>
      </c>
      <c r="AJ857" s="27">
        <v>0</v>
      </c>
      <c r="AK857" s="27">
        <v>0</v>
      </c>
      <c r="AL857" s="27">
        <v>0</v>
      </c>
      <c r="AM857" s="27">
        <v>0</v>
      </c>
      <c r="AN857" s="27">
        <v>0</v>
      </c>
      <c r="AO857" s="27">
        <v>0</v>
      </c>
      <c r="AP857" s="27">
        <v>0</v>
      </c>
      <c r="AQ857" s="27">
        <v>0</v>
      </c>
      <c r="AR857" s="27">
        <v>0</v>
      </c>
      <c r="AS857" s="27">
        <v>0</v>
      </c>
      <c r="AT857" s="27">
        <v>0</v>
      </c>
      <c r="AU857" s="27">
        <v>0</v>
      </c>
      <c r="AV857" s="27">
        <v>0</v>
      </c>
      <c r="AW857" s="27">
        <v>0</v>
      </c>
      <c r="AX857" s="27">
        <v>0</v>
      </c>
      <c r="AZ857" s="27">
        <v>1</v>
      </c>
      <c r="BA857" s="27">
        <v>1</v>
      </c>
      <c r="BB857" s="27">
        <v>54.06</v>
      </c>
      <c r="BC857" s="27" t="s">
        <v>96</v>
      </c>
      <c r="BG857" s="27">
        <v>0</v>
      </c>
      <c r="BH857" s="27">
        <v>0</v>
      </c>
      <c r="BJ857" s="27">
        <v>0</v>
      </c>
      <c r="BK857" s="27">
        <v>2</v>
      </c>
      <c r="BL857" s="27">
        <v>99.5</v>
      </c>
    </row>
    <row r="858" customHeight="1" spans="1:64">
      <c r="A858" s="27" t="s">
        <v>2500</v>
      </c>
      <c r="B858" s="27" t="s">
        <v>282</v>
      </c>
      <c r="E858" s="27" t="s">
        <v>250</v>
      </c>
      <c r="F858" s="27" t="s">
        <v>160</v>
      </c>
      <c r="G858" s="27" t="s">
        <v>83</v>
      </c>
      <c r="H858" s="27" t="s">
        <v>84</v>
      </c>
      <c r="I858" s="27" t="s">
        <v>85</v>
      </c>
      <c r="J858" s="27">
        <v>5</v>
      </c>
      <c r="K858" s="27">
        <v>179.99</v>
      </c>
      <c r="M858" s="27">
        <v>0</v>
      </c>
      <c r="N858" s="27">
        <v>0</v>
      </c>
      <c r="O858" s="27">
        <v>0</v>
      </c>
      <c r="P858" s="27" t="s">
        <v>95</v>
      </c>
      <c r="Q858" s="27">
        <v>5.198442</v>
      </c>
      <c r="R858" s="27">
        <v>11.25</v>
      </c>
      <c r="S858" s="27">
        <v>615</v>
      </c>
      <c r="T858" s="27">
        <v>6</v>
      </c>
      <c r="U858" s="27">
        <v>0.9903</v>
      </c>
      <c r="V858" s="27" t="s">
        <v>154</v>
      </c>
      <c r="W858" s="27">
        <v>110693.85</v>
      </c>
      <c r="X858" s="27">
        <v>6.423247</v>
      </c>
      <c r="Y858" s="27">
        <v>11.614533</v>
      </c>
      <c r="Z858" s="27">
        <v>2.4495</v>
      </c>
      <c r="AA858" s="27" t="s">
        <v>313</v>
      </c>
      <c r="AB858" s="27">
        <v>0</v>
      </c>
      <c r="AC858" s="27">
        <v>0</v>
      </c>
      <c r="AD858" s="27">
        <v>0</v>
      </c>
      <c r="AE858" s="27">
        <v>0</v>
      </c>
      <c r="AF858" s="27">
        <v>0</v>
      </c>
      <c r="AG858" s="27">
        <v>0</v>
      </c>
      <c r="AH858" s="27">
        <v>0</v>
      </c>
      <c r="AI858" s="27">
        <v>0</v>
      </c>
      <c r="AJ858" s="27">
        <v>0</v>
      </c>
      <c r="AK858" s="27">
        <v>0</v>
      </c>
      <c r="AL858" s="27">
        <v>0</v>
      </c>
      <c r="AM858" s="27">
        <v>0</v>
      </c>
      <c r="AN858" s="27">
        <v>0</v>
      </c>
      <c r="AO858" s="27">
        <v>0</v>
      </c>
      <c r="AP858" s="27">
        <v>0</v>
      </c>
      <c r="AQ858" s="27">
        <v>1</v>
      </c>
      <c r="AR858" s="27">
        <v>0</v>
      </c>
      <c r="AS858" s="27">
        <v>0</v>
      </c>
      <c r="AT858" s="27">
        <v>1</v>
      </c>
      <c r="AU858" s="27">
        <v>0</v>
      </c>
      <c r="AV858" s="27">
        <v>1</v>
      </c>
      <c r="AW858" s="27">
        <v>1</v>
      </c>
      <c r="AX858" s="27">
        <v>0</v>
      </c>
      <c r="AY858" s="27">
        <v>16</v>
      </c>
      <c r="AZ858" s="27">
        <v>1</v>
      </c>
      <c r="BA858" s="27">
        <v>1</v>
      </c>
      <c r="BB858" s="27">
        <v>69.37</v>
      </c>
      <c r="BC858" s="27" t="s">
        <v>285</v>
      </c>
      <c r="BD858" s="27" t="s">
        <v>286</v>
      </c>
      <c r="BE858" s="27" t="s">
        <v>287</v>
      </c>
      <c r="BF858" s="27" t="s">
        <v>77</v>
      </c>
      <c r="BG858" s="27">
        <v>1</v>
      </c>
      <c r="BH858" s="27">
        <v>20</v>
      </c>
      <c r="BI858" s="27">
        <v>0.0476</v>
      </c>
      <c r="BJ858" s="27">
        <v>1</v>
      </c>
      <c r="BK858" s="27">
        <v>3</v>
      </c>
      <c r="BL858" s="27">
        <v>99.2</v>
      </c>
    </row>
    <row r="859" customHeight="1" spans="1:64">
      <c r="A859" s="27" t="s">
        <v>2501</v>
      </c>
      <c r="B859" s="27" t="s">
        <v>2502</v>
      </c>
      <c r="C859" s="27" t="s">
        <v>2503</v>
      </c>
      <c r="D859" s="27">
        <v>789681012365</v>
      </c>
      <c r="E859" s="27" t="s">
        <v>2504</v>
      </c>
      <c r="F859" s="27" t="s">
        <v>68</v>
      </c>
      <c r="G859" s="27" t="s">
        <v>83</v>
      </c>
      <c r="H859" s="27" t="s">
        <v>84</v>
      </c>
      <c r="I859" s="27" t="s">
        <v>203</v>
      </c>
      <c r="J859" s="27">
        <v>4</v>
      </c>
      <c r="K859" s="27">
        <v>110</v>
      </c>
      <c r="M859" s="27">
        <v>0</v>
      </c>
      <c r="N859" s="27">
        <v>0</v>
      </c>
      <c r="O859" s="27">
        <v>0</v>
      </c>
      <c r="P859" s="27" t="s">
        <v>95</v>
      </c>
      <c r="Q859" s="27">
        <v>4.70953</v>
      </c>
      <c r="S859" s="27">
        <v>6</v>
      </c>
      <c r="T859" s="27">
        <v>2</v>
      </c>
      <c r="U859" s="27">
        <v>0.75</v>
      </c>
      <c r="V859" s="27" t="s">
        <v>87</v>
      </c>
      <c r="W859" s="27">
        <v>660</v>
      </c>
      <c r="X859" s="27">
        <v>1.94591</v>
      </c>
      <c r="Y859" s="27">
        <v>6.493754</v>
      </c>
      <c r="Z859" s="27">
        <v>1.4142</v>
      </c>
      <c r="AA859" s="27" t="s">
        <v>125</v>
      </c>
      <c r="AB859" s="27">
        <v>0</v>
      </c>
      <c r="AC859" s="27">
        <v>0</v>
      </c>
      <c r="AD859" s="27">
        <v>0</v>
      </c>
      <c r="AE859" s="27">
        <v>0</v>
      </c>
      <c r="AF859" s="27">
        <v>0</v>
      </c>
      <c r="AG859" s="27">
        <v>0</v>
      </c>
      <c r="AH859" s="27">
        <v>0</v>
      </c>
      <c r="AI859" s="27">
        <v>0</v>
      </c>
      <c r="AJ859" s="27">
        <v>0</v>
      </c>
      <c r="AK859" s="27">
        <v>0</v>
      </c>
      <c r="AL859" s="27">
        <v>0</v>
      </c>
      <c r="AM859" s="27">
        <v>0</v>
      </c>
      <c r="AN859" s="27">
        <v>0</v>
      </c>
      <c r="AO859" s="27">
        <v>0</v>
      </c>
      <c r="AP859" s="27">
        <v>0</v>
      </c>
      <c r="AQ859" s="27">
        <v>0</v>
      </c>
      <c r="AR859" s="27">
        <v>0</v>
      </c>
      <c r="AS859" s="27">
        <v>0</v>
      </c>
      <c r="AT859" s="27">
        <v>0</v>
      </c>
      <c r="AU859" s="27">
        <v>0</v>
      </c>
      <c r="AV859" s="27">
        <v>0</v>
      </c>
      <c r="AW859" s="27">
        <v>0</v>
      </c>
      <c r="AX859" s="27">
        <v>0</v>
      </c>
      <c r="AZ859" s="27">
        <v>1</v>
      </c>
      <c r="BA859" s="27">
        <v>0</v>
      </c>
      <c r="BB859" s="27">
        <v>59.85</v>
      </c>
      <c r="BC859" s="27" t="s">
        <v>2505</v>
      </c>
      <c r="BG859" s="27">
        <v>0</v>
      </c>
      <c r="BH859" s="27">
        <v>0</v>
      </c>
      <c r="BJ859" s="27">
        <v>0</v>
      </c>
      <c r="BK859" s="27">
        <v>2</v>
      </c>
      <c r="BL859" s="27">
        <v>99.5</v>
      </c>
    </row>
    <row r="860" customHeight="1" spans="1:64">
      <c r="A860" s="27" t="s">
        <v>2506</v>
      </c>
      <c r="B860" s="27" t="s">
        <v>658</v>
      </c>
      <c r="C860" s="27" t="s">
        <v>2507</v>
      </c>
      <c r="E860" s="27" t="s">
        <v>2508</v>
      </c>
      <c r="F860" s="27" t="s">
        <v>82</v>
      </c>
      <c r="G860" s="27" t="s">
        <v>83</v>
      </c>
      <c r="H860" s="27" t="s">
        <v>84</v>
      </c>
      <c r="I860" s="27" t="s">
        <v>85</v>
      </c>
      <c r="J860" s="27">
        <v>5</v>
      </c>
      <c r="K860" s="27">
        <v>86.9</v>
      </c>
      <c r="M860" s="27">
        <v>0</v>
      </c>
      <c r="N860" s="27">
        <v>0</v>
      </c>
      <c r="O860" s="27">
        <v>0</v>
      </c>
      <c r="P860" s="27" t="s">
        <v>95</v>
      </c>
      <c r="Q860" s="27">
        <v>4.4762</v>
      </c>
      <c r="S860" s="27">
        <v>6</v>
      </c>
      <c r="T860" s="27">
        <v>4</v>
      </c>
      <c r="U860" s="27">
        <v>0.6</v>
      </c>
      <c r="V860" s="27" t="s">
        <v>87</v>
      </c>
      <c r="W860" s="27">
        <v>521.4</v>
      </c>
      <c r="X860" s="27">
        <v>1.94591</v>
      </c>
      <c r="Y860" s="27">
        <v>6.258434</v>
      </c>
      <c r="Z860" s="27">
        <v>2</v>
      </c>
      <c r="AA860" s="27" t="s">
        <v>88</v>
      </c>
      <c r="AB860" s="27">
        <v>1</v>
      </c>
      <c r="AC860" s="27">
        <v>0</v>
      </c>
      <c r="AD860" s="27">
        <v>0</v>
      </c>
      <c r="AE860" s="27">
        <v>0</v>
      </c>
      <c r="AF860" s="27">
        <v>0</v>
      </c>
      <c r="AG860" s="27">
        <v>1</v>
      </c>
      <c r="AH860" s="27">
        <v>0</v>
      </c>
      <c r="AI860" s="27">
        <v>1</v>
      </c>
      <c r="AJ860" s="27">
        <v>0</v>
      </c>
      <c r="AK860" s="27">
        <v>0</v>
      </c>
      <c r="AL860" s="27">
        <v>0</v>
      </c>
      <c r="AM860" s="27">
        <v>0</v>
      </c>
      <c r="AN860" s="27">
        <v>0</v>
      </c>
      <c r="AO860" s="27">
        <v>0</v>
      </c>
      <c r="AP860" s="27">
        <v>0</v>
      </c>
      <c r="AQ860" s="27">
        <v>0</v>
      </c>
      <c r="AR860" s="27">
        <v>0</v>
      </c>
      <c r="AS860" s="27">
        <v>0</v>
      </c>
      <c r="AT860" s="27">
        <v>1</v>
      </c>
      <c r="AU860" s="27">
        <v>0</v>
      </c>
      <c r="AV860" s="27">
        <v>0</v>
      </c>
      <c r="AW860" s="27">
        <v>0</v>
      </c>
      <c r="AX860" s="27">
        <v>0</v>
      </c>
      <c r="AZ860" s="27">
        <v>1</v>
      </c>
      <c r="BA860" s="27">
        <v>1</v>
      </c>
      <c r="BB860" s="27">
        <v>24</v>
      </c>
      <c r="BC860" s="27" t="s">
        <v>2509</v>
      </c>
      <c r="BG860" s="27">
        <v>0</v>
      </c>
      <c r="BH860" s="27">
        <v>0</v>
      </c>
      <c r="BJ860" s="27">
        <v>0</v>
      </c>
    </row>
    <row r="861" customHeight="1" spans="1:64">
      <c r="A861" s="27" t="s">
        <v>2510</v>
      </c>
      <c r="B861" s="27" t="s">
        <v>2511</v>
      </c>
      <c r="C861" s="27" t="s">
        <v>2512</v>
      </c>
      <c r="D861" s="27">
        <v>850009357519</v>
      </c>
      <c r="E861" s="27" t="s">
        <v>2513</v>
      </c>
      <c r="F861" s="27" t="s">
        <v>68</v>
      </c>
      <c r="G861" s="27" t="s">
        <v>83</v>
      </c>
      <c r="H861" s="27" t="s">
        <v>84</v>
      </c>
      <c r="I861" s="27" t="s">
        <v>85</v>
      </c>
      <c r="J861" s="27">
        <v>5</v>
      </c>
      <c r="K861" s="27">
        <v>599</v>
      </c>
      <c r="M861" s="27">
        <v>0</v>
      </c>
      <c r="N861" s="27">
        <v>0</v>
      </c>
      <c r="O861" s="27">
        <v>0</v>
      </c>
      <c r="P861" s="27" t="s">
        <v>147</v>
      </c>
      <c r="Q861" s="27">
        <v>6.39693</v>
      </c>
      <c r="S861" s="27">
        <v>9</v>
      </c>
      <c r="T861" s="27">
        <v>10</v>
      </c>
      <c r="U861" s="27">
        <v>0.4737</v>
      </c>
      <c r="V861" s="27" t="s">
        <v>87</v>
      </c>
      <c r="W861" s="27">
        <v>5391</v>
      </c>
      <c r="X861" s="27">
        <v>2.302585</v>
      </c>
      <c r="Y861" s="27">
        <v>8.592672</v>
      </c>
      <c r="Z861" s="27">
        <v>3.1623</v>
      </c>
      <c r="AA861" s="27" t="s">
        <v>139</v>
      </c>
      <c r="AB861" s="27">
        <v>0</v>
      </c>
      <c r="AC861" s="27">
        <v>0</v>
      </c>
      <c r="AD861" s="27">
        <v>0</v>
      </c>
      <c r="AE861" s="27">
        <v>0</v>
      </c>
      <c r="AF861" s="27">
        <v>0</v>
      </c>
      <c r="AG861" s="27">
        <v>1</v>
      </c>
      <c r="AH861" s="27">
        <v>0</v>
      </c>
      <c r="AI861" s="27">
        <v>1</v>
      </c>
      <c r="AJ861" s="27">
        <v>0</v>
      </c>
      <c r="AK861" s="27">
        <v>1</v>
      </c>
      <c r="AL861" s="27">
        <v>0</v>
      </c>
      <c r="AM861" s="27">
        <v>0</v>
      </c>
      <c r="AN861" s="27">
        <v>0</v>
      </c>
      <c r="AO861" s="27">
        <v>0</v>
      </c>
      <c r="AP861" s="27">
        <v>0</v>
      </c>
      <c r="AQ861" s="27">
        <v>0</v>
      </c>
      <c r="AR861" s="27">
        <v>0</v>
      </c>
      <c r="AS861" s="27">
        <v>0</v>
      </c>
      <c r="AT861" s="27">
        <v>0</v>
      </c>
      <c r="AU861" s="27">
        <v>0</v>
      </c>
      <c r="AV861" s="27">
        <v>0</v>
      </c>
      <c r="AW861" s="27">
        <v>0</v>
      </c>
      <c r="AX861" s="27">
        <v>0</v>
      </c>
      <c r="AZ861" s="27">
        <v>1</v>
      </c>
      <c r="BA861" s="27">
        <v>1</v>
      </c>
      <c r="BB861" s="27">
        <v>48.29</v>
      </c>
      <c r="BC861" s="27" t="s">
        <v>2514</v>
      </c>
      <c r="BG861" s="27">
        <v>0</v>
      </c>
      <c r="BH861" s="27">
        <v>0</v>
      </c>
      <c r="BJ861" s="27">
        <v>0</v>
      </c>
      <c r="BK861" s="27">
        <v>8</v>
      </c>
      <c r="BL861" s="27">
        <v>97.8</v>
      </c>
    </row>
    <row r="862" customHeight="1" spans="1:64">
      <c r="A862" s="27" t="s">
        <v>2515</v>
      </c>
      <c r="B862" s="27" t="s">
        <v>370</v>
      </c>
      <c r="C862" s="27" t="s">
        <v>2516</v>
      </c>
      <c r="D862" s="27">
        <v>765066010324</v>
      </c>
      <c r="E862" s="27" t="s">
        <v>2517</v>
      </c>
      <c r="F862" s="27" t="s">
        <v>240</v>
      </c>
      <c r="G862" s="27" t="s">
        <v>83</v>
      </c>
      <c r="H862" s="27" t="s">
        <v>84</v>
      </c>
      <c r="I862" s="27" t="s">
        <v>203</v>
      </c>
      <c r="J862" s="27">
        <v>4</v>
      </c>
      <c r="K862" s="27">
        <v>500</v>
      </c>
      <c r="M862" s="27">
        <v>0</v>
      </c>
      <c r="N862" s="27">
        <v>0</v>
      </c>
      <c r="O862" s="27">
        <v>0</v>
      </c>
      <c r="P862" s="27" t="s">
        <v>147</v>
      </c>
      <c r="Q862" s="27">
        <v>6.216606</v>
      </c>
      <c r="T862" s="27">
        <v>2</v>
      </c>
      <c r="U862" s="27">
        <v>0</v>
      </c>
      <c r="V862" s="27" t="s">
        <v>231</v>
      </c>
      <c r="W862" s="27">
        <v>0</v>
      </c>
      <c r="X862" s="27">
        <v>0</v>
      </c>
      <c r="Y862" s="27">
        <v>0</v>
      </c>
      <c r="Z862" s="27">
        <v>1.4142</v>
      </c>
      <c r="AA862" s="27" t="s">
        <v>125</v>
      </c>
      <c r="AB862" s="27">
        <v>0</v>
      </c>
      <c r="AC862" s="27">
        <v>0</v>
      </c>
      <c r="AD862" s="27">
        <v>0</v>
      </c>
      <c r="AE862" s="27">
        <v>0</v>
      </c>
      <c r="AF862" s="27">
        <v>0</v>
      </c>
      <c r="AG862" s="27">
        <v>0</v>
      </c>
      <c r="AH862" s="27">
        <v>0</v>
      </c>
      <c r="AI862" s="27">
        <v>0</v>
      </c>
      <c r="AJ862" s="27">
        <v>0</v>
      </c>
      <c r="AK862" s="27">
        <v>0</v>
      </c>
      <c r="AL862" s="27">
        <v>0</v>
      </c>
      <c r="AM862" s="27">
        <v>0</v>
      </c>
      <c r="AN862" s="27">
        <v>0</v>
      </c>
      <c r="AO862" s="27">
        <v>0</v>
      </c>
      <c r="AP862" s="27">
        <v>0</v>
      </c>
      <c r="AQ862" s="27">
        <v>0</v>
      </c>
      <c r="AR862" s="27">
        <v>0</v>
      </c>
      <c r="AS862" s="27">
        <v>0</v>
      </c>
      <c r="AT862" s="27">
        <v>0</v>
      </c>
      <c r="AU862" s="27">
        <v>0</v>
      </c>
      <c r="AV862" s="27">
        <v>1</v>
      </c>
      <c r="AW862" s="27">
        <v>0</v>
      </c>
      <c r="AX862" s="27">
        <v>0</v>
      </c>
      <c r="AZ862" s="27">
        <v>1</v>
      </c>
      <c r="BA862" s="27">
        <v>0</v>
      </c>
      <c r="BB862" s="27">
        <v>23.67</v>
      </c>
      <c r="BC862" s="27" t="s">
        <v>468</v>
      </c>
      <c r="BG862" s="27">
        <v>0</v>
      </c>
      <c r="BH862" s="27">
        <v>0</v>
      </c>
      <c r="BJ862" s="27">
        <v>0</v>
      </c>
      <c r="BK862" s="27">
        <v>77</v>
      </c>
      <c r="BL862" s="27">
        <v>78.9</v>
      </c>
    </row>
    <row r="863" customHeight="1" spans="1:64">
      <c r="A863" s="27" t="s">
        <v>2518</v>
      </c>
      <c r="B863" s="27" t="s">
        <v>1768</v>
      </c>
      <c r="E863" s="27" t="s">
        <v>239</v>
      </c>
      <c r="F863" s="27" t="s">
        <v>240</v>
      </c>
      <c r="G863" s="27" t="s">
        <v>83</v>
      </c>
      <c r="H863" s="27" t="s">
        <v>84</v>
      </c>
      <c r="I863" s="27" t="s">
        <v>153</v>
      </c>
      <c r="J863" s="27">
        <v>2</v>
      </c>
      <c r="K863" s="27">
        <v>100</v>
      </c>
      <c r="M863" s="27">
        <v>0</v>
      </c>
      <c r="N863" s="27">
        <v>0</v>
      </c>
      <c r="O863" s="27">
        <v>0</v>
      </c>
      <c r="P863" s="27" t="s">
        <v>95</v>
      </c>
      <c r="Q863" s="27">
        <v>4.615121</v>
      </c>
      <c r="R863" s="27">
        <v>25</v>
      </c>
      <c r="V863" s="27" t="s">
        <v>231</v>
      </c>
      <c r="W863" s="27">
        <v>0</v>
      </c>
      <c r="X863" s="27">
        <v>0</v>
      </c>
      <c r="Y863" s="27">
        <v>0</v>
      </c>
      <c r="Z863" s="27">
        <v>0</v>
      </c>
      <c r="AA863" s="27" t="s">
        <v>313</v>
      </c>
      <c r="AB863" s="27">
        <v>0</v>
      </c>
      <c r="AC863" s="27">
        <v>0</v>
      </c>
      <c r="AD863" s="27">
        <v>0</v>
      </c>
      <c r="AE863" s="27">
        <v>0</v>
      </c>
      <c r="AF863" s="27">
        <v>0</v>
      </c>
      <c r="AG863" s="27">
        <v>0</v>
      </c>
      <c r="AH863" s="27">
        <v>0</v>
      </c>
      <c r="AI863" s="27">
        <v>0</v>
      </c>
      <c r="AJ863" s="27">
        <v>0</v>
      </c>
      <c r="AK863" s="27">
        <v>0</v>
      </c>
      <c r="AL863" s="27">
        <v>0</v>
      </c>
      <c r="AM863" s="27">
        <v>0</v>
      </c>
      <c r="AN863" s="27">
        <v>0</v>
      </c>
      <c r="AO863" s="27">
        <v>0</v>
      </c>
      <c r="AP863" s="27">
        <v>0</v>
      </c>
      <c r="AQ863" s="27">
        <v>0</v>
      </c>
      <c r="AR863" s="27">
        <v>0</v>
      </c>
      <c r="AS863" s="27">
        <v>0</v>
      </c>
      <c r="AT863" s="27">
        <v>0</v>
      </c>
      <c r="AU863" s="27">
        <v>0</v>
      </c>
      <c r="AV863" s="27">
        <v>0</v>
      </c>
      <c r="AW863" s="27">
        <v>0</v>
      </c>
      <c r="AX863" s="27">
        <v>0</v>
      </c>
      <c r="AY863" s="27">
        <v>4</v>
      </c>
      <c r="AZ863" s="27">
        <v>1</v>
      </c>
      <c r="BA863" s="27">
        <v>0</v>
      </c>
      <c r="BB863" s="27">
        <v>0</v>
      </c>
      <c r="BC863" s="27" t="s">
        <v>2519</v>
      </c>
      <c r="BD863" s="27" t="s">
        <v>2520</v>
      </c>
      <c r="BE863" s="27" t="s">
        <v>262</v>
      </c>
      <c r="BF863" s="27" t="s">
        <v>77</v>
      </c>
      <c r="BG863" s="27">
        <v>168</v>
      </c>
      <c r="BH863" s="27">
        <v>11</v>
      </c>
      <c r="BI863" s="27">
        <v>0.9385</v>
      </c>
      <c r="BJ863" s="27">
        <v>0</v>
      </c>
    </row>
  </sheetData>
  <hyperlinks>
    <hyperlink ref="B644" r:id="rId1" display="Alarm.Com"/>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M1876"/>
  <sheetViews>
    <sheetView workbookViewId="0">
      <pane ySplit="1" topLeftCell="A2" activePane="bottomLeft" state="frozen"/>
      <selection/>
      <selection pane="bottomLeft" activeCell="B3" sqref="B3"/>
    </sheetView>
  </sheetViews>
  <sheetFormatPr defaultColWidth="12.6285714285714" defaultRowHeight="15.75" customHeight="1"/>
  <cols>
    <col min="1" max="1" width="83.1333333333333" customWidth="1"/>
    <col min="2" max="2" width="20.752380952381" customWidth="1"/>
    <col min="3" max="3" width="43.3809523809524" customWidth="1"/>
    <col min="4" max="4" width="24.3809523809524" customWidth="1"/>
    <col min="5" max="5" width="32.1333333333333" customWidth="1"/>
    <col min="6" max="6" width="27.6285714285714" customWidth="1"/>
    <col min="7" max="7" width="26.6285714285714" customWidth="1"/>
    <col min="8" max="8" width="22.8761904761905" customWidth="1"/>
    <col min="9" max="9" width="20.3809523809524" customWidth="1"/>
    <col min="10" max="10" width="18.1333333333333" customWidth="1"/>
    <col min="11" max="11" width="15.6285714285714" customWidth="1"/>
    <col min="12" max="12" width="15.1333333333333" customWidth="1"/>
    <col min="13" max="13" width="17.8761904761905" customWidth="1"/>
    <col min="14" max="14" width="20.6285714285714" customWidth="1"/>
    <col min="15" max="15" width="18.8761904761905" customWidth="1"/>
    <col min="16" max="16" width="22.1333333333333" customWidth="1"/>
    <col min="17" max="17" width="18.6285714285714" customWidth="1"/>
    <col min="18" max="18" width="22.6285714285714" customWidth="1"/>
    <col min="19" max="19" width="18.8761904761905" customWidth="1"/>
    <col min="20" max="20" width="15.3809523809524" customWidth="1"/>
    <col min="21" max="21" width="85.8761904761905" customWidth="1"/>
    <col min="22" max="22" width="20.6285714285714" customWidth="1"/>
    <col min="23" max="23" width="37.752380952381" customWidth="1"/>
    <col min="24" max="24" width="24.8761904761905" customWidth="1"/>
    <col min="25" max="25" width="31.6285714285714" customWidth="1"/>
    <col min="26" max="26" width="33.3809523809524" customWidth="1"/>
    <col min="27" max="27" width="27.1333333333333" customWidth="1"/>
    <col min="28" max="28" width="25.1333333333333" customWidth="1"/>
    <col min="29" max="29" width="22.6285714285714" customWidth="1"/>
    <col min="30" max="30" width="20.6285714285714" customWidth="1"/>
    <col min="31" max="31" width="22.8761904761905" customWidth="1"/>
    <col min="32" max="32" width="26.3809523809524" customWidth="1"/>
    <col min="33" max="33" width="16.6285714285714" customWidth="1"/>
    <col min="34" max="34" width="20.1333333333333" customWidth="1"/>
    <col min="35" max="35" width="15.3809523809524" customWidth="1"/>
    <col min="36" max="36" width="22.8761904761905" customWidth="1"/>
    <col min="37" max="37" width="25.6285714285714" customWidth="1"/>
    <col min="38" max="38" width="26.6285714285714" customWidth="1"/>
    <col min="39" max="39" width="18.8761904761905" customWidth="1"/>
    <col min="40" max="40" width="24.1333333333333" customWidth="1"/>
    <col min="41" max="41" width="30.3809523809524" customWidth="1"/>
    <col min="42" max="42" width="17.6285714285714" customWidth="1"/>
    <col min="43" max="43" width="20.3809523809524" customWidth="1"/>
    <col min="44" max="44" width="22.1333333333333" customWidth="1"/>
    <col min="45" max="45" width="29.6285714285714" customWidth="1"/>
    <col min="46" max="46" width="15.6285714285714" customWidth="1"/>
    <col min="48" max="48" width="19.752380952381" customWidth="1"/>
    <col min="49" max="49" width="22.6285714285714" customWidth="1"/>
    <col min="50" max="50" width="20.6285714285714" customWidth="1"/>
    <col min="51" max="51" width="22.6285714285714" customWidth="1"/>
    <col min="52" max="52" width="18.6285714285714" customWidth="1"/>
    <col min="53" max="53" width="24.1333333333333" customWidth="1"/>
    <col min="54" max="54" width="28.6285714285714" customWidth="1"/>
    <col min="55" max="55" width="16.3809523809524" customWidth="1"/>
    <col min="56" max="56" width="19.8761904761905" customWidth="1"/>
    <col min="57" max="57" width="15.3809523809524" customWidth="1"/>
    <col min="58" max="58" width="20.1333333333333" customWidth="1"/>
    <col min="59" max="59" width="18.8761904761905" customWidth="1"/>
    <col min="60" max="60" width="30.6285714285714" customWidth="1"/>
    <col min="61" max="61" width="22.6285714285714" customWidth="1"/>
    <col min="62" max="62" width="25.3809523809524" customWidth="1"/>
    <col min="63" max="63" width="24.8761904761905" customWidth="1"/>
    <col min="64" max="64" width="24.1333333333333" customWidth="1"/>
    <col min="65" max="65" width="22.247619047619" customWidth="1"/>
  </cols>
  <sheetData>
    <row r="1" customHeight="1" spans="1:65">
      <c r="A1" s="14" t="s">
        <v>0</v>
      </c>
      <c r="B1" s="14" t="s">
        <v>1</v>
      </c>
      <c r="C1" s="14" t="s">
        <v>2</v>
      </c>
      <c r="D1" s="14" t="s">
        <v>3</v>
      </c>
      <c r="E1" s="14" t="s">
        <v>4</v>
      </c>
      <c r="F1" s="14" t="s">
        <v>5</v>
      </c>
      <c r="G1" s="17" t="s">
        <v>6</v>
      </c>
      <c r="H1" s="14" t="s">
        <v>7</v>
      </c>
      <c r="I1" s="14" t="s">
        <v>8</v>
      </c>
      <c r="J1" s="14" t="s">
        <v>9</v>
      </c>
      <c r="K1" s="29" t="s">
        <v>10</v>
      </c>
      <c r="L1" s="29" t="s">
        <v>11</v>
      </c>
      <c r="M1" s="29" t="s">
        <v>12</v>
      </c>
      <c r="N1" s="29" t="s">
        <v>13</v>
      </c>
      <c r="O1" s="14" t="s">
        <v>14</v>
      </c>
      <c r="P1" s="17" t="s">
        <v>15</v>
      </c>
      <c r="Q1" s="14" t="s">
        <v>16</v>
      </c>
      <c r="R1" s="29" t="s">
        <v>17</v>
      </c>
      <c r="S1" s="29" t="s">
        <v>18</v>
      </c>
      <c r="T1" s="29" t="s">
        <v>19</v>
      </c>
      <c r="U1" s="14" t="s">
        <v>0</v>
      </c>
      <c r="V1" s="14" t="s">
        <v>1</v>
      </c>
      <c r="W1" s="14" t="s">
        <v>2</v>
      </c>
      <c r="X1" s="14" t="s">
        <v>3</v>
      </c>
      <c r="Y1" s="14" t="s">
        <v>4</v>
      </c>
      <c r="Z1" s="14" t="s">
        <v>5</v>
      </c>
      <c r="AA1" s="14" t="s">
        <v>6</v>
      </c>
      <c r="AB1" s="30" t="s">
        <v>7</v>
      </c>
      <c r="AC1" s="30" t="s">
        <v>8</v>
      </c>
      <c r="AD1" s="14" t="s">
        <v>9</v>
      </c>
      <c r="AE1" s="14" t="s">
        <v>30</v>
      </c>
      <c r="AF1" s="14" t="s">
        <v>31</v>
      </c>
      <c r="AG1" s="14" t="s">
        <v>32</v>
      </c>
      <c r="AH1" s="14" t="s">
        <v>33</v>
      </c>
      <c r="AI1" s="14" t="s">
        <v>34</v>
      </c>
      <c r="AJ1" s="14" t="s">
        <v>35</v>
      </c>
      <c r="AK1" s="14" t="s">
        <v>36</v>
      </c>
      <c r="AL1" s="14" t="s">
        <v>37</v>
      </c>
      <c r="AM1" s="14" t="s">
        <v>38</v>
      </c>
      <c r="AN1" s="14" t="s">
        <v>39</v>
      </c>
      <c r="AO1" s="14" t="s">
        <v>40</v>
      </c>
      <c r="AP1" s="14" t="s">
        <v>41</v>
      </c>
      <c r="AQ1" s="14" t="s">
        <v>42</v>
      </c>
      <c r="AR1" s="14" t="s">
        <v>43</v>
      </c>
      <c r="AS1" s="14" t="s">
        <v>44</v>
      </c>
      <c r="AT1" s="14" t="s">
        <v>45</v>
      </c>
      <c r="AU1" s="14" t="s">
        <v>46</v>
      </c>
      <c r="AV1" s="30" t="s">
        <v>47</v>
      </c>
      <c r="AW1" s="14" t="s">
        <v>48</v>
      </c>
      <c r="AX1" s="14" t="s">
        <v>49</v>
      </c>
      <c r="AY1" s="14" t="s">
        <v>50</v>
      </c>
      <c r="AZ1" s="14" t="s">
        <v>51</v>
      </c>
      <c r="BA1" s="14" t="s">
        <v>52</v>
      </c>
      <c r="BB1" s="14" t="s">
        <v>53</v>
      </c>
      <c r="BC1" s="14" t="s">
        <v>54</v>
      </c>
      <c r="BD1" s="14" t="s">
        <v>55</v>
      </c>
      <c r="BE1" s="14" t="s">
        <v>56</v>
      </c>
      <c r="BF1" s="14" t="s">
        <v>57</v>
      </c>
      <c r="BG1" s="14" t="s">
        <v>58</v>
      </c>
      <c r="BH1" s="14" t="s">
        <v>59</v>
      </c>
      <c r="BI1" s="14" t="s">
        <v>60</v>
      </c>
      <c r="BJ1" s="17" t="s">
        <v>61</v>
      </c>
      <c r="BK1" s="14" t="s">
        <v>62</v>
      </c>
      <c r="BL1" s="17" t="s">
        <v>63</v>
      </c>
      <c r="BM1" s="14" t="s">
        <v>2521</v>
      </c>
    </row>
    <row r="2" customHeight="1" spans="1:65">
      <c r="A2" s="18" t="s">
        <v>1650</v>
      </c>
      <c r="B2" s="18" t="s">
        <v>65</v>
      </c>
      <c r="C2" s="18" t="s">
        <v>1651</v>
      </c>
      <c r="D2" s="18">
        <v>695529055725</v>
      </c>
      <c r="E2" s="18" t="s">
        <v>250</v>
      </c>
      <c r="F2" s="18" t="s">
        <v>82</v>
      </c>
      <c r="G2" s="18" t="s">
        <v>65</v>
      </c>
      <c r="H2" s="18" t="s">
        <v>69</v>
      </c>
      <c r="I2" s="18" t="s">
        <v>70</v>
      </c>
      <c r="J2" s="18">
        <v>3</v>
      </c>
      <c r="K2" s="16">
        <v>89.99</v>
      </c>
      <c r="L2" s="10"/>
      <c r="M2" s="16">
        <v>0</v>
      </c>
      <c r="N2" s="16">
        <v>0</v>
      </c>
      <c r="O2" s="18">
        <v>0</v>
      </c>
      <c r="P2" s="18" t="s">
        <v>95</v>
      </c>
      <c r="Q2" s="18">
        <v>4.51075</v>
      </c>
      <c r="R2" s="10"/>
      <c r="S2" s="16">
        <v>3</v>
      </c>
      <c r="T2" s="16">
        <v>144</v>
      </c>
      <c r="U2" s="18" t="s">
        <v>1650</v>
      </c>
      <c r="V2" s="18" t="s">
        <v>65</v>
      </c>
      <c r="W2" s="18" t="s">
        <v>1651</v>
      </c>
      <c r="X2" s="18">
        <v>695529055726</v>
      </c>
      <c r="Y2" s="18" t="s">
        <v>250</v>
      </c>
      <c r="Z2" s="18" t="s">
        <v>82</v>
      </c>
      <c r="AA2" s="18" t="s">
        <v>65</v>
      </c>
      <c r="AB2" s="18" t="s">
        <v>69</v>
      </c>
      <c r="AC2" s="18" t="s">
        <v>70</v>
      </c>
      <c r="AD2" s="18">
        <v>176.98</v>
      </c>
      <c r="AE2" s="18">
        <v>0</v>
      </c>
      <c r="AF2" s="18">
        <v>0</v>
      </c>
      <c r="AG2" s="18">
        <v>1</v>
      </c>
      <c r="AH2" s="18">
        <v>0</v>
      </c>
      <c r="AI2" s="18">
        <v>0</v>
      </c>
      <c r="AJ2" s="18">
        <v>0</v>
      </c>
      <c r="AK2" s="18">
        <v>0</v>
      </c>
      <c r="AL2" s="18">
        <v>0</v>
      </c>
      <c r="AM2" s="18">
        <v>0</v>
      </c>
      <c r="AN2" s="18">
        <v>0</v>
      </c>
      <c r="AO2" s="18">
        <v>0</v>
      </c>
      <c r="AP2" s="18">
        <v>0</v>
      </c>
      <c r="AQ2" s="18">
        <v>0</v>
      </c>
      <c r="AR2" s="18">
        <v>0</v>
      </c>
      <c r="AS2" s="18">
        <v>0</v>
      </c>
      <c r="AT2" s="18">
        <v>0</v>
      </c>
      <c r="AU2" s="18">
        <v>0</v>
      </c>
      <c r="AV2" s="18">
        <v>0</v>
      </c>
      <c r="AW2" s="18">
        <v>0</v>
      </c>
      <c r="AX2" s="18">
        <v>0</v>
      </c>
      <c r="AY2" s="13"/>
      <c r="AZ2" s="18">
        <v>1</v>
      </c>
      <c r="BA2" s="18">
        <v>0</v>
      </c>
      <c r="BB2" s="18">
        <v>30.25</v>
      </c>
      <c r="BC2" s="18" t="s">
        <v>74</v>
      </c>
      <c r="BD2" s="18" t="s">
        <v>75</v>
      </c>
      <c r="BE2" s="18" t="s">
        <v>98</v>
      </c>
      <c r="BF2" s="18" t="s">
        <v>77</v>
      </c>
      <c r="BG2" s="18">
        <v>168</v>
      </c>
      <c r="BH2" s="18">
        <v>13</v>
      </c>
      <c r="BI2" s="18">
        <v>0.9282</v>
      </c>
      <c r="BJ2" s="18">
        <v>0</v>
      </c>
      <c r="BK2" s="18">
        <v>7</v>
      </c>
      <c r="BL2" s="18">
        <v>98.1</v>
      </c>
      <c r="BM2" s="13">
        <f t="shared" ref="BM2:BM863" si="0">K2*S2</f>
        <v>269.97</v>
      </c>
    </row>
    <row r="3" customHeight="1" spans="1:65">
      <c r="A3" s="18" t="s">
        <v>1656</v>
      </c>
      <c r="B3" s="18" t="s">
        <v>65</v>
      </c>
      <c r="C3" s="18" t="s">
        <v>1657</v>
      </c>
      <c r="D3" s="18">
        <v>695529025988</v>
      </c>
      <c r="E3" s="18" t="s">
        <v>250</v>
      </c>
      <c r="F3" s="18" t="s">
        <v>82</v>
      </c>
      <c r="G3" s="18" t="s">
        <v>65</v>
      </c>
      <c r="H3" s="18" t="s">
        <v>69</v>
      </c>
      <c r="I3" s="18" t="s">
        <v>85</v>
      </c>
      <c r="J3" s="18">
        <v>5</v>
      </c>
      <c r="K3" s="16">
        <v>129.99</v>
      </c>
      <c r="L3" s="10"/>
      <c r="M3" s="16">
        <v>0</v>
      </c>
      <c r="N3" s="16">
        <v>0</v>
      </c>
      <c r="O3" s="18">
        <v>0</v>
      </c>
      <c r="P3" s="18" t="s">
        <v>95</v>
      </c>
      <c r="Q3" s="18">
        <v>4.875121</v>
      </c>
      <c r="R3" s="10"/>
      <c r="S3" s="16">
        <v>35</v>
      </c>
      <c r="T3" s="16">
        <v>185</v>
      </c>
      <c r="U3" s="18" t="s">
        <v>1656</v>
      </c>
      <c r="V3" s="18" t="s">
        <v>65</v>
      </c>
      <c r="W3" s="18" t="s">
        <v>1657</v>
      </c>
      <c r="X3" s="18">
        <v>695529025989</v>
      </c>
      <c r="Y3" s="18" t="s">
        <v>250</v>
      </c>
      <c r="Z3" s="18" t="s">
        <v>82</v>
      </c>
      <c r="AA3" s="18" t="s">
        <v>65</v>
      </c>
      <c r="AB3" s="18" t="s">
        <v>69</v>
      </c>
      <c r="AC3" s="18" t="s">
        <v>85</v>
      </c>
      <c r="AD3" s="18">
        <v>254.98</v>
      </c>
      <c r="AE3" s="18">
        <v>0</v>
      </c>
      <c r="AF3" s="18">
        <v>0</v>
      </c>
      <c r="AG3" s="18">
        <v>0</v>
      </c>
      <c r="AH3" s="18">
        <v>0</v>
      </c>
      <c r="AI3" s="18">
        <v>0</v>
      </c>
      <c r="AJ3" s="18">
        <v>0</v>
      </c>
      <c r="AK3" s="18">
        <v>0</v>
      </c>
      <c r="AL3" s="18">
        <v>0</v>
      </c>
      <c r="AM3" s="18">
        <v>0</v>
      </c>
      <c r="AN3" s="18">
        <v>0</v>
      </c>
      <c r="AO3" s="18">
        <v>0</v>
      </c>
      <c r="AP3" s="18">
        <v>0</v>
      </c>
      <c r="AQ3" s="18">
        <v>0</v>
      </c>
      <c r="AR3" s="18">
        <v>0</v>
      </c>
      <c r="AS3" s="18">
        <v>0</v>
      </c>
      <c r="AT3" s="18">
        <v>1</v>
      </c>
      <c r="AU3" s="18">
        <v>0</v>
      </c>
      <c r="AV3" s="18">
        <v>0</v>
      </c>
      <c r="AW3" s="18">
        <v>0</v>
      </c>
      <c r="AX3" s="18">
        <v>0</v>
      </c>
      <c r="AY3" s="13"/>
      <c r="AZ3" s="18">
        <v>1</v>
      </c>
      <c r="BA3" s="18">
        <v>0</v>
      </c>
      <c r="BB3" s="18">
        <v>36.21</v>
      </c>
      <c r="BC3" s="18" t="s">
        <v>74</v>
      </c>
      <c r="BD3" s="18" t="s">
        <v>75</v>
      </c>
      <c r="BE3" s="18" t="s">
        <v>98</v>
      </c>
      <c r="BF3" s="18" t="s">
        <v>77</v>
      </c>
      <c r="BG3" s="18">
        <v>168</v>
      </c>
      <c r="BH3" s="18">
        <v>13</v>
      </c>
      <c r="BI3" s="18">
        <v>0.9282</v>
      </c>
      <c r="BJ3" s="18">
        <v>0</v>
      </c>
      <c r="BK3" s="18">
        <v>2</v>
      </c>
      <c r="BL3" s="18">
        <v>99.5</v>
      </c>
      <c r="BM3" s="13">
        <f t="shared" si="0"/>
        <v>4549.65</v>
      </c>
    </row>
    <row r="4" customHeight="1" spans="1:65">
      <c r="A4" s="18" t="s">
        <v>2133</v>
      </c>
      <c r="B4" s="18" t="s">
        <v>2134</v>
      </c>
      <c r="C4" s="18" t="s">
        <v>2135</v>
      </c>
      <c r="D4" s="18">
        <v>704537716990</v>
      </c>
      <c r="E4" s="18" t="s">
        <v>163</v>
      </c>
      <c r="F4" s="18" t="s">
        <v>132</v>
      </c>
      <c r="G4" s="18" t="s">
        <v>83</v>
      </c>
      <c r="H4" s="18" t="s">
        <v>84</v>
      </c>
      <c r="I4" s="18" t="s">
        <v>85</v>
      </c>
      <c r="J4" s="18">
        <v>5</v>
      </c>
      <c r="K4" s="16">
        <v>19.99</v>
      </c>
      <c r="L4" s="10"/>
      <c r="M4" s="16">
        <v>0</v>
      </c>
      <c r="N4" s="16">
        <v>0</v>
      </c>
      <c r="O4" s="18">
        <v>0</v>
      </c>
      <c r="P4" s="18" t="s">
        <v>133</v>
      </c>
      <c r="Q4" s="18">
        <v>3.044046</v>
      </c>
      <c r="R4" s="10"/>
      <c r="S4" s="16">
        <v>36</v>
      </c>
      <c r="T4" s="16">
        <v>20</v>
      </c>
      <c r="U4" s="18" t="s">
        <v>2522</v>
      </c>
      <c r="V4" s="18" t="s">
        <v>2134</v>
      </c>
      <c r="W4" s="18" t="s">
        <v>2135</v>
      </c>
      <c r="X4" s="18">
        <v>704537716991</v>
      </c>
      <c r="Y4" s="18" t="s">
        <v>163</v>
      </c>
      <c r="Z4" s="18" t="s">
        <v>132</v>
      </c>
      <c r="AA4" s="18" t="s">
        <v>83</v>
      </c>
      <c r="AB4" s="18" t="s">
        <v>84</v>
      </c>
      <c r="AC4" s="18" t="s">
        <v>85</v>
      </c>
      <c r="AD4" s="18">
        <v>34.98</v>
      </c>
      <c r="AE4" s="18">
        <v>0</v>
      </c>
      <c r="AF4" s="18">
        <v>0</v>
      </c>
      <c r="AG4" s="18">
        <v>0</v>
      </c>
      <c r="AH4" s="18">
        <v>0</v>
      </c>
      <c r="AI4" s="18">
        <v>0</v>
      </c>
      <c r="AJ4" s="18">
        <v>0</v>
      </c>
      <c r="AK4" s="18">
        <v>0</v>
      </c>
      <c r="AL4" s="18">
        <v>0</v>
      </c>
      <c r="AM4" s="18">
        <v>0</v>
      </c>
      <c r="AN4" s="18">
        <v>0</v>
      </c>
      <c r="AO4" s="18">
        <v>0</v>
      </c>
      <c r="AP4" s="18">
        <v>0</v>
      </c>
      <c r="AQ4" s="18">
        <v>1</v>
      </c>
      <c r="AR4" s="18">
        <v>0</v>
      </c>
      <c r="AS4" s="18">
        <v>0</v>
      </c>
      <c r="AT4" s="18">
        <v>0</v>
      </c>
      <c r="AU4" s="18">
        <v>0</v>
      </c>
      <c r="AV4" s="18">
        <v>1</v>
      </c>
      <c r="AW4" s="18">
        <v>1</v>
      </c>
      <c r="AX4" s="18">
        <v>0</v>
      </c>
      <c r="AY4" s="13"/>
      <c r="AZ4" s="18">
        <v>4</v>
      </c>
      <c r="BA4" s="18">
        <v>1</v>
      </c>
      <c r="BB4" s="18">
        <v>55.57</v>
      </c>
      <c r="BC4" s="18" t="s">
        <v>74</v>
      </c>
      <c r="BD4" s="18" t="s">
        <v>75</v>
      </c>
      <c r="BE4" s="18" t="s">
        <v>76</v>
      </c>
      <c r="BF4" s="18" t="s">
        <v>77</v>
      </c>
      <c r="BG4" s="18">
        <v>168</v>
      </c>
      <c r="BH4" s="18">
        <v>13</v>
      </c>
      <c r="BI4" s="18">
        <v>0.9282</v>
      </c>
      <c r="BJ4" s="18">
        <v>0</v>
      </c>
      <c r="BK4" s="18">
        <v>2</v>
      </c>
      <c r="BL4" s="18">
        <v>99.5</v>
      </c>
      <c r="BM4" s="13">
        <f t="shared" si="0"/>
        <v>719.64</v>
      </c>
    </row>
    <row r="5" customHeight="1" spans="1:65">
      <c r="A5" s="18" t="s">
        <v>2039</v>
      </c>
      <c r="B5" s="18" t="s">
        <v>65</v>
      </c>
      <c r="C5" s="18" t="s">
        <v>2040</v>
      </c>
      <c r="D5" s="18">
        <v>695529026374</v>
      </c>
      <c r="E5" s="18" t="s">
        <v>255</v>
      </c>
      <c r="F5" s="18" t="s">
        <v>82</v>
      </c>
      <c r="G5" s="18" t="s">
        <v>65</v>
      </c>
      <c r="H5" s="18" t="s">
        <v>69</v>
      </c>
      <c r="I5" s="18" t="s">
        <v>85</v>
      </c>
      <c r="J5" s="18">
        <v>5</v>
      </c>
      <c r="K5" s="16">
        <v>154.99</v>
      </c>
      <c r="L5" s="10"/>
      <c r="M5" s="16">
        <v>0</v>
      </c>
      <c r="N5" s="16">
        <v>0</v>
      </c>
      <c r="O5" s="18">
        <v>0</v>
      </c>
      <c r="P5" s="18" t="s">
        <v>95</v>
      </c>
      <c r="Q5" s="18">
        <v>5.049792</v>
      </c>
      <c r="R5" s="10"/>
      <c r="S5" s="16">
        <v>50</v>
      </c>
      <c r="T5" s="16">
        <v>23</v>
      </c>
      <c r="U5" s="18" t="s">
        <v>2039</v>
      </c>
      <c r="V5" s="18" t="s">
        <v>65</v>
      </c>
      <c r="W5" s="18" t="s">
        <v>2040</v>
      </c>
      <c r="X5" s="18">
        <v>695529026375</v>
      </c>
      <c r="Y5" s="18" t="s">
        <v>255</v>
      </c>
      <c r="Z5" s="18" t="s">
        <v>82</v>
      </c>
      <c r="AA5" s="18" t="s">
        <v>65</v>
      </c>
      <c r="AB5" s="18" t="s">
        <v>69</v>
      </c>
      <c r="AC5" s="18" t="s">
        <v>85</v>
      </c>
      <c r="AD5" s="18">
        <v>304.98</v>
      </c>
      <c r="AE5" s="18">
        <v>0</v>
      </c>
      <c r="AF5" s="18">
        <v>0</v>
      </c>
      <c r="AG5" s="18">
        <v>0</v>
      </c>
      <c r="AH5" s="18">
        <v>0</v>
      </c>
      <c r="AI5" s="18">
        <v>0</v>
      </c>
      <c r="AJ5" s="18">
        <v>0</v>
      </c>
      <c r="AK5" s="18">
        <v>0</v>
      </c>
      <c r="AL5" s="18">
        <v>0</v>
      </c>
      <c r="AM5" s="18">
        <v>0</v>
      </c>
      <c r="AN5" s="18">
        <v>0</v>
      </c>
      <c r="AO5" s="18">
        <v>0</v>
      </c>
      <c r="AP5" s="18">
        <v>0</v>
      </c>
      <c r="AQ5" s="18">
        <v>0</v>
      </c>
      <c r="AR5" s="18">
        <v>0</v>
      </c>
      <c r="AS5" s="18">
        <v>0</v>
      </c>
      <c r="AT5" s="18">
        <v>0</v>
      </c>
      <c r="AU5" s="18">
        <v>0</v>
      </c>
      <c r="AV5" s="18">
        <v>0</v>
      </c>
      <c r="AW5" s="18">
        <v>1</v>
      </c>
      <c r="AX5" s="18">
        <v>0</v>
      </c>
      <c r="AY5" s="13"/>
      <c r="AZ5" s="18">
        <v>1</v>
      </c>
      <c r="BA5" s="18">
        <v>0</v>
      </c>
      <c r="BB5" s="18">
        <v>57.16</v>
      </c>
      <c r="BC5" s="18" t="s">
        <v>74</v>
      </c>
      <c r="BD5" s="18" t="s">
        <v>75</v>
      </c>
      <c r="BE5" s="18" t="s">
        <v>76</v>
      </c>
      <c r="BF5" s="18" t="s">
        <v>77</v>
      </c>
      <c r="BG5" s="18">
        <v>168</v>
      </c>
      <c r="BH5" s="18">
        <v>13</v>
      </c>
      <c r="BI5" s="18">
        <v>0.9282</v>
      </c>
      <c r="BJ5" s="18">
        <v>0</v>
      </c>
      <c r="BK5" s="18">
        <v>3</v>
      </c>
      <c r="BL5" s="18">
        <v>99.2</v>
      </c>
      <c r="BM5" s="13">
        <f t="shared" si="0"/>
        <v>7749.5</v>
      </c>
    </row>
    <row r="6" customHeight="1" spans="1:65">
      <c r="A6" s="18" t="s">
        <v>917</v>
      </c>
      <c r="B6" s="18" t="s">
        <v>65</v>
      </c>
      <c r="C6" s="18" t="s">
        <v>918</v>
      </c>
      <c r="D6" s="18">
        <v>695529021133</v>
      </c>
      <c r="E6" s="18" t="s">
        <v>239</v>
      </c>
      <c r="F6" s="18" t="s">
        <v>68</v>
      </c>
      <c r="G6" s="18" t="s">
        <v>65</v>
      </c>
      <c r="H6" s="18" t="s">
        <v>69</v>
      </c>
      <c r="I6" s="18" t="s">
        <v>85</v>
      </c>
      <c r="J6" s="18">
        <v>5</v>
      </c>
      <c r="K6" s="16">
        <v>399.99</v>
      </c>
      <c r="L6" s="10"/>
      <c r="M6" s="16">
        <v>0</v>
      </c>
      <c r="N6" s="16">
        <v>0</v>
      </c>
      <c r="O6" s="18">
        <v>0</v>
      </c>
      <c r="P6" s="18" t="s">
        <v>71</v>
      </c>
      <c r="Q6" s="18">
        <v>5.993936</v>
      </c>
      <c r="R6" s="16">
        <v>50</v>
      </c>
      <c r="S6" s="16">
        <v>36</v>
      </c>
      <c r="T6" s="16">
        <v>19</v>
      </c>
      <c r="U6" s="18" t="s">
        <v>917</v>
      </c>
      <c r="V6" s="18" t="s">
        <v>65</v>
      </c>
      <c r="W6" s="18" t="s">
        <v>918</v>
      </c>
      <c r="X6" s="18">
        <v>695529021134</v>
      </c>
      <c r="Y6" s="18" t="s">
        <v>239</v>
      </c>
      <c r="Z6" s="18" t="s">
        <v>68</v>
      </c>
      <c r="AA6" s="18" t="s">
        <v>65</v>
      </c>
      <c r="AB6" s="18" t="s">
        <v>69</v>
      </c>
      <c r="AC6" s="18" t="s">
        <v>85</v>
      </c>
      <c r="AD6" s="18">
        <v>794.98</v>
      </c>
      <c r="AE6" s="18">
        <v>0</v>
      </c>
      <c r="AF6" s="18">
        <v>0</v>
      </c>
      <c r="AG6" s="18">
        <v>0</v>
      </c>
      <c r="AH6" s="18">
        <v>0</v>
      </c>
      <c r="AI6" s="18">
        <v>0</v>
      </c>
      <c r="AJ6" s="18">
        <v>0</v>
      </c>
      <c r="AK6" s="18">
        <v>0</v>
      </c>
      <c r="AL6" s="18">
        <v>0</v>
      </c>
      <c r="AM6" s="18">
        <v>0</v>
      </c>
      <c r="AN6" s="18">
        <v>0</v>
      </c>
      <c r="AO6" s="18">
        <v>0</v>
      </c>
      <c r="AP6" s="18">
        <v>0</v>
      </c>
      <c r="AQ6" s="18">
        <v>1</v>
      </c>
      <c r="AR6" s="18">
        <v>0</v>
      </c>
      <c r="AS6" s="18">
        <v>0</v>
      </c>
      <c r="AT6" s="18">
        <v>0</v>
      </c>
      <c r="AU6" s="18">
        <v>0</v>
      </c>
      <c r="AV6" s="18">
        <v>1</v>
      </c>
      <c r="AW6" s="18">
        <v>0</v>
      </c>
      <c r="AX6" s="18">
        <v>0</v>
      </c>
      <c r="AY6" s="18">
        <v>8</v>
      </c>
      <c r="AZ6" s="18">
        <v>1</v>
      </c>
      <c r="BA6" s="18">
        <v>1</v>
      </c>
      <c r="BB6" s="18">
        <v>56.03</v>
      </c>
      <c r="BC6" s="18" t="s">
        <v>74</v>
      </c>
      <c r="BD6" s="18" t="s">
        <v>75</v>
      </c>
      <c r="BE6" s="18" t="s">
        <v>76</v>
      </c>
      <c r="BF6" s="18" t="s">
        <v>77</v>
      </c>
      <c r="BG6" s="18">
        <v>168</v>
      </c>
      <c r="BH6" s="18">
        <v>13</v>
      </c>
      <c r="BI6" s="18">
        <v>0.9282</v>
      </c>
      <c r="BJ6" s="18">
        <v>0</v>
      </c>
      <c r="BK6" s="18">
        <v>2</v>
      </c>
      <c r="BL6" s="18">
        <v>99.5</v>
      </c>
      <c r="BM6" s="13">
        <f t="shared" si="0"/>
        <v>14399.64</v>
      </c>
    </row>
    <row r="7" customHeight="1" spans="1:65">
      <c r="A7" s="18" t="s">
        <v>64</v>
      </c>
      <c r="B7" s="18" t="s">
        <v>65</v>
      </c>
      <c r="C7" s="18" t="s">
        <v>66</v>
      </c>
      <c r="D7" s="18">
        <v>695529036816</v>
      </c>
      <c r="E7" s="18" t="s">
        <v>67</v>
      </c>
      <c r="F7" s="18" t="s">
        <v>68</v>
      </c>
      <c r="G7" s="18" t="s">
        <v>65</v>
      </c>
      <c r="H7" s="18" t="s">
        <v>69</v>
      </c>
      <c r="I7" s="18" t="s">
        <v>70</v>
      </c>
      <c r="J7" s="18">
        <v>3</v>
      </c>
      <c r="K7" s="16">
        <v>259.99</v>
      </c>
      <c r="L7" s="10"/>
      <c r="M7" s="16">
        <v>0</v>
      </c>
      <c r="N7" s="16">
        <v>0</v>
      </c>
      <c r="O7" s="18">
        <v>0</v>
      </c>
      <c r="P7" s="18" t="s">
        <v>71</v>
      </c>
      <c r="Q7" s="18">
        <v>5.564482</v>
      </c>
      <c r="R7" s="16">
        <v>32.5</v>
      </c>
      <c r="S7" s="16">
        <v>11</v>
      </c>
      <c r="T7" s="16">
        <v>332</v>
      </c>
      <c r="U7" s="18" t="s">
        <v>64</v>
      </c>
      <c r="V7" s="18" t="s">
        <v>65</v>
      </c>
      <c r="W7" s="18" t="s">
        <v>2523</v>
      </c>
      <c r="X7" s="18">
        <v>695529036817</v>
      </c>
      <c r="Y7" s="18" t="s">
        <v>67</v>
      </c>
      <c r="Z7" s="18" t="s">
        <v>68</v>
      </c>
      <c r="AA7" s="18" t="s">
        <v>65</v>
      </c>
      <c r="AB7" s="18" t="s">
        <v>69</v>
      </c>
      <c r="AC7" s="18" t="s">
        <v>70</v>
      </c>
      <c r="AD7" s="18">
        <v>516.98</v>
      </c>
      <c r="AE7" s="18">
        <v>0</v>
      </c>
      <c r="AF7" s="18">
        <v>0</v>
      </c>
      <c r="AG7" s="18">
        <v>0</v>
      </c>
      <c r="AH7" s="18">
        <v>0</v>
      </c>
      <c r="AI7" s="18">
        <v>0</v>
      </c>
      <c r="AJ7" s="18">
        <v>0</v>
      </c>
      <c r="AK7" s="18">
        <v>0</v>
      </c>
      <c r="AL7" s="18">
        <v>1</v>
      </c>
      <c r="AM7" s="18">
        <v>0</v>
      </c>
      <c r="AN7" s="18">
        <v>0</v>
      </c>
      <c r="AO7" s="18">
        <v>1</v>
      </c>
      <c r="AP7" s="18">
        <v>0</v>
      </c>
      <c r="AQ7" s="18">
        <v>1</v>
      </c>
      <c r="AR7" s="18">
        <v>0</v>
      </c>
      <c r="AS7" s="18">
        <v>0</v>
      </c>
      <c r="AT7" s="18">
        <v>0</v>
      </c>
      <c r="AU7" s="18">
        <v>0</v>
      </c>
      <c r="AV7" s="18">
        <v>1</v>
      </c>
      <c r="AW7" s="18">
        <v>1</v>
      </c>
      <c r="AX7" s="18">
        <v>1</v>
      </c>
      <c r="AY7" s="18">
        <v>8</v>
      </c>
      <c r="AZ7" s="18">
        <v>1</v>
      </c>
      <c r="BA7" s="18">
        <v>2</v>
      </c>
      <c r="BB7" s="18">
        <v>31.13</v>
      </c>
      <c r="BC7" s="18" t="s">
        <v>74</v>
      </c>
      <c r="BD7" s="18" t="s">
        <v>75</v>
      </c>
      <c r="BE7" s="18" t="s">
        <v>76</v>
      </c>
      <c r="BF7" s="18" t="s">
        <v>77</v>
      </c>
      <c r="BG7" s="18">
        <v>168</v>
      </c>
      <c r="BH7" s="18">
        <v>13</v>
      </c>
      <c r="BI7" s="18">
        <v>0.9282</v>
      </c>
      <c r="BJ7" s="18">
        <v>0</v>
      </c>
      <c r="BK7" s="18">
        <v>2</v>
      </c>
      <c r="BL7" s="18">
        <v>99.5</v>
      </c>
      <c r="BM7" s="13">
        <f t="shared" si="0"/>
        <v>2859.89</v>
      </c>
    </row>
    <row r="8" customHeight="1" spans="1:65">
      <c r="A8" s="18" t="s">
        <v>1953</v>
      </c>
      <c r="B8" s="18" t="s">
        <v>65</v>
      </c>
      <c r="C8" s="18" t="s">
        <v>1954</v>
      </c>
      <c r="D8" s="18">
        <v>695529034140</v>
      </c>
      <c r="E8" s="18" t="s">
        <v>1955</v>
      </c>
      <c r="F8" s="18" t="s">
        <v>68</v>
      </c>
      <c r="G8" s="18" t="s">
        <v>65</v>
      </c>
      <c r="H8" s="18" t="s">
        <v>69</v>
      </c>
      <c r="I8" s="18" t="s">
        <v>70</v>
      </c>
      <c r="J8" s="18">
        <v>3</v>
      </c>
      <c r="K8" s="16">
        <v>254.99</v>
      </c>
      <c r="L8" s="10"/>
      <c r="M8" s="16">
        <v>0</v>
      </c>
      <c r="N8" s="16">
        <v>0</v>
      </c>
      <c r="O8" s="18">
        <v>0</v>
      </c>
      <c r="P8" s="18" t="s">
        <v>71</v>
      </c>
      <c r="Q8" s="18">
        <v>5.545138</v>
      </c>
      <c r="R8" s="16">
        <v>31.87</v>
      </c>
      <c r="S8" s="16">
        <v>5</v>
      </c>
      <c r="T8" s="16">
        <v>332</v>
      </c>
      <c r="U8" s="18" t="s">
        <v>1953</v>
      </c>
      <c r="V8" s="18" t="s">
        <v>65</v>
      </c>
      <c r="W8" s="18" t="s">
        <v>2524</v>
      </c>
      <c r="X8" s="18">
        <v>695529034141</v>
      </c>
      <c r="Y8" s="18" t="s">
        <v>1955</v>
      </c>
      <c r="Z8" s="18" t="s">
        <v>68</v>
      </c>
      <c r="AA8" s="18" t="s">
        <v>65</v>
      </c>
      <c r="AB8" s="18" t="s">
        <v>69</v>
      </c>
      <c r="AC8" s="18" t="s">
        <v>70</v>
      </c>
      <c r="AD8" s="18">
        <v>506.98</v>
      </c>
      <c r="AE8" s="18">
        <v>0</v>
      </c>
      <c r="AF8" s="18">
        <v>0</v>
      </c>
      <c r="AG8" s="18">
        <v>0</v>
      </c>
      <c r="AH8" s="18">
        <v>0</v>
      </c>
      <c r="AI8" s="18">
        <v>0</v>
      </c>
      <c r="AJ8" s="18">
        <v>0</v>
      </c>
      <c r="AK8" s="18">
        <v>0</v>
      </c>
      <c r="AL8" s="18">
        <v>1</v>
      </c>
      <c r="AM8" s="18">
        <v>0</v>
      </c>
      <c r="AN8" s="18">
        <v>0</v>
      </c>
      <c r="AO8" s="18">
        <v>0</v>
      </c>
      <c r="AP8" s="18">
        <v>0</v>
      </c>
      <c r="AQ8" s="18">
        <v>0</v>
      </c>
      <c r="AR8" s="18">
        <v>0</v>
      </c>
      <c r="AS8" s="18">
        <v>0</v>
      </c>
      <c r="AT8" s="18">
        <v>0</v>
      </c>
      <c r="AU8" s="18">
        <v>0</v>
      </c>
      <c r="AV8" s="18">
        <v>1</v>
      </c>
      <c r="AW8" s="18">
        <v>1</v>
      </c>
      <c r="AX8" s="18">
        <v>1</v>
      </c>
      <c r="AY8" s="18">
        <v>8</v>
      </c>
      <c r="AZ8" s="18">
        <v>1</v>
      </c>
      <c r="BA8" s="18">
        <v>0</v>
      </c>
      <c r="BB8" s="18">
        <v>30.44</v>
      </c>
      <c r="BC8" s="18" t="s">
        <v>74</v>
      </c>
      <c r="BD8" s="18" t="s">
        <v>75</v>
      </c>
      <c r="BE8" s="18" t="s">
        <v>76</v>
      </c>
      <c r="BF8" s="18" t="s">
        <v>77</v>
      </c>
      <c r="BG8" s="18">
        <v>168</v>
      </c>
      <c r="BH8" s="18">
        <v>13</v>
      </c>
      <c r="BI8" s="18">
        <v>0.9282</v>
      </c>
      <c r="BJ8" s="18">
        <v>0</v>
      </c>
      <c r="BK8" s="18">
        <v>2</v>
      </c>
      <c r="BL8" s="18">
        <v>99.5</v>
      </c>
      <c r="BM8" s="13">
        <f t="shared" si="0"/>
        <v>1274.95</v>
      </c>
    </row>
    <row r="9" customHeight="1" spans="1:65">
      <c r="A9" s="18" t="s">
        <v>585</v>
      </c>
      <c r="B9" s="18" t="s">
        <v>65</v>
      </c>
      <c r="C9" s="18" t="s">
        <v>586</v>
      </c>
      <c r="D9" s="18">
        <v>695529043753</v>
      </c>
      <c r="E9" s="18" t="s">
        <v>559</v>
      </c>
      <c r="F9" s="18" t="s">
        <v>68</v>
      </c>
      <c r="G9" s="18" t="s">
        <v>65</v>
      </c>
      <c r="H9" s="18" t="s">
        <v>69</v>
      </c>
      <c r="I9" s="18" t="s">
        <v>70</v>
      </c>
      <c r="J9" s="18">
        <v>3</v>
      </c>
      <c r="K9" s="16">
        <v>289.99</v>
      </c>
      <c r="L9" s="10"/>
      <c r="M9" s="16">
        <v>0</v>
      </c>
      <c r="N9" s="16">
        <v>0</v>
      </c>
      <c r="O9" s="18">
        <v>0</v>
      </c>
      <c r="P9" s="18" t="s">
        <v>71</v>
      </c>
      <c r="Q9" s="18">
        <v>5.673289</v>
      </c>
      <c r="R9" s="16">
        <v>18.12</v>
      </c>
      <c r="S9" s="16">
        <v>15</v>
      </c>
      <c r="T9" s="16">
        <v>332</v>
      </c>
      <c r="U9" s="18" t="s">
        <v>585</v>
      </c>
      <c r="V9" s="18" t="s">
        <v>65</v>
      </c>
      <c r="W9" s="18" t="s">
        <v>2525</v>
      </c>
      <c r="X9" s="18">
        <v>695529043754</v>
      </c>
      <c r="Y9" s="18" t="s">
        <v>559</v>
      </c>
      <c r="Z9" s="18" t="s">
        <v>68</v>
      </c>
      <c r="AA9" s="18" t="s">
        <v>65</v>
      </c>
      <c r="AB9" s="18" t="s">
        <v>69</v>
      </c>
      <c r="AC9" s="18" t="s">
        <v>70</v>
      </c>
      <c r="AD9" s="18">
        <v>576.98</v>
      </c>
      <c r="AE9" s="18">
        <v>0</v>
      </c>
      <c r="AF9" s="18">
        <v>0</v>
      </c>
      <c r="AG9" s="18">
        <v>1</v>
      </c>
      <c r="AH9" s="18">
        <v>1</v>
      </c>
      <c r="AI9" s="18">
        <v>0</v>
      </c>
      <c r="AJ9" s="18">
        <v>0</v>
      </c>
      <c r="AK9" s="18">
        <v>0</v>
      </c>
      <c r="AL9" s="18">
        <v>0</v>
      </c>
      <c r="AM9" s="18">
        <v>0</v>
      </c>
      <c r="AN9" s="18">
        <v>0</v>
      </c>
      <c r="AO9" s="18">
        <v>0</v>
      </c>
      <c r="AP9" s="18">
        <v>0</v>
      </c>
      <c r="AQ9" s="18">
        <v>1</v>
      </c>
      <c r="AR9" s="18">
        <v>0</v>
      </c>
      <c r="AS9" s="18">
        <v>0</v>
      </c>
      <c r="AT9" s="18">
        <v>0</v>
      </c>
      <c r="AU9" s="18">
        <v>0</v>
      </c>
      <c r="AV9" s="18">
        <v>1</v>
      </c>
      <c r="AW9" s="18">
        <v>1</v>
      </c>
      <c r="AX9" s="18">
        <v>1</v>
      </c>
      <c r="AY9" s="18">
        <v>16</v>
      </c>
      <c r="AZ9" s="18">
        <v>1</v>
      </c>
      <c r="BA9" s="18">
        <v>2</v>
      </c>
      <c r="BB9" s="18">
        <v>31.58</v>
      </c>
      <c r="BC9" s="18" t="s">
        <v>74</v>
      </c>
      <c r="BD9" s="18" t="s">
        <v>75</v>
      </c>
      <c r="BE9" s="18" t="s">
        <v>76</v>
      </c>
      <c r="BF9" s="18" t="s">
        <v>77</v>
      </c>
      <c r="BG9" s="18">
        <v>167</v>
      </c>
      <c r="BH9" s="18">
        <v>13</v>
      </c>
      <c r="BI9" s="18">
        <v>0.9278</v>
      </c>
      <c r="BJ9" s="18">
        <v>0</v>
      </c>
      <c r="BK9" s="18">
        <v>2</v>
      </c>
      <c r="BL9" s="18">
        <v>99.5</v>
      </c>
      <c r="BM9" s="13">
        <f t="shared" si="0"/>
        <v>4349.85</v>
      </c>
    </row>
    <row r="10" customHeight="1" spans="1:65">
      <c r="A10" s="18" t="s">
        <v>2451</v>
      </c>
      <c r="B10" s="18" t="s">
        <v>125</v>
      </c>
      <c r="C10" s="13"/>
      <c r="D10" s="13"/>
      <c r="E10" s="18" t="s">
        <v>81</v>
      </c>
      <c r="F10" s="18" t="s">
        <v>82</v>
      </c>
      <c r="G10" s="18" t="s">
        <v>83</v>
      </c>
      <c r="H10" s="18" t="s">
        <v>138</v>
      </c>
      <c r="I10" s="18" t="s">
        <v>85</v>
      </c>
      <c r="J10" s="18">
        <v>5</v>
      </c>
      <c r="K10" s="16">
        <v>21.99</v>
      </c>
      <c r="L10" s="10"/>
      <c r="M10" s="16">
        <v>0</v>
      </c>
      <c r="N10" s="16">
        <v>0</v>
      </c>
      <c r="O10" s="18">
        <v>0</v>
      </c>
      <c r="P10" s="18" t="s">
        <v>133</v>
      </c>
      <c r="Q10" s="18">
        <v>3.135059</v>
      </c>
      <c r="R10" s="10"/>
      <c r="S10" s="16">
        <v>33</v>
      </c>
      <c r="T10" s="16">
        <v>10</v>
      </c>
      <c r="U10" s="18" t="s">
        <v>2451</v>
      </c>
      <c r="V10" s="18" t="s">
        <v>125</v>
      </c>
      <c r="W10" s="13"/>
      <c r="X10" s="13"/>
      <c r="Y10" s="18" t="s">
        <v>81</v>
      </c>
      <c r="Z10" s="18" t="s">
        <v>82</v>
      </c>
      <c r="AA10" s="18" t="s">
        <v>83</v>
      </c>
      <c r="AB10" s="18" t="s">
        <v>138</v>
      </c>
      <c r="AC10" s="18" t="s">
        <v>85</v>
      </c>
      <c r="AD10" s="18">
        <v>38.98</v>
      </c>
      <c r="AE10" s="18">
        <v>1</v>
      </c>
      <c r="AF10" s="18">
        <v>0</v>
      </c>
      <c r="AG10" s="18">
        <v>0</v>
      </c>
      <c r="AH10" s="18">
        <v>1</v>
      </c>
      <c r="AI10" s="18">
        <v>0</v>
      </c>
      <c r="AJ10" s="18">
        <v>1</v>
      </c>
      <c r="AK10" s="18">
        <v>0</v>
      </c>
      <c r="AL10" s="18">
        <v>0</v>
      </c>
      <c r="AM10" s="18">
        <v>0</v>
      </c>
      <c r="AN10" s="18">
        <v>0</v>
      </c>
      <c r="AO10" s="18">
        <v>0</v>
      </c>
      <c r="AP10" s="18">
        <v>0</v>
      </c>
      <c r="AQ10" s="18">
        <v>0</v>
      </c>
      <c r="AR10" s="18">
        <v>0</v>
      </c>
      <c r="AS10" s="18">
        <v>0</v>
      </c>
      <c r="AT10" s="18">
        <v>1</v>
      </c>
      <c r="AU10" s="18">
        <v>0</v>
      </c>
      <c r="AV10" s="18">
        <v>0</v>
      </c>
      <c r="AW10" s="18">
        <v>0</v>
      </c>
      <c r="AX10" s="18">
        <v>0</v>
      </c>
      <c r="AY10" s="13"/>
      <c r="AZ10" s="18">
        <v>1</v>
      </c>
      <c r="BA10" s="18">
        <v>2</v>
      </c>
      <c r="BB10" s="18">
        <v>59.95</v>
      </c>
      <c r="BC10" s="18" t="s">
        <v>155</v>
      </c>
      <c r="BD10" s="18" t="s">
        <v>75</v>
      </c>
      <c r="BE10" s="18" t="s">
        <v>98</v>
      </c>
      <c r="BF10" s="18" t="s">
        <v>77</v>
      </c>
      <c r="BG10" s="18">
        <v>2</v>
      </c>
      <c r="BH10" s="18">
        <v>220</v>
      </c>
      <c r="BI10" s="18">
        <v>0.009</v>
      </c>
      <c r="BJ10" s="18">
        <v>0</v>
      </c>
      <c r="BK10" s="18">
        <v>9</v>
      </c>
      <c r="BL10" s="18">
        <v>97.5</v>
      </c>
      <c r="BM10" s="13">
        <f t="shared" si="0"/>
        <v>725.67</v>
      </c>
    </row>
    <row r="11" customHeight="1" spans="1:65">
      <c r="A11" s="18" t="s">
        <v>151</v>
      </c>
      <c r="B11" s="18" t="s">
        <v>152</v>
      </c>
      <c r="C11" s="13"/>
      <c r="D11" s="13"/>
      <c r="E11" s="18" t="s">
        <v>81</v>
      </c>
      <c r="F11" s="18" t="s">
        <v>82</v>
      </c>
      <c r="G11" s="18" t="s">
        <v>83</v>
      </c>
      <c r="H11" s="18" t="s">
        <v>84</v>
      </c>
      <c r="I11" s="18" t="s">
        <v>153</v>
      </c>
      <c r="J11" s="18">
        <v>2</v>
      </c>
      <c r="K11" s="16">
        <v>79.99</v>
      </c>
      <c r="L11" s="10"/>
      <c r="M11" s="16">
        <v>0</v>
      </c>
      <c r="N11" s="16">
        <v>0</v>
      </c>
      <c r="O11" s="18">
        <v>0</v>
      </c>
      <c r="P11" s="18" t="s">
        <v>95</v>
      </c>
      <c r="Q11" s="18">
        <v>4.394326</v>
      </c>
      <c r="R11" s="10"/>
      <c r="S11" s="16">
        <v>802</v>
      </c>
      <c r="T11" s="16">
        <v>10</v>
      </c>
      <c r="U11" s="18" t="s">
        <v>151</v>
      </c>
      <c r="V11" s="18" t="s">
        <v>152</v>
      </c>
      <c r="W11" s="13"/>
      <c r="X11" s="13"/>
      <c r="Y11" s="18" t="s">
        <v>81</v>
      </c>
      <c r="Z11" s="18" t="s">
        <v>82</v>
      </c>
      <c r="AA11" s="18" t="s">
        <v>83</v>
      </c>
      <c r="AB11" s="18" t="s">
        <v>84</v>
      </c>
      <c r="AC11" s="18" t="s">
        <v>153</v>
      </c>
      <c r="AD11" s="18">
        <v>157.98</v>
      </c>
      <c r="AE11" s="18">
        <v>0</v>
      </c>
      <c r="AF11" s="18">
        <v>0</v>
      </c>
      <c r="AG11" s="18">
        <v>0</v>
      </c>
      <c r="AH11" s="18">
        <v>1</v>
      </c>
      <c r="AI11" s="18">
        <v>0</v>
      </c>
      <c r="AJ11" s="18">
        <v>0</v>
      </c>
      <c r="AK11" s="18">
        <v>0</v>
      </c>
      <c r="AL11" s="18">
        <v>0</v>
      </c>
      <c r="AM11" s="18">
        <v>0</v>
      </c>
      <c r="AN11" s="18">
        <v>0</v>
      </c>
      <c r="AO11" s="18">
        <v>0</v>
      </c>
      <c r="AP11" s="18">
        <v>0</v>
      </c>
      <c r="AQ11" s="18">
        <v>0</v>
      </c>
      <c r="AR11" s="18">
        <v>0</v>
      </c>
      <c r="AS11" s="18">
        <v>0</v>
      </c>
      <c r="AT11" s="18">
        <v>0</v>
      </c>
      <c r="AU11" s="18">
        <v>0</v>
      </c>
      <c r="AV11" s="18">
        <v>0</v>
      </c>
      <c r="AW11" s="18">
        <v>1</v>
      </c>
      <c r="AX11" s="18">
        <v>0</v>
      </c>
      <c r="AY11" s="13"/>
      <c r="AZ11" s="18">
        <v>1</v>
      </c>
      <c r="BA11" s="18">
        <v>2</v>
      </c>
      <c r="BB11" s="18">
        <v>64.59</v>
      </c>
      <c r="BC11" s="18" t="s">
        <v>155</v>
      </c>
      <c r="BD11" s="18" t="s">
        <v>156</v>
      </c>
      <c r="BE11" s="18" t="s">
        <v>98</v>
      </c>
      <c r="BF11" s="18" t="s">
        <v>77</v>
      </c>
      <c r="BG11" s="18">
        <v>2</v>
      </c>
      <c r="BH11" s="18">
        <v>220</v>
      </c>
      <c r="BI11" s="18">
        <v>0.009</v>
      </c>
      <c r="BJ11" s="18">
        <v>0</v>
      </c>
      <c r="BK11" s="18">
        <v>60</v>
      </c>
      <c r="BL11" s="18">
        <v>83.6</v>
      </c>
      <c r="BM11" s="13">
        <f t="shared" si="0"/>
        <v>64151.98</v>
      </c>
    </row>
    <row r="12" customHeight="1" spans="1:65">
      <c r="A12" s="18" t="s">
        <v>1541</v>
      </c>
      <c r="B12" s="18" t="s">
        <v>195</v>
      </c>
      <c r="C12" s="13"/>
      <c r="D12" s="18">
        <v>843261112729</v>
      </c>
      <c r="E12" s="18" t="s">
        <v>1542</v>
      </c>
      <c r="F12" s="18" t="s">
        <v>160</v>
      </c>
      <c r="G12" s="18" t="s">
        <v>83</v>
      </c>
      <c r="H12" s="18" t="s">
        <v>84</v>
      </c>
      <c r="I12" s="18" t="s">
        <v>85</v>
      </c>
      <c r="J12" s="18">
        <v>5</v>
      </c>
      <c r="K12" s="16">
        <v>27.95</v>
      </c>
      <c r="L12" s="10"/>
      <c r="M12" s="16">
        <v>0</v>
      </c>
      <c r="N12" s="16">
        <v>0</v>
      </c>
      <c r="O12" s="18">
        <v>0</v>
      </c>
      <c r="P12" s="18" t="s">
        <v>86</v>
      </c>
      <c r="Q12" s="18">
        <v>3.36557</v>
      </c>
      <c r="R12" s="10"/>
      <c r="S12" s="16">
        <v>386</v>
      </c>
      <c r="T12" s="16">
        <v>8</v>
      </c>
      <c r="U12" s="18" t="s">
        <v>1541</v>
      </c>
      <c r="V12" s="18" t="s">
        <v>195</v>
      </c>
      <c r="W12" s="13"/>
      <c r="X12" s="18">
        <v>843261112730</v>
      </c>
      <c r="Y12" s="18" t="s">
        <v>1542</v>
      </c>
      <c r="Z12" s="18" t="s">
        <v>160</v>
      </c>
      <c r="AA12" s="18" t="s">
        <v>83</v>
      </c>
      <c r="AB12" s="18" t="s">
        <v>84</v>
      </c>
      <c r="AC12" s="18" t="s">
        <v>85</v>
      </c>
      <c r="AD12" s="18">
        <v>50.9</v>
      </c>
      <c r="AE12" s="18">
        <v>0</v>
      </c>
      <c r="AF12" s="18">
        <v>0</v>
      </c>
      <c r="AG12" s="18">
        <v>0</v>
      </c>
      <c r="AH12" s="18">
        <v>0</v>
      </c>
      <c r="AI12" s="18">
        <v>0</v>
      </c>
      <c r="AJ12" s="18">
        <v>0</v>
      </c>
      <c r="AK12" s="18">
        <v>0</v>
      </c>
      <c r="AL12" s="18">
        <v>0</v>
      </c>
      <c r="AM12" s="18">
        <v>0</v>
      </c>
      <c r="AN12" s="18">
        <v>0</v>
      </c>
      <c r="AO12" s="18">
        <v>0</v>
      </c>
      <c r="AP12" s="18">
        <v>0</v>
      </c>
      <c r="AQ12" s="18">
        <v>0</v>
      </c>
      <c r="AR12" s="18">
        <v>0</v>
      </c>
      <c r="AS12" s="18">
        <v>0</v>
      </c>
      <c r="AT12" s="18">
        <v>0</v>
      </c>
      <c r="AU12" s="18">
        <v>0</v>
      </c>
      <c r="AV12" s="18">
        <v>0</v>
      </c>
      <c r="AW12" s="18">
        <v>0</v>
      </c>
      <c r="AX12" s="18">
        <v>0</v>
      </c>
      <c r="AY12" s="13"/>
      <c r="AZ12" s="18">
        <v>1</v>
      </c>
      <c r="BA12" s="18">
        <v>0</v>
      </c>
      <c r="BB12" s="18">
        <v>68.77</v>
      </c>
      <c r="BC12" s="18" t="s">
        <v>642</v>
      </c>
      <c r="BD12" s="18" t="s">
        <v>643</v>
      </c>
      <c r="BE12" s="18" t="s">
        <v>226</v>
      </c>
      <c r="BF12" s="18" t="s">
        <v>77</v>
      </c>
      <c r="BG12" s="18">
        <v>168</v>
      </c>
      <c r="BH12" s="18">
        <v>11</v>
      </c>
      <c r="BI12" s="18">
        <v>0.9385</v>
      </c>
      <c r="BJ12" s="18">
        <v>0</v>
      </c>
      <c r="BK12" s="18">
        <v>5</v>
      </c>
      <c r="BL12" s="18">
        <v>98.6</v>
      </c>
      <c r="BM12" s="13">
        <f t="shared" si="0"/>
        <v>10788.7</v>
      </c>
    </row>
    <row r="13" customHeight="1" spans="1:65">
      <c r="A13" s="18" t="s">
        <v>641</v>
      </c>
      <c r="B13" s="18" t="s">
        <v>195</v>
      </c>
      <c r="C13" s="13"/>
      <c r="D13" s="13"/>
      <c r="E13" s="18" t="s">
        <v>81</v>
      </c>
      <c r="F13" s="18" t="s">
        <v>160</v>
      </c>
      <c r="G13" s="18" t="s">
        <v>83</v>
      </c>
      <c r="H13" s="18" t="s">
        <v>84</v>
      </c>
      <c r="I13" s="18" t="s">
        <v>85</v>
      </c>
      <c r="J13" s="18">
        <v>5</v>
      </c>
      <c r="K13" s="16">
        <v>72.49</v>
      </c>
      <c r="L13" s="10"/>
      <c r="M13" s="16">
        <v>0</v>
      </c>
      <c r="N13" s="16">
        <v>0</v>
      </c>
      <c r="O13" s="18">
        <v>0</v>
      </c>
      <c r="P13" s="18" t="s">
        <v>86</v>
      </c>
      <c r="Q13" s="18">
        <v>4.297149</v>
      </c>
      <c r="R13" s="10"/>
      <c r="S13" s="16">
        <v>40</v>
      </c>
      <c r="T13" s="16">
        <v>10</v>
      </c>
      <c r="U13" s="18" t="s">
        <v>641</v>
      </c>
      <c r="V13" s="18" t="s">
        <v>195</v>
      </c>
      <c r="W13" s="13"/>
      <c r="X13" s="13"/>
      <c r="Y13" s="18" t="s">
        <v>81</v>
      </c>
      <c r="Z13" s="18" t="s">
        <v>160</v>
      </c>
      <c r="AA13" s="18" t="s">
        <v>83</v>
      </c>
      <c r="AB13" s="18" t="s">
        <v>84</v>
      </c>
      <c r="AC13" s="18" t="s">
        <v>85</v>
      </c>
      <c r="AD13" s="18">
        <v>139.98</v>
      </c>
      <c r="AE13" s="18">
        <v>0</v>
      </c>
      <c r="AF13" s="18">
        <v>0</v>
      </c>
      <c r="AG13" s="18">
        <v>0</v>
      </c>
      <c r="AH13" s="18">
        <v>1</v>
      </c>
      <c r="AI13" s="18">
        <v>0</v>
      </c>
      <c r="AJ13" s="18">
        <v>0</v>
      </c>
      <c r="AK13" s="18">
        <v>0</v>
      </c>
      <c r="AL13" s="18">
        <v>0</v>
      </c>
      <c r="AM13" s="18">
        <v>0</v>
      </c>
      <c r="AN13" s="18">
        <v>0</v>
      </c>
      <c r="AO13" s="18">
        <v>0</v>
      </c>
      <c r="AP13" s="18">
        <v>0</v>
      </c>
      <c r="AQ13" s="18">
        <v>0</v>
      </c>
      <c r="AR13" s="18">
        <v>0</v>
      </c>
      <c r="AS13" s="18">
        <v>0</v>
      </c>
      <c r="AT13" s="18">
        <v>0</v>
      </c>
      <c r="AU13" s="18">
        <v>1</v>
      </c>
      <c r="AV13" s="18">
        <v>0</v>
      </c>
      <c r="AW13" s="18">
        <v>0</v>
      </c>
      <c r="AX13" s="18">
        <v>0</v>
      </c>
      <c r="AY13" s="13"/>
      <c r="AZ13" s="18">
        <v>1</v>
      </c>
      <c r="BA13" s="18">
        <v>2</v>
      </c>
      <c r="BB13" s="18">
        <v>58.7</v>
      </c>
      <c r="BC13" s="18" t="s">
        <v>642</v>
      </c>
      <c r="BD13" s="18" t="s">
        <v>643</v>
      </c>
      <c r="BE13" s="18" t="s">
        <v>91</v>
      </c>
      <c r="BF13" s="18" t="s">
        <v>77</v>
      </c>
      <c r="BG13" s="18">
        <v>168</v>
      </c>
      <c r="BH13" s="18">
        <v>11</v>
      </c>
      <c r="BI13" s="18">
        <v>0.9385</v>
      </c>
      <c r="BJ13" s="18">
        <v>0</v>
      </c>
      <c r="BK13" s="18">
        <v>40</v>
      </c>
      <c r="BL13" s="18">
        <v>89</v>
      </c>
      <c r="BM13" s="13">
        <f t="shared" si="0"/>
        <v>2899.6</v>
      </c>
    </row>
    <row r="14" customHeight="1" spans="1:65">
      <c r="A14" s="18" t="s">
        <v>652</v>
      </c>
      <c r="B14" s="18" t="s">
        <v>195</v>
      </c>
      <c r="C14" s="13"/>
      <c r="D14" s="13"/>
      <c r="E14" s="18" t="s">
        <v>653</v>
      </c>
      <c r="F14" s="18" t="s">
        <v>198</v>
      </c>
      <c r="G14" s="18" t="s">
        <v>83</v>
      </c>
      <c r="H14" s="18" t="s">
        <v>84</v>
      </c>
      <c r="I14" s="18" t="s">
        <v>85</v>
      </c>
      <c r="J14" s="18">
        <v>5</v>
      </c>
      <c r="K14" s="16">
        <v>7.95</v>
      </c>
      <c r="L14" s="10"/>
      <c r="M14" s="16">
        <v>0</v>
      </c>
      <c r="N14" s="16">
        <v>0</v>
      </c>
      <c r="O14" s="18">
        <v>0</v>
      </c>
      <c r="P14" s="18" t="s">
        <v>133</v>
      </c>
      <c r="Q14" s="18">
        <v>2.191654</v>
      </c>
      <c r="R14" s="10"/>
      <c r="S14" s="16">
        <v>1155</v>
      </c>
      <c r="T14" s="16">
        <v>10</v>
      </c>
      <c r="U14" s="18" t="s">
        <v>652</v>
      </c>
      <c r="V14" s="18" t="s">
        <v>195</v>
      </c>
      <c r="W14" s="13"/>
      <c r="X14" s="13"/>
      <c r="Y14" s="18" t="s">
        <v>653</v>
      </c>
      <c r="Z14" s="18" t="s">
        <v>198</v>
      </c>
      <c r="AA14" s="18" t="s">
        <v>83</v>
      </c>
      <c r="AB14" s="18" t="s">
        <v>84</v>
      </c>
      <c r="AC14" s="18" t="s">
        <v>85</v>
      </c>
      <c r="AD14" s="18">
        <v>10.9</v>
      </c>
      <c r="AE14" s="18">
        <v>0</v>
      </c>
      <c r="AF14" s="18">
        <v>0</v>
      </c>
      <c r="AG14" s="18">
        <v>0</v>
      </c>
      <c r="AH14" s="18">
        <v>0</v>
      </c>
      <c r="AI14" s="18">
        <v>0</v>
      </c>
      <c r="AJ14" s="18">
        <v>0</v>
      </c>
      <c r="AK14" s="18">
        <v>0</v>
      </c>
      <c r="AL14" s="18">
        <v>0</v>
      </c>
      <c r="AM14" s="18">
        <v>0</v>
      </c>
      <c r="AN14" s="18">
        <v>0</v>
      </c>
      <c r="AO14" s="18">
        <v>0</v>
      </c>
      <c r="AP14" s="18">
        <v>0</v>
      </c>
      <c r="AQ14" s="18">
        <v>0</v>
      </c>
      <c r="AR14" s="18">
        <v>0</v>
      </c>
      <c r="AS14" s="18">
        <v>0</v>
      </c>
      <c r="AT14" s="18">
        <v>0</v>
      </c>
      <c r="AU14" s="18">
        <v>0</v>
      </c>
      <c r="AV14" s="18">
        <v>0</v>
      </c>
      <c r="AW14" s="18">
        <v>0</v>
      </c>
      <c r="AX14" s="18">
        <v>0</v>
      </c>
      <c r="AY14" s="13"/>
      <c r="AZ14" s="18">
        <v>1</v>
      </c>
      <c r="BA14" s="18">
        <v>0</v>
      </c>
      <c r="BB14" s="18">
        <v>67.86</v>
      </c>
      <c r="BC14" s="18" t="s">
        <v>642</v>
      </c>
      <c r="BD14" s="18" t="s">
        <v>643</v>
      </c>
      <c r="BE14" s="18" t="s">
        <v>91</v>
      </c>
      <c r="BF14" s="18" t="s">
        <v>77</v>
      </c>
      <c r="BG14" s="18">
        <v>168</v>
      </c>
      <c r="BH14" s="18">
        <v>11</v>
      </c>
      <c r="BI14" s="18">
        <v>0.9385</v>
      </c>
      <c r="BJ14" s="18">
        <v>0</v>
      </c>
      <c r="BK14" s="18">
        <v>22</v>
      </c>
      <c r="BL14" s="18">
        <v>94</v>
      </c>
      <c r="BM14" s="13">
        <f t="shared" si="0"/>
        <v>9182.25</v>
      </c>
    </row>
    <row r="15" customHeight="1" spans="1:65">
      <c r="A15" s="18" t="s">
        <v>647</v>
      </c>
      <c r="B15" s="18" t="s">
        <v>553</v>
      </c>
      <c r="C15" s="13"/>
      <c r="D15" s="13"/>
      <c r="E15" s="18" t="s">
        <v>559</v>
      </c>
      <c r="F15" s="18" t="s">
        <v>240</v>
      </c>
      <c r="G15" s="18" t="s">
        <v>553</v>
      </c>
      <c r="H15" s="18" t="s">
        <v>69</v>
      </c>
      <c r="I15" s="18" t="s">
        <v>85</v>
      </c>
      <c r="J15" s="18">
        <v>5</v>
      </c>
      <c r="K15" s="16">
        <v>129.5</v>
      </c>
      <c r="L15" s="10"/>
      <c r="M15" s="16">
        <v>0</v>
      </c>
      <c r="N15" s="16">
        <v>0</v>
      </c>
      <c r="O15" s="18">
        <v>0</v>
      </c>
      <c r="P15" s="18" t="s">
        <v>95</v>
      </c>
      <c r="Q15" s="18">
        <v>4.871373</v>
      </c>
      <c r="R15" s="16">
        <v>8.09</v>
      </c>
      <c r="S15" s="10"/>
      <c r="T15" s="10"/>
      <c r="U15" s="18" t="s">
        <v>647</v>
      </c>
      <c r="V15" s="18" t="s">
        <v>553</v>
      </c>
      <c r="W15" s="13"/>
      <c r="X15" s="13"/>
      <c r="Y15" s="18" t="s">
        <v>559</v>
      </c>
      <c r="Z15" s="18" t="s">
        <v>240</v>
      </c>
      <c r="AA15" s="18" t="s">
        <v>553</v>
      </c>
      <c r="AB15" s="18" t="s">
        <v>69</v>
      </c>
      <c r="AC15" s="18" t="s">
        <v>85</v>
      </c>
      <c r="AD15" s="18">
        <v>254</v>
      </c>
      <c r="AE15" s="18">
        <v>0</v>
      </c>
      <c r="AF15" s="18">
        <v>0</v>
      </c>
      <c r="AG15" s="18">
        <v>0</v>
      </c>
      <c r="AH15" s="18">
        <v>0</v>
      </c>
      <c r="AI15" s="18">
        <v>0</v>
      </c>
      <c r="AJ15" s="18">
        <v>0</v>
      </c>
      <c r="AK15" s="18">
        <v>0</v>
      </c>
      <c r="AL15" s="18">
        <v>0</v>
      </c>
      <c r="AM15" s="18">
        <v>0</v>
      </c>
      <c r="AN15" s="18">
        <v>0</v>
      </c>
      <c r="AO15" s="18">
        <v>0</v>
      </c>
      <c r="AP15" s="18">
        <v>0</v>
      </c>
      <c r="AQ15" s="18">
        <v>1</v>
      </c>
      <c r="AR15" s="18">
        <v>0</v>
      </c>
      <c r="AS15" s="18">
        <v>0</v>
      </c>
      <c r="AT15" s="18">
        <v>0</v>
      </c>
      <c r="AU15" s="18">
        <v>0</v>
      </c>
      <c r="AV15" s="18">
        <v>1</v>
      </c>
      <c r="AW15" s="18">
        <v>0</v>
      </c>
      <c r="AX15" s="18">
        <v>0</v>
      </c>
      <c r="AY15" s="18">
        <v>16</v>
      </c>
      <c r="AZ15" s="18">
        <v>1</v>
      </c>
      <c r="BA15" s="18">
        <v>1</v>
      </c>
      <c r="BB15" s="18">
        <v>0</v>
      </c>
      <c r="BC15" s="18" t="s">
        <v>648</v>
      </c>
      <c r="BD15" s="18" t="s">
        <v>649</v>
      </c>
      <c r="BE15" s="18" t="s">
        <v>650</v>
      </c>
      <c r="BF15" s="18" t="s">
        <v>77</v>
      </c>
      <c r="BG15" s="18">
        <v>168</v>
      </c>
      <c r="BH15" s="18">
        <v>11</v>
      </c>
      <c r="BI15" s="18">
        <v>0.9385</v>
      </c>
      <c r="BJ15" s="18">
        <v>0</v>
      </c>
      <c r="BK15" s="13"/>
      <c r="BL15" s="13"/>
      <c r="BM15" s="13">
        <f t="shared" si="0"/>
        <v>0</v>
      </c>
    </row>
    <row r="16" customHeight="1" spans="1:65">
      <c r="A16" s="18" t="s">
        <v>657</v>
      </c>
      <c r="B16" s="18" t="s">
        <v>658</v>
      </c>
      <c r="C16" s="13"/>
      <c r="D16" s="13"/>
      <c r="E16" s="18" t="s">
        <v>659</v>
      </c>
      <c r="F16" s="18" t="s">
        <v>240</v>
      </c>
      <c r="G16" s="18" t="s">
        <v>83</v>
      </c>
      <c r="H16" s="18" t="s">
        <v>84</v>
      </c>
      <c r="I16" s="18" t="s">
        <v>153</v>
      </c>
      <c r="J16" s="18">
        <v>2</v>
      </c>
      <c r="K16" s="16">
        <v>199.99</v>
      </c>
      <c r="L16" s="10"/>
      <c r="M16" s="16">
        <v>0</v>
      </c>
      <c r="N16" s="16">
        <v>0</v>
      </c>
      <c r="O16" s="18">
        <v>0</v>
      </c>
      <c r="P16" s="18" t="s">
        <v>95</v>
      </c>
      <c r="Q16" s="18">
        <v>5.303255</v>
      </c>
      <c r="R16" s="16">
        <v>50</v>
      </c>
      <c r="S16" s="16">
        <v>3</v>
      </c>
      <c r="T16" s="16">
        <v>2</v>
      </c>
      <c r="U16" s="18" t="s">
        <v>657</v>
      </c>
      <c r="V16" s="18" t="s">
        <v>658</v>
      </c>
      <c r="W16" s="13"/>
      <c r="X16" s="13"/>
      <c r="Y16" s="18" t="s">
        <v>659</v>
      </c>
      <c r="Z16" s="18" t="s">
        <v>240</v>
      </c>
      <c r="AA16" s="18" t="s">
        <v>83</v>
      </c>
      <c r="AB16" s="18" t="s">
        <v>84</v>
      </c>
      <c r="AC16" s="18" t="s">
        <v>153</v>
      </c>
      <c r="AD16" s="18">
        <v>397.98</v>
      </c>
      <c r="AE16" s="18">
        <v>0</v>
      </c>
      <c r="AF16" s="18">
        <v>0</v>
      </c>
      <c r="AG16" s="18">
        <v>1</v>
      </c>
      <c r="AH16" s="18">
        <v>0</v>
      </c>
      <c r="AI16" s="18">
        <v>1</v>
      </c>
      <c r="AJ16" s="18">
        <v>0</v>
      </c>
      <c r="AK16" s="18">
        <v>0</v>
      </c>
      <c r="AL16" s="18">
        <v>0</v>
      </c>
      <c r="AM16" s="18">
        <v>0</v>
      </c>
      <c r="AN16" s="18">
        <v>0</v>
      </c>
      <c r="AO16" s="18">
        <v>0</v>
      </c>
      <c r="AP16" s="18">
        <v>0</v>
      </c>
      <c r="AQ16" s="18">
        <v>0</v>
      </c>
      <c r="AR16" s="18">
        <v>0</v>
      </c>
      <c r="AS16" s="18">
        <v>0</v>
      </c>
      <c r="AT16" s="18">
        <v>0</v>
      </c>
      <c r="AU16" s="18">
        <v>0</v>
      </c>
      <c r="AV16" s="18">
        <v>0</v>
      </c>
      <c r="AW16" s="18">
        <v>1</v>
      </c>
      <c r="AX16" s="18">
        <v>0</v>
      </c>
      <c r="AY16" s="18">
        <v>4</v>
      </c>
      <c r="AZ16" s="18">
        <v>1</v>
      </c>
      <c r="BA16" s="18">
        <v>0</v>
      </c>
      <c r="BB16" s="18">
        <v>24</v>
      </c>
      <c r="BC16" s="18" t="s">
        <v>660</v>
      </c>
      <c r="BD16" s="18" t="s">
        <v>661</v>
      </c>
      <c r="BE16" s="18" t="s">
        <v>363</v>
      </c>
      <c r="BF16" s="18" t="s">
        <v>77</v>
      </c>
      <c r="BG16" s="18">
        <v>162</v>
      </c>
      <c r="BH16" s="18">
        <v>20</v>
      </c>
      <c r="BI16" s="18">
        <v>0.8901</v>
      </c>
      <c r="BJ16" s="18">
        <v>0</v>
      </c>
      <c r="BK16" s="18">
        <v>619</v>
      </c>
      <c r="BL16" s="18">
        <v>0</v>
      </c>
      <c r="BM16" s="13">
        <f t="shared" si="0"/>
        <v>599.97</v>
      </c>
    </row>
    <row r="17" customHeight="1" spans="1:65">
      <c r="A17" s="18" t="s">
        <v>662</v>
      </c>
      <c r="B17" s="18" t="s">
        <v>370</v>
      </c>
      <c r="C17" s="13"/>
      <c r="D17" s="13"/>
      <c r="E17" s="18" t="s">
        <v>559</v>
      </c>
      <c r="F17" s="18" t="s">
        <v>240</v>
      </c>
      <c r="G17" s="18" t="s">
        <v>83</v>
      </c>
      <c r="H17" s="18" t="s">
        <v>84</v>
      </c>
      <c r="I17" s="18" t="s">
        <v>203</v>
      </c>
      <c r="J17" s="18">
        <v>4</v>
      </c>
      <c r="K17" s="16">
        <v>300</v>
      </c>
      <c r="L17" s="10"/>
      <c r="M17" s="16">
        <v>0</v>
      </c>
      <c r="N17" s="16">
        <v>0</v>
      </c>
      <c r="O17" s="18">
        <v>0</v>
      </c>
      <c r="P17" s="18" t="s">
        <v>71</v>
      </c>
      <c r="Q17" s="18">
        <v>5.70711</v>
      </c>
      <c r="R17" s="10"/>
      <c r="S17" s="10"/>
      <c r="T17" s="10"/>
      <c r="U17" s="18" t="s">
        <v>662</v>
      </c>
      <c r="V17" s="18" t="s">
        <v>370</v>
      </c>
      <c r="W17" s="13"/>
      <c r="X17" s="13"/>
      <c r="Y17" s="18" t="s">
        <v>559</v>
      </c>
      <c r="Z17" s="18" t="s">
        <v>240</v>
      </c>
      <c r="AA17" s="18" t="s">
        <v>83</v>
      </c>
      <c r="AB17" s="18" t="s">
        <v>84</v>
      </c>
      <c r="AC17" s="18" t="s">
        <v>203</v>
      </c>
      <c r="AD17" s="18">
        <v>596</v>
      </c>
      <c r="AE17" s="18">
        <v>0</v>
      </c>
      <c r="AF17" s="18">
        <v>0</v>
      </c>
      <c r="AG17" s="18">
        <v>0</v>
      </c>
      <c r="AH17" s="18">
        <v>0</v>
      </c>
      <c r="AI17" s="18">
        <v>0</v>
      </c>
      <c r="AJ17" s="18">
        <v>0</v>
      </c>
      <c r="AK17" s="18">
        <v>0</v>
      </c>
      <c r="AL17" s="18">
        <v>0</v>
      </c>
      <c r="AM17" s="18">
        <v>0</v>
      </c>
      <c r="AN17" s="18">
        <v>0</v>
      </c>
      <c r="AO17" s="18">
        <v>0</v>
      </c>
      <c r="AP17" s="18">
        <v>0</v>
      </c>
      <c r="AQ17" s="18">
        <v>1</v>
      </c>
      <c r="AR17" s="18">
        <v>0</v>
      </c>
      <c r="AS17" s="18">
        <v>0</v>
      </c>
      <c r="AT17" s="18">
        <v>0</v>
      </c>
      <c r="AU17" s="18">
        <v>0</v>
      </c>
      <c r="AV17" s="18">
        <v>1</v>
      </c>
      <c r="AW17" s="18">
        <v>0</v>
      </c>
      <c r="AX17" s="18">
        <v>0</v>
      </c>
      <c r="AY17" s="13"/>
      <c r="AZ17" s="18">
        <v>1</v>
      </c>
      <c r="BA17" s="18">
        <v>1</v>
      </c>
      <c r="BB17" s="18">
        <v>28.53</v>
      </c>
      <c r="BC17" s="18" t="s">
        <v>663</v>
      </c>
      <c r="BD17" s="18" t="s">
        <v>664</v>
      </c>
      <c r="BE17" s="18" t="s">
        <v>665</v>
      </c>
      <c r="BF17" s="18" t="s">
        <v>77</v>
      </c>
      <c r="BG17" s="18">
        <v>168</v>
      </c>
      <c r="BH17" s="18">
        <v>11</v>
      </c>
      <c r="BI17" s="18">
        <v>0.9385</v>
      </c>
      <c r="BJ17" s="18">
        <v>0</v>
      </c>
      <c r="BK17" s="18">
        <v>18</v>
      </c>
      <c r="BL17" s="18">
        <v>95.1</v>
      </c>
      <c r="BM17" s="13">
        <f t="shared" si="0"/>
        <v>0</v>
      </c>
    </row>
    <row r="18" customHeight="1" spans="1:65">
      <c r="A18" s="18" t="s">
        <v>1046</v>
      </c>
      <c r="B18" s="18" t="s">
        <v>370</v>
      </c>
      <c r="C18" s="13"/>
      <c r="D18" s="13"/>
      <c r="E18" s="18" t="s">
        <v>239</v>
      </c>
      <c r="F18" s="18" t="s">
        <v>240</v>
      </c>
      <c r="G18" s="18" t="s">
        <v>83</v>
      </c>
      <c r="H18" s="18" t="s">
        <v>84</v>
      </c>
      <c r="I18" s="18" t="s">
        <v>203</v>
      </c>
      <c r="J18" s="18">
        <v>4</v>
      </c>
      <c r="K18" s="16">
        <v>200</v>
      </c>
      <c r="L18" s="10"/>
      <c r="M18" s="16">
        <v>0</v>
      </c>
      <c r="N18" s="16">
        <v>0</v>
      </c>
      <c r="O18" s="18">
        <v>0</v>
      </c>
      <c r="P18" s="18" t="s">
        <v>71</v>
      </c>
      <c r="Q18" s="18">
        <v>5.303305</v>
      </c>
      <c r="R18" s="10"/>
      <c r="S18" s="10"/>
      <c r="T18" s="10"/>
      <c r="U18" s="18" t="s">
        <v>1046</v>
      </c>
      <c r="V18" s="18" t="s">
        <v>370</v>
      </c>
      <c r="W18" s="13"/>
      <c r="X18" s="13"/>
      <c r="Y18" s="18" t="s">
        <v>239</v>
      </c>
      <c r="Z18" s="18" t="s">
        <v>240</v>
      </c>
      <c r="AA18" s="18" t="s">
        <v>83</v>
      </c>
      <c r="AB18" s="18" t="s">
        <v>84</v>
      </c>
      <c r="AC18" s="18" t="s">
        <v>203</v>
      </c>
      <c r="AD18" s="18">
        <v>396</v>
      </c>
      <c r="AE18" s="18">
        <v>0</v>
      </c>
      <c r="AF18" s="18">
        <v>0</v>
      </c>
      <c r="AG18" s="18">
        <v>1</v>
      </c>
      <c r="AH18" s="18">
        <v>0</v>
      </c>
      <c r="AI18" s="18">
        <v>0</v>
      </c>
      <c r="AJ18" s="18">
        <v>0</v>
      </c>
      <c r="AK18" s="18">
        <v>0</v>
      </c>
      <c r="AL18" s="18">
        <v>0</v>
      </c>
      <c r="AM18" s="18">
        <v>0</v>
      </c>
      <c r="AN18" s="18">
        <v>0</v>
      </c>
      <c r="AO18" s="18">
        <v>0</v>
      </c>
      <c r="AP18" s="18">
        <v>0</v>
      </c>
      <c r="AQ18" s="18">
        <v>1</v>
      </c>
      <c r="AR18" s="18">
        <v>0</v>
      </c>
      <c r="AS18" s="18">
        <v>0</v>
      </c>
      <c r="AT18" s="18">
        <v>0</v>
      </c>
      <c r="AU18" s="18">
        <v>0</v>
      </c>
      <c r="AV18" s="18">
        <v>1</v>
      </c>
      <c r="AW18" s="18">
        <v>0</v>
      </c>
      <c r="AX18" s="18">
        <v>0</v>
      </c>
      <c r="AY18" s="13"/>
      <c r="AZ18" s="18">
        <v>1</v>
      </c>
      <c r="BA18" s="18">
        <v>1</v>
      </c>
      <c r="BB18" s="18">
        <v>28.59</v>
      </c>
      <c r="BC18" s="18" t="s">
        <v>663</v>
      </c>
      <c r="BD18" s="13"/>
      <c r="BE18" s="13"/>
      <c r="BF18" s="13"/>
      <c r="BG18" s="18">
        <v>0</v>
      </c>
      <c r="BH18" s="18">
        <v>0</v>
      </c>
      <c r="BI18" s="13"/>
      <c r="BJ18" s="18">
        <v>0</v>
      </c>
      <c r="BK18" s="18">
        <v>17</v>
      </c>
      <c r="BL18" s="18">
        <v>95.3</v>
      </c>
      <c r="BM18" s="13">
        <f t="shared" si="0"/>
        <v>0</v>
      </c>
    </row>
    <row r="19" customHeight="1" spans="1:65">
      <c r="A19" s="18" t="s">
        <v>389</v>
      </c>
      <c r="B19" s="18" t="s">
        <v>125</v>
      </c>
      <c r="C19" s="13"/>
      <c r="D19" s="13"/>
      <c r="E19" s="18" t="s">
        <v>390</v>
      </c>
      <c r="F19" s="18" t="s">
        <v>240</v>
      </c>
      <c r="G19" s="18" t="s">
        <v>83</v>
      </c>
      <c r="H19" s="18" t="s">
        <v>138</v>
      </c>
      <c r="I19" s="18" t="s">
        <v>85</v>
      </c>
      <c r="J19" s="18">
        <v>5</v>
      </c>
      <c r="K19" s="16">
        <v>29.98</v>
      </c>
      <c r="L19" s="10"/>
      <c r="M19" s="16">
        <v>0</v>
      </c>
      <c r="N19" s="16">
        <v>0</v>
      </c>
      <c r="O19" s="18">
        <v>0</v>
      </c>
      <c r="P19" s="18" t="s">
        <v>86</v>
      </c>
      <c r="Q19" s="18">
        <v>3.433342</v>
      </c>
      <c r="R19" s="10"/>
      <c r="S19" s="16">
        <v>117</v>
      </c>
      <c r="T19" s="16">
        <v>10</v>
      </c>
      <c r="U19" s="18" t="s">
        <v>389</v>
      </c>
      <c r="V19" s="18" t="s">
        <v>125</v>
      </c>
      <c r="W19" s="13"/>
      <c r="X19" s="13"/>
      <c r="Y19" s="18" t="s">
        <v>390</v>
      </c>
      <c r="Z19" s="18" t="s">
        <v>240</v>
      </c>
      <c r="AA19" s="18" t="s">
        <v>83</v>
      </c>
      <c r="AB19" s="18" t="s">
        <v>138</v>
      </c>
      <c r="AC19" s="18" t="s">
        <v>85</v>
      </c>
      <c r="AD19" s="18">
        <v>54.96</v>
      </c>
      <c r="AE19" s="18">
        <v>0</v>
      </c>
      <c r="AF19" s="18">
        <v>0</v>
      </c>
      <c r="AG19" s="18">
        <v>0</v>
      </c>
      <c r="AH19" s="18">
        <v>0</v>
      </c>
      <c r="AI19" s="18">
        <v>0</v>
      </c>
      <c r="AJ19" s="18">
        <v>0</v>
      </c>
      <c r="AK19" s="18">
        <v>0</v>
      </c>
      <c r="AL19" s="18">
        <v>0</v>
      </c>
      <c r="AM19" s="18">
        <v>0</v>
      </c>
      <c r="AN19" s="18">
        <v>0</v>
      </c>
      <c r="AO19" s="18">
        <v>0</v>
      </c>
      <c r="AP19" s="18">
        <v>0</v>
      </c>
      <c r="AQ19" s="18">
        <v>1</v>
      </c>
      <c r="AR19" s="18">
        <v>0</v>
      </c>
      <c r="AS19" s="18">
        <v>0</v>
      </c>
      <c r="AT19" s="18">
        <v>0</v>
      </c>
      <c r="AU19" s="18">
        <v>0</v>
      </c>
      <c r="AV19" s="18">
        <v>1</v>
      </c>
      <c r="AW19" s="18">
        <v>0</v>
      </c>
      <c r="AX19" s="18">
        <v>0</v>
      </c>
      <c r="AY19" s="13"/>
      <c r="AZ19" s="18">
        <v>1</v>
      </c>
      <c r="BA19" s="18">
        <v>1</v>
      </c>
      <c r="BB19" s="18">
        <v>66.7</v>
      </c>
      <c r="BC19" s="18" t="s">
        <v>666</v>
      </c>
      <c r="BD19" s="18" t="s">
        <v>393</v>
      </c>
      <c r="BE19" s="18" t="s">
        <v>393</v>
      </c>
      <c r="BF19" s="18" t="s">
        <v>77</v>
      </c>
      <c r="BG19" s="18">
        <v>1</v>
      </c>
      <c r="BH19" s="18">
        <v>226</v>
      </c>
      <c r="BI19" s="18">
        <v>0.0044</v>
      </c>
      <c r="BJ19" s="18">
        <v>1</v>
      </c>
      <c r="BK19" s="18">
        <v>2</v>
      </c>
      <c r="BL19" s="18">
        <v>99.5</v>
      </c>
      <c r="BM19" s="13">
        <f t="shared" si="0"/>
        <v>3507.66</v>
      </c>
    </row>
    <row r="20" customHeight="1" spans="1:65">
      <c r="A20" s="18" t="s">
        <v>669</v>
      </c>
      <c r="B20" s="18" t="s">
        <v>115</v>
      </c>
      <c r="C20" s="13"/>
      <c r="D20" s="13"/>
      <c r="E20" s="18" t="s">
        <v>670</v>
      </c>
      <c r="F20" s="18" t="s">
        <v>82</v>
      </c>
      <c r="G20" s="18" t="s">
        <v>117</v>
      </c>
      <c r="H20" s="18" t="s">
        <v>107</v>
      </c>
      <c r="I20" s="18" t="s">
        <v>85</v>
      </c>
      <c r="J20" s="18">
        <v>5</v>
      </c>
      <c r="K20" s="16">
        <v>7.95</v>
      </c>
      <c r="L20" s="10"/>
      <c r="M20" s="16">
        <v>0</v>
      </c>
      <c r="N20" s="16">
        <v>0</v>
      </c>
      <c r="O20" s="18">
        <v>0</v>
      </c>
      <c r="P20" s="18" t="s">
        <v>133</v>
      </c>
      <c r="Q20" s="18">
        <v>2.191654</v>
      </c>
      <c r="R20" s="10"/>
      <c r="S20" s="16">
        <v>543</v>
      </c>
      <c r="T20" s="16">
        <v>10</v>
      </c>
      <c r="U20" s="18" t="s">
        <v>669</v>
      </c>
      <c r="V20" s="18" t="s">
        <v>115</v>
      </c>
      <c r="W20" s="13"/>
      <c r="X20" s="13"/>
      <c r="Y20" s="18" t="s">
        <v>670</v>
      </c>
      <c r="Z20" s="18" t="s">
        <v>82</v>
      </c>
      <c r="AA20" s="18" t="s">
        <v>117</v>
      </c>
      <c r="AB20" s="18" t="s">
        <v>107</v>
      </c>
      <c r="AC20" s="18" t="s">
        <v>85</v>
      </c>
      <c r="AD20" s="18">
        <v>10.9</v>
      </c>
      <c r="AE20" s="18">
        <v>0</v>
      </c>
      <c r="AF20" s="18">
        <v>0</v>
      </c>
      <c r="AG20" s="18">
        <v>0</v>
      </c>
      <c r="AH20" s="18">
        <v>0</v>
      </c>
      <c r="AI20" s="18">
        <v>0</v>
      </c>
      <c r="AJ20" s="18">
        <v>0</v>
      </c>
      <c r="AK20" s="18">
        <v>0</v>
      </c>
      <c r="AL20" s="18">
        <v>0</v>
      </c>
      <c r="AM20" s="18">
        <v>0</v>
      </c>
      <c r="AN20" s="18">
        <v>0</v>
      </c>
      <c r="AO20" s="18">
        <v>0</v>
      </c>
      <c r="AP20" s="18">
        <v>0</v>
      </c>
      <c r="AQ20" s="18">
        <v>0</v>
      </c>
      <c r="AR20" s="18">
        <v>0</v>
      </c>
      <c r="AS20" s="18">
        <v>0</v>
      </c>
      <c r="AT20" s="18">
        <v>0</v>
      </c>
      <c r="AU20" s="18">
        <v>0</v>
      </c>
      <c r="AV20" s="18">
        <v>0</v>
      </c>
      <c r="AW20" s="18">
        <v>1</v>
      </c>
      <c r="AX20" s="18">
        <v>0</v>
      </c>
      <c r="AY20" s="13"/>
      <c r="AZ20" s="18">
        <v>1</v>
      </c>
      <c r="BA20" s="18">
        <v>0</v>
      </c>
      <c r="BB20" s="18">
        <v>68.8</v>
      </c>
      <c r="BC20" s="18" t="s">
        <v>671</v>
      </c>
      <c r="BD20" s="18" t="s">
        <v>672</v>
      </c>
      <c r="BE20" s="18" t="s">
        <v>673</v>
      </c>
      <c r="BF20" s="18" t="s">
        <v>77</v>
      </c>
      <c r="BG20" s="18">
        <v>168</v>
      </c>
      <c r="BH20" s="18">
        <v>11</v>
      </c>
      <c r="BI20" s="18">
        <v>0.9385</v>
      </c>
      <c r="BJ20" s="18">
        <v>0</v>
      </c>
      <c r="BK20" s="18">
        <v>6</v>
      </c>
      <c r="BL20" s="18">
        <v>98.4</v>
      </c>
      <c r="BM20" s="13">
        <f t="shared" si="0"/>
        <v>4316.85</v>
      </c>
    </row>
    <row r="21" customHeight="1" spans="1:65">
      <c r="A21" s="18" t="s">
        <v>943</v>
      </c>
      <c r="B21" s="18" t="s">
        <v>115</v>
      </c>
      <c r="C21" s="13"/>
      <c r="D21" s="13"/>
      <c r="E21" s="18" t="s">
        <v>670</v>
      </c>
      <c r="F21" s="18" t="s">
        <v>82</v>
      </c>
      <c r="G21" s="18" t="s">
        <v>117</v>
      </c>
      <c r="H21" s="18" t="s">
        <v>107</v>
      </c>
      <c r="I21" s="18" t="s">
        <v>85</v>
      </c>
      <c r="J21" s="18">
        <v>5</v>
      </c>
      <c r="K21" s="16">
        <v>7.95</v>
      </c>
      <c r="L21" s="10"/>
      <c r="M21" s="16">
        <v>0</v>
      </c>
      <c r="N21" s="16">
        <v>0</v>
      </c>
      <c r="O21" s="18">
        <v>0</v>
      </c>
      <c r="P21" s="18" t="s">
        <v>133</v>
      </c>
      <c r="Q21" s="18">
        <v>2.191654</v>
      </c>
      <c r="R21" s="10"/>
      <c r="S21" s="16">
        <v>367</v>
      </c>
      <c r="T21" s="16">
        <v>10</v>
      </c>
      <c r="U21" s="18" t="s">
        <v>943</v>
      </c>
      <c r="V21" s="18" t="s">
        <v>115</v>
      </c>
      <c r="W21" s="13"/>
      <c r="X21" s="13"/>
      <c r="Y21" s="18" t="s">
        <v>670</v>
      </c>
      <c r="Z21" s="18" t="s">
        <v>82</v>
      </c>
      <c r="AA21" s="18" t="s">
        <v>117</v>
      </c>
      <c r="AB21" s="18" t="s">
        <v>107</v>
      </c>
      <c r="AC21" s="18" t="s">
        <v>85</v>
      </c>
      <c r="AD21" s="18">
        <v>10.9</v>
      </c>
      <c r="AE21" s="18">
        <v>0</v>
      </c>
      <c r="AF21" s="18">
        <v>0</v>
      </c>
      <c r="AG21" s="18">
        <v>0</v>
      </c>
      <c r="AH21" s="18">
        <v>0</v>
      </c>
      <c r="AI21" s="18">
        <v>0</v>
      </c>
      <c r="AJ21" s="18">
        <v>0</v>
      </c>
      <c r="AK21" s="18">
        <v>0</v>
      </c>
      <c r="AL21" s="18">
        <v>0</v>
      </c>
      <c r="AM21" s="18">
        <v>0</v>
      </c>
      <c r="AN21" s="18">
        <v>0</v>
      </c>
      <c r="AO21" s="18">
        <v>0</v>
      </c>
      <c r="AP21" s="18">
        <v>0</v>
      </c>
      <c r="AQ21" s="18">
        <v>0</v>
      </c>
      <c r="AR21" s="18">
        <v>0</v>
      </c>
      <c r="AS21" s="18">
        <v>0</v>
      </c>
      <c r="AT21" s="18">
        <v>0</v>
      </c>
      <c r="AU21" s="18">
        <v>0</v>
      </c>
      <c r="AV21" s="18">
        <v>0</v>
      </c>
      <c r="AW21" s="18">
        <v>1</v>
      </c>
      <c r="AX21" s="18">
        <v>0</v>
      </c>
      <c r="AY21" s="13"/>
      <c r="AZ21" s="18">
        <v>1</v>
      </c>
      <c r="BA21" s="18">
        <v>0</v>
      </c>
      <c r="BB21" s="18">
        <v>68.46</v>
      </c>
      <c r="BC21" s="18" t="s">
        <v>671</v>
      </c>
      <c r="BD21" s="18" t="s">
        <v>672</v>
      </c>
      <c r="BE21" s="18" t="s">
        <v>673</v>
      </c>
      <c r="BF21" s="18" t="s">
        <v>77</v>
      </c>
      <c r="BG21" s="18">
        <v>168</v>
      </c>
      <c r="BH21" s="18">
        <v>11</v>
      </c>
      <c r="BI21" s="18">
        <v>0.9385</v>
      </c>
      <c r="BJ21" s="18">
        <v>0</v>
      </c>
      <c r="BK21" s="18">
        <v>6</v>
      </c>
      <c r="BL21" s="18">
        <v>98.4</v>
      </c>
      <c r="BM21" s="13">
        <f t="shared" si="0"/>
        <v>2917.65</v>
      </c>
    </row>
    <row r="22" customHeight="1" spans="1:65">
      <c r="A22" s="18" t="s">
        <v>674</v>
      </c>
      <c r="B22" s="18" t="s">
        <v>344</v>
      </c>
      <c r="C22" s="18" t="s">
        <v>675</v>
      </c>
      <c r="D22" s="18">
        <v>840080527864</v>
      </c>
      <c r="E22" s="18" t="s">
        <v>81</v>
      </c>
      <c r="F22" s="18" t="s">
        <v>68</v>
      </c>
      <c r="G22" s="18" t="s">
        <v>346</v>
      </c>
      <c r="H22" s="18" t="s">
        <v>107</v>
      </c>
      <c r="I22" s="18" t="s">
        <v>203</v>
      </c>
      <c r="J22" s="18">
        <v>4</v>
      </c>
      <c r="K22" s="16">
        <v>44.99</v>
      </c>
      <c r="L22" s="10"/>
      <c r="M22" s="16">
        <v>0</v>
      </c>
      <c r="N22" s="16">
        <v>0</v>
      </c>
      <c r="O22" s="18">
        <v>0</v>
      </c>
      <c r="P22" s="18" t="s">
        <v>86</v>
      </c>
      <c r="Q22" s="18">
        <v>3.828424</v>
      </c>
      <c r="R22" s="10"/>
      <c r="S22" s="16">
        <v>577</v>
      </c>
      <c r="T22" s="16">
        <v>10</v>
      </c>
      <c r="U22" s="18" t="s">
        <v>2526</v>
      </c>
      <c r="V22" s="18" t="s">
        <v>344</v>
      </c>
      <c r="W22" s="18" t="s">
        <v>675</v>
      </c>
      <c r="X22" s="18">
        <v>840080527865</v>
      </c>
      <c r="Y22" s="18" t="s">
        <v>81</v>
      </c>
      <c r="Z22" s="18" t="s">
        <v>68</v>
      </c>
      <c r="AA22" s="18" t="s">
        <v>346</v>
      </c>
      <c r="AB22" s="18" t="s">
        <v>107</v>
      </c>
      <c r="AC22" s="18" t="s">
        <v>203</v>
      </c>
      <c r="AD22" s="18">
        <v>85.98</v>
      </c>
      <c r="AE22" s="18">
        <v>0</v>
      </c>
      <c r="AF22" s="18">
        <v>0</v>
      </c>
      <c r="AG22" s="18">
        <v>0</v>
      </c>
      <c r="AH22" s="18">
        <v>0</v>
      </c>
      <c r="AI22" s="18">
        <v>0</v>
      </c>
      <c r="AJ22" s="18">
        <v>0</v>
      </c>
      <c r="AK22" s="18">
        <v>0</v>
      </c>
      <c r="AL22" s="18">
        <v>0</v>
      </c>
      <c r="AM22" s="18">
        <v>0</v>
      </c>
      <c r="AN22" s="18">
        <v>0</v>
      </c>
      <c r="AO22" s="18">
        <v>0</v>
      </c>
      <c r="AP22" s="18">
        <v>0</v>
      </c>
      <c r="AQ22" s="18">
        <v>0</v>
      </c>
      <c r="AR22" s="18">
        <v>0</v>
      </c>
      <c r="AS22" s="18">
        <v>0</v>
      </c>
      <c r="AT22" s="18">
        <v>1</v>
      </c>
      <c r="AU22" s="18">
        <v>0</v>
      </c>
      <c r="AV22" s="18">
        <v>0</v>
      </c>
      <c r="AW22" s="18">
        <v>0</v>
      </c>
      <c r="AX22" s="18">
        <v>0</v>
      </c>
      <c r="AY22" s="13"/>
      <c r="AZ22" s="18">
        <v>1</v>
      </c>
      <c r="BA22" s="18">
        <v>0</v>
      </c>
      <c r="BB22" s="18">
        <v>67.85</v>
      </c>
      <c r="BC22" s="18" t="s">
        <v>676</v>
      </c>
      <c r="BD22" s="18" t="s">
        <v>677</v>
      </c>
      <c r="BE22" s="18" t="s">
        <v>678</v>
      </c>
      <c r="BF22" s="18" t="s">
        <v>77</v>
      </c>
      <c r="BG22" s="18">
        <v>45</v>
      </c>
      <c r="BH22" s="18">
        <v>168</v>
      </c>
      <c r="BI22" s="18">
        <v>0.2113</v>
      </c>
      <c r="BJ22" s="18">
        <v>0</v>
      </c>
      <c r="BK22" s="18">
        <v>18</v>
      </c>
      <c r="BL22" s="18">
        <v>95.1</v>
      </c>
      <c r="BM22" s="13">
        <f t="shared" si="0"/>
        <v>25959.23</v>
      </c>
    </row>
    <row r="23" customHeight="1" spans="1:65">
      <c r="A23" s="18" t="s">
        <v>1537</v>
      </c>
      <c r="B23" s="18" t="s">
        <v>344</v>
      </c>
      <c r="C23" s="13"/>
      <c r="D23" s="13"/>
      <c r="E23" s="18" t="s">
        <v>81</v>
      </c>
      <c r="F23" s="18" t="s">
        <v>82</v>
      </c>
      <c r="G23" s="18" t="s">
        <v>346</v>
      </c>
      <c r="H23" s="18" t="s">
        <v>107</v>
      </c>
      <c r="I23" s="18" t="s">
        <v>203</v>
      </c>
      <c r="J23" s="18">
        <v>4</v>
      </c>
      <c r="K23" s="16">
        <v>31.99</v>
      </c>
      <c r="L23" s="10"/>
      <c r="M23" s="16">
        <v>0</v>
      </c>
      <c r="N23" s="16">
        <v>0</v>
      </c>
      <c r="O23" s="18">
        <v>0</v>
      </c>
      <c r="P23" s="18" t="s">
        <v>86</v>
      </c>
      <c r="Q23" s="18">
        <v>3.496204</v>
      </c>
      <c r="R23" s="10"/>
      <c r="S23" s="16">
        <v>771</v>
      </c>
      <c r="T23" s="16">
        <v>2</v>
      </c>
      <c r="U23" s="18" t="s">
        <v>1537</v>
      </c>
      <c r="V23" s="18" t="s">
        <v>344</v>
      </c>
      <c r="W23" s="13"/>
      <c r="X23" s="13"/>
      <c r="Y23" s="18" t="s">
        <v>81</v>
      </c>
      <c r="Z23" s="18" t="s">
        <v>82</v>
      </c>
      <c r="AA23" s="18" t="s">
        <v>346</v>
      </c>
      <c r="AB23" s="18" t="s">
        <v>107</v>
      </c>
      <c r="AC23" s="18" t="s">
        <v>203</v>
      </c>
      <c r="AD23" s="18">
        <v>59.98</v>
      </c>
      <c r="AE23" s="18">
        <v>0</v>
      </c>
      <c r="AF23" s="18">
        <v>0</v>
      </c>
      <c r="AG23" s="18">
        <v>0</v>
      </c>
      <c r="AH23" s="18">
        <v>0</v>
      </c>
      <c r="AI23" s="18">
        <v>0</v>
      </c>
      <c r="AJ23" s="18">
        <v>0</v>
      </c>
      <c r="AK23" s="18">
        <v>0</v>
      </c>
      <c r="AL23" s="18">
        <v>0</v>
      </c>
      <c r="AM23" s="18">
        <v>0</v>
      </c>
      <c r="AN23" s="18">
        <v>0</v>
      </c>
      <c r="AO23" s="18">
        <v>0</v>
      </c>
      <c r="AP23" s="18">
        <v>0</v>
      </c>
      <c r="AQ23" s="18">
        <v>0</v>
      </c>
      <c r="AR23" s="18">
        <v>0</v>
      </c>
      <c r="AS23" s="18">
        <v>0</v>
      </c>
      <c r="AT23" s="18">
        <v>1</v>
      </c>
      <c r="AU23" s="18">
        <v>0</v>
      </c>
      <c r="AV23" s="18">
        <v>0</v>
      </c>
      <c r="AW23" s="18">
        <v>1</v>
      </c>
      <c r="AX23" s="18">
        <v>0</v>
      </c>
      <c r="AY23" s="13"/>
      <c r="AZ23" s="18">
        <v>1</v>
      </c>
      <c r="BA23" s="18">
        <v>0</v>
      </c>
      <c r="BB23" s="18">
        <v>67.59</v>
      </c>
      <c r="BC23" s="18" t="s">
        <v>676</v>
      </c>
      <c r="BD23" s="18" t="s">
        <v>677</v>
      </c>
      <c r="BE23" s="18" t="s">
        <v>678</v>
      </c>
      <c r="BF23" s="18" t="s">
        <v>77</v>
      </c>
      <c r="BG23" s="18">
        <v>48</v>
      </c>
      <c r="BH23" s="18">
        <v>164</v>
      </c>
      <c r="BI23" s="18">
        <v>0.2264</v>
      </c>
      <c r="BJ23" s="18">
        <v>0</v>
      </c>
      <c r="BK23" s="18">
        <v>28</v>
      </c>
      <c r="BL23" s="18">
        <v>92.3</v>
      </c>
      <c r="BM23" s="13">
        <f t="shared" si="0"/>
        <v>24664.29</v>
      </c>
    </row>
    <row r="24" customHeight="1" spans="1:65">
      <c r="A24" s="18" t="s">
        <v>680</v>
      </c>
      <c r="B24" s="18" t="s">
        <v>124</v>
      </c>
      <c r="C24" s="18" t="s">
        <v>681</v>
      </c>
      <c r="D24" s="13"/>
      <c r="E24" s="18" t="s">
        <v>81</v>
      </c>
      <c r="F24" s="18" t="s">
        <v>82</v>
      </c>
      <c r="G24" s="18" t="s">
        <v>346</v>
      </c>
      <c r="H24" s="18" t="s">
        <v>84</v>
      </c>
      <c r="I24" s="18" t="s">
        <v>203</v>
      </c>
      <c r="J24" s="18">
        <v>4</v>
      </c>
      <c r="K24" s="16">
        <v>39.99</v>
      </c>
      <c r="L24" s="10"/>
      <c r="M24" s="16">
        <v>0</v>
      </c>
      <c r="N24" s="16">
        <v>0</v>
      </c>
      <c r="O24" s="18">
        <v>0</v>
      </c>
      <c r="P24" s="18" t="s">
        <v>86</v>
      </c>
      <c r="Q24" s="18">
        <v>3.713328</v>
      </c>
      <c r="R24" s="10"/>
      <c r="S24" s="16">
        <v>354</v>
      </c>
      <c r="T24" s="16">
        <v>4</v>
      </c>
      <c r="U24" s="18" t="s">
        <v>680</v>
      </c>
      <c r="V24" s="18" t="s">
        <v>124</v>
      </c>
      <c r="W24" s="19" t="s">
        <v>681</v>
      </c>
      <c r="X24" s="13"/>
      <c r="Y24" s="18" t="s">
        <v>81</v>
      </c>
      <c r="Z24" s="18" t="s">
        <v>82</v>
      </c>
      <c r="AA24" s="18" t="s">
        <v>346</v>
      </c>
      <c r="AB24" s="18" t="s">
        <v>84</v>
      </c>
      <c r="AC24" s="18" t="s">
        <v>203</v>
      </c>
      <c r="AD24" s="18">
        <v>75.98</v>
      </c>
      <c r="AE24" s="18">
        <v>0</v>
      </c>
      <c r="AF24" s="18">
        <v>0</v>
      </c>
      <c r="AG24" s="18">
        <v>0</v>
      </c>
      <c r="AH24" s="18">
        <v>1</v>
      </c>
      <c r="AI24" s="18">
        <v>0</v>
      </c>
      <c r="AJ24" s="18">
        <v>0</v>
      </c>
      <c r="AK24" s="18">
        <v>0</v>
      </c>
      <c r="AL24" s="18">
        <v>0</v>
      </c>
      <c r="AM24" s="18">
        <v>0</v>
      </c>
      <c r="AN24" s="18">
        <v>0</v>
      </c>
      <c r="AO24" s="18">
        <v>0</v>
      </c>
      <c r="AP24" s="18">
        <v>0</v>
      </c>
      <c r="AQ24" s="18">
        <v>0</v>
      </c>
      <c r="AR24" s="18">
        <v>0</v>
      </c>
      <c r="AS24" s="18">
        <v>0</v>
      </c>
      <c r="AT24" s="18">
        <v>1</v>
      </c>
      <c r="AU24" s="18">
        <v>0</v>
      </c>
      <c r="AV24" s="18">
        <v>0</v>
      </c>
      <c r="AW24" s="18">
        <v>0</v>
      </c>
      <c r="AX24" s="18">
        <v>0</v>
      </c>
      <c r="AY24" s="13"/>
      <c r="AZ24" s="18">
        <v>1</v>
      </c>
      <c r="BA24" s="18">
        <v>1</v>
      </c>
      <c r="BB24" s="18">
        <v>66.58</v>
      </c>
      <c r="BC24" s="18" t="s">
        <v>676</v>
      </c>
      <c r="BD24" s="18" t="s">
        <v>677</v>
      </c>
      <c r="BE24" s="18" t="s">
        <v>678</v>
      </c>
      <c r="BF24" s="18" t="s">
        <v>77</v>
      </c>
      <c r="BG24" s="18">
        <v>3</v>
      </c>
      <c r="BH24" s="18">
        <v>216</v>
      </c>
      <c r="BI24" s="18">
        <v>0.0137</v>
      </c>
      <c r="BJ24" s="18">
        <v>0</v>
      </c>
      <c r="BK24" s="18">
        <v>36</v>
      </c>
      <c r="BL24" s="18">
        <v>90.1</v>
      </c>
      <c r="BM24" s="13">
        <f t="shared" si="0"/>
        <v>14156.46</v>
      </c>
    </row>
    <row r="25" customHeight="1" spans="1:65">
      <c r="A25" s="18" t="s">
        <v>1445</v>
      </c>
      <c r="B25" s="18" t="s">
        <v>124</v>
      </c>
      <c r="C25" s="18" t="s">
        <v>681</v>
      </c>
      <c r="D25" s="13"/>
      <c r="E25" s="18" t="s">
        <v>81</v>
      </c>
      <c r="F25" s="18" t="s">
        <v>82</v>
      </c>
      <c r="G25" s="18" t="s">
        <v>346</v>
      </c>
      <c r="H25" s="18" t="s">
        <v>84</v>
      </c>
      <c r="I25" s="18" t="s">
        <v>203</v>
      </c>
      <c r="J25" s="18">
        <v>4</v>
      </c>
      <c r="K25" s="16">
        <v>36.99</v>
      </c>
      <c r="L25" s="10"/>
      <c r="M25" s="16">
        <v>0</v>
      </c>
      <c r="N25" s="16">
        <v>0</v>
      </c>
      <c r="O25" s="18">
        <v>0</v>
      </c>
      <c r="P25" s="18" t="s">
        <v>86</v>
      </c>
      <c r="Q25" s="18">
        <v>3.637323</v>
      </c>
      <c r="R25" s="10"/>
      <c r="S25" s="16">
        <v>56</v>
      </c>
      <c r="T25" s="16">
        <v>10</v>
      </c>
      <c r="U25" s="18" t="s">
        <v>2527</v>
      </c>
      <c r="V25" s="18" t="s">
        <v>124</v>
      </c>
      <c r="W25" s="18" t="s">
        <v>681</v>
      </c>
      <c r="X25" s="13"/>
      <c r="Y25" s="18" t="s">
        <v>81</v>
      </c>
      <c r="Z25" s="18" t="s">
        <v>82</v>
      </c>
      <c r="AA25" s="18" t="s">
        <v>346</v>
      </c>
      <c r="AB25" s="18" t="s">
        <v>84</v>
      </c>
      <c r="AC25" s="18" t="s">
        <v>203</v>
      </c>
      <c r="AD25" s="18">
        <v>69.98</v>
      </c>
      <c r="AE25" s="18">
        <v>0</v>
      </c>
      <c r="AF25" s="18">
        <v>0</v>
      </c>
      <c r="AG25" s="18">
        <v>0</v>
      </c>
      <c r="AH25" s="18">
        <v>0</v>
      </c>
      <c r="AI25" s="18">
        <v>0</v>
      </c>
      <c r="AJ25" s="18">
        <v>0</v>
      </c>
      <c r="AK25" s="18">
        <v>0</v>
      </c>
      <c r="AL25" s="18">
        <v>0</v>
      </c>
      <c r="AM25" s="18">
        <v>0</v>
      </c>
      <c r="AN25" s="18">
        <v>0</v>
      </c>
      <c r="AO25" s="18">
        <v>0</v>
      </c>
      <c r="AP25" s="18">
        <v>0</v>
      </c>
      <c r="AQ25" s="18">
        <v>0</v>
      </c>
      <c r="AR25" s="18">
        <v>0</v>
      </c>
      <c r="AS25" s="18">
        <v>0</v>
      </c>
      <c r="AT25" s="18">
        <v>1</v>
      </c>
      <c r="AU25" s="18">
        <v>0</v>
      </c>
      <c r="AV25" s="18">
        <v>0</v>
      </c>
      <c r="AW25" s="18">
        <v>0</v>
      </c>
      <c r="AX25" s="18">
        <v>0</v>
      </c>
      <c r="AY25" s="13"/>
      <c r="AZ25" s="18">
        <v>1</v>
      </c>
      <c r="BA25" s="18">
        <v>0</v>
      </c>
      <c r="BB25" s="18">
        <v>58.18</v>
      </c>
      <c r="BC25" s="18" t="s">
        <v>676</v>
      </c>
      <c r="BD25" s="18" t="s">
        <v>677</v>
      </c>
      <c r="BE25" s="18" t="s">
        <v>678</v>
      </c>
      <c r="BF25" s="18" t="s">
        <v>77</v>
      </c>
      <c r="BG25" s="18">
        <v>3</v>
      </c>
      <c r="BH25" s="18">
        <v>216</v>
      </c>
      <c r="BI25" s="18">
        <v>0.0137</v>
      </c>
      <c r="BJ25" s="18">
        <v>0</v>
      </c>
      <c r="BK25" s="18">
        <v>70</v>
      </c>
      <c r="BL25" s="18">
        <v>80.8</v>
      </c>
      <c r="BM25" s="13">
        <f t="shared" si="0"/>
        <v>2071.44</v>
      </c>
    </row>
    <row r="26" customHeight="1" spans="1:65">
      <c r="A26" s="18" t="s">
        <v>682</v>
      </c>
      <c r="B26" s="18" t="s">
        <v>125</v>
      </c>
      <c r="C26" s="13"/>
      <c r="D26" s="13"/>
      <c r="E26" s="18" t="s">
        <v>81</v>
      </c>
      <c r="F26" s="18" t="s">
        <v>82</v>
      </c>
      <c r="G26" s="18" t="s">
        <v>83</v>
      </c>
      <c r="H26" s="18" t="s">
        <v>138</v>
      </c>
      <c r="I26" s="18" t="s">
        <v>85</v>
      </c>
      <c r="J26" s="18">
        <v>5</v>
      </c>
      <c r="K26" s="16">
        <v>49.99</v>
      </c>
      <c r="L26" s="10"/>
      <c r="M26" s="16">
        <v>0</v>
      </c>
      <c r="N26" s="16">
        <v>0</v>
      </c>
      <c r="O26" s="18">
        <v>0</v>
      </c>
      <c r="P26" s="18" t="s">
        <v>86</v>
      </c>
      <c r="Q26" s="18">
        <v>3.93163</v>
      </c>
      <c r="R26" s="10"/>
      <c r="S26" s="16">
        <v>34</v>
      </c>
      <c r="T26" s="16">
        <v>10</v>
      </c>
      <c r="U26" s="18" t="s">
        <v>682</v>
      </c>
      <c r="V26" s="18" t="s">
        <v>125</v>
      </c>
      <c r="W26" s="13"/>
      <c r="X26" s="13"/>
      <c r="Y26" s="18" t="s">
        <v>81</v>
      </c>
      <c r="Z26" s="18" t="s">
        <v>82</v>
      </c>
      <c r="AA26" s="18" t="s">
        <v>83</v>
      </c>
      <c r="AB26" s="18" t="s">
        <v>138</v>
      </c>
      <c r="AC26" s="18" t="s">
        <v>85</v>
      </c>
      <c r="AD26" s="18">
        <v>94.98</v>
      </c>
      <c r="AE26" s="18">
        <v>1</v>
      </c>
      <c r="AF26" s="18">
        <v>1</v>
      </c>
      <c r="AG26" s="18">
        <v>0</v>
      </c>
      <c r="AH26" s="18">
        <v>1</v>
      </c>
      <c r="AI26" s="18">
        <v>0</v>
      </c>
      <c r="AJ26" s="18">
        <v>0</v>
      </c>
      <c r="AK26" s="18">
        <v>1</v>
      </c>
      <c r="AL26" s="18">
        <v>0</v>
      </c>
      <c r="AM26" s="18">
        <v>0</v>
      </c>
      <c r="AN26" s="18">
        <v>0</v>
      </c>
      <c r="AO26" s="18">
        <v>0</v>
      </c>
      <c r="AP26" s="18">
        <v>0</v>
      </c>
      <c r="AQ26" s="18">
        <v>0</v>
      </c>
      <c r="AR26" s="18">
        <v>0</v>
      </c>
      <c r="AS26" s="18">
        <v>0</v>
      </c>
      <c r="AT26" s="18">
        <v>1</v>
      </c>
      <c r="AU26" s="18">
        <v>0</v>
      </c>
      <c r="AV26" s="18">
        <v>0</v>
      </c>
      <c r="AW26" s="18">
        <v>1</v>
      </c>
      <c r="AX26" s="18">
        <v>0</v>
      </c>
      <c r="AY26" s="13"/>
      <c r="AZ26" s="18">
        <v>1</v>
      </c>
      <c r="BA26" s="18">
        <v>3</v>
      </c>
      <c r="BB26" s="18">
        <v>60.76</v>
      </c>
      <c r="BC26" s="18" t="s">
        <v>683</v>
      </c>
      <c r="BD26" s="18" t="s">
        <v>684</v>
      </c>
      <c r="BE26" s="18" t="s">
        <v>128</v>
      </c>
      <c r="BF26" s="18" t="s">
        <v>77</v>
      </c>
      <c r="BG26" s="18">
        <v>1</v>
      </c>
      <c r="BH26" s="18">
        <v>53</v>
      </c>
      <c r="BI26" s="18">
        <v>0.0185</v>
      </c>
      <c r="BJ26" s="18">
        <v>1</v>
      </c>
      <c r="BK26" s="18">
        <v>2</v>
      </c>
      <c r="BL26" s="18">
        <v>99.5</v>
      </c>
      <c r="BM26" s="13">
        <f t="shared" si="0"/>
        <v>1699.66</v>
      </c>
    </row>
    <row r="27" customHeight="1" spans="1:65">
      <c r="A27" s="18" t="s">
        <v>685</v>
      </c>
      <c r="B27" s="18" t="s">
        <v>115</v>
      </c>
      <c r="C27" s="13"/>
      <c r="D27" s="13"/>
      <c r="E27" s="18" t="s">
        <v>81</v>
      </c>
      <c r="F27" s="18" t="s">
        <v>82</v>
      </c>
      <c r="G27" s="18" t="s">
        <v>117</v>
      </c>
      <c r="H27" s="18" t="s">
        <v>107</v>
      </c>
      <c r="I27" s="18" t="s">
        <v>85</v>
      </c>
      <c r="J27" s="18">
        <v>5</v>
      </c>
      <c r="K27" s="16">
        <v>114.99</v>
      </c>
      <c r="L27" s="10"/>
      <c r="M27" s="16">
        <v>0</v>
      </c>
      <c r="N27" s="16">
        <v>0</v>
      </c>
      <c r="O27" s="18">
        <v>0</v>
      </c>
      <c r="P27" s="18" t="s">
        <v>95</v>
      </c>
      <c r="Q27" s="18">
        <v>4.753504</v>
      </c>
      <c r="R27" s="10"/>
      <c r="S27" s="16">
        <v>16</v>
      </c>
      <c r="T27" s="16">
        <v>3</v>
      </c>
      <c r="U27" s="18" t="s">
        <v>685</v>
      </c>
      <c r="V27" s="18" t="s">
        <v>115</v>
      </c>
      <c r="W27" s="13"/>
      <c r="X27" s="13"/>
      <c r="Y27" s="18" t="s">
        <v>81</v>
      </c>
      <c r="Z27" s="18" t="s">
        <v>82</v>
      </c>
      <c r="AA27" s="18" t="s">
        <v>117</v>
      </c>
      <c r="AB27" s="18" t="s">
        <v>107</v>
      </c>
      <c r="AC27" s="18" t="s">
        <v>85</v>
      </c>
      <c r="AD27" s="18">
        <v>224.98</v>
      </c>
      <c r="AE27" s="18">
        <v>0</v>
      </c>
      <c r="AF27" s="18">
        <v>0</v>
      </c>
      <c r="AG27" s="18">
        <v>1</v>
      </c>
      <c r="AH27" s="18">
        <v>0</v>
      </c>
      <c r="AI27" s="18">
        <v>0</v>
      </c>
      <c r="AJ27" s="18">
        <v>0</v>
      </c>
      <c r="AK27" s="18">
        <v>0</v>
      </c>
      <c r="AL27" s="18">
        <v>0</v>
      </c>
      <c r="AM27" s="18">
        <v>0</v>
      </c>
      <c r="AN27" s="18">
        <v>0</v>
      </c>
      <c r="AO27" s="18">
        <v>0</v>
      </c>
      <c r="AP27" s="18">
        <v>1</v>
      </c>
      <c r="AQ27" s="18">
        <v>0</v>
      </c>
      <c r="AR27" s="18">
        <v>0</v>
      </c>
      <c r="AS27" s="18">
        <v>0</v>
      </c>
      <c r="AT27" s="18">
        <v>0</v>
      </c>
      <c r="AU27" s="18">
        <v>0</v>
      </c>
      <c r="AV27" s="18">
        <v>0</v>
      </c>
      <c r="AW27" s="18">
        <v>0</v>
      </c>
      <c r="AX27" s="18">
        <v>0</v>
      </c>
      <c r="AY27" s="13"/>
      <c r="AZ27" s="18">
        <v>1</v>
      </c>
      <c r="BA27" s="18">
        <v>0</v>
      </c>
      <c r="BB27" s="18">
        <v>63.44</v>
      </c>
      <c r="BC27" s="18" t="s">
        <v>686</v>
      </c>
      <c r="BD27" s="18" t="s">
        <v>687</v>
      </c>
      <c r="BE27" s="18" t="s">
        <v>76</v>
      </c>
      <c r="BF27" s="18" t="s">
        <v>77</v>
      </c>
      <c r="BG27" s="18">
        <v>162</v>
      </c>
      <c r="BH27" s="18">
        <v>20</v>
      </c>
      <c r="BI27" s="18">
        <v>0.8901</v>
      </c>
      <c r="BJ27" s="18">
        <v>0</v>
      </c>
      <c r="BK27" s="18">
        <v>3</v>
      </c>
      <c r="BL27" s="18">
        <v>99.2</v>
      </c>
      <c r="BM27" s="13">
        <f t="shared" si="0"/>
        <v>1839.84</v>
      </c>
    </row>
    <row r="28" customHeight="1" spans="1:65">
      <c r="A28" s="18" t="s">
        <v>691</v>
      </c>
      <c r="B28" s="18" t="s">
        <v>692</v>
      </c>
      <c r="C28" s="13"/>
      <c r="D28" s="13"/>
      <c r="E28" s="18" t="s">
        <v>632</v>
      </c>
      <c r="F28" s="18" t="s">
        <v>240</v>
      </c>
      <c r="G28" s="18" t="s">
        <v>83</v>
      </c>
      <c r="H28" s="18" t="s">
        <v>84</v>
      </c>
      <c r="I28" s="18" t="s">
        <v>203</v>
      </c>
      <c r="J28" s="18">
        <v>4</v>
      </c>
      <c r="K28" s="16">
        <v>169.99</v>
      </c>
      <c r="L28" s="10"/>
      <c r="M28" s="16">
        <v>0</v>
      </c>
      <c r="N28" s="16">
        <v>0</v>
      </c>
      <c r="O28" s="18">
        <v>0</v>
      </c>
      <c r="P28" s="18" t="s">
        <v>95</v>
      </c>
      <c r="Q28" s="18">
        <v>5.141605</v>
      </c>
      <c r="R28" s="16">
        <v>21.25</v>
      </c>
      <c r="S28" s="10"/>
      <c r="T28" s="10"/>
      <c r="U28" s="18" t="s">
        <v>691</v>
      </c>
      <c r="V28" s="18" t="s">
        <v>692</v>
      </c>
      <c r="W28" s="13"/>
      <c r="X28" s="13"/>
      <c r="Y28" s="18" t="s">
        <v>632</v>
      </c>
      <c r="Z28" s="18" t="s">
        <v>240</v>
      </c>
      <c r="AA28" s="18" t="s">
        <v>83</v>
      </c>
      <c r="AB28" s="18" t="s">
        <v>84</v>
      </c>
      <c r="AC28" s="18" t="s">
        <v>203</v>
      </c>
      <c r="AD28" s="18">
        <v>335.98</v>
      </c>
      <c r="AE28" s="18">
        <v>0</v>
      </c>
      <c r="AF28" s="18">
        <v>0</v>
      </c>
      <c r="AG28" s="18">
        <v>0</v>
      </c>
      <c r="AH28" s="18">
        <v>0</v>
      </c>
      <c r="AI28" s="18">
        <v>0</v>
      </c>
      <c r="AJ28" s="18">
        <v>0</v>
      </c>
      <c r="AK28" s="18">
        <v>0</v>
      </c>
      <c r="AL28" s="18">
        <v>0</v>
      </c>
      <c r="AM28" s="18">
        <v>0</v>
      </c>
      <c r="AN28" s="18">
        <v>0</v>
      </c>
      <c r="AO28" s="18">
        <v>0</v>
      </c>
      <c r="AP28" s="18">
        <v>0</v>
      </c>
      <c r="AQ28" s="18">
        <v>1</v>
      </c>
      <c r="AR28" s="18">
        <v>0</v>
      </c>
      <c r="AS28" s="18">
        <v>0</v>
      </c>
      <c r="AT28" s="18">
        <v>0</v>
      </c>
      <c r="AU28" s="18">
        <v>0</v>
      </c>
      <c r="AV28" s="18">
        <v>1</v>
      </c>
      <c r="AW28" s="18">
        <v>1</v>
      </c>
      <c r="AX28" s="18">
        <v>0</v>
      </c>
      <c r="AY28" s="18">
        <v>8</v>
      </c>
      <c r="AZ28" s="18">
        <v>1</v>
      </c>
      <c r="BA28" s="18">
        <v>1</v>
      </c>
      <c r="BB28" s="18">
        <v>29.43</v>
      </c>
      <c r="BC28" s="18" t="s">
        <v>693</v>
      </c>
      <c r="BD28" s="18" t="s">
        <v>694</v>
      </c>
      <c r="BE28" s="18" t="s">
        <v>166</v>
      </c>
      <c r="BF28" s="18" t="s">
        <v>77</v>
      </c>
      <c r="BG28" s="18">
        <v>167</v>
      </c>
      <c r="BH28" s="18">
        <v>11</v>
      </c>
      <c r="BI28" s="18">
        <v>0.9382</v>
      </c>
      <c r="BJ28" s="18">
        <v>0</v>
      </c>
      <c r="BK28" s="18">
        <v>7</v>
      </c>
      <c r="BL28" s="18">
        <v>98.1</v>
      </c>
      <c r="BM28" s="13">
        <f t="shared" si="0"/>
        <v>0</v>
      </c>
    </row>
    <row r="29" customHeight="1" spans="1:65">
      <c r="A29" s="18" t="s">
        <v>570</v>
      </c>
      <c r="B29" s="18" t="s">
        <v>104</v>
      </c>
      <c r="C29" s="18" t="s">
        <v>571</v>
      </c>
      <c r="D29" s="18">
        <v>194644178307</v>
      </c>
      <c r="E29" s="18" t="s">
        <v>81</v>
      </c>
      <c r="F29" s="18" t="s">
        <v>82</v>
      </c>
      <c r="G29" s="18" t="s">
        <v>106</v>
      </c>
      <c r="H29" s="18" t="s">
        <v>107</v>
      </c>
      <c r="I29" s="18" t="s">
        <v>85</v>
      </c>
      <c r="J29" s="18">
        <v>5</v>
      </c>
      <c r="K29" s="16">
        <v>199.99</v>
      </c>
      <c r="L29" s="10"/>
      <c r="M29" s="16">
        <v>0</v>
      </c>
      <c r="N29" s="16">
        <v>0</v>
      </c>
      <c r="O29" s="18">
        <v>0</v>
      </c>
      <c r="P29" s="18" t="s">
        <v>95</v>
      </c>
      <c r="Q29" s="18">
        <v>5.303255</v>
      </c>
      <c r="R29" s="10"/>
      <c r="S29" s="16">
        <v>554</v>
      </c>
      <c r="T29" s="16">
        <v>10</v>
      </c>
      <c r="U29" s="18" t="s">
        <v>570</v>
      </c>
      <c r="V29" s="18" t="s">
        <v>104</v>
      </c>
      <c r="W29" s="18" t="s">
        <v>2528</v>
      </c>
      <c r="X29" s="18">
        <v>194644178308</v>
      </c>
      <c r="Y29" s="18" t="s">
        <v>81</v>
      </c>
      <c r="Z29" s="18" t="s">
        <v>82</v>
      </c>
      <c r="AA29" s="18" t="s">
        <v>106</v>
      </c>
      <c r="AB29" s="18" t="s">
        <v>107</v>
      </c>
      <c r="AC29" s="18" t="s">
        <v>85</v>
      </c>
      <c r="AD29" s="18">
        <v>394.98</v>
      </c>
      <c r="AE29" s="18">
        <v>1</v>
      </c>
      <c r="AF29" s="18">
        <v>0</v>
      </c>
      <c r="AG29" s="18">
        <v>0</v>
      </c>
      <c r="AH29" s="18">
        <v>1</v>
      </c>
      <c r="AI29" s="18">
        <v>0</v>
      </c>
      <c r="AJ29" s="18">
        <v>1</v>
      </c>
      <c r="AK29" s="18">
        <v>0</v>
      </c>
      <c r="AL29" s="18">
        <v>0</v>
      </c>
      <c r="AM29" s="18">
        <v>0</v>
      </c>
      <c r="AN29" s="18">
        <v>0</v>
      </c>
      <c r="AO29" s="18">
        <v>0</v>
      </c>
      <c r="AP29" s="18">
        <v>0</v>
      </c>
      <c r="AQ29" s="18">
        <v>0</v>
      </c>
      <c r="AR29" s="18">
        <v>0</v>
      </c>
      <c r="AS29" s="18">
        <v>0</v>
      </c>
      <c r="AT29" s="18">
        <v>0</v>
      </c>
      <c r="AU29" s="18">
        <v>0</v>
      </c>
      <c r="AV29" s="18">
        <v>0</v>
      </c>
      <c r="AW29" s="18">
        <v>0</v>
      </c>
      <c r="AX29" s="18">
        <v>0</v>
      </c>
      <c r="AY29" s="13"/>
      <c r="AZ29" s="18">
        <v>1</v>
      </c>
      <c r="BA29" s="18">
        <v>2</v>
      </c>
      <c r="BB29" s="18">
        <v>66.83</v>
      </c>
      <c r="BC29" s="18" t="s">
        <v>161</v>
      </c>
      <c r="BD29" s="18" t="s">
        <v>112</v>
      </c>
      <c r="BE29" s="18" t="s">
        <v>113</v>
      </c>
      <c r="BF29" s="18" t="s">
        <v>77</v>
      </c>
      <c r="BG29" s="18">
        <v>147</v>
      </c>
      <c r="BH29" s="18">
        <v>38</v>
      </c>
      <c r="BI29" s="18">
        <v>0.7946</v>
      </c>
      <c r="BJ29" s="18">
        <v>0</v>
      </c>
      <c r="BK29" s="18">
        <v>30</v>
      </c>
      <c r="BL29" s="18">
        <v>91.8</v>
      </c>
      <c r="BM29" s="13">
        <f t="shared" si="0"/>
        <v>110794.46</v>
      </c>
    </row>
    <row r="30" customHeight="1" spans="1:65">
      <c r="A30" s="18" t="s">
        <v>950</v>
      </c>
      <c r="B30" s="18" t="s">
        <v>104</v>
      </c>
      <c r="C30" s="18" t="s">
        <v>594</v>
      </c>
      <c r="D30" s="18">
        <v>194644246754</v>
      </c>
      <c r="E30" s="18" t="s">
        <v>81</v>
      </c>
      <c r="F30" s="18" t="s">
        <v>82</v>
      </c>
      <c r="G30" s="18" t="s">
        <v>106</v>
      </c>
      <c r="H30" s="18" t="s">
        <v>107</v>
      </c>
      <c r="I30" s="18" t="s">
        <v>85</v>
      </c>
      <c r="J30" s="18">
        <v>5</v>
      </c>
      <c r="K30" s="16">
        <v>899.99</v>
      </c>
      <c r="L30" s="10"/>
      <c r="M30" s="16">
        <v>0</v>
      </c>
      <c r="N30" s="16">
        <v>0</v>
      </c>
      <c r="O30" s="18">
        <v>0</v>
      </c>
      <c r="P30" s="18" t="s">
        <v>147</v>
      </c>
      <c r="Q30" s="18">
        <v>6.803494</v>
      </c>
      <c r="R30" s="10"/>
      <c r="S30" s="16">
        <v>24</v>
      </c>
      <c r="T30" s="16">
        <v>10</v>
      </c>
      <c r="U30" s="18" t="s">
        <v>950</v>
      </c>
      <c r="V30" s="18" t="s">
        <v>104</v>
      </c>
      <c r="W30" s="18" t="s">
        <v>1347</v>
      </c>
      <c r="X30" s="18">
        <v>194644246755</v>
      </c>
      <c r="Y30" s="18" t="s">
        <v>81</v>
      </c>
      <c r="Z30" s="18" t="s">
        <v>82</v>
      </c>
      <c r="AA30" s="18" t="s">
        <v>106</v>
      </c>
      <c r="AB30" s="18" t="s">
        <v>107</v>
      </c>
      <c r="AC30" s="18" t="s">
        <v>85</v>
      </c>
      <c r="AD30" s="18">
        <v>1794.98</v>
      </c>
      <c r="AE30" s="18">
        <v>1</v>
      </c>
      <c r="AF30" s="18">
        <v>0</v>
      </c>
      <c r="AG30" s="18">
        <v>0</v>
      </c>
      <c r="AH30" s="18">
        <v>1</v>
      </c>
      <c r="AI30" s="18">
        <v>0</v>
      </c>
      <c r="AJ30" s="18">
        <v>0</v>
      </c>
      <c r="AK30" s="18">
        <v>1</v>
      </c>
      <c r="AL30" s="18">
        <v>0</v>
      </c>
      <c r="AM30" s="18">
        <v>0</v>
      </c>
      <c r="AN30" s="18">
        <v>0</v>
      </c>
      <c r="AO30" s="18">
        <v>0</v>
      </c>
      <c r="AP30" s="18">
        <v>0</v>
      </c>
      <c r="AQ30" s="18">
        <v>0</v>
      </c>
      <c r="AR30" s="18">
        <v>0</v>
      </c>
      <c r="AS30" s="18">
        <v>0</v>
      </c>
      <c r="AT30" s="18">
        <v>1</v>
      </c>
      <c r="AU30" s="18">
        <v>0</v>
      </c>
      <c r="AV30" s="18">
        <v>0</v>
      </c>
      <c r="AW30" s="18">
        <v>1</v>
      </c>
      <c r="AX30" s="18">
        <v>0</v>
      </c>
      <c r="AY30" s="13"/>
      <c r="AZ30" s="18">
        <v>1</v>
      </c>
      <c r="BA30" s="18">
        <v>3</v>
      </c>
      <c r="BB30" s="18">
        <v>55.78</v>
      </c>
      <c r="BC30" s="18" t="s">
        <v>161</v>
      </c>
      <c r="BD30" s="18" t="s">
        <v>112</v>
      </c>
      <c r="BE30" s="18" t="s">
        <v>113</v>
      </c>
      <c r="BF30" s="18" t="s">
        <v>77</v>
      </c>
      <c r="BG30" s="18">
        <v>161</v>
      </c>
      <c r="BH30" s="18">
        <v>20</v>
      </c>
      <c r="BI30" s="18">
        <v>0.8895</v>
      </c>
      <c r="BJ30" s="18">
        <v>0</v>
      </c>
      <c r="BK30" s="18">
        <v>30</v>
      </c>
      <c r="BL30" s="18">
        <v>91.8</v>
      </c>
      <c r="BM30" s="13">
        <f t="shared" si="0"/>
        <v>21599.76</v>
      </c>
    </row>
    <row r="31" customHeight="1" spans="1:65">
      <c r="A31" s="18" t="s">
        <v>959</v>
      </c>
      <c r="B31" s="18" t="s">
        <v>104</v>
      </c>
      <c r="C31" s="18" t="s">
        <v>960</v>
      </c>
      <c r="D31" s="18">
        <v>194644245672</v>
      </c>
      <c r="E31" s="18" t="s">
        <v>81</v>
      </c>
      <c r="F31" s="18" t="s">
        <v>82</v>
      </c>
      <c r="G31" s="18" t="s">
        <v>106</v>
      </c>
      <c r="H31" s="18" t="s">
        <v>107</v>
      </c>
      <c r="I31" s="18" t="s">
        <v>85</v>
      </c>
      <c r="J31" s="18">
        <v>5</v>
      </c>
      <c r="K31" s="16">
        <v>199.96</v>
      </c>
      <c r="L31" s="16">
        <v>349.99</v>
      </c>
      <c r="M31" s="16">
        <v>42.87</v>
      </c>
      <c r="N31" s="16">
        <v>150.03</v>
      </c>
      <c r="O31" s="18">
        <v>1</v>
      </c>
      <c r="P31" s="18" t="s">
        <v>95</v>
      </c>
      <c r="Q31" s="18">
        <v>5.303106</v>
      </c>
      <c r="R31" s="10"/>
      <c r="S31" s="16">
        <v>18</v>
      </c>
      <c r="T31" s="16">
        <v>10</v>
      </c>
      <c r="U31" s="18" t="s">
        <v>959</v>
      </c>
      <c r="V31" s="18" t="s">
        <v>104</v>
      </c>
      <c r="W31" s="18" t="s">
        <v>2529</v>
      </c>
      <c r="X31" s="18">
        <v>194644245673</v>
      </c>
      <c r="Y31" s="18" t="s">
        <v>81</v>
      </c>
      <c r="Z31" s="18" t="s">
        <v>82</v>
      </c>
      <c r="AA31" s="18" t="s">
        <v>106</v>
      </c>
      <c r="AB31" s="18" t="s">
        <v>107</v>
      </c>
      <c r="AC31" s="18" t="s">
        <v>85</v>
      </c>
      <c r="AD31" s="18">
        <v>77.117333333333</v>
      </c>
      <c r="AE31" s="18">
        <v>0</v>
      </c>
      <c r="AF31" s="18">
        <v>0</v>
      </c>
      <c r="AG31" s="18">
        <v>0</v>
      </c>
      <c r="AH31" s="18">
        <v>1</v>
      </c>
      <c r="AI31" s="18">
        <v>0</v>
      </c>
      <c r="AJ31" s="18">
        <v>0</v>
      </c>
      <c r="AK31" s="18">
        <v>0</v>
      </c>
      <c r="AL31" s="18">
        <v>0</v>
      </c>
      <c r="AM31" s="18">
        <v>0</v>
      </c>
      <c r="AN31" s="18">
        <v>0</v>
      </c>
      <c r="AO31" s="18">
        <v>0</v>
      </c>
      <c r="AP31" s="18">
        <v>0</v>
      </c>
      <c r="AQ31" s="18">
        <v>0</v>
      </c>
      <c r="AR31" s="18">
        <v>0</v>
      </c>
      <c r="AS31" s="18">
        <v>0</v>
      </c>
      <c r="AT31" s="18">
        <v>1</v>
      </c>
      <c r="AU31" s="18">
        <v>1</v>
      </c>
      <c r="AV31" s="18">
        <v>0</v>
      </c>
      <c r="AW31" s="18">
        <v>1</v>
      </c>
      <c r="AX31" s="18">
        <v>0</v>
      </c>
      <c r="AY31" s="13"/>
      <c r="AZ31" s="18">
        <v>1</v>
      </c>
      <c r="BA31" s="18">
        <v>1</v>
      </c>
      <c r="BB31" s="18">
        <v>68.16</v>
      </c>
      <c r="BC31" s="18" t="s">
        <v>161</v>
      </c>
      <c r="BD31" s="18" t="s">
        <v>112</v>
      </c>
      <c r="BE31" s="18" t="s">
        <v>113</v>
      </c>
      <c r="BF31" s="18" t="s">
        <v>77</v>
      </c>
      <c r="BG31" s="18">
        <v>143</v>
      </c>
      <c r="BH31" s="18">
        <v>44</v>
      </c>
      <c r="BI31" s="18">
        <v>0.7647</v>
      </c>
      <c r="BJ31" s="18">
        <v>0</v>
      </c>
      <c r="BK31" s="18">
        <v>5</v>
      </c>
      <c r="BL31" s="18">
        <v>98.6</v>
      </c>
      <c r="BM31" s="13">
        <f t="shared" si="0"/>
        <v>3599.28</v>
      </c>
    </row>
    <row r="32" customHeight="1" spans="1:65">
      <c r="A32" s="18" t="s">
        <v>1733</v>
      </c>
      <c r="B32" s="18" t="s">
        <v>104</v>
      </c>
      <c r="C32" s="18" t="s">
        <v>640</v>
      </c>
      <c r="D32" s="18">
        <v>194644243746</v>
      </c>
      <c r="E32" s="18" t="s">
        <v>81</v>
      </c>
      <c r="F32" s="18" t="s">
        <v>82</v>
      </c>
      <c r="G32" s="18" t="s">
        <v>106</v>
      </c>
      <c r="H32" s="18" t="s">
        <v>107</v>
      </c>
      <c r="I32" s="18" t="s">
        <v>85</v>
      </c>
      <c r="J32" s="18">
        <v>5</v>
      </c>
      <c r="K32" s="16">
        <v>129.99</v>
      </c>
      <c r="L32" s="16">
        <v>179.99</v>
      </c>
      <c r="M32" s="16">
        <v>27.78</v>
      </c>
      <c r="N32" s="16">
        <v>50</v>
      </c>
      <c r="O32" s="18">
        <v>1</v>
      </c>
      <c r="P32" s="18" t="s">
        <v>95</v>
      </c>
      <c r="Q32" s="18">
        <v>4.875121</v>
      </c>
      <c r="R32" s="10"/>
      <c r="S32" s="16">
        <v>95</v>
      </c>
      <c r="T32" s="16">
        <v>10</v>
      </c>
      <c r="U32" s="18" t="s">
        <v>1733</v>
      </c>
      <c r="V32" s="18" t="s">
        <v>104</v>
      </c>
      <c r="W32" s="18" t="s">
        <v>2530</v>
      </c>
      <c r="X32" s="18">
        <v>194644243747</v>
      </c>
      <c r="Y32" s="18" t="s">
        <v>81</v>
      </c>
      <c r="Z32" s="18" t="s">
        <v>82</v>
      </c>
      <c r="AA32" s="18" t="s">
        <v>106</v>
      </c>
      <c r="AB32" s="18" t="s">
        <v>107</v>
      </c>
      <c r="AC32" s="18" t="s">
        <v>85</v>
      </c>
      <c r="AD32" s="18">
        <v>24.4086666666668</v>
      </c>
      <c r="AE32" s="18">
        <v>1</v>
      </c>
      <c r="AF32" s="18">
        <v>0</v>
      </c>
      <c r="AG32" s="18">
        <v>0</v>
      </c>
      <c r="AH32" s="18">
        <v>1</v>
      </c>
      <c r="AI32" s="18">
        <v>0</v>
      </c>
      <c r="AJ32" s="18">
        <v>0</v>
      </c>
      <c r="AK32" s="18">
        <v>0</v>
      </c>
      <c r="AL32" s="18">
        <v>0</v>
      </c>
      <c r="AM32" s="18">
        <v>0</v>
      </c>
      <c r="AN32" s="18">
        <v>0</v>
      </c>
      <c r="AO32" s="18">
        <v>0</v>
      </c>
      <c r="AP32" s="18">
        <v>0</v>
      </c>
      <c r="AQ32" s="18">
        <v>0</v>
      </c>
      <c r="AR32" s="18">
        <v>0</v>
      </c>
      <c r="AS32" s="18">
        <v>0</v>
      </c>
      <c r="AT32" s="18">
        <v>1</v>
      </c>
      <c r="AU32" s="18">
        <v>0</v>
      </c>
      <c r="AV32" s="18">
        <v>0</v>
      </c>
      <c r="AW32" s="18">
        <v>0</v>
      </c>
      <c r="AX32" s="18">
        <v>0</v>
      </c>
      <c r="AY32" s="13"/>
      <c r="AZ32" s="18">
        <v>1</v>
      </c>
      <c r="BA32" s="18">
        <v>2</v>
      </c>
      <c r="BB32" s="18">
        <v>74.38</v>
      </c>
      <c r="BC32" s="18" t="s">
        <v>161</v>
      </c>
      <c r="BD32" s="18" t="s">
        <v>112</v>
      </c>
      <c r="BE32" s="18" t="s">
        <v>113</v>
      </c>
      <c r="BF32" s="18" t="s">
        <v>77</v>
      </c>
      <c r="BG32" s="18">
        <v>147</v>
      </c>
      <c r="BH32" s="18">
        <v>39</v>
      </c>
      <c r="BI32" s="18">
        <v>0.7903</v>
      </c>
      <c r="BJ32" s="18">
        <v>0</v>
      </c>
      <c r="BK32" s="18">
        <v>2</v>
      </c>
      <c r="BL32" s="18">
        <v>99.5</v>
      </c>
      <c r="BM32" s="13">
        <f t="shared" si="0"/>
        <v>12349.05</v>
      </c>
    </row>
    <row r="33" customHeight="1" spans="1:65">
      <c r="A33" s="18" t="s">
        <v>1901</v>
      </c>
      <c r="B33" s="18" t="s">
        <v>104</v>
      </c>
      <c r="C33" s="18" t="s">
        <v>1902</v>
      </c>
      <c r="D33" s="18">
        <v>194644239725</v>
      </c>
      <c r="E33" s="18" t="s">
        <v>81</v>
      </c>
      <c r="F33" s="18" t="s">
        <v>82</v>
      </c>
      <c r="G33" s="18" t="s">
        <v>106</v>
      </c>
      <c r="H33" s="18" t="s">
        <v>107</v>
      </c>
      <c r="I33" s="18" t="s">
        <v>85</v>
      </c>
      <c r="J33" s="18">
        <v>5</v>
      </c>
      <c r="K33" s="16">
        <v>129.99</v>
      </c>
      <c r="L33" s="10"/>
      <c r="M33" s="16">
        <v>0</v>
      </c>
      <c r="N33" s="16">
        <v>0</v>
      </c>
      <c r="O33" s="18">
        <v>0</v>
      </c>
      <c r="P33" s="18" t="s">
        <v>95</v>
      </c>
      <c r="Q33" s="18">
        <v>4.875121</v>
      </c>
      <c r="R33" s="10"/>
      <c r="S33" s="16">
        <v>21</v>
      </c>
      <c r="T33" s="16">
        <v>10</v>
      </c>
      <c r="U33" s="18" t="s">
        <v>1901</v>
      </c>
      <c r="V33" s="18" t="s">
        <v>104</v>
      </c>
      <c r="W33" s="18" t="s">
        <v>2531</v>
      </c>
      <c r="X33" s="18">
        <v>194644239726</v>
      </c>
      <c r="Y33" s="18" t="s">
        <v>81</v>
      </c>
      <c r="Z33" s="18" t="s">
        <v>82</v>
      </c>
      <c r="AA33" s="18" t="s">
        <v>106</v>
      </c>
      <c r="AB33" s="18" t="s">
        <v>107</v>
      </c>
      <c r="AC33" s="18" t="s">
        <v>85</v>
      </c>
      <c r="AD33" s="18">
        <v>254.98</v>
      </c>
      <c r="AE33" s="18">
        <v>0</v>
      </c>
      <c r="AF33" s="18">
        <v>0</v>
      </c>
      <c r="AG33" s="18">
        <v>1</v>
      </c>
      <c r="AH33" s="18">
        <v>0</v>
      </c>
      <c r="AI33" s="18">
        <v>1</v>
      </c>
      <c r="AJ33" s="18">
        <v>0</v>
      </c>
      <c r="AK33" s="18">
        <v>0</v>
      </c>
      <c r="AL33" s="18">
        <v>0</v>
      </c>
      <c r="AM33" s="18">
        <v>0</v>
      </c>
      <c r="AN33" s="18">
        <v>0</v>
      </c>
      <c r="AO33" s="18">
        <v>0</v>
      </c>
      <c r="AP33" s="18">
        <v>0</v>
      </c>
      <c r="AQ33" s="18">
        <v>1</v>
      </c>
      <c r="AR33" s="18">
        <v>0</v>
      </c>
      <c r="AS33" s="18">
        <v>0</v>
      </c>
      <c r="AT33" s="18">
        <v>0</v>
      </c>
      <c r="AU33" s="18">
        <v>0</v>
      </c>
      <c r="AV33" s="18">
        <v>1</v>
      </c>
      <c r="AW33" s="18">
        <v>0</v>
      </c>
      <c r="AX33" s="18">
        <v>0</v>
      </c>
      <c r="AY33" s="13"/>
      <c r="AZ33" s="18">
        <v>1</v>
      </c>
      <c r="BA33" s="18">
        <v>3</v>
      </c>
      <c r="BB33" s="18">
        <v>52.84</v>
      </c>
      <c r="BC33" s="18" t="s">
        <v>161</v>
      </c>
      <c r="BD33" s="18" t="s">
        <v>112</v>
      </c>
      <c r="BE33" s="18" t="s">
        <v>113</v>
      </c>
      <c r="BF33" s="18" t="s">
        <v>77</v>
      </c>
      <c r="BG33" s="18">
        <v>147</v>
      </c>
      <c r="BH33" s="18">
        <v>39</v>
      </c>
      <c r="BI33" s="18">
        <v>0.7903</v>
      </c>
      <c r="BJ33" s="18">
        <v>0</v>
      </c>
      <c r="BK33" s="18">
        <v>52</v>
      </c>
      <c r="BL33" s="18">
        <v>85.8</v>
      </c>
      <c r="BM33" s="13">
        <f t="shared" si="0"/>
        <v>2729.79</v>
      </c>
    </row>
    <row r="34" customHeight="1" spans="1:65">
      <c r="A34" s="18" t="s">
        <v>1914</v>
      </c>
      <c r="B34" s="18" t="s">
        <v>104</v>
      </c>
      <c r="C34" s="13"/>
      <c r="D34" s="18">
        <v>194644259600</v>
      </c>
      <c r="E34" s="18" t="s">
        <v>81</v>
      </c>
      <c r="F34" s="18" t="s">
        <v>82</v>
      </c>
      <c r="G34" s="18" t="s">
        <v>106</v>
      </c>
      <c r="H34" s="18" t="s">
        <v>107</v>
      </c>
      <c r="I34" s="18" t="s">
        <v>85</v>
      </c>
      <c r="J34" s="18">
        <v>5</v>
      </c>
      <c r="K34" s="16">
        <v>919.99</v>
      </c>
      <c r="L34" s="16">
        <v>1199.99</v>
      </c>
      <c r="M34" s="16">
        <v>23.33</v>
      </c>
      <c r="N34" s="16">
        <v>280</v>
      </c>
      <c r="O34" s="18">
        <v>1</v>
      </c>
      <c r="P34" s="18" t="s">
        <v>147</v>
      </c>
      <c r="Q34" s="18">
        <v>6.825449</v>
      </c>
      <c r="R34" s="10"/>
      <c r="S34" s="16">
        <v>16</v>
      </c>
      <c r="T34" s="16">
        <v>10</v>
      </c>
      <c r="U34" s="18" t="s">
        <v>1914</v>
      </c>
      <c r="V34" s="18" t="s">
        <v>104</v>
      </c>
      <c r="W34" s="13"/>
      <c r="X34" s="18">
        <v>194644259601</v>
      </c>
      <c r="Y34" s="18" t="s">
        <v>81</v>
      </c>
      <c r="Z34" s="18" t="s">
        <v>82</v>
      </c>
      <c r="AA34" s="18" t="s">
        <v>106</v>
      </c>
      <c r="AB34" s="18" t="s">
        <v>107</v>
      </c>
      <c r="AC34" s="18" t="s">
        <v>85</v>
      </c>
      <c r="AD34" s="18">
        <v>93.2219999999996</v>
      </c>
      <c r="AE34" s="18">
        <v>1</v>
      </c>
      <c r="AF34" s="18">
        <v>0</v>
      </c>
      <c r="AG34" s="18">
        <v>0</v>
      </c>
      <c r="AH34" s="18">
        <v>1</v>
      </c>
      <c r="AI34" s="18">
        <v>0</v>
      </c>
      <c r="AJ34" s="18">
        <v>0</v>
      </c>
      <c r="AK34" s="18">
        <v>0</v>
      </c>
      <c r="AL34" s="18">
        <v>0</v>
      </c>
      <c r="AM34" s="18">
        <v>0</v>
      </c>
      <c r="AN34" s="18">
        <v>0</v>
      </c>
      <c r="AO34" s="18">
        <v>0</v>
      </c>
      <c r="AP34" s="18">
        <v>0</v>
      </c>
      <c r="AQ34" s="18">
        <v>0</v>
      </c>
      <c r="AR34" s="18">
        <v>0</v>
      </c>
      <c r="AS34" s="18">
        <v>0</v>
      </c>
      <c r="AT34" s="18">
        <v>1</v>
      </c>
      <c r="AU34" s="18">
        <v>0</v>
      </c>
      <c r="AV34" s="18">
        <v>0</v>
      </c>
      <c r="AW34" s="18">
        <v>1</v>
      </c>
      <c r="AX34" s="18">
        <v>0</v>
      </c>
      <c r="AY34" s="13"/>
      <c r="AZ34" s="18">
        <v>1</v>
      </c>
      <c r="BA34" s="18">
        <v>2</v>
      </c>
      <c r="BB34" s="18">
        <v>61.19</v>
      </c>
      <c r="BC34" s="18" t="s">
        <v>161</v>
      </c>
      <c r="BD34" s="18" t="s">
        <v>112</v>
      </c>
      <c r="BE34" s="18" t="s">
        <v>113</v>
      </c>
      <c r="BF34" s="18" t="s">
        <v>77</v>
      </c>
      <c r="BG34" s="18">
        <v>146</v>
      </c>
      <c r="BH34" s="18">
        <v>39</v>
      </c>
      <c r="BI34" s="18">
        <v>0.7892</v>
      </c>
      <c r="BJ34" s="18">
        <v>0</v>
      </c>
      <c r="BK34" s="18">
        <v>5</v>
      </c>
      <c r="BL34" s="18">
        <v>98.6</v>
      </c>
      <c r="BM34" s="13">
        <f t="shared" si="0"/>
        <v>14719.84</v>
      </c>
    </row>
    <row r="35" customHeight="1" spans="1:65">
      <c r="A35" s="18" t="s">
        <v>1928</v>
      </c>
      <c r="B35" s="18" t="s">
        <v>104</v>
      </c>
      <c r="C35" s="18" t="s">
        <v>499</v>
      </c>
      <c r="D35" s="18">
        <v>194644245757</v>
      </c>
      <c r="E35" s="18" t="s">
        <v>81</v>
      </c>
      <c r="F35" s="18" t="s">
        <v>82</v>
      </c>
      <c r="G35" s="18" t="s">
        <v>106</v>
      </c>
      <c r="H35" s="18" t="s">
        <v>107</v>
      </c>
      <c r="I35" s="18" t="s">
        <v>85</v>
      </c>
      <c r="J35" s="18">
        <v>5</v>
      </c>
      <c r="K35" s="16">
        <v>349.99</v>
      </c>
      <c r="L35" s="10"/>
      <c r="M35" s="16">
        <v>0</v>
      </c>
      <c r="N35" s="16">
        <v>0</v>
      </c>
      <c r="O35" s="18">
        <v>0</v>
      </c>
      <c r="P35" s="18" t="s">
        <v>71</v>
      </c>
      <c r="Q35" s="18">
        <v>5.860758</v>
      </c>
      <c r="R35" s="10"/>
      <c r="S35" s="16">
        <v>145</v>
      </c>
      <c r="T35" s="16">
        <v>10</v>
      </c>
      <c r="U35" s="18" t="s">
        <v>1928</v>
      </c>
      <c r="V35" s="18" t="s">
        <v>104</v>
      </c>
      <c r="W35" s="18" t="s">
        <v>640</v>
      </c>
      <c r="X35" s="18">
        <v>194644245758</v>
      </c>
      <c r="Y35" s="18" t="s">
        <v>81</v>
      </c>
      <c r="Z35" s="18" t="s">
        <v>82</v>
      </c>
      <c r="AA35" s="18" t="s">
        <v>106</v>
      </c>
      <c r="AB35" s="18" t="s">
        <v>107</v>
      </c>
      <c r="AC35" s="18" t="s">
        <v>85</v>
      </c>
      <c r="AD35" s="18">
        <v>694.98</v>
      </c>
      <c r="AE35" s="18">
        <v>1</v>
      </c>
      <c r="AF35" s="18">
        <v>0</v>
      </c>
      <c r="AG35" s="18">
        <v>0</v>
      </c>
      <c r="AH35" s="18">
        <v>1</v>
      </c>
      <c r="AI35" s="18">
        <v>0</v>
      </c>
      <c r="AJ35" s="18">
        <v>0</v>
      </c>
      <c r="AK35" s="18">
        <v>0</v>
      </c>
      <c r="AL35" s="18">
        <v>0</v>
      </c>
      <c r="AM35" s="18">
        <v>0</v>
      </c>
      <c r="AN35" s="18">
        <v>0</v>
      </c>
      <c r="AO35" s="18">
        <v>0</v>
      </c>
      <c r="AP35" s="18">
        <v>0</v>
      </c>
      <c r="AQ35" s="18">
        <v>0</v>
      </c>
      <c r="AR35" s="18">
        <v>0</v>
      </c>
      <c r="AS35" s="18">
        <v>0</v>
      </c>
      <c r="AT35" s="18">
        <v>1</v>
      </c>
      <c r="AU35" s="18">
        <v>0</v>
      </c>
      <c r="AV35" s="18">
        <v>0</v>
      </c>
      <c r="AW35" s="18">
        <v>0</v>
      </c>
      <c r="AX35" s="18">
        <v>0</v>
      </c>
      <c r="AY35" s="13"/>
      <c r="AZ35" s="18">
        <v>1</v>
      </c>
      <c r="BA35" s="18">
        <v>4</v>
      </c>
      <c r="BB35" s="18">
        <v>63.16</v>
      </c>
      <c r="BC35" s="18" t="s">
        <v>161</v>
      </c>
      <c r="BD35" s="18" t="s">
        <v>112</v>
      </c>
      <c r="BE35" s="18" t="s">
        <v>113</v>
      </c>
      <c r="BF35" s="18" t="s">
        <v>77</v>
      </c>
      <c r="BG35" s="18">
        <v>147</v>
      </c>
      <c r="BH35" s="18">
        <v>39</v>
      </c>
      <c r="BI35" s="18">
        <v>0.7903</v>
      </c>
      <c r="BJ35" s="18">
        <v>0</v>
      </c>
      <c r="BK35" s="18">
        <v>52</v>
      </c>
      <c r="BL35" s="18">
        <v>85.8</v>
      </c>
      <c r="BM35" s="13">
        <f t="shared" si="0"/>
        <v>50748.55</v>
      </c>
    </row>
    <row r="36" customHeight="1" spans="1:65">
      <c r="A36" s="18" t="s">
        <v>1947</v>
      </c>
      <c r="B36" s="18" t="s">
        <v>104</v>
      </c>
      <c r="C36" s="18" t="s">
        <v>105</v>
      </c>
      <c r="D36" s="18">
        <v>194644211127</v>
      </c>
      <c r="E36" s="18" t="s">
        <v>81</v>
      </c>
      <c r="F36" s="18" t="s">
        <v>68</v>
      </c>
      <c r="G36" s="18" t="s">
        <v>106</v>
      </c>
      <c r="H36" s="18" t="s">
        <v>107</v>
      </c>
      <c r="I36" s="18" t="s">
        <v>85</v>
      </c>
      <c r="J36" s="18">
        <v>5</v>
      </c>
      <c r="K36" s="16">
        <v>239.99</v>
      </c>
      <c r="L36" s="10"/>
      <c r="M36" s="16">
        <v>0</v>
      </c>
      <c r="N36" s="16">
        <v>0</v>
      </c>
      <c r="O36" s="18">
        <v>0</v>
      </c>
      <c r="P36" s="18" t="s">
        <v>71</v>
      </c>
      <c r="Q36" s="18">
        <v>5.484755</v>
      </c>
      <c r="R36" s="10"/>
      <c r="S36" s="16">
        <v>13</v>
      </c>
      <c r="T36" s="16">
        <v>10</v>
      </c>
      <c r="U36" s="18" t="s">
        <v>1947</v>
      </c>
      <c r="V36" s="18" t="s">
        <v>104</v>
      </c>
      <c r="W36" s="18" t="s">
        <v>1133</v>
      </c>
      <c r="X36" s="18">
        <v>194644211128</v>
      </c>
      <c r="Y36" s="18" t="s">
        <v>81</v>
      </c>
      <c r="Z36" s="18" t="s">
        <v>68</v>
      </c>
      <c r="AA36" s="18" t="s">
        <v>106</v>
      </c>
      <c r="AB36" s="18" t="s">
        <v>107</v>
      </c>
      <c r="AC36" s="18" t="s">
        <v>85</v>
      </c>
      <c r="AD36" s="18">
        <v>474.98</v>
      </c>
      <c r="AE36" s="18">
        <v>0</v>
      </c>
      <c r="AF36" s="18">
        <v>0</v>
      </c>
      <c r="AG36" s="18">
        <v>0</v>
      </c>
      <c r="AH36" s="18">
        <v>0</v>
      </c>
      <c r="AI36" s="18">
        <v>0</v>
      </c>
      <c r="AJ36" s="18">
        <v>0</v>
      </c>
      <c r="AK36" s="18">
        <v>1</v>
      </c>
      <c r="AL36" s="18">
        <v>0</v>
      </c>
      <c r="AM36" s="18">
        <v>0</v>
      </c>
      <c r="AN36" s="18">
        <v>0</v>
      </c>
      <c r="AO36" s="18">
        <v>0</v>
      </c>
      <c r="AP36" s="18">
        <v>1</v>
      </c>
      <c r="AQ36" s="18">
        <v>0</v>
      </c>
      <c r="AR36" s="18">
        <v>0</v>
      </c>
      <c r="AS36" s="18">
        <v>0</v>
      </c>
      <c r="AT36" s="18">
        <v>1</v>
      </c>
      <c r="AU36" s="18">
        <v>0</v>
      </c>
      <c r="AV36" s="18">
        <v>0</v>
      </c>
      <c r="AW36" s="18">
        <v>0</v>
      </c>
      <c r="AX36" s="18">
        <v>0</v>
      </c>
      <c r="AY36" s="13"/>
      <c r="AZ36" s="18">
        <v>1</v>
      </c>
      <c r="BA36" s="18">
        <v>1</v>
      </c>
      <c r="BB36" s="18">
        <v>52.46</v>
      </c>
      <c r="BC36" s="18" t="s">
        <v>161</v>
      </c>
      <c r="BD36" s="18" t="s">
        <v>112</v>
      </c>
      <c r="BE36" s="18" t="s">
        <v>113</v>
      </c>
      <c r="BF36" s="18" t="s">
        <v>77</v>
      </c>
      <c r="BG36" s="18">
        <v>147</v>
      </c>
      <c r="BH36" s="18">
        <v>39</v>
      </c>
      <c r="BI36" s="18">
        <v>0.7903</v>
      </c>
      <c r="BJ36" s="18">
        <v>0</v>
      </c>
      <c r="BK36" s="18">
        <v>2</v>
      </c>
      <c r="BL36" s="18">
        <v>99.5</v>
      </c>
      <c r="BM36" s="13">
        <f t="shared" si="0"/>
        <v>3119.87</v>
      </c>
    </row>
    <row r="37" customHeight="1" spans="1:65">
      <c r="A37" s="18" t="s">
        <v>2433</v>
      </c>
      <c r="B37" s="18" t="s">
        <v>104</v>
      </c>
      <c r="C37" s="18" t="s">
        <v>594</v>
      </c>
      <c r="D37" s="18">
        <v>194644137380</v>
      </c>
      <c r="E37" s="18" t="s">
        <v>81</v>
      </c>
      <c r="F37" s="18" t="s">
        <v>82</v>
      </c>
      <c r="G37" s="18" t="s">
        <v>106</v>
      </c>
      <c r="H37" s="18" t="s">
        <v>107</v>
      </c>
      <c r="I37" s="18" t="s">
        <v>85</v>
      </c>
      <c r="J37" s="18">
        <v>5</v>
      </c>
      <c r="K37" s="16">
        <v>199.99</v>
      </c>
      <c r="L37" s="10"/>
      <c r="M37" s="16">
        <v>0</v>
      </c>
      <c r="N37" s="16">
        <v>0</v>
      </c>
      <c r="O37" s="18">
        <v>0</v>
      </c>
      <c r="P37" s="18" t="s">
        <v>95</v>
      </c>
      <c r="Q37" s="18">
        <v>5.303255</v>
      </c>
      <c r="R37" s="10"/>
      <c r="S37" s="16">
        <v>1624</v>
      </c>
      <c r="T37" s="16">
        <v>10</v>
      </c>
      <c r="U37" s="18" t="s">
        <v>2433</v>
      </c>
      <c r="V37" s="18" t="s">
        <v>104</v>
      </c>
      <c r="W37" s="18" t="s">
        <v>1347</v>
      </c>
      <c r="X37" s="18">
        <v>194644137381</v>
      </c>
      <c r="Y37" s="18" t="s">
        <v>81</v>
      </c>
      <c r="Z37" s="18" t="s">
        <v>82</v>
      </c>
      <c r="AA37" s="18" t="s">
        <v>106</v>
      </c>
      <c r="AB37" s="18" t="s">
        <v>107</v>
      </c>
      <c r="AC37" s="18" t="s">
        <v>85</v>
      </c>
      <c r="AD37" s="18">
        <v>394.98</v>
      </c>
      <c r="AE37" s="18">
        <v>1</v>
      </c>
      <c r="AF37" s="18">
        <v>0</v>
      </c>
      <c r="AG37" s="18">
        <v>0</v>
      </c>
      <c r="AH37" s="18">
        <v>1</v>
      </c>
      <c r="AI37" s="18">
        <v>0</v>
      </c>
      <c r="AJ37" s="18">
        <v>0</v>
      </c>
      <c r="AK37" s="18">
        <v>1</v>
      </c>
      <c r="AL37" s="18">
        <v>0</v>
      </c>
      <c r="AM37" s="18">
        <v>0</v>
      </c>
      <c r="AN37" s="18">
        <v>0</v>
      </c>
      <c r="AO37" s="18">
        <v>0</v>
      </c>
      <c r="AP37" s="18">
        <v>0</v>
      </c>
      <c r="AQ37" s="18">
        <v>0</v>
      </c>
      <c r="AR37" s="18">
        <v>0</v>
      </c>
      <c r="AS37" s="18">
        <v>0</v>
      </c>
      <c r="AT37" s="18">
        <v>1</v>
      </c>
      <c r="AU37" s="18">
        <v>0</v>
      </c>
      <c r="AV37" s="18">
        <v>0</v>
      </c>
      <c r="AW37" s="18">
        <v>0</v>
      </c>
      <c r="AX37" s="18">
        <v>0</v>
      </c>
      <c r="AY37" s="13"/>
      <c r="AZ37" s="18">
        <v>1</v>
      </c>
      <c r="BA37" s="18">
        <v>3</v>
      </c>
      <c r="BB37" s="18">
        <v>67.63</v>
      </c>
      <c r="BC37" s="18" t="s">
        <v>161</v>
      </c>
      <c r="BD37" s="18" t="s">
        <v>112</v>
      </c>
      <c r="BE37" s="18" t="s">
        <v>113</v>
      </c>
      <c r="BF37" s="18" t="s">
        <v>77</v>
      </c>
      <c r="BG37" s="18">
        <v>147</v>
      </c>
      <c r="BH37" s="18">
        <v>38</v>
      </c>
      <c r="BI37" s="18">
        <v>0.7946</v>
      </c>
      <c r="BJ37" s="18">
        <v>0</v>
      </c>
      <c r="BK37" s="18">
        <v>26</v>
      </c>
      <c r="BL37" s="18">
        <v>92.9</v>
      </c>
      <c r="BM37" s="13">
        <f t="shared" si="0"/>
        <v>324783.76</v>
      </c>
    </row>
    <row r="38" customHeight="1" spans="1:65">
      <c r="A38" s="18" t="s">
        <v>305</v>
      </c>
      <c r="B38" s="18" t="s">
        <v>104</v>
      </c>
      <c r="C38" s="18" t="s">
        <v>306</v>
      </c>
      <c r="D38" s="13"/>
      <c r="E38" s="18" t="s">
        <v>209</v>
      </c>
      <c r="F38" s="18" t="s">
        <v>160</v>
      </c>
      <c r="G38" s="18" t="s">
        <v>106</v>
      </c>
      <c r="H38" s="18" t="s">
        <v>107</v>
      </c>
      <c r="I38" s="18" t="s">
        <v>85</v>
      </c>
      <c r="J38" s="18">
        <v>5</v>
      </c>
      <c r="K38" s="16">
        <v>149.99</v>
      </c>
      <c r="L38" s="10"/>
      <c r="M38" s="16">
        <v>0</v>
      </c>
      <c r="N38" s="16">
        <v>0</v>
      </c>
      <c r="O38" s="18">
        <v>0</v>
      </c>
      <c r="P38" s="18" t="s">
        <v>95</v>
      </c>
      <c r="Q38" s="18">
        <v>5.017214</v>
      </c>
      <c r="R38" s="10"/>
      <c r="S38" s="16">
        <v>185</v>
      </c>
      <c r="T38" s="16">
        <v>10</v>
      </c>
      <c r="U38" s="18" t="s">
        <v>305</v>
      </c>
      <c r="V38" s="18" t="s">
        <v>104</v>
      </c>
      <c r="W38" s="18" t="s">
        <v>2532</v>
      </c>
      <c r="X38" s="13"/>
      <c r="Y38" s="18" t="s">
        <v>209</v>
      </c>
      <c r="Z38" s="18" t="s">
        <v>160</v>
      </c>
      <c r="AA38" s="18" t="s">
        <v>106</v>
      </c>
      <c r="AB38" s="18" t="s">
        <v>107</v>
      </c>
      <c r="AC38" s="18" t="s">
        <v>85</v>
      </c>
      <c r="AD38" s="18">
        <v>294.98</v>
      </c>
      <c r="AE38" s="18">
        <v>0</v>
      </c>
      <c r="AF38" s="18">
        <v>1</v>
      </c>
      <c r="AG38" s="18">
        <v>0</v>
      </c>
      <c r="AH38" s="18">
        <v>1</v>
      </c>
      <c r="AI38" s="18">
        <v>0</v>
      </c>
      <c r="AJ38" s="18">
        <v>0</v>
      </c>
      <c r="AK38" s="18">
        <v>0</v>
      </c>
      <c r="AL38" s="18">
        <v>0</v>
      </c>
      <c r="AM38" s="18">
        <v>0</v>
      </c>
      <c r="AN38" s="18">
        <v>0</v>
      </c>
      <c r="AO38" s="18">
        <v>1</v>
      </c>
      <c r="AP38" s="18">
        <v>0</v>
      </c>
      <c r="AQ38" s="18">
        <v>0</v>
      </c>
      <c r="AR38" s="18">
        <v>0</v>
      </c>
      <c r="AS38" s="18">
        <v>0</v>
      </c>
      <c r="AT38" s="18">
        <v>0</v>
      </c>
      <c r="AU38" s="18">
        <v>0</v>
      </c>
      <c r="AV38" s="18">
        <v>0</v>
      </c>
      <c r="AW38" s="18">
        <v>1</v>
      </c>
      <c r="AX38" s="18">
        <v>0</v>
      </c>
      <c r="AY38" s="13"/>
      <c r="AZ38" s="18">
        <v>1</v>
      </c>
      <c r="BA38" s="18">
        <v>2</v>
      </c>
      <c r="BB38" s="18">
        <v>67.8</v>
      </c>
      <c r="BC38" s="18" t="s">
        <v>161</v>
      </c>
      <c r="BD38" s="18" t="s">
        <v>112</v>
      </c>
      <c r="BE38" s="18" t="s">
        <v>113</v>
      </c>
      <c r="BF38" s="18" t="s">
        <v>77</v>
      </c>
      <c r="BG38" s="18">
        <v>147</v>
      </c>
      <c r="BH38" s="18">
        <v>39</v>
      </c>
      <c r="BI38" s="18">
        <v>0.7903</v>
      </c>
      <c r="BJ38" s="18">
        <v>0</v>
      </c>
      <c r="BK38" s="18">
        <v>2</v>
      </c>
      <c r="BL38" s="18">
        <v>99.5</v>
      </c>
      <c r="BM38" s="13">
        <f t="shared" si="0"/>
        <v>27748.15</v>
      </c>
    </row>
    <row r="39" customHeight="1" spans="1:65">
      <c r="A39" s="18" t="s">
        <v>157</v>
      </c>
      <c r="B39" s="18" t="s">
        <v>104</v>
      </c>
      <c r="C39" s="18" t="s">
        <v>158</v>
      </c>
      <c r="D39" s="18">
        <v>194644107369</v>
      </c>
      <c r="E39" s="18" t="s">
        <v>159</v>
      </c>
      <c r="F39" s="18" t="s">
        <v>160</v>
      </c>
      <c r="G39" s="18" t="s">
        <v>106</v>
      </c>
      <c r="H39" s="18" t="s">
        <v>107</v>
      </c>
      <c r="I39" s="18" t="s">
        <v>85</v>
      </c>
      <c r="J39" s="18">
        <v>5</v>
      </c>
      <c r="K39" s="16">
        <v>149.99</v>
      </c>
      <c r="L39" s="10"/>
      <c r="M39" s="16">
        <v>0</v>
      </c>
      <c r="N39" s="16">
        <v>0</v>
      </c>
      <c r="O39" s="18">
        <v>0</v>
      </c>
      <c r="P39" s="18" t="s">
        <v>95</v>
      </c>
      <c r="Q39" s="18">
        <v>5.017214</v>
      </c>
      <c r="R39" s="10"/>
      <c r="S39" s="16">
        <v>852</v>
      </c>
      <c r="T39" s="16">
        <v>10</v>
      </c>
      <c r="U39" s="18" t="s">
        <v>157</v>
      </c>
      <c r="V39" s="18" t="s">
        <v>104</v>
      </c>
      <c r="W39" s="18" t="s">
        <v>2533</v>
      </c>
      <c r="X39" s="18">
        <v>194644107370</v>
      </c>
      <c r="Y39" s="18" t="s">
        <v>159</v>
      </c>
      <c r="Z39" s="18" t="s">
        <v>160</v>
      </c>
      <c r="AA39" s="18" t="s">
        <v>106</v>
      </c>
      <c r="AB39" s="18" t="s">
        <v>107</v>
      </c>
      <c r="AC39" s="18" t="s">
        <v>85</v>
      </c>
      <c r="AD39" s="18">
        <v>294.98</v>
      </c>
      <c r="AE39" s="18">
        <v>0</v>
      </c>
      <c r="AF39" s="18">
        <v>0</v>
      </c>
      <c r="AG39" s="18">
        <v>0</v>
      </c>
      <c r="AH39" s="18">
        <v>0</v>
      </c>
      <c r="AI39" s="18">
        <v>0</v>
      </c>
      <c r="AJ39" s="18">
        <v>0</v>
      </c>
      <c r="AK39" s="18">
        <v>0</v>
      </c>
      <c r="AL39" s="18">
        <v>0</v>
      </c>
      <c r="AM39" s="18">
        <v>0</v>
      </c>
      <c r="AN39" s="18">
        <v>0</v>
      </c>
      <c r="AO39" s="18">
        <v>0</v>
      </c>
      <c r="AP39" s="18">
        <v>0</v>
      </c>
      <c r="AQ39" s="18">
        <v>0</v>
      </c>
      <c r="AR39" s="18">
        <v>0</v>
      </c>
      <c r="AS39" s="18">
        <v>0</v>
      </c>
      <c r="AT39" s="18">
        <v>0</v>
      </c>
      <c r="AU39" s="18">
        <v>0</v>
      </c>
      <c r="AV39" s="18">
        <v>0</v>
      </c>
      <c r="AW39" s="18">
        <v>0</v>
      </c>
      <c r="AX39" s="18">
        <v>0</v>
      </c>
      <c r="AY39" s="13"/>
      <c r="AZ39" s="18">
        <v>1</v>
      </c>
      <c r="BA39" s="18">
        <v>0</v>
      </c>
      <c r="BB39" s="18">
        <v>67.08</v>
      </c>
      <c r="BC39" s="18" t="s">
        <v>161</v>
      </c>
      <c r="BD39" s="18" t="s">
        <v>112</v>
      </c>
      <c r="BE39" s="18" t="s">
        <v>113</v>
      </c>
      <c r="BF39" s="18" t="s">
        <v>77</v>
      </c>
      <c r="BG39" s="18">
        <v>147</v>
      </c>
      <c r="BH39" s="18">
        <v>39</v>
      </c>
      <c r="BI39" s="18">
        <v>0.7903</v>
      </c>
      <c r="BJ39" s="18">
        <v>0</v>
      </c>
      <c r="BK39" s="18">
        <v>30</v>
      </c>
      <c r="BL39" s="18">
        <v>91.8</v>
      </c>
      <c r="BM39" s="13">
        <f t="shared" si="0"/>
        <v>127791.48</v>
      </c>
    </row>
    <row r="40" customHeight="1" spans="1:65">
      <c r="A40" s="18" t="s">
        <v>2023</v>
      </c>
      <c r="B40" s="18" t="s">
        <v>104</v>
      </c>
      <c r="C40" s="18" t="s">
        <v>2024</v>
      </c>
      <c r="D40" s="18">
        <v>194644236144</v>
      </c>
      <c r="E40" s="18" t="s">
        <v>2025</v>
      </c>
      <c r="F40" s="18" t="s">
        <v>82</v>
      </c>
      <c r="G40" s="18" t="s">
        <v>106</v>
      </c>
      <c r="H40" s="18" t="s">
        <v>107</v>
      </c>
      <c r="I40" s="18" t="s">
        <v>85</v>
      </c>
      <c r="J40" s="18">
        <v>5</v>
      </c>
      <c r="K40" s="16">
        <v>109.99</v>
      </c>
      <c r="L40" s="16">
        <v>129.99</v>
      </c>
      <c r="M40" s="16">
        <v>15.39</v>
      </c>
      <c r="N40" s="16">
        <v>20</v>
      </c>
      <c r="O40" s="18">
        <v>1</v>
      </c>
      <c r="P40" s="18" t="s">
        <v>95</v>
      </c>
      <c r="Q40" s="18">
        <v>4.70944</v>
      </c>
      <c r="R40" s="10"/>
      <c r="S40" s="16">
        <v>22</v>
      </c>
      <c r="T40" s="16">
        <v>10</v>
      </c>
      <c r="U40" s="18" t="s">
        <v>2023</v>
      </c>
      <c r="V40" s="18" t="s">
        <v>104</v>
      </c>
      <c r="W40" s="18" t="s">
        <v>2534</v>
      </c>
      <c r="X40" s="18">
        <v>194644236145</v>
      </c>
      <c r="Y40" s="18" t="s">
        <v>2025</v>
      </c>
      <c r="Z40" s="18" t="s">
        <v>82</v>
      </c>
      <c r="AA40" s="18" t="s">
        <v>106</v>
      </c>
      <c r="AB40" s="18" t="s">
        <v>107</v>
      </c>
      <c r="AC40" s="18" t="s">
        <v>85</v>
      </c>
      <c r="AD40" s="18">
        <v>6.4379999999999</v>
      </c>
      <c r="AE40" s="18">
        <v>0</v>
      </c>
      <c r="AF40" s="18">
        <v>0</v>
      </c>
      <c r="AG40" s="18">
        <v>0</v>
      </c>
      <c r="AH40" s="18">
        <v>0</v>
      </c>
      <c r="AI40" s="18">
        <v>0</v>
      </c>
      <c r="AJ40" s="18">
        <v>0</v>
      </c>
      <c r="AK40" s="18">
        <v>1</v>
      </c>
      <c r="AL40" s="18">
        <v>0</v>
      </c>
      <c r="AM40" s="18">
        <v>0</v>
      </c>
      <c r="AN40" s="18">
        <v>0</v>
      </c>
      <c r="AO40" s="18">
        <v>0</v>
      </c>
      <c r="AP40" s="18">
        <v>0</v>
      </c>
      <c r="AQ40" s="18">
        <v>0</v>
      </c>
      <c r="AR40" s="18">
        <v>0</v>
      </c>
      <c r="AS40" s="18">
        <v>0</v>
      </c>
      <c r="AT40" s="18">
        <v>0</v>
      </c>
      <c r="AU40" s="18">
        <v>1</v>
      </c>
      <c r="AV40" s="18">
        <v>0</v>
      </c>
      <c r="AW40" s="18">
        <v>0</v>
      </c>
      <c r="AX40" s="18">
        <v>0</v>
      </c>
      <c r="AY40" s="13"/>
      <c r="AZ40" s="18">
        <v>1</v>
      </c>
      <c r="BA40" s="18">
        <v>1</v>
      </c>
      <c r="BB40" s="18">
        <v>61.7</v>
      </c>
      <c r="BC40" s="18" t="s">
        <v>161</v>
      </c>
      <c r="BD40" s="18" t="s">
        <v>112</v>
      </c>
      <c r="BE40" s="18" t="s">
        <v>113</v>
      </c>
      <c r="BF40" s="18" t="s">
        <v>77</v>
      </c>
      <c r="BG40" s="18">
        <v>162</v>
      </c>
      <c r="BH40" s="18">
        <v>20</v>
      </c>
      <c r="BI40" s="18">
        <v>0.8901</v>
      </c>
      <c r="BJ40" s="18">
        <v>0</v>
      </c>
      <c r="BK40" s="18">
        <v>5</v>
      </c>
      <c r="BL40" s="18">
        <v>98.6</v>
      </c>
      <c r="BM40" s="13">
        <f t="shared" si="0"/>
        <v>2419.78</v>
      </c>
    </row>
    <row r="41" customHeight="1" spans="1:65">
      <c r="A41" s="18" t="s">
        <v>1713</v>
      </c>
      <c r="B41" s="18" t="s">
        <v>104</v>
      </c>
      <c r="C41" s="18" t="s">
        <v>1714</v>
      </c>
      <c r="D41" s="18">
        <v>194644123307</v>
      </c>
      <c r="E41" s="18" t="s">
        <v>1715</v>
      </c>
      <c r="F41" s="18" t="s">
        <v>198</v>
      </c>
      <c r="G41" s="18" t="s">
        <v>106</v>
      </c>
      <c r="H41" s="18" t="s">
        <v>107</v>
      </c>
      <c r="I41" s="18" t="s">
        <v>85</v>
      </c>
      <c r="J41" s="18">
        <v>5</v>
      </c>
      <c r="K41" s="16">
        <v>34.99</v>
      </c>
      <c r="L41" s="10"/>
      <c r="M41" s="16">
        <v>0</v>
      </c>
      <c r="N41" s="16">
        <v>0</v>
      </c>
      <c r="O41" s="18">
        <v>0</v>
      </c>
      <c r="P41" s="18" t="s">
        <v>86</v>
      </c>
      <c r="Q41" s="18">
        <v>3.583241</v>
      </c>
      <c r="R41" s="10"/>
      <c r="S41" s="16">
        <v>449</v>
      </c>
      <c r="T41" s="16">
        <v>10</v>
      </c>
      <c r="U41" s="18" t="s">
        <v>1713</v>
      </c>
      <c r="V41" s="18" t="s">
        <v>104</v>
      </c>
      <c r="W41" s="18" t="s">
        <v>2535</v>
      </c>
      <c r="X41" s="18">
        <v>194644123308</v>
      </c>
      <c r="Y41" s="18" t="s">
        <v>1715</v>
      </c>
      <c r="Z41" s="18" t="s">
        <v>198</v>
      </c>
      <c r="AA41" s="18" t="s">
        <v>106</v>
      </c>
      <c r="AB41" s="18" t="s">
        <v>107</v>
      </c>
      <c r="AC41" s="18" t="s">
        <v>85</v>
      </c>
      <c r="AD41" s="18">
        <v>64.98</v>
      </c>
      <c r="AE41" s="18">
        <v>0</v>
      </c>
      <c r="AF41" s="18">
        <v>0</v>
      </c>
      <c r="AG41" s="18">
        <v>0</v>
      </c>
      <c r="AH41" s="18">
        <v>0</v>
      </c>
      <c r="AI41" s="18">
        <v>0</v>
      </c>
      <c r="AJ41" s="18">
        <v>0</v>
      </c>
      <c r="AK41" s="18">
        <v>0</v>
      </c>
      <c r="AL41" s="18">
        <v>0</v>
      </c>
      <c r="AM41" s="18">
        <v>0</v>
      </c>
      <c r="AN41" s="18">
        <v>0</v>
      </c>
      <c r="AO41" s="18">
        <v>0</v>
      </c>
      <c r="AP41" s="18">
        <v>0</v>
      </c>
      <c r="AQ41" s="18">
        <v>0</v>
      </c>
      <c r="AR41" s="18">
        <v>0</v>
      </c>
      <c r="AS41" s="18">
        <v>0</v>
      </c>
      <c r="AT41" s="18">
        <v>1</v>
      </c>
      <c r="AU41" s="18">
        <v>0</v>
      </c>
      <c r="AV41" s="18">
        <v>0</v>
      </c>
      <c r="AW41" s="18">
        <v>0</v>
      </c>
      <c r="AX41" s="18">
        <v>0</v>
      </c>
      <c r="AY41" s="13"/>
      <c r="AZ41" s="18">
        <v>1</v>
      </c>
      <c r="BA41" s="18">
        <v>0</v>
      </c>
      <c r="BB41" s="18">
        <v>66.67</v>
      </c>
      <c r="BC41" s="18" t="s">
        <v>161</v>
      </c>
      <c r="BD41" s="18" t="s">
        <v>112</v>
      </c>
      <c r="BE41" s="18" t="s">
        <v>113</v>
      </c>
      <c r="BF41" s="18" t="s">
        <v>77</v>
      </c>
      <c r="BG41" s="18">
        <v>147</v>
      </c>
      <c r="BH41" s="18">
        <v>38</v>
      </c>
      <c r="BI41" s="18">
        <v>0.7946</v>
      </c>
      <c r="BJ41" s="18">
        <v>0</v>
      </c>
      <c r="BK41" s="18">
        <v>30</v>
      </c>
      <c r="BL41" s="18">
        <v>91.8</v>
      </c>
      <c r="BM41" s="13">
        <f t="shared" si="0"/>
        <v>15710.51</v>
      </c>
    </row>
    <row r="42" customHeight="1" spans="1:65">
      <c r="A42" s="18" t="s">
        <v>1722</v>
      </c>
      <c r="B42" s="18" t="s">
        <v>104</v>
      </c>
      <c r="C42" s="18" t="s">
        <v>945</v>
      </c>
      <c r="D42" s="18">
        <v>194644239749</v>
      </c>
      <c r="E42" s="18" t="s">
        <v>209</v>
      </c>
      <c r="F42" s="18" t="s">
        <v>160</v>
      </c>
      <c r="G42" s="18" t="s">
        <v>106</v>
      </c>
      <c r="H42" s="18" t="s">
        <v>107</v>
      </c>
      <c r="I42" s="18" t="s">
        <v>85</v>
      </c>
      <c r="J42" s="18">
        <v>5</v>
      </c>
      <c r="K42" s="16">
        <v>1499.99</v>
      </c>
      <c r="L42" s="10"/>
      <c r="M42" s="16">
        <v>0</v>
      </c>
      <c r="N42" s="16">
        <v>0</v>
      </c>
      <c r="O42" s="18">
        <v>0</v>
      </c>
      <c r="P42" s="18" t="s">
        <v>147</v>
      </c>
      <c r="Q42" s="18">
        <v>7.31388</v>
      </c>
      <c r="R42" s="16">
        <v>187.5</v>
      </c>
      <c r="S42" s="16">
        <v>36</v>
      </c>
      <c r="T42" s="16">
        <v>10</v>
      </c>
      <c r="U42" s="18" t="s">
        <v>1722</v>
      </c>
      <c r="V42" s="18" t="s">
        <v>104</v>
      </c>
      <c r="W42" s="18" t="s">
        <v>2536</v>
      </c>
      <c r="X42" s="18">
        <v>194644239750</v>
      </c>
      <c r="Y42" s="18" t="s">
        <v>209</v>
      </c>
      <c r="Z42" s="18" t="s">
        <v>160</v>
      </c>
      <c r="AA42" s="18" t="s">
        <v>106</v>
      </c>
      <c r="AB42" s="18" t="s">
        <v>107</v>
      </c>
      <c r="AC42" s="18" t="s">
        <v>85</v>
      </c>
      <c r="AD42" s="18">
        <v>2994.98</v>
      </c>
      <c r="AE42" s="18">
        <v>0</v>
      </c>
      <c r="AF42" s="18">
        <v>0</v>
      </c>
      <c r="AG42" s="18">
        <v>1</v>
      </c>
      <c r="AH42" s="18">
        <v>0</v>
      </c>
      <c r="AI42" s="18">
        <v>1</v>
      </c>
      <c r="AJ42" s="18">
        <v>0</v>
      </c>
      <c r="AK42" s="18">
        <v>1</v>
      </c>
      <c r="AL42" s="18">
        <v>0</v>
      </c>
      <c r="AM42" s="18">
        <v>0</v>
      </c>
      <c r="AN42" s="18">
        <v>0</v>
      </c>
      <c r="AO42" s="18">
        <v>0</v>
      </c>
      <c r="AP42" s="18">
        <v>0</v>
      </c>
      <c r="AQ42" s="18">
        <v>1</v>
      </c>
      <c r="AR42" s="18">
        <v>0</v>
      </c>
      <c r="AS42" s="18">
        <v>0</v>
      </c>
      <c r="AT42" s="18">
        <v>0</v>
      </c>
      <c r="AU42" s="18">
        <v>0</v>
      </c>
      <c r="AV42" s="18">
        <v>1</v>
      </c>
      <c r="AW42" s="18">
        <v>1</v>
      </c>
      <c r="AX42" s="18">
        <v>0</v>
      </c>
      <c r="AY42" s="18">
        <v>8</v>
      </c>
      <c r="AZ42" s="18">
        <v>1</v>
      </c>
      <c r="BA42" s="18">
        <v>2</v>
      </c>
      <c r="BB42" s="18">
        <v>61.15</v>
      </c>
      <c r="BC42" s="18" t="s">
        <v>161</v>
      </c>
      <c r="BD42" s="18" t="s">
        <v>112</v>
      </c>
      <c r="BE42" s="18" t="s">
        <v>128</v>
      </c>
      <c r="BF42" s="18" t="s">
        <v>77</v>
      </c>
      <c r="BG42" s="18">
        <v>33</v>
      </c>
      <c r="BH42" s="18">
        <v>23</v>
      </c>
      <c r="BI42" s="18">
        <v>0.5893</v>
      </c>
      <c r="BJ42" s="18">
        <v>0</v>
      </c>
      <c r="BK42" s="18">
        <v>2</v>
      </c>
      <c r="BL42" s="18">
        <v>99.5</v>
      </c>
      <c r="BM42" s="13">
        <f t="shared" si="0"/>
        <v>53999.64</v>
      </c>
    </row>
    <row r="43" customHeight="1" spans="1:65">
      <c r="A43" s="18" t="s">
        <v>2471</v>
      </c>
      <c r="B43" s="18" t="s">
        <v>104</v>
      </c>
      <c r="C43" s="18" t="s">
        <v>960</v>
      </c>
      <c r="D43" s="18">
        <v>194644245658</v>
      </c>
      <c r="E43" s="18" t="s">
        <v>81</v>
      </c>
      <c r="F43" s="18" t="s">
        <v>82</v>
      </c>
      <c r="G43" s="18" t="s">
        <v>106</v>
      </c>
      <c r="H43" s="18" t="s">
        <v>107</v>
      </c>
      <c r="I43" s="18" t="s">
        <v>85</v>
      </c>
      <c r="J43" s="18">
        <v>5</v>
      </c>
      <c r="K43" s="16">
        <v>59.98</v>
      </c>
      <c r="L43" s="16">
        <v>89.99</v>
      </c>
      <c r="M43" s="16">
        <v>33.35</v>
      </c>
      <c r="N43" s="16">
        <v>30.01</v>
      </c>
      <c r="O43" s="18">
        <v>1</v>
      </c>
      <c r="P43" s="18" t="s">
        <v>86</v>
      </c>
      <c r="Q43" s="18">
        <v>4.110546</v>
      </c>
      <c r="R43" s="10"/>
      <c r="S43" s="16">
        <v>33</v>
      </c>
      <c r="T43" s="16">
        <v>10</v>
      </c>
      <c r="U43" s="18" t="s">
        <v>2471</v>
      </c>
      <c r="V43" s="18" t="s">
        <v>104</v>
      </c>
      <c r="W43" s="18" t="s">
        <v>2529</v>
      </c>
      <c r="X43" s="18">
        <v>194644245659</v>
      </c>
      <c r="Y43" s="18" t="s">
        <v>81</v>
      </c>
      <c r="Z43" s="18" t="s">
        <v>82</v>
      </c>
      <c r="AA43" s="18" t="s">
        <v>106</v>
      </c>
      <c r="AB43" s="18" t="s">
        <v>107</v>
      </c>
      <c r="AC43" s="18" t="s">
        <v>85</v>
      </c>
      <c r="AD43" s="18">
        <v>19.9</v>
      </c>
      <c r="AE43" s="18">
        <v>0</v>
      </c>
      <c r="AF43" s="18">
        <v>0</v>
      </c>
      <c r="AG43" s="18">
        <v>0</v>
      </c>
      <c r="AH43" s="18">
        <v>1</v>
      </c>
      <c r="AI43" s="18">
        <v>0</v>
      </c>
      <c r="AJ43" s="18">
        <v>0</v>
      </c>
      <c r="AK43" s="18">
        <v>0</v>
      </c>
      <c r="AL43" s="18">
        <v>0</v>
      </c>
      <c r="AM43" s="18">
        <v>0</v>
      </c>
      <c r="AN43" s="18">
        <v>0</v>
      </c>
      <c r="AO43" s="18">
        <v>0</v>
      </c>
      <c r="AP43" s="18">
        <v>0</v>
      </c>
      <c r="AQ43" s="18">
        <v>0</v>
      </c>
      <c r="AR43" s="18">
        <v>0</v>
      </c>
      <c r="AS43" s="18">
        <v>0</v>
      </c>
      <c r="AT43" s="18">
        <v>1</v>
      </c>
      <c r="AU43" s="18">
        <v>1</v>
      </c>
      <c r="AV43" s="18">
        <v>0</v>
      </c>
      <c r="AW43" s="18">
        <v>0</v>
      </c>
      <c r="AX43" s="18">
        <v>0</v>
      </c>
      <c r="AY43" s="13"/>
      <c r="AZ43" s="18">
        <v>1</v>
      </c>
      <c r="BA43" s="18">
        <v>2</v>
      </c>
      <c r="BB43" s="18">
        <v>70.28</v>
      </c>
      <c r="BC43" s="18" t="s">
        <v>161</v>
      </c>
      <c r="BD43" s="13"/>
      <c r="BE43" s="13"/>
      <c r="BF43" s="13"/>
      <c r="BG43" s="18">
        <v>0</v>
      </c>
      <c r="BH43" s="18">
        <v>0</v>
      </c>
      <c r="BI43" s="13"/>
      <c r="BJ43" s="18">
        <v>0</v>
      </c>
      <c r="BK43" s="18">
        <v>5</v>
      </c>
      <c r="BL43" s="18">
        <v>98.6</v>
      </c>
      <c r="BM43" s="13">
        <f t="shared" si="0"/>
        <v>1979.34</v>
      </c>
    </row>
    <row r="44" customHeight="1" spans="1:65">
      <c r="A44" s="18" t="s">
        <v>695</v>
      </c>
      <c r="B44" s="18" t="s">
        <v>696</v>
      </c>
      <c r="C44" s="13"/>
      <c r="D44" s="13"/>
      <c r="E44" s="18" t="s">
        <v>131</v>
      </c>
      <c r="F44" s="18" t="s">
        <v>132</v>
      </c>
      <c r="G44" s="18" t="s">
        <v>83</v>
      </c>
      <c r="H44" s="18" t="s">
        <v>84</v>
      </c>
      <c r="I44" s="18" t="s">
        <v>85</v>
      </c>
      <c r="J44" s="18">
        <v>5</v>
      </c>
      <c r="K44" s="16">
        <v>8.9</v>
      </c>
      <c r="L44" s="10"/>
      <c r="M44" s="16">
        <v>0</v>
      </c>
      <c r="N44" s="16">
        <v>0</v>
      </c>
      <c r="O44" s="18">
        <v>0</v>
      </c>
      <c r="P44" s="18" t="s">
        <v>133</v>
      </c>
      <c r="Q44" s="18">
        <v>2.292535</v>
      </c>
      <c r="R44" s="10"/>
      <c r="S44" s="16">
        <v>2356</v>
      </c>
      <c r="T44" s="16">
        <v>10</v>
      </c>
      <c r="U44" s="18" t="s">
        <v>695</v>
      </c>
      <c r="V44" s="18" t="s">
        <v>696</v>
      </c>
      <c r="W44" s="13"/>
      <c r="X44" s="13"/>
      <c r="Y44" s="18" t="s">
        <v>131</v>
      </c>
      <c r="Z44" s="18" t="s">
        <v>132</v>
      </c>
      <c r="AA44" s="18" t="s">
        <v>83</v>
      </c>
      <c r="AB44" s="18" t="s">
        <v>84</v>
      </c>
      <c r="AC44" s="18" t="s">
        <v>85</v>
      </c>
      <c r="AD44" s="18">
        <v>12.8</v>
      </c>
      <c r="AE44" s="18">
        <v>0</v>
      </c>
      <c r="AF44" s="18">
        <v>0</v>
      </c>
      <c r="AG44" s="18">
        <v>0</v>
      </c>
      <c r="AH44" s="18">
        <v>0</v>
      </c>
      <c r="AI44" s="18">
        <v>0</v>
      </c>
      <c r="AJ44" s="18">
        <v>0</v>
      </c>
      <c r="AK44" s="18">
        <v>0</v>
      </c>
      <c r="AL44" s="18">
        <v>0</v>
      </c>
      <c r="AM44" s="18">
        <v>0</v>
      </c>
      <c r="AN44" s="18">
        <v>0</v>
      </c>
      <c r="AO44" s="18">
        <v>0</v>
      </c>
      <c r="AP44" s="18">
        <v>0</v>
      </c>
      <c r="AQ44" s="18">
        <v>0</v>
      </c>
      <c r="AR44" s="18">
        <v>0</v>
      </c>
      <c r="AS44" s="18">
        <v>0</v>
      </c>
      <c r="AT44" s="18">
        <v>0</v>
      </c>
      <c r="AU44" s="18">
        <v>0</v>
      </c>
      <c r="AV44" s="18">
        <v>0</v>
      </c>
      <c r="AW44" s="18">
        <v>0</v>
      </c>
      <c r="AX44" s="18">
        <v>0</v>
      </c>
      <c r="AY44" s="13"/>
      <c r="AZ44" s="18">
        <v>10</v>
      </c>
      <c r="BA44" s="18">
        <v>0</v>
      </c>
      <c r="BB44" s="18">
        <v>60.05</v>
      </c>
      <c r="BC44" s="18" t="s">
        <v>697</v>
      </c>
      <c r="BD44" s="18" t="s">
        <v>698</v>
      </c>
      <c r="BE44" s="18" t="s">
        <v>166</v>
      </c>
      <c r="BF44" s="18" t="s">
        <v>77</v>
      </c>
      <c r="BG44" s="18">
        <v>168</v>
      </c>
      <c r="BH44" s="18">
        <v>11</v>
      </c>
      <c r="BI44" s="18">
        <v>0.9385</v>
      </c>
      <c r="BJ44" s="18">
        <v>0</v>
      </c>
      <c r="BK44" s="18">
        <v>119</v>
      </c>
      <c r="BL44" s="18">
        <v>67.4</v>
      </c>
      <c r="BM44" s="13">
        <f t="shared" si="0"/>
        <v>20968.4</v>
      </c>
    </row>
    <row r="45" customHeight="1" spans="1:65">
      <c r="A45" s="18" t="s">
        <v>2027</v>
      </c>
      <c r="B45" s="18" t="s">
        <v>2028</v>
      </c>
      <c r="C45" s="18" t="s">
        <v>2029</v>
      </c>
      <c r="D45" s="13"/>
      <c r="E45" s="18" t="s">
        <v>2030</v>
      </c>
      <c r="F45" s="18" t="s">
        <v>160</v>
      </c>
      <c r="G45" s="18" t="s">
        <v>83</v>
      </c>
      <c r="H45" s="18" t="s">
        <v>84</v>
      </c>
      <c r="I45" s="18" t="s">
        <v>85</v>
      </c>
      <c r="J45" s="18">
        <v>5</v>
      </c>
      <c r="K45" s="16">
        <v>293.3</v>
      </c>
      <c r="L45" s="10"/>
      <c r="M45" s="16">
        <v>0</v>
      </c>
      <c r="N45" s="16">
        <v>0</v>
      </c>
      <c r="O45" s="18">
        <v>0</v>
      </c>
      <c r="P45" s="18" t="s">
        <v>71</v>
      </c>
      <c r="Q45" s="18">
        <v>5.6846</v>
      </c>
      <c r="R45" s="16">
        <v>18.33</v>
      </c>
      <c r="S45" s="16">
        <v>221</v>
      </c>
      <c r="T45" s="16">
        <v>1</v>
      </c>
      <c r="U45" s="18" t="s">
        <v>2027</v>
      </c>
      <c r="V45" s="18" t="s">
        <v>2028</v>
      </c>
      <c r="W45" s="18" t="s">
        <v>2029</v>
      </c>
      <c r="X45" s="13"/>
      <c r="Y45" s="18" t="s">
        <v>2030</v>
      </c>
      <c r="Z45" s="18" t="s">
        <v>160</v>
      </c>
      <c r="AA45" s="18" t="s">
        <v>83</v>
      </c>
      <c r="AB45" s="18" t="s">
        <v>84</v>
      </c>
      <c r="AC45" s="18" t="s">
        <v>85</v>
      </c>
      <c r="AD45" s="18">
        <v>581.6</v>
      </c>
      <c r="AE45" s="18">
        <v>0</v>
      </c>
      <c r="AF45" s="18">
        <v>0</v>
      </c>
      <c r="AG45" s="18">
        <v>0</v>
      </c>
      <c r="AH45" s="18">
        <v>0</v>
      </c>
      <c r="AI45" s="18">
        <v>0</v>
      </c>
      <c r="AJ45" s="18">
        <v>0</v>
      </c>
      <c r="AK45" s="18">
        <v>0</v>
      </c>
      <c r="AL45" s="18">
        <v>0</v>
      </c>
      <c r="AM45" s="18">
        <v>0</v>
      </c>
      <c r="AN45" s="18">
        <v>0</v>
      </c>
      <c r="AO45" s="18">
        <v>0</v>
      </c>
      <c r="AP45" s="18">
        <v>0</v>
      </c>
      <c r="AQ45" s="18">
        <v>1</v>
      </c>
      <c r="AR45" s="18">
        <v>0</v>
      </c>
      <c r="AS45" s="18">
        <v>0</v>
      </c>
      <c r="AT45" s="18">
        <v>0</v>
      </c>
      <c r="AU45" s="18">
        <v>0</v>
      </c>
      <c r="AV45" s="18">
        <v>1</v>
      </c>
      <c r="AW45" s="18">
        <v>1</v>
      </c>
      <c r="AX45" s="18">
        <v>0</v>
      </c>
      <c r="AY45" s="18">
        <v>16</v>
      </c>
      <c r="AZ45" s="18">
        <v>1</v>
      </c>
      <c r="BA45" s="18">
        <v>1</v>
      </c>
      <c r="BB45" s="18">
        <v>69.4</v>
      </c>
      <c r="BC45" s="18" t="s">
        <v>697</v>
      </c>
      <c r="BD45" s="18" t="s">
        <v>698</v>
      </c>
      <c r="BE45" s="18" t="s">
        <v>166</v>
      </c>
      <c r="BF45" s="18" t="s">
        <v>77</v>
      </c>
      <c r="BG45" s="18">
        <v>168</v>
      </c>
      <c r="BH45" s="18">
        <v>11</v>
      </c>
      <c r="BI45" s="18">
        <v>0.9385</v>
      </c>
      <c r="BJ45" s="18">
        <v>0</v>
      </c>
      <c r="BK45" s="18">
        <v>5</v>
      </c>
      <c r="BL45" s="18">
        <v>98.6</v>
      </c>
      <c r="BM45" s="13">
        <f t="shared" si="0"/>
        <v>64819.3</v>
      </c>
    </row>
    <row r="46" customHeight="1" spans="1:65">
      <c r="A46" s="18" t="s">
        <v>1596</v>
      </c>
      <c r="B46" s="18" t="s">
        <v>125</v>
      </c>
      <c r="C46" s="13"/>
      <c r="D46" s="13"/>
      <c r="E46" s="18" t="s">
        <v>1597</v>
      </c>
      <c r="F46" s="18" t="s">
        <v>240</v>
      </c>
      <c r="G46" s="18" t="s">
        <v>83</v>
      </c>
      <c r="H46" s="18" t="s">
        <v>138</v>
      </c>
      <c r="I46" s="18" t="s">
        <v>85</v>
      </c>
      <c r="J46" s="18">
        <v>5</v>
      </c>
      <c r="K46" s="16">
        <v>140</v>
      </c>
      <c r="L46" s="10"/>
      <c r="M46" s="16">
        <v>0</v>
      </c>
      <c r="N46" s="16">
        <v>0</v>
      </c>
      <c r="O46" s="18">
        <v>0</v>
      </c>
      <c r="P46" s="18" t="s">
        <v>95</v>
      </c>
      <c r="Q46" s="18">
        <v>4.94876</v>
      </c>
      <c r="R46" s="16">
        <v>17.5</v>
      </c>
      <c r="S46" s="16">
        <v>1</v>
      </c>
      <c r="T46" s="16">
        <v>4</v>
      </c>
      <c r="U46" s="18" t="s">
        <v>2537</v>
      </c>
      <c r="V46" s="18" t="s">
        <v>125</v>
      </c>
      <c r="W46" s="13"/>
      <c r="X46" s="13"/>
      <c r="Y46" s="18" t="s">
        <v>1597</v>
      </c>
      <c r="Z46" s="18" t="s">
        <v>240</v>
      </c>
      <c r="AA46" s="18" t="s">
        <v>83</v>
      </c>
      <c r="AB46" s="18" t="s">
        <v>138</v>
      </c>
      <c r="AC46" s="18" t="s">
        <v>85</v>
      </c>
      <c r="AD46" s="18">
        <v>275</v>
      </c>
      <c r="AE46" s="18">
        <v>0</v>
      </c>
      <c r="AF46" s="18">
        <v>0</v>
      </c>
      <c r="AG46" s="18">
        <v>0</v>
      </c>
      <c r="AH46" s="18">
        <v>0</v>
      </c>
      <c r="AI46" s="18">
        <v>0</v>
      </c>
      <c r="AJ46" s="18">
        <v>0</v>
      </c>
      <c r="AK46" s="18">
        <v>0</v>
      </c>
      <c r="AL46" s="18">
        <v>0</v>
      </c>
      <c r="AM46" s="18">
        <v>0</v>
      </c>
      <c r="AN46" s="18">
        <v>0</v>
      </c>
      <c r="AO46" s="18">
        <v>0</v>
      </c>
      <c r="AP46" s="18">
        <v>0</v>
      </c>
      <c r="AQ46" s="18">
        <v>1</v>
      </c>
      <c r="AR46" s="18">
        <v>0</v>
      </c>
      <c r="AS46" s="18">
        <v>0</v>
      </c>
      <c r="AT46" s="18">
        <v>0</v>
      </c>
      <c r="AU46" s="18">
        <v>0</v>
      </c>
      <c r="AV46" s="18">
        <v>1</v>
      </c>
      <c r="AW46" s="18">
        <v>0</v>
      </c>
      <c r="AX46" s="18">
        <v>0</v>
      </c>
      <c r="AY46" s="18">
        <v>8</v>
      </c>
      <c r="AZ46" s="18">
        <v>1</v>
      </c>
      <c r="BA46" s="18">
        <v>1</v>
      </c>
      <c r="BB46" s="18">
        <v>8</v>
      </c>
      <c r="BC46" s="18" t="s">
        <v>697</v>
      </c>
      <c r="BD46" s="18" t="s">
        <v>698</v>
      </c>
      <c r="BE46" s="18" t="s">
        <v>627</v>
      </c>
      <c r="BF46" s="18" t="s">
        <v>77</v>
      </c>
      <c r="BG46" s="18">
        <v>168</v>
      </c>
      <c r="BH46" s="18">
        <v>11</v>
      </c>
      <c r="BI46" s="18">
        <v>0.9385</v>
      </c>
      <c r="BJ46" s="18">
        <v>0</v>
      </c>
      <c r="BK46" s="13"/>
      <c r="BL46" s="13"/>
      <c r="BM46" s="13">
        <f t="shared" si="0"/>
        <v>140</v>
      </c>
    </row>
    <row r="47" customHeight="1" spans="1:65">
      <c r="A47" s="18" t="s">
        <v>699</v>
      </c>
      <c r="B47" s="18" t="s">
        <v>700</v>
      </c>
      <c r="C47" s="13"/>
      <c r="D47" s="13"/>
      <c r="E47" s="18" t="s">
        <v>449</v>
      </c>
      <c r="F47" s="18" t="s">
        <v>82</v>
      </c>
      <c r="G47" s="18" t="s">
        <v>83</v>
      </c>
      <c r="H47" s="18" t="s">
        <v>84</v>
      </c>
      <c r="I47" s="18" t="s">
        <v>85</v>
      </c>
      <c r="J47" s="18">
        <v>5</v>
      </c>
      <c r="K47" s="16">
        <v>59.99</v>
      </c>
      <c r="L47" s="10"/>
      <c r="M47" s="16">
        <v>0</v>
      </c>
      <c r="N47" s="16">
        <v>0</v>
      </c>
      <c r="O47" s="18">
        <v>0</v>
      </c>
      <c r="P47" s="18" t="s">
        <v>86</v>
      </c>
      <c r="Q47" s="18">
        <v>4.11071</v>
      </c>
      <c r="R47" s="10"/>
      <c r="S47" s="16">
        <v>9</v>
      </c>
      <c r="T47" s="16">
        <v>10</v>
      </c>
      <c r="U47" s="18" t="s">
        <v>2538</v>
      </c>
      <c r="V47" s="18" t="s">
        <v>700</v>
      </c>
      <c r="W47" s="13"/>
      <c r="X47" s="13"/>
      <c r="Y47" s="18" t="s">
        <v>449</v>
      </c>
      <c r="Z47" s="18" t="s">
        <v>82</v>
      </c>
      <c r="AA47" s="18" t="s">
        <v>83</v>
      </c>
      <c r="AB47" s="18" t="s">
        <v>84</v>
      </c>
      <c r="AC47" s="18" t="s">
        <v>85</v>
      </c>
      <c r="AD47" s="18">
        <v>114.98</v>
      </c>
      <c r="AE47" s="18">
        <v>1</v>
      </c>
      <c r="AF47" s="18">
        <v>0</v>
      </c>
      <c r="AG47" s="18">
        <v>0</v>
      </c>
      <c r="AH47" s="18">
        <v>1</v>
      </c>
      <c r="AI47" s="18">
        <v>0</v>
      </c>
      <c r="AJ47" s="18">
        <v>0</v>
      </c>
      <c r="AK47" s="18">
        <v>0</v>
      </c>
      <c r="AL47" s="18">
        <v>0</v>
      </c>
      <c r="AM47" s="18">
        <v>0</v>
      </c>
      <c r="AN47" s="18">
        <v>0</v>
      </c>
      <c r="AO47" s="18">
        <v>0</v>
      </c>
      <c r="AP47" s="18">
        <v>0</v>
      </c>
      <c r="AQ47" s="18">
        <v>0</v>
      </c>
      <c r="AR47" s="18">
        <v>0</v>
      </c>
      <c r="AS47" s="18">
        <v>0</v>
      </c>
      <c r="AT47" s="18">
        <v>1</v>
      </c>
      <c r="AU47" s="18">
        <v>0</v>
      </c>
      <c r="AV47" s="18">
        <v>0</v>
      </c>
      <c r="AW47" s="18">
        <v>0</v>
      </c>
      <c r="AX47" s="18">
        <v>0</v>
      </c>
      <c r="AY47" s="13"/>
      <c r="AZ47" s="18">
        <v>1</v>
      </c>
      <c r="BA47" s="18">
        <v>3</v>
      </c>
      <c r="BB47" s="18">
        <v>18.95</v>
      </c>
      <c r="BC47" s="18" t="s">
        <v>701</v>
      </c>
      <c r="BD47" s="18" t="s">
        <v>702</v>
      </c>
      <c r="BE47" s="18" t="s">
        <v>150</v>
      </c>
      <c r="BF47" s="18" t="s">
        <v>77</v>
      </c>
      <c r="BG47" s="18">
        <v>208</v>
      </c>
      <c r="BH47" s="18">
        <v>13</v>
      </c>
      <c r="BI47" s="18">
        <v>0.9412</v>
      </c>
      <c r="BJ47" s="18">
        <v>0</v>
      </c>
      <c r="BK47" s="13"/>
      <c r="BL47" s="13"/>
      <c r="BM47" s="13">
        <f t="shared" si="0"/>
        <v>539.91</v>
      </c>
    </row>
    <row r="48" customHeight="1" spans="1:65">
      <c r="A48" s="18" t="s">
        <v>1485</v>
      </c>
      <c r="B48" s="18" t="s">
        <v>704</v>
      </c>
      <c r="C48" s="13"/>
      <c r="D48" s="13"/>
      <c r="E48" s="18" t="s">
        <v>131</v>
      </c>
      <c r="F48" s="18" t="s">
        <v>132</v>
      </c>
      <c r="G48" s="18" t="s">
        <v>83</v>
      </c>
      <c r="H48" s="18" t="s">
        <v>84</v>
      </c>
      <c r="I48" s="18" t="s">
        <v>85</v>
      </c>
      <c r="J48" s="18">
        <v>5</v>
      </c>
      <c r="K48" s="16">
        <v>6.75</v>
      </c>
      <c r="L48" s="10"/>
      <c r="M48" s="16">
        <v>0</v>
      </c>
      <c r="N48" s="16">
        <v>0</v>
      </c>
      <c r="O48" s="18">
        <v>0</v>
      </c>
      <c r="P48" s="18" t="s">
        <v>133</v>
      </c>
      <c r="Q48" s="18">
        <v>2.047693</v>
      </c>
      <c r="R48" s="10"/>
      <c r="S48" s="16">
        <v>18</v>
      </c>
      <c r="T48" s="16">
        <v>10</v>
      </c>
      <c r="U48" s="18" t="s">
        <v>1485</v>
      </c>
      <c r="V48" s="18" t="s">
        <v>704</v>
      </c>
      <c r="W48" s="13"/>
      <c r="X48" s="13"/>
      <c r="Y48" s="18" t="s">
        <v>131</v>
      </c>
      <c r="Z48" s="18" t="s">
        <v>132</v>
      </c>
      <c r="AA48" s="18" t="s">
        <v>83</v>
      </c>
      <c r="AB48" s="18" t="s">
        <v>84</v>
      </c>
      <c r="AC48" s="18" t="s">
        <v>85</v>
      </c>
      <c r="AD48" s="18">
        <v>8.5</v>
      </c>
      <c r="AE48" s="18">
        <v>0</v>
      </c>
      <c r="AF48" s="18">
        <v>0</v>
      </c>
      <c r="AG48" s="18">
        <v>0</v>
      </c>
      <c r="AH48" s="18">
        <v>0</v>
      </c>
      <c r="AI48" s="18">
        <v>0</v>
      </c>
      <c r="AJ48" s="18">
        <v>0</v>
      </c>
      <c r="AK48" s="18">
        <v>0</v>
      </c>
      <c r="AL48" s="18">
        <v>0</v>
      </c>
      <c r="AM48" s="18">
        <v>0</v>
      </c>
      <c r="AN48" s="18">
        <v>0</v>
      </c>
      <c r="AO48" s="18">
        <v>0</v>
      </c>
      <c r="AP48" s="18">
        <v>0</v>
      </c>
      <c r="AQ48" s="18">
        <v>0</v>
      </c>
      <c r="AR48" s="18">
        <v>0</v>
      </c>
      <c r="AS48" s="18">
        <v>0</v>
      </c>
      <c r="AT48" s="18">
        <v>0</v>
      </c>
      <c r="AU48" s="18">
        <v>0</v>
      </c>
      <c r="AV48" s="18">
        <v>0</v>
      </c>
      <c r="AW48" s="18">
        <v>0</v>
      </c>
      <c r="AX48" s="18">
        <v>0</v>
      </c>
      <c r="AY48" s="13"/>
      <c r="AZ48" s="18">
        <v>1</v>
      </c>
      <c r="BA48" s="18">
        <v>0</v>
      </c>
      <c r="BB48" s="18">
        <v>41.26</v>
      </c>
      <c r="BC48" s="18" t="s">
        <v>706</v>
      </c>
      <c r="BD48" s="18" t="s">
        <v>135</v>
      </c>
      <c r="BE48" s="18" t="s">
        <v>150</v>
      </c>
      <c r="BF48" s="18" t="s">
        <v>77</v>
      </c>
      <c r="BG48" s="18">
        <v>168</v>
      </c>
      <c r="BH48" s="18">
        <v>11</v>
      </c>
      <c r="BI48" s="18">
        <v>0.9385</v>
      </c>
      <c r="BJ48" s="18">
        <v>0</v>
      </c>
      <c r="BK48" s="18">
        <v>176</v>
      </c>
      <c r="BL48" s="18">
        <v>51.8</v>
      </c>
      <c r="BM48" s="13">
        <f t="shared" si="0"/>
        <v>121.5</v>
      </c>
    </row>
    <row r="49" customHeight="1" spans="1:65">
      <c r="A49" s="18" t="s">
        <v>2216</v>
      </c>
      <c r="B49" s="18" t="s">
        <v>704</v>
      </c>
      <c r="C49" s="13"/>
      <c r="D49" s="13"/>
      <c r="E49" s="18" t="s">
        <v>1048</v>
      </c>
      <c r="F49" s="18" t="s">
        <v>132</v>
      </c>
      <c r="G49" s="18" t="s">
        <v>83</v>
      </c>
      <c r="H49" s="18" t="s">
        <v>84</v>
      </c>
      <c r="I49" s="18" t="s">
        <v>85</v>
      </c>
      <c r="J49" s="18">
        <v>5</v>
      </c>
      <c r="K49" s="16">
        <v>6.75</v>
      </c>
      <c r="L49" s="10"/>
      <c r="M49" s="16">
        <v>0</v>
      </c>
      <c r="N49" s="16">
        <v>0</v>
      </c>
      <c r="O49" s="18">
        <v>0</v>
      </c>
      <c r="P49" s="18" t="s">
        <v>133</v>
      </c>
      <c r="Q49" s="18">
        <v>2.047693</v>
      </c>
      <c r="R49" s="10"/>
      <c r="S49" s="16">
        <v>41</v>
      </c>
      <c r="T49" s="16">
        <v>10</v>
      </c>
      <c r="U49" s="18" t="s">
        <v>2216</v>
      </c>
      <c r="V49" s="18" t="s">
        <v>704</v>
      </c>
      <c r="W49" s="13"/>
      <c r="X49" s="13"/>
      <c r="Y49" s="18" t="s">
        <v>1048</v>
      </c>
      <c r="Z49" s="18" t="s">
        <v>132</v>
      </c>
      <c r="AA49" s="18" t="s">
        <v>83</v>
      </c>
      <c r="AB49" s="18" t="s">
        <v>84</v>
      </c>
      <c r="AC49" s="18" t="s">
        <v>85</v>
      </c>
      <c r="AD49" s="18">
        <v>8.5</v>
      </c>
      <c r="AE49" s="18">
        <v>0</v>
      </c>
      <c r="AF49" s="18">
        <v>0</v>
      </c>
      <c r="AG49" s="18">
        <v>0</v>
      </c>
      <c r="AH49" s="18">
        <v>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3"/>
      <c r="AZ49" s="18">
        <v>1</v>
      </c>
      <c r="BA49" s="18">
        <v>0</v>
      </c>
      <c r="BB49" s="18">
        <v>46.86</v>
      </c>
      <c r="BC49" s="18" t="s">
        <v>706</v>
      </c>
      <c r="BD49" s="18" t="s">
        <v>135</v>
      </c>
      <c r="BE49" s="18" t="s">
        <v>136</v>
      </c>
      <c r="BF49" s="18" t="s">
        <v>77</v>
      </c>
      <c r="BG49" s="18">
        <v>168</v>
      </c>
      <c r="BH49" s="18">
        <v>11</v>
      </c>
      <c r="BI49" s="18">
        <v>0.9385</v>
      </c>
      <c r="BJ49" s="18">
        <v>0</v>
      </c>
      <c r="BK49" s="18">
        <v>186</v>
      </c>
      <c r="BL49" s="18">
        <v>49</v>
      </c>
      <c r="BM49" s="13">
        <f t="shared" si="0"/>
        <v>276.75</v>
      </c>
    </row>
    <row r="50" customHeight="1" spans="1:65">
      <c r="A50" s="18" t="s">
        <v>837</v>
      </c>
      <c r="B50" s="18" t="s">
        <v>704</v>
      </c>
      <c r="C50" s="13"/>
      <c r="D50" s="13"/>
      <c r="E50" s="18" t="s">
        <v>131</v>
      </c>
      <c r="F50" s="18" t="s">
        <v>132</v>
      </c>
      <c r="G50" s="18" t="s">
        <v>83</v>
      </c>
      <c r="H50" s="18" t="s">
        <v>84</v>
      </c>
      <c r="I50" s="18" t="s">
        <v>85</v>
      </c>
      <c r="J50" s="18">
        <v>5</v>
      </c>
      <c r="K50" s="16">
        <v>6.75</v>
      </c>
      <c r="L50" s="10"/>
      <c r="M50" s="16">
        <v>0</v>
      </c>
      <c r="N50" s="16">
        <v>0</v>
      </c>
      <c r="O50" s="18">
        <v>0</v>
      </c>
      <c r="P50" s="18" t="s">
        <v>133</v>
      </c>
      <c r="Q50" s="18">
        <v>2.047693</v>
      </c>
      <c r="R50" s="10"/>
      <c r="S50" s="16">
        <v>34</v>
      </c>
      <c r="T50" s="16">
        <v>10</v>
      </c>
      <c r="U50" s="18" t="s">
        <v>837</v>
      </c>
      <c r="V50" s="18" t="s">
        <v>704</v>
      </c>
      <c r="W50" s="13"/>
      <c r="X50" s="13"/>
      <c r="Y50" s="18" t="s">
        <v>131</v>
      </c>
      <c r="Z50" s="18" t="s">
        <v>132</v>
      </c>
      <c r="AA50" s="18" t="s">
        <v>83</v>
      </c>
      <c r="AB50" s="18" t="s">
        <v>84</v>
      </c>
      <c r="AC50" s="18" t="s">
        <v>85</v>
      </c>
      <c r="AD50" s="18">
        <v>8.5</v>
      </c>
      <c r="AE50" s="18">
        <v>0</v>
      </c>
      <c r="AF50" s="18">
        <v>0</v>
      </c>
      <c r="AG50" s="18">
        <v>0</v>
      </c>
      <c r="AH50" s="18">
        <v>0</v>
      </c>
      <c r="AI50" s="18">
        <v>0</v>
      </c>
      <c r="AJ50" s="18">
        <v>0</v>
      </c>
      <c r="AK50" s="18">
        <v>0</v>
      </c>
      <c r="AL50" s="18">
        <v>0</v>
      </c>
      <c r="AM50" s="18">
        <v>0</v>
      </c>
      <c r="AN50" s="18">
        <v>0</v>
      </c>
      <c r="AO50" s="18">
        <v>0</v>
      </c>
      <c r="AP50" s="18">
        <v>0</v>
      </c>
      <c r="AQ50" s="18">
        <v>0</v>
      </c>
      <c r="AR50" s="18">
        <v>0</v>
      </c>
      <c r="AS50" s="18">
        <v>0</v>
      </c>
      <c r="AT50" s="18">
        <v>0</v>
      </c>
      <c r="AU50" s="18">
        <v>0</v>
      </c>
      <c r="AV50" s="18">
        <v>0</v>
      </c>
      <c r="AW50" s="18">
        <v>0</v>
      </c>
      <c r="AX50" s="18">
        <v>0</v>
      </c>
      <c r="AY50" s="13"/>
      <c r="AZ50" s="18">
        <v>1</v>
      </c>
      <c r="BA50" s="18">
        <v>0</v>
      </c>
      <c r="BB50" s="18">
        <v>46.27</v>
      </c>
      <c r="BC50" s="18" t="s">
        <v>706</v>
      </c>
      <c r="BD50" s="18" t="s">
        <v>135</v>
      </c>
      <c r="BE50" s="18" t="s">
        <v>136</v>
      </c>
      <c r="BF50" s="18" t="s">
        <v>77</v>
      </c>
      <c r="BG50" s="18">
        <v>168</v>
      </c>
      <c r="BH50" s="18">
        <v>11</v>
      </c>
      <c r="BI50" s="18">
        <v>0.9385</v>
      </c>
      <c r="BJ50" s="18">
        <v>0</v>
      </c>
      <c r="BK50" s="18">
        <v>178</v>
      </c>
      <c r="BL50" s="18">
        <v>51.2</v>
      </c>
      <c r="BM50" s="13">
        <f t="shared" si="0"/>
        <v>229.5</v>
      </c>
    </row>
    <row r="51" customHeight="1" spans="1:65">
      <c r="A51" s="18" t="s">
        <v>1157</v>
      </c>
      <c r="B51" s="18" t="s">
        <v>704</v>
      </c>
      <c r="C51" s="13"/>
      <c r="D51" s="13"/>
      <c r="E51" s="18" t="s">
        <v>131</v>
      </c>
      <c r="F51" s="18" t="s">
        <v>132</v>
      </c>
      <c r="G51" s="18" t="s">
        <v>83</v>
      </c>
      <c r="H51" s="18" t="s">
        <v>84</v>
      </c>
      <c r="I51" s="18" t="s">
        <v>85</v>
      </c>
      <c r="J51" s="18">
        <v>5</v>
      </c>
      <c r="K51" s="16">
        <v>6.75</v>
      </c>
      <c r="L51" s="10"/>
      <c r="M51" s="16">
        <v>0</v>
      </c>
      <c r="N51" s="16">
        <v>0</v>
      </c>
      <c r="O51" s="18">
        <v>0</v>
      </c>
      <c r="P51" s="18" t="s">
        <v>133</v>
      </c>
      <c r="Q51" s="18">
        <v>2.047693</v>
      </c>
      <c r="R51" s="10"/>
      <c r="S51" s="16">
        <v>78</v>
      </c>
      <c r="T51" s="16">
        <v>10</v>
      </c>
      <c r="U51" s="18" t="s">
        <v>1157</v>
      </c>
      <c r="V51" s="18" t="s">
        <v>704</v>
      </c>
      <c r="W51" s="13"/>
      <c r="X51" s="13"/>
      <c r="Y51" s="18" t="s">
        <v>131</v>
      </c>
      <c r="Z51" s="18" t="s">
        <v>132</v>
      </c>
      <c r="AA51" s="18" t="s">
        <v>83</v>
      </c>
      <c r="AB51" s="18" t="s">
        <v>84</v>
      </c>
      <c r="AC51" s="18" t="s">
        <v>85</v>
      </c>
      <c r="AD51" s="18">
        <v>8.5</v>
      </c>
      <c r="AE51" s="18">
        <v>0</v>
      </c>
      <c r="AF51" s="18">
        <v>0</v>
      </c>
      <c r="AG51" s="18">
        <v>0</v>
      </c>
      <c r="AH51" s="18">
        <v>0</v>
      </c>
      <c r="AI51" s="18">
        <v>0</v>
      </c>
      <c r="AJ51" s="18">
        <v>0</v>
      </c>
      <c r="AK51" s="18">
        <v>0</v>
      </c>
      <c r="AL51" s="18">
        <v>0</v>
      </c>
      <c r="AM51" s="18">
        <v>0</v>
      </c>
      <c r="AN51" s="18">
        <v>0</v>
      </c>
      <c r="AO51" s="18">
        <v>0</v>
      </c>
      <c r="AP51" s="18">
        <v>0</v>
      </c>
      <c r="AQ51" s="18">
        <v>0</v>
      </c>
      <c r="AR51" s="18">
        <v>0</v>
      </c>
      <c r="AS51" s="18">
        <v>0</v>
      </c>
      <c r="AT51" s="18">
        <v>0</v>
      </c>
      <c r="AU51" s="18">
        <v>0</v>
      </c>
      <c r="AV51" s="18">
        <v>0</v>
      </c>
      <c r="AW51" s="18">
        <v>0</v>
      </c>
      <c r="AX51" s="18">
        <v>0</v>
      </c>
      <c r="AY51" s="13"/>
      <c r="AZ51" s="18">
        <v>1</v>
      </c>
      <c r="BA51" s="18">
        <v>0</v>
      </c>
      <c r="BB51" s="18">
        <v>35.46</v>
      </c>
      <c r="BC51" s="18" t="s">
        <v>706</v>
      </c>
      <c r="BD51" s="18" t="s">
        <v>135</v>
      </c>
      <c r="BE51" s="18" t="s">
        <v>136</v>
      </c>
      <c r="BF51" s="18" t="s">
        <v>77</v>
      </c>
      <c r="BG51" s="18">
        <v>168</v>
      </c>
      <c r="BH51" s="18">
        <v>11</v>
      </c>
      <c r="BI51" s="18">
        <v>0.9385</v>
      </c>
      <c r="BJ51" s="18">
        <v>0</v>
      </c>
      <c r="BK51" s="13"/>
      <c r="BL51" s="13"/>
      <c r="BM51" s="13">
        <f t="shared" si="0"/>
        <v>526.5</v>
      </c>
    </row>
    <row r="52" customHeight="1" spans="1:65">
      <c r="A52" s="18" t="s">
        <v>703</v>
      </c>
      <c r="B52" s="18" t="s">
        <v>704</v>
      </c>
      <c r="C52" s="13"/>
      <c r="D52" s="13"/>
      <c r="E52" s="18" t="s">
        <v>705</v>
      </c>
      <c r="F52" s="18" t="s">
        <v>132</v>
      </c>
      <c r="G52" s="18" t="s">
        <v>83</v>
      </c>
      <c r="H52" s="18" t="s">
        <v>84</v>
      </c>
      <c r="I52" s="18" t="s">
        <v>85</v>
      </c>
      <c r="J52" s="18">
        <v>5</v>
      </c>
      <c r="K52" s="16">
        <v>43.99</v>
      </c>
      <c r="L52" s="10"/>
      <c r="M52" s="16">
        <v>0</v>
      </c>
      <c r="N52" s="16">
        <v>0</v>
      </c>
      <c r="O52" s="18">
        <v>0</v>
      </c>
      <c r="P52" s="18" t="s">
        <v>86</v>
      </c>
      <c r="Q52" s="18">
        <v>3.80644</v>
      </c>
      <c r="R52" s="10"/>
      <c r="S52" s="16">
        <v>51</v>
      </c>
      <c r="T52" s="16">
        <v>10</v>
      </c>
      <c r="U52" s="18" t="s">
        <v>703</v>
      </c>
      <c r="V52" s="18" t="s">
        <v>704</v>
      </c>
      <c r="W52" s="13"/>
      <c r="X52" s="13"/>
      <c r="Y52" s="18" t="s">
        <v>705</v>
      </c>
      <c r="Z52" s="18" t="s">
        <v>132</v>
      </c>
      <c r="AA52" s="18" t="s">
        <v>83</v>
      </c>
      <c r="AB52" s="18" t="s">
        <v>84</v>
      </c>
      <c r="AC52" s="18" t="s">
        <v>85</v>
      </c>
      <c r="AD52" s="18">
        <v>82.98</v>
      </c>
      <c r="AE52" s="18">
        <v>0</v>
      </c>
      <c r="AF52" s="18">
        <v>0</v>
      </c>
      <c r="AG52" s="18">
        <v>0</v>
      </c>
      <c r="AH52" s="18">
        <v>0</v>
      </c>
      <c r="AI52" s="18">
        <v>0</v>
      </c>
      <c r="AJ52" s="18">
        <v>0</v>
      </c>
      <c r="AK52" s="18">
        <v>0</v>
      </c>
      <c r="AL52" s="18">
        <v>0</v>
      </c>
      <c r="AM52" s="18">
        <v>0</v>
      </c>
      <c r="AN52" s="18">
        <v>0</v>
      </c>
      <c r="AO52" s="18">
        <v>0</v>
      </c>
      <c r="AP52" s="18">
        <v>0</v>
      </c>
      <c r="AQ52" s="18">
        <v>0</v>
      </c>
      <c r="AR52" s="18">
        <v>0</v>
      </c>
      <c r="AS52" s="18">
        <v>0</v>
      </c>
      <c r="AT52" s="18">
        <v>0</v>
      </c>
      <c r="AU52" s="18">
        <v>0</v>
      </c>
      <c r="AV52" s="18">
        <v>0</v>
      </c>
      <c r="AW52" s="18">
        <v>0</v>
      </c>
      <c r="AX52" s="18">
        <v>0</v>
      </c>
      <c r="AY52" s="13"/>
      <c r="AZ52" s="18">
        <v>1</v>
      </c>
      <c r="BA52" s="18">
        <v>0</v>
      </c>
      <c r="BB52" s="18">
        <v>47.99</v>
      </c>
      <c r="BC52" s="18" t="s">
        <v>706</v>
      </c>
      <c r="BD52" s="18" t="s">
        <v>135</v>
      </c>
      <c r="BE52" s="18" t="s">
        <v>136</v>
      </c>
      <c r="BF52" s="18" t="s">
        <v>77</v>
      </c>
      <c r="BG52" s="18">
        <v>161</v>
      </c>
      <c r="BH52" s="18">
        <v>20</v>
      </c>
      <c r="BI52" s="18">
        <v>0.8895</v>
      </c>
      <c r="BJ52" s="18">
        <v>0</v>
      </c>
      <c r="BK52" s="18">
        <v>188</v>
      </c>
      <c r="BL52" s="18">
        <v>48.5</v>
      </c>
      <c r="BM52" s="13">
        <f t="shared" si="0"/>
        <v>2243.49</v>
      </c>
    </row>
    <row r="53" customHeight="1" spans="1:65">
      <c r="A53" s="18" t="s">
        <v>709</v>
      </c>
      <c r="B53" s="18" t="s">
        <v>710</v>
      </c>
      <c r="C53" s="13"/>
      <c r="D53" s="18">
        <v>768231568910</v>
      </c>
      <c r="E53" s="18" t="s">
        <v>711</v>
      </c>
      <c r="F53" s="18" t="s">
        <v>82</v>
      </c>
      <c r="G53" s="18" t="s">
        <v>83</v>
      </c>
      <c r="H53" s="18" t="s">
        <v>84</v>
      </c>
      <c r="I53" s="18" t="s">
        <v>85</v>
      </c>
      <c r="J53" s="18">
        <v>5</v>
      </c>
      <c r="K53" s="16">
        <v>24.99</v>
      </c>
      <c r="L53" s="16">
        <v>49.98</v>
      </c>
      <c r="M53" s="16">
        <v>50</v>
      </c>
      <c r="N53" s="16">
        <v>24.99</v>
      </c>
      <c r="O53" s="18">
        <v>1</v>
      </c>
      <c r="P53" s="18" t="s">
        <v>133</v>
      </c>
      <c r="Q53" s="18">
        <v>3.257712</v>
      </c>
      <c r="R53" s="10"/>
      <c r="S53" s="16">
        <v>44</v>
      </c>
      <c r="T53" s="16">
        <v>10</v>
      </c>
      <c r="U53" s="18" t="s">
        <v>709</v>
      </c>
      <c r="V53" s="18" t="s">
        <v>710</v>
      </c>
      <c r="W53" s="13"/>
      <c r="X53" s="18">
        <v>768231568911</v>
      </c>
      <c r="Y53" s="18" t="s">
        <v>711</v>
      </c>
      <c r="Z53" s="18" t="s">
        <v>82</v>
      </c>
      <c r="AA53" s="18" t="s">
        <v>83</v>
      </c>
      <c r="AB53" s="18" t="s">
        <v>84</v>
      </c>
      <c r="AC53" s="18" t="s">
        <v>85</v>
      </c>
      <c r="AD53" s="18">
        <v>23.9953333333333</v>
      </c>
      <c r="AE53" s="18">
        <v>1</v>
      </c>
      <c r="AF53" s="18">
        <v>0</v>
      </c>
      <c r="AG53" s="18">
        <v>0</v>
      </c>
      <c r="AH53" s="18">
        <v>1</v>
      </c>
      <c r="AI53" s="18">
        <v>0</v>
      </c>
      <c r="AJ53" s="18">
        <v>1</v>
      </c>
      <c r="AK53" s="18">
        <v>0</v>
      </c>
      <c r="AL53" s="18">
        <v>0</v>
      </c>
      <c r="AM53" s="18">
        <v>0</v>
      </c>
      <c r="AN53" s="18">
        <v>0</v>
      </c>
      <c r="AO53" s="18">
        <v>0</v>
      </c>
      <c r="AP53" s="18">
        <v>0</v>
      </c>
      <c r="AQ53" s="18">
        <v>0</v>
      </c>
      <c r="AR53" s="18">
        <v>0</v>
      </c>
      <c r="AS53" s="18">
        <v>0</v>
      </c>
      <c r="AT53" s="18">
        <v>1</v>
      </c>
      <c r="AU53" s="18">
        <v>0</v>
      </c>
      <c r="AV53" s="18">
        <v>0</v>
      </c>
      <c r="AW53" s="18">
        <v>0</v>
      </c>
      <c r="AX53" s="18">
        <v>0</v>
      </c>
      <c r="AY53" s="13"/>
      <c r="AZ53" s="18">
        <v>1</v>
      </c>
      <c r="BA53" s="18">
        <v>2</v>
      </c>
      <c r="BB53" s="18">
        <v>76.27</v>
      </c>
      <c r="BC53" s="18" t="s">
        <v>712</v>
      </c>
      <c r="BD53" s="18" t="s">
        <v>684</v>
      </c>
      <c r="BE53" s="18" t="s">
        <v>128</v>
      </c>
      <c r="BF53" s="18" t="s">
        <v>77</v>
      </c>
      <c r="BG53" s="18">
        <v>1</v>
      </c>
      <c r="BH53" s="18">
        <v>27</v>
      </c>
      <c r="BI53" s="18">
        <v>0.0357</v>
      </c>
      <c r="BJ53" s="18">
        <v>1</v>
      </c>
      <c r="BK53" s="18">
        <v>16</v>
      </c>
      <c r="BL53" s="18">
        <v>95.6</v>
      </c>
      <c r="BM53" s="13">
        <f t="shared" si="0"/>
        <v>1099.56</v>
      </c>
    </row>
    <row r="54" customHeight="1" spans="1:65">
      <c r="A54" s="18" t="s">
        <v>713</v>
      </c>
      <c r="B54" s="18" t="s">
        <v>714</v>
      </c>
      <c r="C54" s="18" t="s">
        <v>715</v>
      </c>
      <c r="D54" s="13"/>
      <c r="E54" s="18" t="s">
        <v>716</v>
      </c>
      <c r="F54" s="18" t="s">
        <v>82</v>
      </c>
      <c r="G54" s="18" t="s">
        <v>117</v>
      </c>
      <c r="H54" s="18" t="s">
        <v>84</v>
      </c>
      <c r="I54" s="18" t="s">
        <v>85</v>
      </c>
      <c r="J54" s="18">
        <v>5</v>
      </c>
      <c r="K54" s="16">
        <v>19.95</v>
      </c>
      <c r="L54" s="10"/>
      <c r="M54" s="16">
        <v>0</v>
      </c>
      <c r="N54" s="16">
        <v>0</v>
      </c>
      <c r="O54" s="18">
        <v>0</v>
      </c>
      <c r="P54" s="18" t="s">
        <v>133</v>
      </c>
      <c r="Q54" s="18">
        <v>3.042139</v>
      </c>
      <c r="R54" s="10"/>
      <c r="S54" s="16">
        <v>24</v>
      </c>
      <c r="T54" s="16">
        <v>10</v>
      </c>
      <c r="U54" s="18" t="s">
        <v>713</v>
      </c>
      <c r="V54" s="18" t="s">
        <v>714</v>
      </c>
      <c r="W54" s="18" t="s">
        <v>2539</v>
      </c>
      <c r="X54" s="13"/>
      <c r="Y54" s="18" t="s">
        <v>716</v>
      </c>
      <c r="Z54" s="18" t="s">
        <v>82</v>
      </c>
      <c r="AA54" s="18" t="s">
        <v>117</v>
      </c>
      <c r="AB54" s="18" t="s">
        <v>84</v>
      </c>
      <c r="AC54" s="18" t="s">
        <v>85</v>
      </c>
      <c r="AD54" s="18">
        <v>34.9</v>
      </c>
      <c r="AE54" s="18">
        <v>0</v>
      </c>
      <c r="AF54" s="18">
        <v>0</v>
      </c>
      <c r="AG54" s="18">
        <v>0</v>
      </c>
      <c r="AH54" s="18">
        <v>1</v>
      </c>
      <c r="AI54" s="18">
        <v>0</v>
      </c>
      <c r="AJ54" s="18">
        <v>0</v>
      </c>
      <c r="AK54" s="18">
        <v>0</v>
      </c>
      <c r="AL54" s="18">
        <v>0</v>
      </c>
      <c r="AM54" s="18">
        <v>0</v>
      </c>
      <c r="AN54" s="18">
        <v>0</v>
      </c>
      <c r="AO54" s="18">
        <v>0</v>
      </c>
      <c r="AP54" s="18">
        <v>0</v>
      </c>
      <c r="AQ54" s="18">
        <v>0</v>
      </c>
      <c r="AR54" s="18">
        <v>0</v>
      </c>
      <c r="AS54" s="18">
        <v>0</v>
      </c>
      <c r="AT54" s="18">
        <v>0</v>
      </c>
      <c r="AU54" s="18">
        <v>0</v>
      </c>
      <c r="AV54" s="18">
        <v>0</v>
      </c>
      <c r="AW54" s="18">
        <v>0</v>
      </c>
      <c r="AX54" s="18">
        <v>0</v>
      </c>
      <c r="AY54" s="13"/>
      <c r="AZ54" s="18">
        <v>1</v>
      </c>
      <c r="BA54" s="18">
        <v>1</v>
      </c>
      <c r="BB54" s="18">
        <v>57.76</v>
      </c>
      <c r="BC54" s="18" t="s">
        <v>717</v>
      </c>
      <c r="BD54" s="18" t="s">
        <v>718</v>
      </c>
      <c r="BE54" s="18" t="s">
        <v>166</v>
      </c>
      <c r="BF54" s="18" t="s">
        <v>77</v>
      </c>
      <c r="BG54" s="18">
        <v>162</v>
      </c>
      <c r="BH54" s="18">
        <v>20</v>
      </c>
      <c r="BI54" s="18">
        <v>0.8901</v>
      </c>
      <c r="BJ54" s="18">
        <v>0</v>
      </c>
      <c r="BK54" s="18">
        <v>6</v>
      </c>
      <c r="BL54" s="18">
        <v>98.4</v>
      </c>
      <c r="BM54" s="13">
        <f t="shared" si="0"/>
        <v>478.8</v>
      </c>
    </row>
    <row r="55" customHeight="1" spans="1:65">
      <c r="A55" s="18" t="s">
        <v>719</v>
      </c>
      <c r="B55" s="18" t="s">
        <v>427</v>
      </c>
      <c r="C55" s="18" t="s">
        <v>720</v>
      </c>
      <c r="D55" s="18">
        <v>753575864149</v>
      </c>
      <c r="E55" s="18" t="s">
        <v>721</v>
      </c>
      <c r="F55" s="18" t="s">
        <v>68</v>
      </c>
      <c r="G55" s="18" t="s">
        <v>427</v>
      </c>
      <c r="H55" s="18" t="s">
        <v>107</v>
      </c>
      <c r="I55" s="18" t="s">
        <v>203</v>
      </c>
      <c r="J55" s="18">
        <v>4</v>
      </c>
      <c r="K55" s="16">
        <v>215</v>
      </c>
      <c r="L55" s="10"/>
      <c r="M55" s="16">
        <v>0</v>
      </c>
      <c r="N55" s="16">
        <v>0</v>
      </c>
      <c r="O55" s="18">
        <v>0</v>
      </c>
      <c r="P55" s="18" t="s">
        <v>71</v>
      </c>
      <c r="Q55" s="18">
        <v>5.375278</v>
      </c>
      <c r="R55" s="10"/>
      <c r="S55" s="16">
        <v>1</v>
      </c>
      <c r="T55" s="16">
        <v>2</v>
      </c>
      <c r="U55" s="18" t="s">
        <v>719</v>
      </c>
      <c r="V55" s="18" t="s">
        <v>427</v>
      </c>
      <c r="W55" s="19" t="s">
        <v>720</v>
      </c>
      <c r="X55" s="18">
        <v>753575864150</v>
      </c>
      <c r="Y55" s="18" t="s">
        <v>721</v>
      </c>
      <c r="Z55" s="18" t="s">
        <v>68</v>
      </c>
      <c r="AA55" s="18" t="s">
        <v>427</v>
      </c>
      <c r="AB55" s="18" t="s">
        <v>107</v>
      </c>
      <c r="AC55" s="18" t="s">
        <v>203</v>
      </c>
      <c r="AD55" s="18">
        <v>426</v>
      </c>
      <c r="AE55" s="18">
        <v>0</v>
      </c>
      <c r="AF55" s="18">
        <v>1</v>
      </c>
      <c r="AG55" s="18">
        <v>0</v>
      </c>
      <c r="AH55" s="18">
        <v>0</v>
      </c>
      <c r="AI55" s="18">
        <v>0</v>
      </c>
      <c r="AJ55" s="18">
        <v>0</v>
      </c>
      <c r="AK55" s="18">
        <v>0</v>
      </c>
      <c r="AL55" s="18">
        <v>0</v>
      </c>
      <c r="AM55" s="18">
        <v>0</v>
      </c>
      <c r="AN55" s="18">
        <v>0</v>
      </c>
      <c r="AO55" s="18">
        <v>0</v>
      </c>
      <c r="AP55" s="18">
        <v>0</v>
      </c>
      <c r="AQ55" s="18">
        <v>0</v>
      </c>
      <c r="AR55" s="18">
        <v>0</v>
      </c>
      <c r="AS55" s="18">
        <v>0</v>
      </c>
      <c r="AT55" s="18">
        <v>0</v>
      </c>
      <c r="AU55" s="18">
        <v>0</v>
      </c>
      <c r="AV55" s="18">
        <v>0</v>
      </c>
      <c r="AW55" s="18">
        <v>0</v>
      </c>
      <c r="AX55" s="18">
        <v>0</v>
      </c>
      <c r="AY55" s="13"/>
      <c r="AZ55" s="18">
        <v>1</v>
      </c>
      <c r="BA55" s="18">
        <v>0</v>
      </c>
      <c r="BB55" s="18">
        <v>42.91</v>
      </c>
      <c r="BC55" s="18" t="s">
        <v>722</v>
      </c>
      <c r="BD55" s="18" t="s">
        <v>723</v>
      </c>
      <c r="BE55" s="18" t="s">
        <v>166</v>
      </c>
      <c r="BF55" s="18" t="s">
        <v>77</v>
      </c>
      <c r="BG55" s="18">
        <v>162</v>
      </c>
      <c r="BH55" s="18">
        <v>60</v>
      </c>
      <c r="BI55" s="18">
        <v>0.7297</v>
      </c>
      <c r="BJ55" s="18">
        <v>0</v>
      </c>
      <c r="BK55" s="18">
        <v>5</v>
      </c>
      <c r="BL55" s="18">
        <v>98.6</v>
      </c>
      <c r="BM55" s="13">
        <f t="shared" si="0"/>
        <v>215</v>
      </c>
    </row>
    <row r="56" customHeight="1" spans="1:65">
      <c r="A56" s="18" t="s">
        <v>1996</v>
      </c>
      <c r="B56" s="18" t="s">
        <v>725</v>
      </c>
      <c r="C56" s="13"/>
      <c r="D56" s="13"/>
      <c r="E56" s="19" t="s">
        <v>1997</v>
      </c>
      <c r="F56" s="18" t="s">
        <v>198</v>
      </c>
      <c r="G56" s="18" t="s">
        <v>83</v>
      </c>
      <c r="H56" s="18" t="s">
        <v>84</v>
      </c>
      <c r="I56" s="18" t="s">
        <v>85</v>
      </c>
      <c r="J56" s="18">
        <v>5</v>
      </c>
      <c r="K56" s="16">
        <v>39.99</v>
      </c>
      <c r="L56" s="10"/>
      <c r="M56" s="16">
        <v>0</v>
      </c>
      <c r="N56" s="16">
        <v>0</v>
      </c>
      <c r="O56" s="18">
        <v>0</v>
      </c>
      <c r="P56" s="18" t="s">
        <v>86</v>
      </c>
      <c r="Q56" s="18">
        <v>3.713328</v>
      </c>
      <c r="R56" s="10"/>
      <c r="S56" s="16">
        <v>31</v>
      </c>
      <c r="T56" s="16">
        <v>3</v>
      </c>
      <c r="U56" s="18" t="s">
        <v>1996</v>
      </c>
      <c r="V56" s="18" t="s">
        <v>725</v>
      </c>
      <c r="W56" s="13"/>
      <c r="X56" s="13"/>
      <c r="Y56" s="19" t="s">
        <v>1997</v>
      </c>
      <c r="Z56" s="18" t="s">
        <v>198</v>
      </c>
      <c r="AA56" s="18" t="s">
        <v>83</v>
      </c>
      <c r="AB56" s="18" t="s">
        <v>84</v>
      </c>
      <c r="AC56" s="18" t="s">
        <v>85</v>
      </c>
      <c r="AD56" s="18">
        <v>74.98</v>
      </c>
      <c r="AE56" s="18">
        <v>0</v>
      </c>
      <c r="AF56" s="18">
        <v>0</v>
      </c>
      <c r="AG56" s="18">
        <v>0</v>
      </c>
      <c r="AH56" s="18">
        <v>1</v>
      </c>
      <c r="AI56" s="18">
        <v>0</v>
      </c>
      <c r="AJ56" s="18">
        <v>0</v>
      </c>
      <c r="AK56" s="18">
        <v>0</v>
      </c>
      <c r="AL56" s="18">
        <v>0</v>
      </c>
      <c r="AM56" s="18">
        <v>0</v>
      </c>
      <c r="AN56" s="18">
        <v>0</v>
      </c>
      <c r="AO56" s="18">
        <v>0</v>
      </c>
      <c r="AP56" s="18">
        <v>0</v>
      </c>
      <c r="AQ56" s="18">
        <v>0</v>
      </c>
      <c r="AR56" s="18">
        <v>0</v>
      </c>
      <c r="AS56" s="18">
        <v>0</v>
      </c>
      <c r="AT56" s="18">
        <v>1</v>
      </c>
      <c r="AU56" s="18">
        <v>0</v>
      </c>
      <c r="AV56" s="18">
        <v>0</v>
      </c>
      <c r="AW56" s="18">
        <v>1</v>
      </c>
      <c r="AX56" s="18">
        <v>0</v>
      </c>
      <c r="AY56" s="13"/>
      <c r="AZ56" s="18">
        <v>1</v>
      </c>
      <c r="BA56" s="18">
        <v>1</v>
      </c>
      <c r="BB56" s="18">
        <v>64.58</v>
      </c>
      <c r="BC56" s="18" t="s">
        <v>728</v>
      </c>
      <c r="BD56" s="18" t="s">
        <v>356</v>
      </c>
      <c r="BE56" s="18" t="s">
        <v>287</v>
      </c>
      <c r="BF56" s="18" t="s">
        <v>77</v>
      </c>
      <c r="BG56" s="18">
        <v>168</v>
      </c>
      <c r="BH56" s="18">
        <v>53</v>
      </c>
      <c r="BI56" s="18">
        <v>0.7602</v>
      </c>
      <c r="BJ56" s="18">
        <v>0</v>
      </c>
      <c r="BK56" s="18">
        <v>23</v>
      </c>
      <c r="BL56" s="18">
        <v>93.7</v>
      </c>
      <c r="BM56" s="13">
        <f t="shared" si="0"/>
        <v>1239.69</v>
      </c>
    </row>
    <row r="57" customHeight="1" spans="1:65">
      <c r="A57" s="18" t="s">
        <v>724</v>
      </c>
      <c r="B57" s="18" t="s">
        <v>725</v>
      </c>
      <c r="C57" s="13"/>
      <c r="D57" s="13"/>
      <c r="E57" s="18" t="s">
        <v>726</v>
      </c>
      <c r="F57" s="18" t="s">
        <v>727</v>
      </c>
      <c r="G57" s="18" t="s">
        <v>83</v>
      </c>
      <c r="H57" s="18" t="s">
        <v>84</v>
      </c>
      <c r="I57" s="18" t="s">
        <v>85</v>
      </c>
      <c r="J57" s="18">
        <v>5</v>
      </c>
      <c r="K57" s="16">
        <v>40.49</v>
      </c>
      <c r="L57" s="10"/>
      <c r="M57" s="16">
        <v>0</v>
      </c>
      <c r="N57" s="16">
        <v>0</v>
      </c>
      <c r="O57" s="18">
        <v>0</v>
      </c>
      <c r="P57" s="18" t="s">
        <v>86</v>
      </c>
      <c r="Q57" s="18">
        <v>3.725452</v>
      </c>
      <c r="R57" s="10"/>
      <c r="S57" s="16">
        <v>195</v>
      </c>
      <c r="T57" s="16">
        <v>2</v>
      </c>
      <c r="U57" s="18" t="s">
        <v>724</v>
      </c>
      <c r="V57" s="18" t="s">
        <v>725</v>
      </c>
      <c r="W57" s="13"/>
      <c r="X57" s="13"/>
      <c r="Y57" s="18" t="s">
        <v>726</v>
      </c>
      <c r="Z57" s="18" t="s">
        <v>727</v>
      </c>
      <c r="AA57" s="18" t="s">
        <v>83</v>
      </c>
      <c r="AB57" s="18" t="s">
        <v>84</v>
      </c>
      <c r="AC57" s="18" t="s">
        <v>85</v>
      </c>
      <c r="AD57" s="18">
        <v>75.98</v>
      </c>
      <c r="AE57" s="18">
        <v>1</v>
      </c>
      <c r="AF57" s="18">
        <v>0</v>
      </c>
      <c r="AG57" s="18">
        <v>0</v>
      </c>
      <c r="AH57" s="18">
        <v>1</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3"/>
      <c r="AZ57" s="18">
        <v>1</v>
      </c>
      <c r="BA57" s="18">
        <v>2</v>
      </c>
      <c r="BB57" s="18">
        <v>69.35</v>
      </c>
      <c r="BC57" s="18" t="s">
        <v>728</v>
      </c>
      <c r="BD57" s="18" t="s">
        <v>356</v>
      </c>
      <c r="BE57" s="18" t="s">
        <v>287</v>
      </c>
      <c r="BF57" s="18" t="s">
        <v>77</v>
      </c>
      <c r="BG57" s="18">
        <v>168</v>
      </c>
      <c r="BH57" s="18">
        <v>53</v>
      </c>
      <c r="BI57" s="18">
        <v>0.7602</v>
      </c>
      <c r="BJ57" s="18">
        <v>0</v>
      </c>
      <c r="BK57" s="18">
        <v>3</v>
      </c>
      <c r="BL57" s="18">
        <v>99.2</v>
      </c>
      <c r="BM57" s="13">
        <f t="shared" si="0"/>
        <v>7895.55</v>
      </c>
    </row>
    <row r="58" customHeight="1" spans="1:65">
      <c r="A58" s="18" t="s">
        <v>1520</v>
      </c>
      <c r="B58" s="18" t="s">
        <v>725</v>
      </c>
      <c r="C58" s="13"/>
      <c r="D58" s="13"/>
      <c r="E58" s="18" t="s">
        <v>726</v>
      </c>
      <c r="F58" s="18" t="s">
        <v>727</v>
      </c>
      <c r="G58" s="18" t="s">
        <v>83</v>
      </c>
      <c r="H58" s="18" t="s">
        <v>84</v>
      </c>
      <c r="I58" s="18" t="s">
        <v>85</v>
      </c>
      <c r="J58" s="18">
        <v>5</v>
      </c>
      <c r="K58" s="16">
        <v>44.99</v>
      </c>
      <c r="L58" s="10"/>
      <c r="M58" s="16">
        <v>0</v>
      </c>
      <c r="N58" s="16">
        <v>0</v>
      </c>
      <c r="O58" s="18">
        <v>0</v>
      </c>
      <c r="P58" s="18" t="s">
        <v>86</v>
      </c>
      <c r="Q58" s="18">
        <v>3.828424</v>
      </c>
      <c r="R58" s="10"/>
      <c r="S58" s="16">
        <v>291</v>
      </c>
      <c r="T58" s="16">
        <v>4</v>
      </c>
      <c r="U58" s="18" t="s">
        <v>1520</v>
      </c>
      <c r="V58" s="18" t="s">
        <v>725</v>
      </c>
      <c r="W58" s="13"/>
      <c r="X58" s="13"/>
      <c r="Y58" s="18" t="s">
        <v>726</v>
      </c>
      <c r="Z58" s="18" t="s">
        <v>727</v>
      </c>
      <c r="AA58" s="18" t="s">
        <v>83</v>
      </c>
      <c r="AB58" s="18" t="s">
        <v>84</v>
      </c>
      <c r="AC58" s="18" t="s">
        <v>85</v>
      </c>
      <c r="AD58" s="18">
        <v>84.98</v>
      </c>
      <c r="AE58" s="18">
        <v>1</v>
      </c>
      <c r="AF58" s="18">
        <v>0</v>
      </c>
      <c r="AG58" s="18">
        <v>0</v>
      </c>
      <c r="AH58" s="18">
        <v>1</v>
      </c>
      <c r="AI58" s="18">
        <v>0</v>
      </c>
      <c r="AJ58" s="18">
        <v>0</v>
      </c>
      <c r="AK58" s="18">
        <v>0</v>
      </c>
      <c r="AL58" s="18">
        <v>0</v>
      </c>
      <c r="AM58" s="18">
        <v>0</v>
      </c>
      <c r="AN58" s="18">
        <v>0</v>
      </c>
      <c r="AO58" s="18">
        <v>0</v>
      </c>
      <c r="AP58" s="18">
        <v>0</v>
      </c>
      <c r="AQ58" s="18">
        <v>0</v>
      </c>
      <c r="AR58" s="18">
        <v>0</v>
      </c>
      <c r="AS58" s="18">
        <v>0</v>
      </c>
      <c r="AT58" s="18">
        <v>0</v>
      </c>
      <c r="AU58" s="18">
        <v>0</v>
      </c>
      <c r="AV58" s="18">
        <v>0</v>
      </c>
      <c r="AW58" s="18">
        <v>0</v>
      </c>
      <c r="AX58" s="18">
        <v>0</v>
      </c>
      <c r="AY58" s="13"/>
      <c r="AZ58" s="18">
        <v>1</v>
      </c>
      <c r="BA58" s="18">
        <v>2</v>
      </c>
      <c r="BB58" s="18">
        <v>68.98</v>
      </c>
      <c r="BC58" s="18" t="s">
        <v>728</v>
      </c>
      <c r="BD58" s="18" t="s">
        <v>356</v>
      </c>
      <c r="BE58" s="18" t="s">
        <v>287</v>
      </c>
      <c r="BF58" s="18" t="s">
        <v>77</v>
      </c>
      <c r="BG58" s="18">
        <v>168</v>
      </c>
      <c r="BH58" s="18">
        <v>53</v>
      </c>
      <c r="BI58" s="18">
        <v>0.7602</v>
      </c>
      <c r="BJ58" s="18">
        <v>0</v>
      </c>
      <c r="BK58" s="18">
        <v>6</v>
      </c>
      <c r="BL58" s="18">
        <v>98.4</v>
      </c>
      <c r="BM58" s="13">
        <f t="shared" si="0"/>
        <v>13092.09</v>
      </c>
    </row>
    <row r="59" customHeight="1" spans="1:65">
      <c r="A59" s="18" t="s">
        <v>761</v>
      </c>
      <c r="B59" s="18" t="s">
        <v>725</v>
      </c>
      <c r="C59" s="13"/>
      <c r="D59" s="13"/>
      <c r="E59" s="18" t="s">
        <v>198</v>
      </c>
      <c r="F59" s="18" t="s">
        <v>198</v>
      </c>
      <c r="G59" s="18" t="s">
        <v>83</v>
      </c>
      <c r="H59" s="18" t="s">
        <v>84</v>
      </c>
      <c r="I59" s="18" t="s">
        <v>85</v>
      </c>
      <c r="J59" s="18">
        <v>5</v>
      </c>
      <c r="K59" s="16">
        <v>42.99</v>
      </c>
      <c r="L59" s="10"/>
      <c r="M59" s="16">
        <v>0</v>
      </c>
      <c r="N59" s="16">
        <v>0</v>
      </c>
      <c r="O59" s="18">
        <v>0</v>
      </c>
      <c r="P59" s="18" t="s">
        <v>86</v>
      </c>
      <c r="Q59" s="18">
        <v>3.783962</v>
      </c>
      <c r="R59" s="10"/>
      <c r="S59" s="16">
        <v>349</v>
      </c>
      <c r="T59" s="16">
        <v>3</v>
      </c>
      <c r="U59" s="18" t="s">
        <v>761</v>
      </c>
      <c r="V59" s="18" t="s">
        <v>725</v>
      </c>
      <c r="W59" s="13"/>
      <c r="X59" s="13"/>
      <c r="Y59" s="18" t="s">
        <v>198</v>
      </c>
      <c r="Z59" s="18" t="s">
        <v>198</v>
      </c>
      <c r="AA59" s="18" t="s">
        <v>83</v>
      </c>
      <c r="AB59" s="18" t="s">
        <v>84</v>
      </c>
      <c r="AC59" s="18" t="s">
        <v>85</v>
      </c>
      <c r="AD59" s="18">
        <v>80.98</v>
      </c>
      <c r="AE59" s="18">
        <v>0</v>
      </c>
      <c r="AF59" s="18">
        <v>0</v>
      </c>
      <c r="AG59" s="18">
        <v>0</v>
      </c>
      <c r="AH59" s="18">
        <v>1</v>
      </c>
      <c r="AI59" s="18">
        <v>0</v>
      </c>
      <c r="AJ59" s="18">
        <v>0</v>
      </c>
      <c r="AK59" s="18">
        <v>0</v>
      </c>
      <c r="AL59" s="18">
        <v>1</v>
      </c>
      <c r="AM59" s="18">
        <v>0</v>
      </c>
      <c r="AN59" s="18">
        <v>0</v>
      </c>
      <c r="AO59" s="18">
        <v>0</v>
      </c>
      <c r="AP59" s="18">
        <v>0</v>
      </c>
      <c r="AQ59" s="18">
        <v>0</v>
      </c>
      <c r="AR59" s="18">
        <v>0</v>
      </c>
      <c r="AS59" s="18">
        <v>0</v>
      </c>
      <c r="AT59" s="18">
        <v>1</v>
      </c>
      <c r="AU59" s="18">
        <v>0</v>
      </c>
      <c r="AV59" s="18">
        <v>0</v>
      </c>
      <c r="AW59" s="18">
        <v>0</v>
      </c>
      <c r="AX59" s="18">
        <v>0</v>
      </c>
      <c r="AY59" s="13"/>
      <c r="AZ59" s="18">
        <v>1</v>
      </c>
      <c r="BA59" s="18">
        <v>1</v>
      </c>
      <c r="BB59" s="18">
        <v>69.42</v>
      </c>
      <c r="BC59" s="18" t="s">
        <v>728</v>
      </c>
      <c r="BD59" s="18" t="s">
        <v>356</v>
      </c>
      <c r="BE59" s="18" t="s">
        <v>287</v>
      </c>
      <c r="BF59" s="18" t="s">
        <v>77</v>
      </c>
      <c r="BG59" s="18">
        <v>168</v>
      </c>
      <c r="BH59" s="18">
        <v>53</v>
      </c>
      <c r="BI59" s="18">
        <v>0.7602</v>
      </c>
      <c r="BJ59" s="18">
        <v>0</v>
      </c>
      <c r="BK59" s="18">
        <v>3</v>
      </c>
      <c r="BL59" s="18">
        <v>99.2</v>
      </c>
      <c r="BM59" s="13">
        <f t="shared" si="0"/>
        <v>15003.51</v>
      </c>
    </row>
    <row r="60" customHeight="1" spans="1:65">
      <c r="A60" s="18" t="s">
        <v>2271</v>
      </c>
      <c r="B60" s="18" t="s">
        <v>171</v>
      </c>
      <c r="C60" s="18" t="s">
        <v>2272</v>
      </c>
      <c r="D60" s="13"/>
      <c r="E60" s="18" t="s">
        <v>239</v>
      </c>
      <c r="F60" s="18" t="s">
        <v>160</v>
      </c>
      <c r="G60" s="18" t="s">
        <v>83</v>
      </c>
      <c r="H60" s="18" t="s">
        <v>84</v>
      </c>
      <c r="I60" s="18" t="s">
        <v>85</v>
      </c>
      <c r="J60" s="18">
        <v>5</v>
      </c>
      <c r="K60" s="16">
        <v>49.98</v>
      </c>
      <c r="L60" s="16">
        <v>59.5</v>
      </c>
      <c r="M60" s="16">
        <v>16</v>
      </c>
      <c r="N60" s="16">
        <v>9.52</v>
      </c>
      <c r="O60" s="18">
        <v>1</v>
      </c>
      <c r="P60" s="18" t="s">
        <v>86</v>
      </c>
      <c r="Q60" s="18">
        <v>3.931433</v>
      </c>
      <c r="R60" s="16">
        <v>6.25</v>
      </c>
      <c r="S60" s="16">
        <v>1122</v>
      </c>
      <c r="T60" s="16">
        <v>10</v>
      </c>
      <c r="U60" s="18" t="s">
        <v>2271</v>
      </c>
      <c r="V60" s="18" t="s">
        <v>171</v>
      </c>
      <c r="W60" s="18" t="s">
        <v>2540</v>
      </c>
      <c r="X60" s="13"/>
      <c r="Y60" s="18" t="s">
        <v>239</v>
      </c>
      <c r="Z60" s="18" t="s">
        <v>160</v>
      </c>
      <c r="AA60" s="18" t="s">
        <v>83</v>
      </c>
      <c r="AB60" s="18" t="s">
        <v>84</v>
      </c>
      <c r="AC60" s="18" t="s">
        <v>85</v>
      </c>
      <c r="AD60" s="18">
        <v>5.01200000000004</v>
      </c>
      <c r="AE60" s="18">
        <v>0</v>
      </c>
      <c r="AF60" s="18">
        <v>0</v>
      </c>
      <c r="AG60" s="18">
        <v>0</v>
      </c>
      <c r="AH60" s="18">
        <v>0</v>
      </c>
      <c r="AI60" s="18">
        <v>0</v>
      </c>
      <c r="AJ60" s="18">
        <v>0</v>
      </c>
      <c r="AK60" s="18">
        <v>0</v>
      </c>
      <c r="AL60" s="18">
        <v>0</v>
      </c>
      <c r="AM60" s="18">
        <v>0</v>
      </c>
      <c r="AN60" s="18">
        <v>0</v>
      </c>
      <c r="AO60" s="18">
        <v>0</v>
      </c>
      <c r="AP60" s="18">
        <v>0</v>
      </c>
      <c r="AQ60" s="18">
        <v>1</v>
      </c>
      <c r="AR60" s="18">
        <v>0</v>
      </c>
      <c r="AS60" s="18">
        <v>0</v>
      </c>
      <c r="AT60" s="18">
        <v>0</v>
      </c>
      <c r="AU60" s="18">
        <v>0</v>
      </c>
      <c r="AV60" s="18">
        <v>1</v>
      </c>
      <c r="AW60" s="18">
        <v>1</v>
      </c>
      <c r="AX60" s="18">
        <v>0</v>
      </c>
      <c r="AY60" s="18">
        <v>8</v>
      </c>
      <c r="AZ60" s="18">
        <v>1</v>
      </c>
      <c r="BA60" s="18">
        <v>1</v>
      </c>
      <c r="BB60" s="18">
        <v>73.55</v>
      </c>
      <c r="BC60" s="18" t="s">
        <v>732</v>
      </c>
      <c r="BD60" s="18" t="s">
        <v>175</v>
      </c>
      <c r="BE60" s="18" t="s">
        <v>226</v>
      </c>
      <c r="BF60" s="18" t="s">
        <v>77</v>
      </c>
      <c r="BG60" s="18">
        <v>162</v>
      </c>
      <c r="BH60" s="18">
        <v>60</v>
      </c>
      <c r="BI60" s="18">
        <v>0.7297</v>
      </c>
      <c r="BJ60" s="18">
        <v>0</v>
      </c>
      <c r="BK60" s="18">
        <v>11</v>
      </c>
      <c r="BL60" s="18">
        <v>97</v>
      </c>
      <c r="BM60" s="13">
        <f t="shared" si="0"/>
        <v>56077.56</v>
      </c>
    </row>
    <row r="61" customHeight="1" spans="1:65">
      <c r="A61" s="18" t="s">
        <v>1500</v>
      </c>
      <c r="B61" s="18" t="s">
        <v>171</v>
      </c>
      <c r="C61" s="18" t="s">
        <v>1501</v>
      </c>
      <c r="D61" s="13"/>
      <c r="E61" s="18" t="s">
        <v>559</v>
      </c>
      <c r="F61" s="18" t="s">
        <v>160</v>
      </c>
      <c r="G61" s="18" t="s">
        <v>83</v>
      </c>
      <c r="H61" s="18" t="s">
        <v>84</v>
      </c>
      <c r="I61" s="18" t="s">
        <v>85</v>
      </c>
      <c r="J61" s="18">
        <v>5</v>
      </c>
      <c r="K61" s="16">
        <v>103.41</v>
      </c>
      <c r="L61" s="16">
        <v>129.99</v>
      </c>
      <c r="M61" s="16">
        <v>20.45</v>
      </c>
      <c r="N61" s="16">
        <v>26.58</v>
      </c>
      <c r="O61" s="18">
        <v>1</v>
      </c>
      <c r="P61" s="18" t="s">
        <v>95</v>
      </c>
      <c r="Q61" s="18">
        <v>4.648325</v>
      </c>
      <c r="R61" s="16">
        <v>12.93</v>
      </c>
      <c r="S61" s="16">
        <v>49</v>
      </c>
      <c r="T61" s="16">
        <v>10</v>
      </c>
      <c r="U61" s="18" t="s">
        <v>1500</v>
      </c>
      <c r="V61" s="18" t="s">
        <v>171</v>
      </c>
      <c r="W61" s="18" t="s">
        <v>1501</v>
      </c>
      <c r="X61" s="13"/>
      <c r="Y61" s="18" t="s">
        <v>559</v>
      </c>
      <c r="Z61" s="18" t="s">
        <v>160</v>
      </c>
      <c r="AA61" s="18" t="s">
        <v>83</v>
      </c>
      <c r="AB61" s="18" t="s">
        <v>84</v>
      </c>
      <c r="AC61" s="18" t="s">
        <v>85</v>
      </c>
      <c r="AD61" s="18">
        <v>11.7353333333334</v>
      </c>
      <c r="AE61" s="18">
        <v>0</v>
      </c>
      <c r="AF61" s="18">
        <v>0</v>
      </c>
      <c r="AG61" s="18">
        <v>1</v>
      </c>
      <c r="AH61" s="18">
        <v>0</v>
      </c>
      <c r="AI61" s="18">
        <v>1</v>
      </c>
      <c r="AJ61" s="18">
        <v>0</v>
      </c>
      <c r="AK61" s="18">
        <v>0</v>
      </c>
      <c r="AL61" s="18">
        <v>0</v>
      </c>
      <c r="AM61" s="18">
        <v>0</v>
      </c>
      <c r="AN61" s="18">
        <v>0</v>
      </c>
      <c r="AO61" s="18">
        <v>0</v>
      </c>
      <c r="AP61" s="18">
        <v>0</v>
      </c>
      <c r="AQ61" s="18">
        <v>1</v>
      </c>
      <c r="AR61" s="18">
        <v>0</v>
      </c>
      <c r="AS61" s="18">
        <v>0</v>
      </c>
      <c r="AT61" s="18">
        <v>0</v>
      </c>
      <c r="AU61" s="18">
        <v>0</v>
      </c>
      <c r="AV61" s="18">
        <v>1</v>
      </c>
      <c r="AW61" s="18">
        <v>0</v>
      </c>
      <c r="AX61" s="18">
        <v>0</v>
      </c>
      <c r="AY61" s="18">
        <v>8</v>
      </c>
      <c r="AZ61" s="18">
        <v>1</v>
      </c>
      <c r="BA61" s="18">
        <v>1</v>
      </c>
      <c r="BB61" s="18">
        <v>68.46</v>
      </c>
      <c r="BC61" s="18" t="s">
        <v>732</v>
      </c>
      <c r="BD61" s="18" t="s">
        <v>175</v>
      </c>
      <c r="BE61" s="18" t="s">
        <v>226</v>
      </c>
      <c r="BF61" s="18" t="s">
        <v>77</v>
      </c>
      <c r="BG61" s="18">
        <v>161</v>
      </c>
      <c r="BH61" s="18">
        <v>61</v>
      </c>
      <c r="BI61" s="18">
        <v>0.7252</v>
      </c>
      <c r="BJ61" s="18">
        <v>0</v>
      </c>
      <c r="BK61" s="18">
        <v>11</v>
      </c>
      <c r="BL61" s="18">
        <v>97</v>
      </c>
      <c r="BM61" s="13">
        <f t="shared" si="0"/>
        <v>5067.09</v>
      </c>
    </row>
    <row r="62" customHeight="1" spans="1:65">
      <c r="A62" s="18" t="s">
        <v>859</v>
      </c>
      <c r="B62" s="18" t="s">
        <v>171</v>
      </c>
      <c r="C62" s="18" t="s">
        <v>860</v>
      </c>
      <c r="D62" s="13"/>
      <c r="E62" s="18" t="s">
        <v>250</v>
      </c>
      <c r="F62" s="18" t="s">
        <v>160</v>
      </c>
      <c r="G62" s="18" t="s">
        <v>83</v>
      </c>
      <c r="H62" s="18" t="s">
        <v>84</v>
      </c>
      <c r="I62" s="18" t="s">
        <v>85</v>
      </c>
      <c r="J62" s="18">
        <v>5</v>
      </c>
      <c r="K62" s="16">
        <v>67.19</v>
      </c>
      <c r="L62" s="16">
        <v>79.99</v>
      </c>
      <c r="M62" s="16">
        <v>16</v>
      </c>
      <c r="N62" s="16">
        <v>12.8</v>
      </c>
      <c r="O62" s="18">
        <v>1</v>
      </c>
      <c r="P62" s="18" t="s">
        <v>86</v>
      </c>
      <c r="Q62" s="18">
        <v>4.222298</v>
      </c>
      <c r="R62" s="16">
        <v>8.4</v>
      </c>
      <c r="S62" s="16">
        <v>308</v>
      </c>
      <c r="T62" s="16">
        <v>10</v>
      </c>
      <c r="U62" s="18" t="s">
        <v>859</v>
      </c>
      <c r="V62" s="18" t="s">
        <v>171</v>
      </c>
      <c r="W62" s="18" t="s">
        <v>860</v>
      </c>
      <c r="X62" s="13"/>
      <c r="Y62" s="18" t="s">
        <v>250</v>
      </c>
      <c r="Z62" s="18" t="s">
        <v>160</v>
      </c>
      <c r="AA62" s="18" t="s">
        <v>83</v>
      </c>
      <c r="AB62" s="18" t="s">
        <v>84</v>
      </c>
      <c r="AC62" s="18" t="s">
        <v>85</v>
      </c>
      <c r="AD62" s="18">
        <v>5.61399999999995</v>
      </c>
      <c r="AE62" s="18">
        <v>0</v>
      </c>
      <c r="AF62" s="18">
        <v>0</v>
      </c>
      <c r="AG62" s="18">
        <v>0</v>
      </c>
      <c r="AH62" s="18">
        <v>0</v>
      </c>
      <c r="AI62" s="18">
        <v>0</v>
      </c>
      <c r="AJ62" s="18">
        <v>0</v>
      </c>
      <c r="AK62" s="18">
        <v>0</v>
      </c>
      <c r="AL62" s="18">
        <v>0</v>
      </c>
      <c r="AM62" s="18">
        <v>0</v>
      </c>
      <c r="AN62" s="18">
        <v>0</v>
      </c>
      <c r="AO62" s="18">
        <v>0</v>
      </c>
      <c r="AP62" s="18">
        <v>0</v>
      </c>
      <c r="AQ62" s="18">
        <v>1</v>
      </c>
      <c r="AR62" s="18">
        <v>0</v>
      </c>
      <c r="AS62" s="18">
        <v>0</v>
      </c>
      <c r="AT62" s="18">
        <v>0</v>
      </c>
      <c r="AU62" s="18">
        <v>0</v>
      </c>
      <c r="AV62" s="18">
        <v>1</v>
      </c>
      <c r="AW62" s="18">
        <v>1</v>
      </c>
      <c r="AX62" s="18">
        <v>0</v>
      </c>
      <c r="AY62" s="18">
        <v>8</v>
      </c>
      <c r="AZ62" s="18">
        <v>1</v>
      </c>
      <c r="BA62" s="18">
        <v>3</v>
      </c>
      <c r="BB62" s="18">
        <v>70.51</v>
      </c>
      <c r="BC62" s="18" t="s">
        <v>732</v>
      </c>
      <c r="BD62" s="18" t="s">
        <v>175</v>
      </c>
      <c r="BE62" s="18" t="s">
        <v>91</v>
      </c>
      <c r="BF62" s="18" t="s">
        <v>77</v>
      </c>
      <c r="BG62" s="18">
        <v>161</v>
      </c>
      <c r="BH62" s="18">
        <v>61</v>
      </c>
      <c r="BI62" s="18">
        <v>0.7252</v>
      </c>
      <c r="BJ62" s="18">
        <v>0</v>
      </c>
      <c r="BK62" s="18">
        <v>37</v>
      </c>
      <c r="BL62" s="18">
        <v>89.9</v>
      </c>
      <c r="BM62" s="13">
        <f t="shared" si="0"/>
        <v>20694.52</v>
      </c>
    </row>
    <row r="63" customHeight="1" spans="1:65">
      <c r="A63" s="18" t="s">
        <v>823</v>
      </c>
      <c r="B63" s="18" t="s">
        <v>245</v>
      </c>
      <c r="C63" s="18" t="s">
        <v>824</v>
      </c>
      <c r="D63" s="13"/>
      <c r="E63" s="18" t="s">
        <v>250</v>
      </c>
      <c r="F63" s="18" t="s">
        <v>160</v>
      </c>
      <c r="G63" s="18" t="s">
        <v>83</v>
      </c>
      <c r="H63" s="18" t="s">
        <v>84</v>
      </c>
      <c r="I63" s="18" t="s">
        <v>85</v>
      </c>
      <c r="J63" s="18">
        <v>5</v>
      </c>
      <c r="K63" s="16">
        <v>129.49</v>
      </c>
      <c r="L63" s="16">
        <v>184.99</v>
      </c>
      <c r="M63" s="16">
        <v>30</v>
      </c>
      <c r="N63" s="16">
        <v>55.5</v>
      </c>
      <c r="O63" s="18">
        <v>1</v>
      </c>
      <c r="P63" s="18" t="s">
        <v>95</v>
      </c>
      <c r="Q63" s="18">
        <v>4.871297</v>
      </c>
      <c r="R63" s="16">
        <v>12.95</v>
      </c>
      <c r="S63" s="16">
        <v>2376</v>
      </c>
      <c r="T63" s="16">
        <v>10</v>
      </c>
      <c r="U63" s="18" t="s">
        <v>823</v>
      </c>
      <c r="V63" s="18" t="s">
        <v>245</v>
      </c>
      <c r="W63" s="18" t="s">
        <v>824</v>
      </c>
      <c r="X63" s="13"/>
      <c r="Y63" s="18" t="s">
        <v>250</v>
      </c>
      <c r="Z63" s="18" t="s">
        <v>160</v>
      </c>
      <c r="AA63" s="18" t="s">
        <v>83</v>
      </c>
      <c r="AB63" s="18" t="s">
        <v>84</v>
      </c>
      <c r="AC63" s="18" t="s">
        <v>85</v>
      </c>
      <c r="AD63" s="18">
        <v>27.9673333333333</v>
      </c>
      <c r="AE63" s="18">
        <v>0</v>
      </c>
      <c r="AF63" s="18">
        <v>0</v>
      </c>
      <c r="AG63" s="18">
        <v>0</v>
      </c>
      <c r="AH63" s="18">
        <v>1</v>
      </c>
      <c r="AI63" s="18">
        <v>0</v>
      </c>
      <c r="AJ63" s="18">
        <v>0</v>
      </c>
      <c r="AK63" s="18">
        <v>0</v>
      </c>
      <c r="AL63" s="18">
        <v>0</v>
      </c>
      <c r="AM63" s="18">
        <v>0</v>
      </c>
      <c r="AN63" s="18">
        <v>1</v>
      </c>
      <c r="AO63" s="18">
        <v>0</v>
      </c>
      <c r="AP63" s="18">
        <v>0</v>
      </c>
      <c r="AQ63" s="18">
        <v>1</v>
      </c>
      <c r="AR63" s="18">
        <v>0</v>
      </c>
      <c r="AS63" s="18">
        <v>0</v>
      </c>
      <c r="AT63" s="18">
        <v>0</v>
      </c>
      <c r="AU63" s="18">
        <v>0</v>
      </c>
      <c r="AV63" s="18">
        <v>1</v>
      </c>
      <c r="AW63" s="18">
        <v>1</v>
      </c>
      <c r="AX63" s="18">
        <v>0</v>
      </c>
      <c r="AY63" s="18">
        <v>10</v>
      </c>
      <c r="AZ63" s="18">
        <v>1</v>
      </c>
      <c r="BA63" s="18">
        <v>3</v>
      </c>
      <c r="BB63" s="18">
        <v>77.51</v>
      </c>
      <c r="BC63" s="18" t="s">
        <v>732</v>
      </c>
      <c r="BD63" s="18" t="s">
        <v>175</v>
      </c>
      <c r="BE63" s="18" t="s">
        <v>91</v>
      </c>
      <c r="BF63" s="18" t="s">
        <v>77</v>
      </c>
      <c r="BG63" s="18">
        <v>162</v>
      </c>
      <c r="BH63" s="18">
        <v>60</v>
      </c>
      <c r="BI63" s="18">
        <v>0.7297</v>
      </c>
      <c r="BJ63" s="18">
        <v>0</v>
      </c>
      <c r="BK63" s="18">
        <v>16</v>
      </c>
      <c r="BL63" s="18">
        <v>95.6</v>
      </c>
      <c r="BM63" s="13">
        <f t="shared" si="0"/>
        <v>307668.24</v>
      </c>
    </row>
    <row r="64" customHeight="1" spans="1:65">
      <c r="A64" s="18" t="s">
        <v>932</v>
      </c>
      <c r="B64" s="18" t="s">
        <v>245</v>
      </c>
      <c r="C64" s="18" t="s">
        <v>933</v>
      </c>
      <c r="D64" s="13"/>
      <c r="E64" s="18" t="s">
        <v>250</v>
      </c>
      <c r="F64" s="18" t="s">
        <v>82</v>
      </c>
      <c r="G64" s="18" t="s">
        <v>83</v>
      </c>
      <c r="H64" s="18" t="s">
        <v>84</v>
      </c>
      <c r="I64" s="18" t="s">
        <v>85</v>
      </c>
      <c r="J64" s="18">
        <v>5</v>
      </c>
      <c r="K64" s="16">
        <v>16.79</v>
      </c>
      <c r="L64" s="10"/>
      <c r="M64" s="16">
        <v>0</v>
      </c>
      <c r="N64" s="16">
        <v>0</v>
      </c>
      <c r="O64" s="18">
        <v>0</v>
      </c>
      <c r="P64" s="18" t="s">
        <v>133</v>
      </c>
      <c r="Q64" s="18">
        <v>2.878637</v>
      </c>
      <c r="R64" s="10"/>
      <c r="S64" s="16">
        <v>4350</v>
      </c>
      <c r="T64" s="16">
        <v>10</v>
      </c>
      <c r="U64" s="18" t="s">
        <v>932</v>
      </c>
      <c r="V64" s="18" t="s">
        <v>245</v>
      </c>
      <c r="W64" s="18" t="s">
        <v>2541</v>
      </c>
      <c r="X64" s="13"/>
      <c r="Y64" s="18" t="s">
        <v>250</v>
      </c>
      <c r="Z64" s="18" t="s">
        <v>82</v>
      </c>
      <c r="AA64" s="18" t="s">
        <v>83</v>
      </c>
      <c r="AB64" s="18" t="s">
        <v>84</v>
      </c>
      <c r="AC64" s="18" t="s">
        <v>85</v>
      </c>
      <c r="AD64" s="18">
        <v>28.58</v>
      </c>
      <c r="AE64" s="18">
        <v>0</v>
      </c>
      <c r="AF64" s="18">
        <v>0</v>
      </c>
      <c r="AG64" s="18">
        <v>0</v>
      </c>
      <c r="AH64" s="18">
        <v>0</v>
      </c>
      <c r="AI64" s="18">
        <v>0</v>
      </c>
      <c r="AJ64" s="18">
        <v>0</v>
      </c>
      <c r="AK64" s="18">
        <v>0</v>
      </c>
      <c r="AL64" s="18">
        <v>0</v>
      </c>
      <c r="AM64" s="18">
        <v>0</v>
      </c>
      <c r="AN64" s="18">
        <v>0</v>
      </c>
      <c r="AO64" s="18">
        <v>0</v>
      </c>
      <c r="AP64" s="18">
        <v>0</v>
      </c>
      <c r="AQ64" s="18">
        <v>0</v>
      </c>
      <c r="AR64" s="18">
        <v>0</v>
      </c>
      <c r="AS64" s="18">
        <v>0</v>
      </c>
      <c r="AT64" s="18">
        <v>1</v>
      </c>
      <c r="AU64" s="18">
        <v>0</v>
      </c>
      <c r="AV64" s="18">
        <v>0</v>
      </c>
      <c r="AW64" s="18">
        <v>0</v>
      </c>
      <c r="AX64" s="18">
        <v>0</v>
      </c>
      <c r="AY64" s="13"/>
      <c r="AZ64" s="18">
        <v>1</v>
      </c>
      <c r="BA64" s="18">
        <v>1</v>
      </c>
      <c r="BB64" s="18">
        <v>69.1</v>
      </c>
      <c r="BC64" s="18" t="s">
        <v>732</v>
      </c>
      <c r="BD64" s="18" t="s">
        <v>175</v>
      </c>
      <c r="BE64" s="18" t="s">
        <v>91</v>
      </c>
      <c r="BF64" s="18" t="s">
        <v>77</v>
      </c>
      <c r="BG64" s="18">
        <v>162</v>
      </c>
      <c r="BH64" s="18">
        <v>60</v>
      </c>
      <c r="BI64" s="18">
        <v>0.7297</v>
      </c>
      <c r="BJ64" s="18">
        <v>0</v>
      </c>
      <c r="BK64" s="18">
        <v>10</v>
      </c>
      <c r="BL64" s="18">
        <v>97.3</v>
      </c>
      <c r="BM64" s="13">
        <f t="shared" si="0"/>
        <v>73036.5</v>
      </c>
    </row>
    <row r="65" customHeight="1" spans="1:65">
      <c r="A65" s="18" t="s">
        <v>1473</v>
      </c>
      <c r="B65" s="18" t="s">
        <v>245</v>
      </c>
      <c r="C65" s="18" t="s">
        <v>1474</v>
      </c>
      <c r="D65" s="13"/>
      <c r="E65" s="18" t="s">
        <v>250</v>
      </c>
      <c r="F65" s="18" t="s">
        <v>160</v>
      </c>
      <c r="G65" s="18" t="s">
        <v>83</v>
      </c>
      <c r="H65" s="18" t="s">
        <v>84</v>
      </c>
      <c r="I65" s="18" t="s">
        <v>85</v>
      </c>
      <c r="J65" s="18">
        <v>5</v>
      </c>
      <c r="K65" s="16">
        <v>58.49</v>
      </c>
      <c r="L65" s="16">
        <v>89.99</v>
      </c>
      <c r="M65" s="16">
        <v>35</v>
      </c>
      <c r="N65" s="16">
        <v>31.5</v>
      </c>
      <c r="O65" s="18">
        <v>1</v>
      </c>
      <c r="P65" s="18" t="s">
        <v>86</v>
      </c>
      <c r="Q65" s="18">
        <v>4.085808</v>
      </c>
      <c r="R65" s="16">
        <v>7.31</v>
      </c>
      <c r="S65" s="16">
        <v>490</v>
      </c>
      <c r="T65" s="16">
        <v>10</v>
      </c>
      <c r="U65" s="18" t="s">
        <v>1473</v>
      </c>
      <c r="V65" s="18" t="s">
        <v>245</v>
      </c>
      <c r="W65" s="18" t="s">
        <v>1474</v>
      </c>
      <c r="X65" s="13"/>
      <c r="Y65" s="18" t="s">
        <v>250</v>
      </c>
      <c r="Z65" s="18" t="s">
        <v>160</v>
      </c>
      <c r="AA65" s="18" t="s">
        <v>83</v>
      </c>
      <c r="AB65" s="18" t="s">
        <v>84</v>
      </c>
      <c r="AC65" s="18" t="s">
        <v>85</v>
      </c>
      <c r="AD65" s="18">
        <v>21.234</v>
      </c>
      <c r="AE65" s="18">
        <v>0</v>
      </c>
      <c r="AF65" s="18">
        <v>0</v>
      </c>
      <c r="AG65" s="18">
        <v>0</v>
      </c>
      <c r="AH65" s="18">
        <v>0</v>
      </c>
      <c r="AI65" s="18">
        <v>0</v>
      </c>
      <c r="AJ65" s="18">
        <v>0</v>
      </c>
      <c r="AK65" s="18">
        <v>0</v>
      </c>
      <c r="AL65" s="18">
        <v>0</v>
      </c>
      <c r="AM65" s="18">
        <v>1</v>
      </c>
      <c r="AN65" s="18">
        <v>0</v>
      </c>
      <c r="AO65" s="18">
        <v>0</v>
      </c>
      <c r="AP65" s="18">
        <v>0</v>
      </c>
      <c r="AQ65" s="18">
        <v>1</v>
      </c>
      <c r="AR65" s="18">
        <v>0</v>
      </c>
      <c r="AS65" s="18">
        <v>0</v>
      </c>
      <c r="AT65" s="18">
        <v>1</v>
      </c>
      <c r="AU65" s="18">
        <v>0</v>
      </c>
      <c r="AV65" s="18">
        <v>1</v>
      </c>
      <c r="AW65" s="18">
        <v>1</v>
      </c>
      <c r="AX65" s="18">
        <v>0</v>
      </c>
      <c r="AY65" s="18">
        <v>8</v>
      </c>
      <c r="AZ65" s="18">
        <v>1</v>
      </c>
      <c r="BA65" s="18">
        <v>2</v>
      </c>
      <c r="BB65" s="18">
        <v>78.89</v>
      </c>
      <c r="BC65" s="18" t="s">
        <v>732</v>
      </c>
      <c r="BD65" s="18" t="s">
        <v>175</v>
      </c>
      <c r="BE65" s="18" t="s">
        <v>91</v>
      </c>
      <c r="BF65" s="18" t="s">
        <v>77</v>
      </c>
      <c r="BG65" s="18">
        <v>161</v>
      </c>
      <c r="BH65" s="18">
        <v>61</v>
      </c>
      <c r="BI65" s="18">
        <v>0.7252</v>
      </c>
      <c r="BJ65" s="18">
        <v>0</v>
      </c>
      <c r="BK65" s="18">
        <v>10</v>
      </c>
      <c r="BL65" s="18">
        <v>97.3</v>
      </c>
      <c r="BM65" s="13">
        <f t="shared" si="0"/>
        <v>28660.1</v>
      </c>
    </row>
    <row r="66" customHeight="1" spans="1:65">
      <c r="A66" s="18" t="s">
        <v>1919</v>
      </c>
      <c r="B66" s="18" t="s">
        <v>245</v>
      </c>
      <c r="C66" s="18" t="s">
        <v>1920</v>
      </c>
      <c r="D66" s="13"/>
      <c r="E66" s="18" t="s">
        <v>250</v>
      </c>
      <c r="F66" s="18" t="s">
        <v>160</v>
      </c>
      <c r="G66" s="18" t="s">
        <v>83</v>
      </c>
      <c r="H66" s="18" t="s">
        <v>84</v>
      </c>
      <c r="I66" s="18" t="s">
        <v>85</v>
      </c>
      <c r="J66" s="18">
        <v>5</v>
      </c>
      <c r="K66" s="16">
        <v>129.49</v>
      </c>
      <c r="L66" s="16">
        <v>184.99</v>
      </c>
      <c r="M66" s="16">
        <v>30</v>
      </c>
      <c r="N66" s="16">
        <v>55.5</v>
      </c>
      <c r="O66" s="18">
        <v>1</v>
      </c>
      <c r="P66" s="18" t="s">
        <v>95</v>
      </c>
      <c r="Q66" s="18">
        <v>4.871297</v>
      </c>
      <c r="R66" s="16">
        <v>16.19</v>
      </c>
      <c r="S66" s="16">
        <v>91</v>
      </c>
      <c r="T66" s="16">
        <v>10</v>
      </c>
      <c r="U66" s="18" t="s">
        <v>1919</v>
      </c>
      <c r="V66" s="18" t="s">
        <v>245</v>
      </c>
      <c r="W66" s="18" t="s">
        <v>1920</v>
      </c>
      <c r="X66" s="13"/>
      <c r="Y66" s="18" t="s">
        <v>250</v>
      </c>
      <c r="Z66" s="18" t="s">
        <v>160</v>
      </c>
      <c r="AA66" s="18" t="s">
        <v>83</v>
      </c>
      <c r="AB66" s="18" t="s">
        <v>84</v>
      </c>
      <c r="AC66" s="18" t="s">
        <v>85</v>
      </c>
      <c r="AD66" s="18">
        <v>27.9673333333333</v>
      </c>
      <c r="AE66" s="18">
        <v>0</v>
      </c>
      <c r="AF66" s="18">
        <v>0</v>
      </c>
      <c r="AG66" s="18">
        <v>0</v>
      </c>
      <c r="AH66" s="18">
        <v>1</v>
      </c>
      <c r="AI66" s="18">
        <v>0</v>
      </c>
      <c r="AJ66" s="18">
        <v>0</v>
      </c>
      <c r="AK66" s="18">
        <v>0</v>
      </c>
      <c r="AL66" s="18">
        <v>0</v>
      </c>
      <c r="AM66" s="18">
        <v>0</v>
      </c>
      <c r="AN66" s="18">
        <v>1</v>
      </c>
      <c r="AO66" s="18">
        <v>0</v>
      </c>
      <c r="AP66" s="18">
        <v>0</v>
      </c>
      <c r="AQ66" s="18">
        <v>1</v>
      </c>
      <c r="AR66" s="18">
        <v>0</v>
      </c>
      <c r="AS66" s="18">
        <v>0</v>
      </c>
      <c r="AT66" s="18">
        <v>1</v>
      </c>
      <c r="AU66" s="18">
        <v>0</v>
      </c>
      <c r="AV66" s="18">
        <v>1</v>
      </c>
      <c r="AW66" s="18">
        <v>1</v>
      </c>
      <c r="AX66" s="18">
        <v>0</v>
      </c>
      <c r="AY66" s="18">
        <v>8</v>
      </c>
      <c r="AZ66" s="18">
        <v>1</v>
      </c>
      <c r="BA66" s="18">
        <v>3</v>
      </c>
      <c r="BB66" s="18">
        <v>74.23</v>
      </c>
      <c r="BC66" s="18" t="s">
        <v>732</v>
      </c>
      <c r="BD66" s="18" t="s">
        <v>175</v>
      </c>
      <c r="BE66" s="18" t="s">
        <v>91</v>
      </c>
      <c r="BF66" s="18" t="s">
        <v>77</v>
      </c>
      <c r="BG66" s="18">
        <v>161</v>
      </c>
      <c r="BH66" s="18">
        <v>61</v>
      </c>
      <c r="BI66" s="18">
        <v>0.7252</v>
      </c>
      <c r="BJ66" s="18">
        <v>0</v>
      </c>
      <c r="BK66" s="18">
        <v>10</v>
      </c>
      <c r="BL66" s="18">
        <v>97.3</v>
      </c>
      <c r="BM66" s="13">
        <f t="shared" si="0"/>
        <v>11783.59</v>
      </c>
    </row>
    <row r="67" customHeight="1" spans="1:65">
      <c r="A67" s="18" t="s">
        <v>730</v>
      </c>
      <c r="B67" s="18" t="s">
        <v>245</v>
      </c>
      <c r="C67" s="18" t="s">
        <v>400</v>
      </c>
      <c r="D67" s="13"/>
      <c r="E67" s="18" t="s">
        <v>731</v>
      </c>
      <c r="F67" s="18" t="s">
        <v>160</v>
      </c>
      <c r="G67" s="18" t="s">
        <v>83</v>
      </c>
      <c r="H67" s="18" t="s">
        <v>84</v>
      </c>
      <c r="I67" s="18" t="s">
        <v>85</v>
      </c>
      <c r="J67" s="18">
        <v>5</v>
      </c>
      <c r="K67" s="16">
        <v>119.99</v>
      </c>
      <c r="L67" s="16">
        <v>199.99</v>
      </c>
      <c r="M67" s="16">
        <v>40</v>
      </c>
      <c r="N67" s="16">
        <v>80</v>
      </c>
      <c r="O67" s="18">
        <v>1</v>
      </c>
      <c r="P67" s="18" t="s">
        <v>95</v>
      </c>
      <c r="Q67" s="18">
        <v>4.795708</v>
      </c>
      <c r="R67" s="16">
        <v>15</v>
      </c>
      <c r="S67" s="16">
        <v>140</v>
      </c>
      <c r="T67" s="16">
        <v>10</v>
      </c>
      <c r="U67" s="18" t="s">
        <v>730</v>
      </c>
      <c r="V67" s="18" t="s">
        <v>245</v>
      </c>
      <c r="W67" s="18" t="s">
        <v>400</v>
      </c>
      <c r="X67" s="13"/>
      <c r="Y67" s="18" t="s">
        <v>731</v>
      </c>
      <c r="Z67" s="18" t="s">
        <v>160</v>
      </c>
      <c r="AA67" s="18" t="s">
        <v>83</v>
      </c>
      <c r="AB67" s="18" t="s">
        <v>84</v>
      </c>
      <c r="AC67" s="18" t="s">
        <v>85</v>
      </c>
      <c r="AD67" s="18">
        <v>44.334</v>
      </c>
      <c r="AE67" s="18">
        <v>0</v>
      </c>
      <c r="AF67" s="18">
        <v>0</v>
      </c>
      <c r="AG67" s="18">
        <v>1</v>
      </c>
      <c r="AH67" s="18">
        <v>0</v>
      </c>
      <c r="AI67" s="18">
        <v>1</v>
      </c>
      <c r="AJ67" s="18">
        <v>0</v>
      </c>
      <c r="AK67" s="18">
        <v>0</v>
      </c>
      <c r="AL67" s="18">
        <v>0</v>
      </c>
      <c r="AM67" s="18">
        <v>0</v>
      </c>
      <c r="AN67" s="18">
        <v>1</v>
      </c>
      <c r="AO67" s="18">
        <v>0</v>
      </c>
      <c r="AP67" s="18">
        <v>0</v>
      </c>
      <c r="AQ67" s="18">
        <v>1</v>
      </c>
      <c r="AR67" s="18">
        <v>0</v>
      </c>
      <c r="AS67" s="18">
        <v>0</v>
      </c>
      <c r="AT67" s="18">
        <v>0</v>
      </c>
      <c r="AU67" s="18">
        <v>0</v>
      </c>
      <c r="AV67" s="18">
        <v>1</v>
      </c>
      <c r="AW67" s="18">
        <v>1</v>
      </c>
      <c r="AX67" s="18">
        <v>0</v>
      </c>
      <c r="AY67" s="18">
        <v>8</v>
      </c>
      <c r="AZ67" s="18">
        <v>1</v>
      </c>
      <c r="BA67" s="18">
        <v>2</v>
      </c>
      <c r="BB67" s="18">
        <v>79.09</v>
      </c>
      <c r="BC67" s="18" t="s">
        <v>732</v>
      </c>
      <c r="BD67" s="18" t="s">
        <v>175</v>
      </c>
      <c r="BE67" s="18" t="s">
        <v>91</v>
      </c>
      <c r="BF67" s="18" t="s">
        <v>77</v>
      </c>
      <c r="BG67" s="18">
        <v>161</v>
      </c>
      <c r="BH67" s="18">
        <v>61</v>
      </c>
      <c r="BI67" s="18">
        <v>0.7252</v>
      </c>
      <c r="BJ67" s="18">
        <v>0</v>
      </c>
      <c r="BK67" s="18">
        <v>3</v>
      </c>
      <c r="BL67" s="18">
        <v>99.2</v>
      </c>
      <c r="BM67" s="13">
        <f t="shared" si="0"/>
        <v>16798.6</v>
      </c>
    </row>
    <row r="68" customHeight="1" spans="1:65">
      <c r="A68" s="18" t="s">
        <v>919</v>
      </c>
      <c r="B68" s="18" t="s">
        <v>171</v>
      </c>
      <c r="C68" s="18" t="s">
        <v>920</v>
      </c>
      <c r="D68" s="13"/>
      <c r="E68" s="18" t="s">
        <v>921</v>
      </c>
      <c r="F68" s="18" t="s">
        <v>132</v>
      </c>
      <c r="G68" s="18" t="s">
        <v>83</v>
      </c>
      <c r="H68" s="18" t="s">
        <v>84</v>
      </c>
      <c r="I68" s="18" t="s">
        <v>85</v>
      </c>
      <c r="J68" s="18">
        <v>5</v>
      </c>
      <c r="K68" s="16">
        <v>11.99</v>
      </c>
      <c r="L68" s="10"/>
      <c r="M68" s="16">
        <v>0</v>
      </c>
      <c r="N68" s="16">
        <v>0</v>
      </c>
      <c r="O68" s="18">
        <v>0</v>
      </c>
      <c r="P68" s="18" t="s">
        <v>133</v>
      </c>
      <c r="Q68" s="18">
        <v>2.56418</v>
      </c>
      <c r="R68" s="10"/>
      <c r="S68" s="16">
        <v>1011</v>
      </c>
      <c r="T68" s="16">
        <v>10</v>
      </c>
      <c r="U68" s="18" t="s">
        <v>919</v>
      </c>
      <c r="V68" s="18" t="s">
        <v>171</v>
      </c>
      <c r="W68" s="18" t="s">
        <v>920</v>
      </c>
      <c r="X68" s="13"/>
      <c r="Y68" s="18" t="s">
        <v>921</v>
      </c>
      <c r="Z68" s="18" t="s">
        <v>132</v>
      </c>
      <c r="AA68" s="18" t="s">
        <v>83</v>
      </c>
      <c r="AB68" s="18" t="s">
        <v>84</v>
      </c>
      <c r="AC68" s="18" t="s">
        <v>85</v>
      </c>
      <c r="AD68" s="18">
        <v>18.98</v>
      </c>
      <c r="AE68" s="18">
        <v>0</v>
      </c>
      <c r="AF68" s="18">
        <v>0</v>
      </c>
      <c r="AG68" s="18">
        <v>0</v>
      </c>
      <c r="AH68" s="18">
        <v>0</v>
      </c>
      <c r="AI68" s="18">
        <v>0</v>
      </c>
      <c r="AJ68" s="18">
        <v>0</v>
      </c>
      <c r="AK68" s="18">
        <v>0</v>
      </c>
      <c r="AL68" s="18">
        <v>0</v>
      </c>
      <c r="AM68" s="18">
        <v>0</v>
      </c>
      <c r="AN68" s="18">
        <v>0</v>
      </c>
      <c r="AO68" s="18">
        <v>0</v>
      </c>
      <c r="AP68" s="18">
        <v>0</v>
      </c>
      <c r="AQ68" s="18">
        <v>0</v>
      </c>
      <c r="AR68" s="18">
        <v>0</v>
      </c>
      <c r="AS68" s="18">
        <v>0</v>
      </c>
      <c r="AT68" s="18">
        <v>0</v>
      </c>
      <c r="AU68" s="18">
        <v>0</v>
      </c>
      <c r="AV68" s="18">
        <v>0</v>
      </c>
      <c r="AW68" s="18">
        <v>0</v>
      </c>
      <c r="AX68" s="18">
        <v>0</v>
      </c>
      <c r="AY68" s="13"/>
      <c r="AZ68" s="18">
        <v>1</v>
      </c>
      <c r="BA68" s="18">
        <v>0</v>
      </c>
      <c r="BB68" s="18">
        <v>69.37</v>
      </c>
      <c r="BC68" s="18" t="s">
        <v>732</v>
      </c>
      <c r="BD68" s="18" t="s">
        <v>356</v>
      </c>
      <c r="BE68" s="18" t="s">
        <v>423</v>
      </c>
      <c r="BF68" s="18" t="s">
        <v>77</v>
      </c>
      <c r="BG68" s="18">
        <v>162</v>
      </c>
      <c r="BH68" s="18">
        <v>60</v>
      </c>
      <c r="BI68" s="18">
        <v>0.7297</v>
      </c>
      <c r="BJ68" s="18">
        <v>0</v>
      </c>
      <c r="BK68" s="18">
        <v>3</v>
      </c>
      <c r="BL68" s="18">
        <v>99.2</v>
      </c>
      <c r="BM68" s="13">
        <f t="shared" si="0"/>
        <v>12121.89</v>
      </c>
    </row>
    <row r="69" customHeight="1" spans="1:65">
      <c r="A69" s="18" t="s">
        <v>1635</v>
      </c>
      <c r="B69" s="18" t="s">
        <v>171</v>
      </c>
      <c r="C69" s="18" t="s">
        <v>1636</v>
      </c>
      <c r="D69" s="13"/>
      <c r="E69" s="18" t="s">
        <v>559</v>
      </c>
      <c r="F69" s="18" t="s">
        <v>160</v>
      </c>
      <c r="G69" s="18" t="s">
        <v>83</v>
      </c>
      <c r="H69" s="18" t="s">
        <v>84</v>
      </c>
      <c r="I69" s="18" t="s">
        <v>85</v>
      </c>
      <c r="J69" s="18">
        <v>5</v>
      </c>
      <c r="K69" s="16">
        <v>172.19</v>
      </c>
      <c r="L69" s="16">
        <v>209.99</v>
      </c>
      <c r="M69" s="16">
        <v>18</v>
      </c>
      <c r="N69" s="16">
        <v>37.8</v>
      </c>
      <c r="O69" s="18">
        <v>1</v>
      </c>
      <c r="P69" s="18" t="s">
        <v>95</v>
      </c>
      <c r="Q69" s="18">
        <v>5.154389</v>
      </c>
      <c r="R69" s="16">
        <v>10.76</v>
      </c>
      <c r="S69" s="16">
        <v>215</v>
      </c>
      <c r="T69" s="16">
        <v>10</v>
      </c>
      <c r="U69" s="18" t="s">
        <v>1635</v>
      </c>
      <c r="V69" s="18" t="s">
        <v>171</v>
      </c>
      <c r="W69" s="18" t="s">
        <v>2542</v>
      </c>
      <c r="X69" s="13"/>
      <c r="Y69" s="18" t="s">
        <v>559</v>
      </c>
      <c r="Z69" s="18" t="s">
        <v>160</v>
      </c>
      <c r="AA69" s="18" t="s">
        <v>83</v>
      </c>
      <c r="AB69" s="18" t="s">
        <v>84</v>
      </c>
      <c r="AC69" s="18" t="s">
        <v>85</v>
      </c>
      <c r="AD69" s="18">
        <v>12.480666666667</v>
      </c>
      <c r="AE69" s="18">
        <v>0</v>
      </c>
      <c r="AF69" s="18">
        <v>0</v>
      </c>
      <c r="AG69" s="18">
        <v>1</v>
      </c>
      <c r="AH69" s="18">
        <v>0</v>
      </c>
      <c r="AI69" s="18">
        <v>1</v>
      </c>
      <c r="AJ69" s="18">
        <v>0</v>
      </c>
      <c r="AK69" s="18">
        <v>0</v>
      </c>
      <c r="AL69" s="18">
        <v>0</v>
      </c>
      <c r="AM69" s="18">
        <v>0</v>
      </c>
      <c r="AN69" s="18">
        <v>0</v>
      </c>
      <c r="AO69" s="18">
        <v>0</v>
      </c>
      <c r="AP69" s="18">
        <v>0</v>
      </c>
      <c r="AQ69" s="18">
        <v>1</v>
      </c>
      <c r="AR69" s="18">
        <v>0</v>
      </c>
      <c r="AS69" s="18">
        <v>0</v>
      </c>
      <c r="AT69" s="18">
        <v>0</v>
      </c>
      <c r="AU69" s="18">
        <v>0</v>
      </c>
      <c r="AV69" s="18">
        <v>1</v>
      </c>
      <c r="AW69" s="18">
        <v>1</v>
      </c>
      <c r="AX69" s="18">
        <v>0</v>
      </c>
      <c r="AY69" s="18">
        <v>16</v>
      </c>
      <c r="AZ69" s="18">
        <v>1</v>
      </c>
      <c r="BA69" s="18">
        <v>1</v>
      </c>
      <c r="BB69" s="18">
        <v>73.29</v>
      </c>
      <c r="BC69" s="18" t="s">
        <v>732</v>
      </c>
      <c r="BD69" s="13"/>
      <c r="BE69" s="13"/>
      <c r="BF69" s="13"/>
      <c r="BG69" s="18">
        <v>0</v>
      </c>
      <c r="BH69" s="18">
        <v>0</v>
      </c>
      <c r="BI69" s="13"/>
      <c r="BJ69" s="18">
        <v>0</v>
      </c>
      <c r="BK69" s="18">
        <v>4</v>
      </c>
      <c r="BL69" s="18">
        <v>98.9</v>
      </c>
      <c r="BM69" s="13">
        <f t="shared" si="0"/>
        <v>37020.85</v>
      </c>
    </row>
    <row r="70" customHeight="1" spans="1:65">
      <c r="A70" s="18" t="s">
        <v>733</v>
      </c>
      <c r="B70" s="18" t="s">
        <v>734</v>
      </c>
      <c r="C70" s="13"/>
      <c r="D70" s="13"/>
      <c r="E70" s="18" t="s">
        <v>735</v>
      </c>
      <c r="F70" s="18" t="s">
        <v>352</v>
      </c>
      <c r="G70" s="18" t="s">
        <v>83</v>
      </c>
      <c r="H70" s="18" t="s">
        <v>84</v>
      </c>
      <c r="I70" s="18" t="s">
        <v>85</v>
      </c>
      <c r="J70" s="18">
        <v>5</v>
      </c>
      <c r="K70" s="16">
        <v>49.97</v>
      </c>
      <c r="L70" s="10"/>
      <c r="M70" s="16">
        <v>0</v>
      </c>
      <c r="N70" s="16">
        <v>0</v>
      </c>
      <c r="O70" s="18">
        <v>0</v>
      </c>
      <c r="P70" s="18" t="s">
        <v>86</v>
      </c>
      <c r="Q70" s="18">
        <v>3.931237</v>
      </c>
      <c r="R70" s="10"/>
      <c r="S70" s="16">
        <v>304</v>
      </c>
      <c r="T70" s="16">
        <v>10</v>
      </c>
      <c r="U70" s="18" t="s">
        <v>733</v>
      </c>
      <c r="V70" s="18" t="s">
        <v>734</v>
      </c>
      <c r="W70" s="13"/>
      <c r="X70" s="13"/>
      <c r="Y70" s="18" t="s">
        <v>735</v>
      </c>
      <c r="Z70" s="18" t="s">
        <v>352</v>
      </c>
      <c r="AA70" s="18" t="s">
        <v>83</v>
      </c>
      <c r="AB70" s="18" t="s">
        <v>84</v>
      </c>
      <c r="AC70" s="18" t="s">
        <v>85</v>
      </c>
      <c r="AD70" s="18">
        <v>94.94</v>
      </c>
      <c r="AE70" s="18">
        <v>0</v>
      </c>
      <c r="AF70" s="18">
        <v>0</v>
      </c>
      <c r="AG70" s="18">
        <v>0</v>
      </c>
      <c r="AH70" s="18">
        <v>0</v>
      </c>
      <c r="AI70" s="18">
        <v>0</v>
      </c>
      <c r="AJ70" s="18">
        <v>0</v>
      </c>
      <c r="AK70" s="18">
        <v>0</v>
      </c>
      <c r="AL70" s="18">
        <v>0</v>
      </c>
      <c r="AM70" s="18">
        <v>0</v>
      </c>
      <c r="AN70" s="18">
        <v>0</v>
      </c>
      <c r="AO70" s="18">
        <v>0</v>
      </c>
      <c r="AP70" s="18">
        <v>0</v>
      </c>
      <c r="AQ70" s="18">
        <v>0</v>
      </c>
      <c r="AR70" s="18">
        <v>0</v>
      </c>
      <c r="AS70" s="18">
        <v>0</v>
      </c>
      <c r="AT70" s="18">
        <v>0</v>
      </c>
      <c r="AU70" s="18">
        <v>0</v>
      </c>
      <c r="AV70" s="18">
        <v>0</v>
      </c>
      <c r="AW70" s="18">
        <v>0</v>
      </c>
      <c r="AX70" s="18">
        <v>0</v>
      </c>
      <c r="AY70" s="13"/>
      <c r="AZ70" s="18">
        <v>1</v>
      </c>
      <c r="BA70" s="18">
        <v>0</v>
      </c>
      <c r="BB70" s="18">
        <v>58.2</v>
      </c>
      <c r="BC70" s="18" t="s">
        <v>736</v>
      </c>
      <c r="BD70" s="18" t="s">
        <v>737</v>
      </c>
      <c r="BE70" s="18" t="s">
        <v>113</v>
      </c>
      <c r="BF70" s="18" t="s">
        <v>77</v>
      </c>
      <c r="BG70" s="18">
        <v>168</v>
      </c>
      <c r="BH70" s="18">
        <v>47</v>
      </c>
      <c r="BI70" s="18">
        <v>0.7814</v>
      </c>
      <c r="BJ70" s="18">
        <v>0</v>
      </c>
      <c r="BK70" s="18">
        <v>128</v>
      </c>
      <c r="BL70" s="18">
        <v>64.9</v>
      </c>
      <c r="BM70" s="13">
        <f t="shared" si="0"/>
        <v>15190.88</v>
      </c>
    </row>
    <row r="71" customHeight="1" spans="1:65">
      <c r="A71" s="18" t="s">
        <v>738</v>
      </c>
      <c r="B71" s="18" t="s">
        <v>739</v>
      </c>
      <c r="C71" s="13"/>
      <c r="D71" s="13"/>
      <c r="E71" s="18" t="s">
        <v>81</v>
      </c>
      <c r="F71" s="18" t="s">
        <v>82</v>
      </c>
      <c r="G71" s="18" t="s">
        <v>83</v>
      </c>
      <c r="H71" s="18" t="s">
        <v>84</v>
      </c>
      <c r="I71" s="18" t="s">
        <v>203</v>
      </c>
      <c r="J71" s="18">
        <v>4</v>
      </c>
      <c r="K71" s="16">
        <v>189.99</v>
      </c>
      <c r="L71" s="10"/>
      <c r="M71" s="16">
        <v>0</v>
      </c>
      <c r="N71" s="16">
        <v>0</v>
      </c>
      <c r="O71" s="18">
        <v>0</v>
      </c>
      <c r="P71" s="18" t="s">
        <v>95</v>
      </c>
      <c r="Q71" s="18">
        <v>5.252221</v>
      </c>
      <c r="R71" s="10"/>
      <c r="S71" s="16">
        <v>4</v>
      </c>
      <c r="T71" s="16">
        <v>2</v>
      </c>
      <c r="U71" s="18" t="s">
        <v>738</v>
      </c>
      <c r="V71" s="18" t="s">
        <v>739</v>
      </c>
      <c r="W71" s="13"/>
      <c r="X71" s="13"/>
      <c r="Y71" s="18" t="s">
        <v>81</v>
      </c>
      <c r="Z71" s="18" t="s">
        <v>82</v>
      </c>
      <c r="AA71" s="18" t="s">
        <v>83</v>
      </c>
      <c r="AB71" s="18" t="s">
        <v>84</v>
      </c>
      <c r="AC71" s="18" t="s">
        <v>203</v>
      </c>
      <c r="AD71" s="18">
        <v>375.98</v>
      </c>
      <c r="AE71" s="18">
        <v>1</v>
      </c>
      <c r="AF71" s="18">
        <v>0</v>
      </c>
      <c r="AG71" s="18">
        <v>0</v>
      </c>
      <c r="AH71" s="18">
        <v>1</v>
      </c>
      <c r="AI71" s="18">
        <v>0</v>
      </c>
      <c r="AJ71" s="18">
        <v>0</v>
      </c>
      <c r="AK71" s="18">
        <v>0</v>
      </c>
      <c r="AL71" s="18">
        <v>0</v>
      </c>
      <c r="AM71" s="18">
        <v>0</v>
      </c>
      <c r="AN71" s="18">
        <v>0</v>
      </c>
      <c r="AO71" s="18">
        <v>0</v>
      </c>
      <c r="AP71" s="18">
        <v>0</v>
      </c>
      <c r="AQ71" s="18">
        <v>0</v>
      </c>
      <c r="AR71" s="18">
        <v>0</v>
      </c>
      <c r="AS71" s="18">
        <v>0</v>
      </c>
      <c r="AT71" s="18">
        <v>1</v>
      </c>
      <c r="AU71" s="18">
        <v>0</v>
      </c>
      <c r="AV71" s="18">
        <v>0</v>
      </c>
      <c r="AW71" s="18">
        <v>1</v>
      </c>
      <c r="AX71" s="18">
        <v>1</v>
      </c>
      <c r="AY71" s="13"/>
      <c r="AZ71" s="18">
        <v>1</v>
      </c>
      <c r="BA71" s="18">
        <v>2</v>
      </c>
      <c r="BB71" s="18">
        <v>54.69</v>
      </c>
      <c r="BC71" s="18" t="s">
        <v>740</v>
      </c>
      <c r="BD71" s="18" t="s">
        <v>741</v>
      </c>
      <c r="BE71" s="18" t="s">
        <v>113</v>
      </c>
      <c r="BF71" s="18" t="s">
        <v>77</v>
      </c>
      <c r="BG71" s="18">
        <v>162</v>
      </c>
      <c r="BH71" s="18">
        <v>58</v>
      </c>
      <c r="BI71" s="18">
        <v>0.7364</v>
      </c>
      <c r="BJ71" s="18">
        <v>0</v>
      </c>
      <c r="BK71" s="18">
        <v>24</v>
      </c>
      <c r="BL71" s="18">
        <v>93.4</v>
      </c>
      <c r="BM71" s="13">
        <f t="shared" si="0"/>
        <v>759.96</v>
      </c>
    </row>
    <row r="72" customHeight="1" spans="1:65">
      <c r="A72" s="18" t="s">
        <v>1727</v>
      </c>
      <c r="B72" s="18" t="s">
        <v>115</v>
      </c>
      <c r="C72" s="18" t="s">
        <v>1728</v>
      </c>
      <c r="D72" s="13"/>
      <c r="E72" s="18" t="s">
        <v>81</v>
      </c>
      <c r="F72" s="18" t="s">
        <v>82</v>
      </c>
      <c r="G72" s="18" t="s">
        <v>117</v>
      </c>
      <c r="H72" s="18" t="s">
        <v>107</v>
      </c>
      <c r="I72" s="18" t="s">
        <v>85</v>
      </c>
      <c r="J72" s="18">
        <v>5</v>
      </c>
      <c r="K72" s="16">
        <v>152</v>
      </c>
      <c r="L72" s="10"/>
      <c r="M72" s="16">
        <v>0</v>
      </c>
      <c r="N72" s="16">
        <v>0</v>
      </c>
      <c r="O72" s="18">
        <v>0</v>
      </c>
      <c r="P72" s="18" t="s">
        <v>95</v>
      </c>
      <c r="Q72" s="18">
        <v>5.030438</v>
      </c>
      <c r="R72" s="10"/>
      <c r="S72" s="16">
        <v>1</v>
      </c>
      <c r="T72" s="16">
        <v>31</v>
      </c>
      <c r="U72" s="18" t="s">
        <v>1727</v>
      </c>
      <c r="V72" s="18" t="s">
        <v>115</v>
      </c>
      <c r="W72" s="18" t="s">
        <v>1728</v>
      </c>
      <c r="X72" s="13"/>
      <c r="Y72" s="18" t="s">
        <v>81</v>
      </c>
      <c r="Z72" s="18" t="s">
        <v>82</v>
      </c>
      <c r="AA72" s="18" t="s">
        <v>117</v>
      </c>
      <c r="AB72" s="18" t="s">
        <v>107</v>
      </c>
      <c r="AC72" s="18" t="s">
        <v>85</v>
      </c>
      <c r="AD72" s="18">
        <v>299</v>
      </c>
      <c r="AE72" s="18">
        <v>0</v>
      </c>
      <c r="AF72" s="18">
        <v>0</v>
      </c>
      <c r="AG72" s="18">
        <v>1</v>
      </c>
      <c r="AH72" s="18">
        <v>0</v>
      </c>
      <c r="AI72" s="18">
        <v>0</v>
      </c>
      <c r="AJ72" s="18">
        <v>0</v>
      </c>
      <c r="AK72" s="18">
        <v>0</v>
      </c>
      <c r="AL72" s="18">
        <v>0</v>
      </c>
      <c r="AM72" s="18">
        <v>0</v>
      </c>
      <c r="AN72" s="18">
        <v>0</v>
      </c>
      <c r="AO72" s="18">
        <v>0</v>
      </c>
      <c r="AP72" s="18">
        <v>1</v>
      </c>
      <c r="AQ72" s="18">
        <v>0</v>
      </c>
      <c r="AR72" s="18">
        <v>0</v>
      </c>
      <c r="AS72" s="18">
        <v>0</v>
      </c>
      <c r="AT72" s="18">
        <v>0</v>
      </c>
      <c r="AU72" s="18">
        <v>0</v>
      </c>
      <c r="AV72" s="18">
        <v>0</v>
      </c>
      <c r="AW72" s="18">
        <v>0</v>
      </c>
      <c r="AX72" s="18">
        <v>0</v>
      </c>
      <c r="AY72" s="13"/>
      <c r="AZ72" s="18">
        <v>1</v>
      </c>
      <c r="BA72" s="18">
        <v>0</v>
      </c>
      <c r="BB72" s="18">
        <v>30.92</v>
      </c>
      <c r="BC72" s="18" t="s">
        <v>164</v>
      </c>
      <c r="BD72" s="18" t="s">
        <v>165</v>
      </c>
      <c r="BE72" s="18" t="s">
        <v>166</v>
      </c>
      <c r="BF72" s="18" t="s">
        <v>77</v>
      </c>
      <c r="BG72" s="18">
        <v>168</v>
      </c>
      <c r="BH72" s="18">
        <v>11</v>
      </c>
      <c r="BI72" s="18">
        <v>0.9385</v>
      </c>
      <c r="BJ72" s="18">
        <v>0</v>
      </c>
      <c r="BK72" s="18">
        <v>4</v>
      </c>
      <c r="BL72" s="18">
        <v>98.9</v>
      </c>
      <c r="BM72" s="13">
        <f t="shared" si="0"/>
        <v>152</v>
      </c>
    </row>
    <row r="73" customHeight="1" spans="1:65">
      <c r="A73" s="18" t="s">
        <v>1956</v>
      </c>
      <c r="B73" s="18" t="s">
        <v>115</v>
      </c>
      <c r="C73" s="18" t="s">
        <v>417</v>
      </c>
      <c r="D73" s="13"/>
      <c r="E73" s="18" t="s">
        <v>81</v>
      </c>
      <c r="F73" s="18" t="s">
        <v>82</v>
      </c>
      <c r="G73" s="18" t="s">
        <v>117</v>
      </c>
      <c r="H73" s="18" t="s">
        <v>107</v>
      </c>
      <c r="I73" s="18" t="s">
        <v>85</v>
      </c>
      <c r="J73" s="18">
        <v>5</v>
      </c>
      <c r="K73" s="16">
        <v>175</v>
      </c>
      <c r="L73" s="10"/>
      <c r="M73" s="16">
        <v>0</v>
      </c>
      <c r="N73" s="16">
        <v>0</v>
      </c>
      <c r="O73" s="18">
        <v>0</v>
      </c>
      <c r="P73" s="18" t="s">
        <v>95</v>
      </c>
      <c r="Q73" s="18">
        <v>5.170484</v>
      </c>
      <c r="R73" s="10"/>
      <c r="S73" s="16">
        <v>5</v>
      </c>
      <c r="T73" s="16">
        <v>10</v>
      </c>
      <c r="U73" s="18" t="s">
        <v>1956</v>
      </c>
      <c r="V73" s="18" t="s">
        <v>115</v>
      </c>
      <c r="W73" s="18" t="s">
        <v>2543</v>
      </c>
      <c r="X73" s="13"/>
      <c r="Y73" s="18" t="s">
        <v>81</v>
      </c>
      <c r="Z73" s="18" t="s">
        <v>82</v>
      </c>
      <c r="AA73" s="18" t="s">
        <v>117</v>
      </c>
      <c r="AB73" s="18" t="s">
        <v>107</v>
      </c>
      <c r="AC73" s="18" t="s">
        <v>85</v>
      </c>
      <c r="AD73" s="18">
        <v>345</v>
      </c>
      <c r="AE73" s="18">
        <v>0</v>
      </c>
      <c r="AF73" s="18">
        <v>0</v>
      </c>
      <c r="AG73" s="18">
        <v>0</v>
      </c>
      <c r="AH73" s="18">
        <v>0</v>
      </c>
      <c r="AI73" s="18">
        <v>0</v>
      </c>
      <c r="AJ73" s="18">
        <v>0</v>
      </c>
      <c r="AK73" s="18">
        <v>0</v>
      </c>
      <c r="AL73" s="18">
        <v>0</v>
      </c>
      <c r="AM73" s="18">
        <v>0</v>
      </c>
      <c r="AN73" s="18">
        <v>0</v>
      </c>
      <c r="AO73" s="18">
        <v>0</v>
      </c>
      <c r="AP73" s="18">
        <v>1</v>
      </c>
      <c r="AQ73" s="18">
        <v>0</v>
      </c>
      <c r="AR73" s="18">
        <v>0</v>
      </c>
      <c r="AS73" s="18">
        <v>0</v>
      </c>
      <c r="AT73" s="18">
        <v>0</v>
      </c>
      <c r="AU73" s="18">
        <v>0</v>
      </c>
      <c r="AV73" s="18">
        <v>0</v>
      </c>
      <c r="AW73" s="18">
        <v>0</v>
      </c>
      <c r="AX73" s="18">
        <v>0</v>
      </c>
      <c r="AY73" s="13"/>
      <c r="AZ73" s="18">
        <v>1</v>
      </c>
      <c r="BA73" s="18">
        <v>0</v>
      </c>
      <c r="BB73" s="18">
        <v>43.09</v>
      </c>
      <c r="BC73" s="18" t="s">
        <v>164</v>
      </c>
      <c r="BD73" s="18" t="s">
        <v>165</v>
      </c>
      <c r="BE73" s="18" t="s">
        <v>166</v>
      </c>
      <c r="BF73" s="18" t="s">
        <v>77</v>
      </c>
      <c r="BG73" s="18">
        <v>168</v>
      </c>
      <c r="BH73" s="18">
        <v>11</v>
      </c>
      <c r="BI73" s="18">
        <v>0.9385</v>
      </c>
      <c r="BJ73" s="18">
        <v>0</v>
      </c>
      <c r="BK73" s="18">
        <v>3</v>
      </c>
      <c r="BL73" s="18">
        <v>99.2</v>
      </c>
      <c r="BM73" s="13">
        <f t="shared" si="0"/>
        <v>875</v>
      </c>
    </row>
    <row r="74" customHeight="1" spans="1:65">
      <c r="A74" s="18" t="s">
        <v>162</v>
      </c>
      <c r="B74" s="18" t="s">
        <v>115</v>
      </c>
      <c r="C74" s="18" t="s">
        <v>121</v>
      </c>
      <c r="D74" s="18">
        <v>840414665354</v>
      </c>
      <c r="E74" s="18" t="s">
        <v>163</v>
      </c>
      <c r="F74" s="18" t="s">
        <v>82</v>
      </c>
      <c r="G74" s="18" t="s">
        <v>117</v>
      </c>
      <c r="H74" s="18" t="s">
        <v>107</v>
      </c>
      <c r="I74" s="18" t="s">
        <v>85</v>
      </c>
      <c r="J74" s="18">
        <v>5</v>
      </c>
      <c r="K74" s="16">
        <v>140</v>
      </c>
      <c r="L74" s="10"/>
      <c r="M74" s="16">
        <v>0</v>
      </c>
      <c r="N74" s="16">
        <v>0</v>
      </c>
      <c r="O74" s="18">
        <v>0</v>
      </c>
      <c r="P74" s="18" t="s">
        <v>95</v>
      </c>
      <c r="Q74" s="18">
        <v>4.94876</v>
      </c>
      <c r="R74" s="10"/>
      <c r="S74" s="16">
        <v>72</v>
      </c>
      <c r="T74" s="16">
        <v>37</v>
      </c>
      <c r="U74" s="19" t="s">
        <v>162</v>
      </c>
      <c r="V74" s="18" t="s">
        <v>115</v>
      </c>
      <c r="W74" s="18" t="s">
        <v>121</v>
      </c>
      <c r="X74" s="18">
        <v>840414665355</v>
      </c>
      <c r="Y74" s="18" t="s">
        <v>163</v>
      </c>
      <c r="Z74" s="18" t="s">
        <v>82</v>
      </c>
      <c r="AA74" s="18" t="s">
        <v>117</v>
      </c>
      <c r="AB74" s="18" t="s">
        <v>107</v>
      </c>
      <c r="AC74" s="18" t="s">
        <v>85</v>
      </c>
      <c r="AD74" s="18">
        <v>275</v>
      </c>
      <c r="AE74" s="18">
        <v>0</v>
      </c>
      <c r="AF74" s="18">
        <v>0</v>
      </c>
      <c r="AG74" s="18">
        <v>1</v>
      </c>
      <c r="AH74" s="18">
        <v>0</v>
      </c>
      <c r="AI74" s="18">
        <v>0</v>
      </c>
      <c r="AJ74" s="18">
        <v>0</v>
      </c>
      <c r="AK74" s="18">
        <v>0</v>
      </c>
      <c r="AL74" s="18">
        <v>0</v>
      </c>
      <c r="AM74" s="18">
        <v>0</v>
      </c>
      <c r="AN74" s="18">
        <v>0</v>
      </c>
      <c r="AO74" s="18">
        <v>0</v>
      </c>
      <c r="AP74" s="18">
        <v>0</v>
      </c>
      <c r="AQ74" s="18">
        <v>0</v>
      </c>
      <c r="AR74" s="18">
        <v>0</v>
      </c>
      <c r="AS74" s="18">
        <v>1</v>
      </c>
      <c r="AT74" s="18">
        <v>0</v>
      </c>
      <c r="AU74" s="18">
        <v>0</v>
      </c>
      <c r="AV74" s="18">
        <v>0</v>
      </c>
      <c r="AW74" s="18">
        <v>0</v>
      </c>
      <c r="AX74" s="18">
        <v>0</v>
      </c>
      <c r="AY74" s="13"/>
      <c r="AZ74" s="18">
        <v>1</v>
      </c>
      <c r="BA74" s="18">
        <v>0</v>
      </c>
      <c r="BB74" s="18">
        <v>55.43</v>
      </c>
      <c r="BC74" s="18" t="s">
        <v>164</v>
      </c>
      <c r="BD74" s="18" t="s">
        <v>165</v>
      </c>
      <c r="BE74" s="18" t="s">
        <v>166</v>
      </c>
      <c r="BF74" s="18" t="s">
        <v>77</v>
      </c>
      <c r="BG74" s="18">
        <v>168</v>
      </c>
      <c r="BH74" s="18">
        <v>11</v>
      </c>
      <c r="BI74" s="18">
        <v>0.9385</v>
      </c>
      <c r="BJ74" s="18">
        <v>0</v>
      </c>
      <c r="BK74" s="18">
        <v>12</v>
      </c>
      <c r="BL74" s="18">
        <v>96.7</v>
      </c>
      <c r="BM74" s="13">
        <f t="shared" si="0"/>
        <v>10080</v>
      </c>
    </row>
    <row r="75" customHeight="1" spans="1:65">
      <c r="A75" s="18" t="s">
        <v>1529</v>
      </c>
      <c r="B75" s="18" t="s">
        <v>115</v>
      </c>
      <c r="C75" s="13"/>
      <c r="D75" s="13"/>
      <c r="E75" s="18" t="s">
        <v>116</v>
      </c>
      <c r="F75" s="18" t="s">
        <v>82</v>
      </c>
      <c r="G75" s="18" t="s">
        <v>117</v>
      </c>
      <c r="H75" s="18" t="s">
        <v>107</v>
      </c>
      <c r="I75" s="18" t="s">
        <v>85</v>
      </c>
      <c r="J75" s="18">
        <v>5</v>
      </c>
      <c r="K75" s="16">
        <v>151</v>
      </c>
      <c r="L75" s="10"/>
      <c r="M75" s="16">
        <v>0</v>
      </c>
      <c r="N75" s="16">
        <v>0</v>
      </c>
      <c r="O75" s="18">
        <v>0</v>
      </c>
      <c r="P75" s="18" t="s">
        <v>95</v>
      </c>
      <c r="Q75" s="18">
        <v>5.023881</v>
      </c>
      <c r="R75" s="10"/>
      <c r="S75" s="16">
        <v>18</v>
      </c>
      <c r="T75" s="16">
        <v>33</v>
      </c>
      <c r="U75" s="18" t="s">
        <v>1529</v>
      </c>
      <c r="V75" s="18" t="s">
        <v>115</v>
      </c>
      <c r="W75" s="13"/>
      <c r="X75" s="13"/>
      <c r="Y75" s="18" t="s">
        <v>116</v>
      </c>
      <c r="Z75" s="18" t="s">
        <v>82</v>
      </c>
      <c r="AA75" s="18" t="s">
        <v>117</v>
      </c>
      <c r="AB75" s="18" t="s">
        <v>107</v>
      </c>
      <c r="AC75" s="18" t="s">
        <v>85</v>
      </c>
      <c r="AD75" s="18">
        <v>297</v>
      </c>
      <c r="AE75" s="18">
        <v>0</v>
      </c>
      <c r="AF75" s="18">
        <v>0</v>
      </c>
      <c r="AG75" s="18">
        <v>1</v>
      </c>
      <c r="AH75" s="18">
        <v>0</v>
      </c>
      <c r="AI75" s="18">
        <v>0</v>
      </c>
      <c r="AJ75" s="18">
        <v>0</v>
      </c>
      <c r="AK75" s="18">
        <v>0</v>
      </c>
      <c r="AL75" s="18">
        <v>0</v>
      </c>
      <c r="AM75" s="18">
        <v>0</v>
      </c>
      <c r="AN75" s="18">
        <v>0</v>
      </c>
      <c r="AO75" s="18">
        <v>0</v>
      </c>
      <c r="AP75" s="18">
        <v>1</v>
      </c>
      <c r="AQ75" s="18">
        <v>0</v>
      </c>
      <c r="AR75" s="18">
        <v>0</v>
      </c>
      <c r="AS75" s="18">
        <v>0</v>
      </c>
      <c r="AT75" s="18">
        <v>0</v>
      </c>
      <c r="AU75" s="18">
        <v>0</v>
      </c>
      <c r="AV75" s="18">
        <v>0</v>
      </c>
      <c r="AW75" s="18">
        <v>0</v>
      </c>
      <c r="AX75" s="18">
        <v>0</v>
      </c>
      <c r="AY75" s="13"/>
      <c r="AZ75" s="18">
        <v>1</v>
      </c>
      <c r="BA75" s="18">
        <v>0</v>
      </c>
      <c r="BB75" s="18">
        <v>43.79</v>
      </c>
      <c r="BC75" s="18" t="s">
        <v>164</v>
      </c>
      <c r="BD75" s="18" t="s">
        <v>165</v>
      </c>
      <c r="BE75" s="18" t="s">
        <v>627</v>
      </c>
      <c r="BF75" s="18" t="s">
        <v>77</v>
      </c>
      <c r="BG75" s="18">
        <v>168</v>
      </c>
      <c r="BH75" s="18">
        <v>11</v>
      </c>
      <c r="BI75" s="18">
        <v>0.9385</v>
      </c>
      <c r="BJ75" s="18">
        <v>0</v>
      </c>
      <c r="BK75" s="18">
        <v>4</v>
      </c>
      <c r="BL75" s="18">
        <v>98.9</v>
      </c>
      <c r="BM75" s="13">
        <f t="shared" si="0"/>
        <v>2718</v>
      </c>
    </row>
    <row r="76" customHeight="1" spans="1:65">
      <c r="A76" s="18" t="s">
        <v>743</v>
      </c>
      <c r="B76" s="18" t="s">
        <v>171</v>
      </c>
      <c r="C76" s="18" t="s">
        <v>744</v>
      </c>
      <c r="D76" s="13"/>
      <c r="E76" s="18" t="s">
        <v>239</v>
      </c>
      <c r="F76" s="18" t="s">
        <v>240</v>
      </c>
      <c r="G76" s="18" t="s">
        <v>83</v>
      </c>
      <c r="H76" s="18" t="s">
        <v>84</v>
      </c>
      <c r="I76" s="18" t="s">
        <v>85</v>
      </c>
      <c r="J76" s="18">
        <v>5</v>
      </c>
      <c r="K76" s="16">
        <v>90</v>
      </c>
      <c r="L76" s="10"/>
      <c r="M76" s="16">
        <v>0</v>
      </c>
      <c r="N76" s="16">
        <v>0</v>
      </c>
      <c r="O76" s="18">
        <v>0</v>
      </c>
      <c r="P76" s="18" t="s">
        <v>95</v>
      </c>
      <c r="Q76" s="18">
        <v>4.51086</v>
      </c>
      <c r="R76" s="10"/>
      <c r="S76" s="10"/>
      <c r="T76" s="10"/>
      <c r="U76" s="18" t="s">
        <v>743</v>
      </c>
      <c r="V76" s="18" t="s">
        <v>171</v>
      </c>
      <c r="W76" s="18" t="s">
        <v>2544</v>
      </c>
      <c r="X76" s="13"/>
      <c r="Y76" s="18" t="s">
        <v>239</v>
      </c>
      <c r="Z76" s="18" t="s">
        <v>240</v>
      </c>
      <c r="AA76" s="18" t="s">
        <v>83</v>
      </c>
      <c r="AB76" s="18" t="s">
        <v>84</v>
      </c>
      <c r="AC76" s="18" t="s">
        <v>85</v>
      </c>
      <c r="AD76" s="18">
        <v>175</v>
      </c>
      <c r="AE76" s="18">
        <v>0</v>
      </c>
      <c r="AF76" s="18">
        <v>0</v>
      </c>
      <c r="AG76" s="18">
        <v>0</v>
      </c>
      <c r="AH76" s="18">
        <v>0</v>
      </c>
      <c r="AI76" s="18">
        <v>0</v>
      </c>
      <c r="AJ76" s="18">
        <v>0</v>
      </c>
      <c r="AK76" s="18">
        <v>0</v>
      </c>
      <c r="AL76" s="18">
        <v>0</v>
      </c>
      <c r="AM76" s="18">
        <v>0</v>
      </c>
      <c r="AN76" s="18">
        <v>0</v>
      </c>
      <c r="AO76" s="18">
        <v>0</v>
      </c>
      <c r="AP76" s="18">
        <v>0</v>
      </c>
      <c r="AQ76" s="18">
        <v>1</v>
      </c>
      <c r="AR76" s="18">
        <v>0</v>
      </c>
      <c r="AS76" s="18">
        <v>0</v>
      </c>
      <c r="AT76" s="18">
        <v>0</v>
      </c>
      <c r="AU76" s="18">
        <v>0</v>
      </c>
      <c r="AV76" s="18">
        <v>1</v>
      </c>
      <c r="AW76" s="18">
        <v>0</v>
      </c>
      <c r="AX76" s="18">
        <v>0</v>
      </c>
      <c r="AY76" s="13"/>
      <c r="AZ76" s="18">
        <v>1</v>
      </c>
      <c r="BA76" s="18">
        <v>1</v>
      </c>
      <c r="BB76" s="18">
        <v>26.79</v>
      </c>
      <c r="BC76" s="18" t="s">
        <v>745</v>
      </c>
      <c r="BD76" s="18" t="s">
        <v>746</v>
      </c>
      <c r="BE76" s="18" t="s">
        <v>747</v>
      </c>
      <c r="BF76" s="18" t="s">
        <v>77</v>
      </c>
      <c r="BG76" s="18">
        <v>1</v>
      </c>
      <c r="BH76" s="18">
        <v>11</v>
      </c>
      <c r="BI76" s="18">
        <v>0.0833</v>
      </c>
      <c r="BJ76" s="18">
        <v>1</v>
      </c>
      <c r="BK76" s="18">
        <v>39</v>
      </c>
      <c r="BL76" s="18">
        <v>89.3</v>
      </c>
      <c r="BM76" s="13">
        <f t="shared" si="0"/>
        <v>0</v>
      </c>
    </row>
    <row r="77" customHeight="1" spans="1:65">
      <c r="A77" s="18" t="s">
        <v>752</v>
      </c>
      <c r="B77" s="18" t="s">
        <v>753</v>
      </c>
      <c r="C77" s="13"/>
      <c r="D77" s="13"/>
      <c r="E77" s="18" t="s">
        <v>81</v>
      </c>
      <c r="F77" s="18" t="s">
        <v>240</v>
      </c>
      <c r="G77" s="18" t="s">
        <v>83</v>
      </c>
      <c r="H77" s="18" t="s">
        <v>84</v>
      </c>
      <c r="I77" s="18" t="s">
        <v>153</v>
      </c>
      <c r="J77" s="18">
        <v>2</v>
      </c>
      <c r="K77" s="16">
        <v>65</v>
      </c>
      <c r="L77" s="10"/>
      <c r="M77" s="16">
        <v>0</v>
      </c>
      <c r="N77" s="16">
        <v>0</v>
      </c>
      <c r="O77" s="18">
        <v>0</v>
      </c>
      <c r="P77" s="18" t="s">
        <v>86</v>
      </c>
      <c r="Q77" s="18">
        <v>4.189655</v>
      </c>
      <c r="R77" s="10"/>
      <c r="S77" s="10"/>
      <c r="T77" s="10"/>
      <c r="U77" s="18" t="s">
        <v>752</v>
      </c>
      <c r="V77" s="18" t="s">
        <v>753</v>
      </c>
      <c r="W77" s="13"/>
      <c r="X77" s="13"/>
      <c r="Y77" s="18" t="s">
        <v>81</v>
      </c>
      <c r="Z77" s="18" t="s">
        <v>240</v>
      </c>
      <c r="AA77" s="18" t="s">
        <v>83</v>
      </c>
      <c r="AB77" s="18" t="s">
        <v>84</v>
      </c>
      <c r="AC77" s="18" t="s">
        <v>153</v>
      </c>
      <c r="AD77" s="18">
        <v>128</v>
      </c>
      <c r="AE77" s="18">
        <v>0</v>
      </c>
      <c r="AF77" s="18">
        <v>0</v>
      </c>
      <c r="AG77" s="18">
        <v>0</v>
      </c>
      <c r="AH77" s="18">
        <v>0</v>
      </c>
      <c r="AI77" s="18">
        <v>0</v>
      </c>
      <c r="AJ77" s="18">
        <v>0</v>
      </c>
      <c r="AK77" s="18">
        <v>0</v>
      </c>
      <c r="AL77" s="18">
        <v>0</v>
      </c>
      <c r="AM77" s="18">
        <v>0</v>
      </c>
      <c r="AN77" s="18">
        <v>0</v>
      </c>
      <c r="AO77" s="18">
        <v>0</v>
      </c>
      <c r="AP77" s="18">
        <v>0</v>
      </c>
      <c r="AQ77" s="18">
        <v>0</v>
      </c>
      <c r="AR77" s="18">
        <v>0</v>
      </c>
      <c r="AS77" s="18">
        <v>0</v>
      </c>
      <c r="AT77" s="18">
        <v>0</v>
      </c>
      <c r="AU77" s="18">
        <v>0</v>
      </c>
      <c r="AV77" s="18">
        <v>0</v>
      </c>
      <c r="AW77" s="18">
        <v>0</v>
      </c>
      <c r="AX77" s="18">
        <v>0</v>
      </c>
      <c r="AY77" s="13"/>
      <c r="AZ77" s="18">
        <v>1</v>
      </c>
      <c r="BA77" s="18">
        <v>0</v>
      </c>
      <c r="BB77" s="18">
        <v>0</v>
      </c>
      <c r="BC77" s="18" t="s">
        <v>754</v>
      </c>
      <c r="BD77" s="18" t="s">
        <v>755</v>
      </c>
      <c r="BE77" s="18" t="s">
        <v>756</v>
      </c>
      <c r="BF77" s="18" t="s">
        <v>77</v>
      </c>
      <c r="BG77" s="18">
        <v>162</v>
      </c>
      <c r="BH77" s="18">
        <v>19</v>
      </c>
      <c r="BI77" s="18">
        <v>0.895</v>
      </c>
      <c r="BJ77" s="18">
        <v>0</v>
      </c>
      <c r="BK77" s="13"/>
      <c r="BL77" s="13"/>
      <c r="BM77" s="13">
        <f t="shared" si="0"/>
        <v>0</v>
      </c>
    </row>
    <row r="78" customHeight="1" spans="1:65">
      <c r="A78" s="18" t="s">
        <v>757</v>
      </c>
      <c r="B78" s="18" t="s">
        <v>202</v>
      </c>
      <c r="C78" s="13"/>
      <c r="D78" s="13"/>
      <c r="E78" s="18" t="s">
        <v>81</v>
      </c>
      <c r="F78" s="18" t="s">
        <v>160</v>
      </c>
      <c r="G78" s="18" t="s">
        <v>83</v>
      </c>
      <c r="H78" s="18" t="s">
        <v>84</v>
      </c>
      <c r="I78" s="18" t="s">
        <v>203</v>
      </c>
      <c r="J78" s="18">
        <v>4</v>
      </c>
      <c r="K78" s="16">
        <v>145</v>
      </c>
      <c r="L78" s="10"/>
      <c r="M78" s="16">
        <v>0</v>
      </c>
      <c r="N78" s="16">
        <v>0</v>
      </c>
      <c r="O78" s="18">
        <v>0</v>
      </c>
      <c r="P78" s="18" t="s">
        <v>95</v>
      </c>
      <c r="Q78" s="18">
        <v>4.983607</v>
      </c>
      <c r="R78" s="10"/>
      <c r="S78" s="16">
        <v>6</v>
      </c>
      <c r="T78" s="16">
        <v>7</v>
      </c>
      <c r="U78" s="18" t="s">
        <v>757</v>
      </c>
      <c r="V78" s="18" t="s">
        <v>202</v>
      </c>
      <c r="W78" s="13"/>
      <c r="X78" s="13"/>
      <c r="Y78" s="18" t="s">
        <v>81</v>
      </c>
      <c r="Z78" s="18" t="s">
        <v>160</v>
      </c>
      <c r="AA78" s="18" t="s">
        <v>83</v>
      </c>
      <c r="AB78" s="18" t="s">
        <v>84</v>
      </c>
      <c r="AC78" s="18" t="s">
        <v>203</v>
      </c>
      <c r="AD78" s="18">
        <v>286</v>
      </c>
      <c r="AE78" s="18">
        <v>0</v>
      </c>
      <c r="AF78" s="18">
        <v>0</v>
      </c>
      <c r="AG78" s="18">
        <v>0</v>
      </c>
      <c r="AH78" s="18">
        <v>0</v>
      </c>
      <c r="AI78" s="18">
        <v>0</v>
      </c>
      <c r="AJ78" s="18">
        <v>0</v>
      </c>
      <c r="AK78" s="18">
        <v>0</v>
      </c>
      <c r="AL78" s="18">
        <v>0</v>
      </c>
      <c r="AM78" s="18">
        <v>0</v>
      </c>
      <c r="AN78" s="18">
        <v>0</v>
      </c>
      <c r="AO78" s="18">
        <v>0</v>
      </c>
      <c r="AP78" s="18">
        <v>0</v>
      </c>
      <c r="AQ78" s="18">
        <v>1</v>
      </c>
      <c r="AR78" s="18">
        <v>0</v>
      </c>
      <c r="AS78" s="18">
        <v>0</v>
      </c>
      <c r="AT78" s="18">
        <v>0</v>
      </c>
      <c r="AU78" s="18">
        <v>0</v>
      </c>
      <c r="AV78" s="18">
        <v>1</v>
      </c>
      <c r="AW78" s="18">
        <v>0</v>
      </c>
      <c r="AX78" s="18">
        <v>0</v>
      </c>
      <c r="AY78" s="13"/>
      <c r="AZ78" s="18">
        <v>1</v>
      </c>
      <c r="BA78" s="18">
        <v>1</v>
      </c>
      <c r="BB78" s="18">
        <v>48.04</v>
      </c>
      <c r="BC78" s="18" t="s">
        <v>758</v>
      </c>
      <c r="BD78" s="18" t="s">
        <v>759</v>
      </c>
      <c r="BE78" s="18" t="s">
        <v>760</v>
      </c>
      <c r="BF78" s="18" t="s">
        <v>77</v>
      </c>
      <c r="BG78" s="18">
        <v>161</v>
      </c>
      <c r="BH78" s="18">
        <v>62</v>
      </c>
      <c r="BI78" s="18">
        <v>0.722</v>
      </c>
      <c r="BJ78" s="18">
        <v>0</v>
      </c>
      <c r="BK78" s="18">
        <v>5</v>
      </c>
      <c r="BL78" s="18">
        <v>98.6</v>
      </c>
      <c r="BM78" s="13">
        <f t="shared" si="0"/>
        <v>870</v>
      </c>
    </row>
    <row r="79" customHeight="1" spans="1:65">
      <c r="A79" s="18" t="s">
        <v>762</v>
      </c>
      <c r="B79" s="18" t="s">
        <v>125</v>
      </c>
      <c r="C79" s="13"/>
      <c r="D79" s="13"/>
      <c r="E79" s="18" t="s">
        <v>763</v>
      </c>
      <c r="F79" s="18" t="s">
        <v>132</v>
      </c>
      <c r="G79" s="18" t="s">
        <v>427</v>
      </c>
      <c r="H79" s="18" t="s">
        <v>138</v>
      </c>
      <c r="I79" s="18" t="s">
        <v>85</v>
      </c>
      <c r="J79" s="18">
        <v>5</v>
      </c>
      <c r="K79" s="16">
        <v>19.68</v>
      </c>
      <c r="L79" s="10"/>
      <c r="M79" s="16">
        <v>0</v>
      </c>
      <c r="N79" s="16">
        <v>0</v>
      </c>
      <c r="O79" s="18">
        <v>0</v>
      </c>
      <c r="P79" s="18" t="s">
        <v>133</v>
      </c>
      <c r="Q79" s="18">
        <v>3.029167</v>
      </c>
      <c r="R79" s="10"/>
      <c r="S79" s="16">
        <v>235</v>
      </c>
      <c r="T79" s="16">
        <v>10</v>
      </c>
      <c r="U79" s="18" t="s">
        <v>762</v>
      </c>
      <c r="V79" s="18" t="s">
        <v>125</v>
      </c>
      <c r="W79" s="13"/>
      <c r="X79" s="13"/>
      <c r="Y79" s="18" t="s">
        <v>763</v>
      </c>
      <c r="Z79" s="18" t="s">
        <v>132</v>
      </c>
      <c r="AA79" s="18" t="s">
        <v>427</v>
      </c>
      <c r="AB79" s="18" t="s">
        <v>138</v>
      </c>
      <c r="AC79" s="18" t="s">
        <v>85</v>
      </c>
      <c r="AD79" s="18">
        <v>34.36</v>
      </c>
      <c r="AE79" s="18">
        <v>1</v>
      </c>
      <c r="AF79" s="18">
        <v>0</v>
      </c>
      <c r="AG79" s="18">
        <v>0</v>
      </c>
      <c r="AH79" s="18">
        <v>0</v>
      </c>
      <c r="AI79" s="18">
        <v>0</v>
      </c>
      <c r="AJ79" s="18">
        <v>0</v>
      </c>
      <c r="AK79" s="18">
        <v>0</v>
      </c>
      <c r="AL79" s="18">
        <v>0</v>
      </c>
      <c r="AM79" s="18">
        <v>0</v>
      </c>
      <c r="AN79" s="18">
        <v>0</v>
      </c>
      <c r="AO79" s="18">
        <v>0</v>
      </c>
      <c r="AP79" s="18">
        <v>1</v>
      </c>
      <c r="AQ79" s="18">
        <v>0</v>
      </c>
      <c r="AR79" s="18">
        <v>0</v>
      </c>
      <c r="AS79" s="18">
        <v>0</v>
      </c>
      <c r="AT79" s="18">
        <v>0</v>
      </c>
      <c r="AU79" s="18">
        <v>0</v>
      </c>
      <c r="AV79" s="18">
        <v>0</v>
      </c>
      <c r="AW79" s="18">
        <v>0</v>
      </c>
      <c r="AX79" s="18">
        <v>0</v>
      </c>
      <c r="AY79" s="13"/>
      <c r="AZ79" s="18">
        <v>1</v>
      </c>
      <c r="BA79" s="18">
        <v>1</v>
      </c>
      <c r="BB79" s="18">
        <v>65.58</v>
      </c>
      <c r="BC79" s="18" t="s">
        <v>764</v>
      </c>
      <c r="BD79" s="18" t="s">
        <v>765</v>
      </c>
      <c r="BE79" s="18" t="s">
        <v>113</v>
      </c>
      <c r="BF79" s="18" t="s">
        <v>77</v>
      </c>
      <c r="BG79" s="18">
        <v>166</v>
      </c>
      <c r="BH79" s="18">
        <v>53</v>
      </c>
      <c r="BI79" s="18">
        <v>0.758</v>
      </c>
      <c r="BJ79" s="18">
        <v>0</v>
      </c>
      <c r="BK79" s="18">
        <v>34</v>
      </c>
      <c r="BL79" s="18">
        <v>90.7</v>
      </c>
      <c r="BM79" s="13">
        <f t="shared" si="0"/>
        <v>4624.8</v>
      </c>
    </row>
    <row r="80" customHeight="1" spans="1:65">
      <c r="A80" s="18" t="s">
        <v>766</v>
      </c>
      <c r="B80" s="18" t="s">
        <v>125</v>
      </c>
      <c r="C80" s="13"/>
      <c r="D80" s="13"/>
      <c r="E80" s="18" t="s">
        <v>81</v>
      </c>
      <c r="F80" s="18" t="s">
        <v>82</v>
      </c>
      <c r="G80" s="18" t="s">
        <v>83</v>
      </c>
      <c r="H80" s="18" t="s">
        <v>138</v>
      </c>
      <c r="I80" s="18" t="s">
        <v>85</v>
      </c>
      <c r="J80" s="18">
        <v>5</v>
      </c>
      <c r="K80" s="16">
        <v>52.82</v>
      </c>
      <c r="L80" s="10"/>
      <c r="M80" s="16">
        <v>0</v>
      </c>
      <c r="N80" s="16">
        <v>0</v>
      </c>
      <c r="O80" s="18">
        <v>0</v>
      </c>
      <c r="P80" s="18" t="s">
        <v>86</v>
      </c>
      <c r="Q80" s="18">
        <v>3.985645</v>
      </c>
      <c r="R80" s="10"/>
      <c r="S80" s="16">
        <v>3</v>
      </c>
      <c r="T80" s="16">
        <v>10</v>
      </c>
      <c r="U80" s="18" t="s">
        <v>766</v>
      </c>
      <c r="V80" s="18" t="s">
        <v>125</v>
      </c>
      <c r="W80" s="13"/>
      <c r="X80" s="13"/>
      <c r="Y80" s="18" t="s">
        <v>81</v>
      </c>
      <c r="Z80" s="18" t="s">
        <v>82</v>
      </c>
      <c r="AA80" s="18" t="s">
        <v>83</v>
      </c>
      <c r="AB80" s="18" t="s">
        <v>138</v>
      </c>
      <c r="AC80" s="18" t="s">
        <v>85</v>
      </c>
      <c r="AD80" s="18">
        <v>100.64</v>
      </c>
      <c r="AE80" s="18">
        <v>0</v>
      </c>
      <c r="AF80" s="18">
        <v>0</v>
      </c>
      <c r="AG80" s="18">
        <v>0</v>
      </c>
      <c r="AH80" s="18">
        <v>1</v>
      </c>
      <c r="AI80" s="18">
        <v>0</v>
      </c>
      <c r="AJ80" s="18">
        <v>0</v>
      </c>
      <c r="AK80" s="18">
        <v>0</v>
      </c>
      <c r="AL80" s="18">
        <v>0</v>
      </c>
      <c r="AM80" s="18">
        <v>1</v>
      </c>
      <c r="AN80" s="18">
        <v>1</v>
      </c>
      <c r="AO80" s="18">
        <v>0</v>
      </c>
      <c r="AP80" s="18">
        <v>0</v>
      </c>
      <c r="AQ80" s="18">
        <v>0</v>
      </c>
      <c r="AR80" s="18">
        <v>0</v>
      </c>
      <c r="AS80" s="18">
        <v>0</v>
      </c>
      <c r="AT80" s="18">
        <v>0</v>
      </c>
      <c r="AU80" s="18">
        <v>0</v>
      </c>
      <c r="AV80" s="18">
        <v>0</v>
      </c>
      <c r="AW80" s="18">
        <v>0</v>
      </c>
      <c r="AX80" s="18">
        <v>0</v>
      </c>
      <c r="AY80" s="13"/>
      <c r="AZ80" s="18">
        <v>1</v>
      </c>
      <c r="BA80" s="18">
        <v>3</v>
      </c>
      <c r="BB80" s="18">
        <v>38.09</v>
      </c>
      <c r="BC80" s="18" t="s">
        <v>767</v>
      </c>
      <c r="BD80" s="18" t="s">
        <v>768</v>
      </c>
      <c r="BE80" s="18" t="s">
        <v>769</v>
      </c>
      <c r="BF80" s="18" t="s">
        <v>77</v>
      </c>
      <c r="BG80" s="18">
        <v>1</v>
      </c>
      <c r="BH80" s="18">
        <v>2</v>
      </c>
      <c r="BI80" s="18">
        <v>0.3333</v>
      </c>
      <c r="BJ80" s="18">
        <v>1</v>
      </c>
      <c r="BK80" s="18">
        <v>14</v>
      </c>
      <c r="BL80" s="18">
        <v>96.2</v>
      </c>
      <c r="BM80" s="13">
        <f t="shared" si="0"/>
        <v>158.46</v>
      </c>
    </row>
    <row r="81" customHeight="1" spans="1:65">
      <c r="A81" s="18" t="s">
        <v>770</v>
      </c>
      <c r="B81" s="18" t="s">
        <v>384</v>
      </c>
      <c r="C81" s="18" t="s">
        <v>771</v>
      </c>
      <c r="D81" s="13"/>
      <c r="E81" s="18" t="s">
        <v>81</v>
      </c>
      <c r="F81" s="18" t="s">
        <v>462</v>
      </c>
      <c r="G81" s="18" t="s">
        <v>83</v>
      </c>
      <c r="H81" s="18" t="s">
        <v>84</v>
      </c>
      <c r="I81" s="18" t="s">
        <v>85</v>
      </c>
      <c r="J81" s="18">
        <v>5</v>
      </c>
      <c r="K81" s="16">
        <v>99.99</v>
      </c>
      <c r="L81" s="16">
        <v>162.84</v>
      </c>
      <c r="M81" s="16">
        <v>38.6</v>
      </c>
      <c r="N81" s="16">
        <v>62.85</v>
      </c>
      <c r="O81" s="18">
        <v>1</v>
      </c>
      <c r="P81" s="18" t="s">
        <v>95</v>
      </c>
      <c r="Q81" s="18">
        <v>4.615022</v>
      </c>
      <c r="R81" s="16">
        <v>6.25</v>
      </c>
      <c r="S81" s="16">
        <v>1</v>
      </c>
      <c r="T81" s="16">
        <v>20</v>
      </c>
      <c r="U81" s="18" t="s">
        <v>770</v>
      </c>
      <c r="V81" s="18" t="s">
        <v>384</v>
      </c>
      <c r="W81" s="19" t="s">
        <v>771</v>
      </c>
      <c r="X81" s="13"/>
      <c r="Y81" s="18" t="s">
        <v>81</v>
      </c>
      <c r="Z81" s="18" t="s">
        <v>462</v>
      </c>
      <c r="AA81" s="18" t="s">
        <v>83</v>
      </c>
      <c r="AB81" s="18" t="s">
        <v>84</v>
      </c>
      <c r="AC81" s="18" t="s">
        <v>85</v>
      </c>
      <c r="AD81" s="18">
        <v>36.1473333333333</v>
      </c>
      <c r="AE81" s="18">
        <v>0</v>
      </c>
      <c r="AF81" s="18">
        <v>0</v>
      </c>
      <c r="AG81" s="18">
        <v>0</v>
      </c>
      <c r="AH81" s="18">
        <v>1</v>
      </c>
      <c r="AI81" s="18">
        <v>0</v>
      </c>
      <c r="AJ81" s="18">
        <v>1</v>
      </c>
      <c r="AK81" s="18">
        <v>0</v>
      </c>
      <c r="AL81" s="18">
        <v>0</v>
      </c>
      <c r="AM81" s="18">
        <v>0</v>
      </c>
      <c r="AN81" s="18">
        <v>0</v>
      </c>
      <c r="AO81" s="18">
        <v>0</v>
      </c>
      <c r="AP81" s="18">
        <v>0</v>
      </c>
      <c r="AQ81" s="18">
        <v>1</v>
      </c>
      <c r="AR81" s="18">
        <v>0</v>
      </c>
      <c r="AS81" s="18">
        <v>0</v>
      </c>
      <c r="AT81" s="18">
        <v>1</v>
      </c>
      <c r="AU81" s="18">
        <v>0</v>
      </c>
      <c r="AV81" s="18">
        <v>1</v>
      </c>
      <c r="AW81" s="18">
        <v>1</v>
      </c>
      <c r="AX81" s="18">
        <v>0</v>
      </c>
      <c r="AY81" s="18">
        <v>16</v>
      </c>
      <c r="AZ81" s="18">
        <v>1</v>
      </c>
      <c r="BA81" s="18">
        <v>2</v>
      </c>
      <c r="BB81" s="18">
        <v>43</v>
      </c>
      <c r="BC81" s="18" t="s">
        <v>772</v>
      </c>
      <c r="BD81" s="18" t="s">
        <v>773</v>
      </c>
      <c r="BE81" s="18" t="s">
        <v>774</v>
      </c>
      <c r="BF81" s="18" t="s">
        <v>77</v>
      </c>
      <c r="BG81" s="18">
        <v>1</v>
      </c>
      <c r="BH81" s="18">
        <v>28</v>
      </c>
      <c r="BI81" s="18">
        <v>0.0345</v>
      </c>
      <c r="BJ81" s="18">
        <v>1</v>
      </c>
      <c r="BK81" s="18">
        <v>6</v>
      </c>
      <c r="BL81" s="18">
        <v>98.4</v>
      </c>
      <c r="BM81" s="13">
        <f t="shared" si="0"/>
        <v>99.99</v>
      </c>
    </row>
    <row r="82" customHeight="1" spans="1:65">
      <c r="A82" s="18" t="s">
        <v>2128</v>
      </c>
      <c r="B82" s="18" t="s">
        <v>384</v>
      </c>
      <c r="C82" s="18" t="s">
        <v>1071</v>
      </c>
      <c r="D82" s="13"/>
      <c r="E82" s="18" t="s">
        <v>209</v>
      </c>
      <c r="F82" s="18" t="s">
        <v>462</v>
      </c>
      <c r="G82" s="18" t="s">
        <v>83</v>
      </c>
      <c r="H82" s="18" t="s">
        <v>84</v>
      </c>
      <c r="I82" s="18" t="s">
        <v>85</v>
      </c>
      <c r="J82" s="18">
        <v>5</v>
      </c>
      <c r="K82" s="16">
        <v>145.99</v>
      </c>
      <c r="L82" s="16">
        <v>162.21</v>
      </c>
      <c r="M82" s="16">
        <v>10</v>
      </c>
      <c r="N82" s="16">
        <v>16.22</v>
      </c>
      <c r="O82" s="18">
        <v>1</v>
      </c>
      <c r="P82" s="18" t="s">
        <v>95</v>
      </c>
      <c r="Q82" s="18">
        <v>4.990365</v>
      </c>
      <c r="R82" s="16">
        <v>9.12</v>
      </c>
      <c r="S82" s="16">
        <v>43</v>
      </c>
      <c r="T82" s="16">
        <v>15</v>
      </c>
      <c r="U82" s="18" t="s">
        <v>2128</v>
      </c>
      <c r="V82" s="18" t="s">
        <v>384</v>
      </c>
      <c r="W82" s="18" t="s">
        <v>1071</v>
      </c>
      <c r="X82" s="13"/>
      <c r="Y82" s="18" t="s">
        <v>209</v>
      </c>
      <c r="Z82" s="18" t="s">
        <v>462</v>
      </c>
      <c r="AA82" s="18" t="s">
        <v>83</v>
      </c>
      <c r="AB82" s="18" t="s">
        <v>84</v>
      </c>
      <c r="AC82" s="18" t="s">
        <v>85</v>
      </c>
      <c r="AD82" s="18">
        <v>0.584666666666607</v>
      </c>
      <c r="AE82" s="18">
        <v>0</v>
      </c>
      <c r="AF82" s="18">
        <v>0</v>
      </c>
      <c r="AG82" s="18">
        <v>0</v>
      </c>
      <c r="AH82" s="18">
        <v>1</v>
      </c>
      <c r="AI82" s="18">
        <v>0</v>
      </c>
      <c r="AJ82" s="18">
        <v>1</v>
      </c>
      <c r="AK82" s="18">
        <v>1</v>
      </c>
      <c r="AL82" s="18">
        <v>0</v>
      </c>
      <c r="AM82" s="18">
        <v>0</v>
      </c>
      <c r="AN82" s="18">
        <v>0</v>
      </c>
      <c r="AO82" s="18">
        <v>0</v>
      </c>
      <c r="AP82" s="18">
        <v>0</v>
      </c>
      <c r="AQ82" s="18">
        <v>1</v>
      </c>
      <c r="AR82" s="18">
        <v>0</v>
      </c>
      <c r="AS82" s="18">
        <v>0</v>
      </c>
      <c r="AT82" s="18">
        <v>0</v>
      </c>
      <c r="AU82" s="18">
        <v>0</v>
      </c>
      <c r="AV82" s="18">
        <v>1</v>
      </c>
      <c r="AW82" s="18">
        <v>1</v>
      </c>
      <c r="AX82" s="18">
        <v>0</v>
      </c>
      <c r="AY82" s="18">
        <v>16</v>
      </c>
      <c r="AZ82" s="18">
        <v>1</v>
      </c>
      <c r="BA82" s="18">
        <v>4</v>
      </c>
      <c r="BB82" s="18">
        <v>62.24</v>
      </c>
      <c r="BC82" s="18" t="s">
        <v>772</v>
      </c>
      <c r="BD82" s="18" t="s">
        <v>773</v>
      </c>
      <c r="BE82" s="18" t="s">
        <v>774</v>
      </c>
      <c r="BF82" s="18" t="s">
        <v>77</v>
      </c>
      <c r="BG82" s="18">
        <v>1</v>
      </c>
      <c r="BH82" s="18">
        <v>28</v>
      </c>
      <c r="BI82" s="18">
        <v>0.0345</v>
      </c>
      <c r="BJ82" s="18">
        <v>1</v>
      </c>
      <c r="BK82" s="18">
        <v>5</v>
      </c>
      <c r="BL82" s="18">
        <v>98.6</v>
      </c>
      <c r="BM82" s="13">
        <f t="shared" si="0"/>
        <v>6277.57</v>
      </c>
    </row>
    <row r="83" customHeight="1" spans="1:65">
      <c r="A83" s="18" t="s">
        <v>1962</v>
      </c>
      <c r="B83" s="18" t="s">
        <v>384</v>
      </c>
      <c r="C83" s="13"/>
      <c r="D83" s="13"/>
      <c r="E83" s="18" t="s">
        <v>81</v>
      </c>
      <c r="F83" s="18" t="s">
        <v>160</v>
      </c>
      <c r="G83" s="18" t="s">
        <v>83</v>
      </c>
      <c r="H83" s="18" t="s">
        <v>84</v>
      </c>
      <c r="I83" s="18" t="s">
        <v>85</v>
      </c>
      <c r="J83" s="18">
        <v>5</v>
      </c>
      <c r="K83" s="16">
        <v>299.99</v>
      </c>
      <c r="L83" s="16">
        <v>428.56</v>
      </c>
      <c r="M83" s="16">
        <v>30</v>
      </c>
      <c r="N83" s="16">
        <v>128.57</v>
      </c>
      <c r="O83" s="18">
        <v>1</v>
      </c>
      <c r="P83" s="18" t="s">
        <v>71</v>
      </c>
      <c r="Q83" s="18">
        <v>5.707077</v>
      </c>
      <c r="R83" s="16">
        <v>18.75</v>
      </c>
      <c r="S83" s="16">
        <v>1</v>
      </c>
      <c r="T83" s="16">
        <v>9</v>
      </c>
      <c r="U83" s="18" t="s">
        <v>1962</v>
      </c>
      <c r="V83" s="18" t="s">
        <v>384</v>
      </c>
      <c r="W83" s="13"/>
      <c r="X83" s="13"/>
      <c r="Y83" s="18" t="s">
        <v>81</v>
      </c>
      <c r="Z83" s="18" t="s">
        <v>160</v>
      </c>
      <c r="AA83" s="18" t="s">
        <v>83</v>
      </c>
      <c r="AB83" s="18" t="s">
        <v>84</v>
      </c>
      <c r="AC83" s="18" t="s">
        <v>85</v>
      </c>
      <c r="AD83" s="18">
        <v>55.571333333333</v>
      </c>
      <c r="AE83" s="18">
        <v>0</v>
      </c>
      <c r="AF83" s="18">
        <v>0</v>
      </c>
      <c r="AG83" s="18">
        <v>0</v>
      </c>
      <c r="AH83" s="18">
        <v>1</v>
      </c>
      <c r="AI83" s="18">
        <v>0</v>
      </c>
      <c r="AJ83" s="18">
        <v>0</v>
      </c>
      <c r="AK83" s="18">
        <v>0</v>
      </c>
      <c r="AL83" s="18">
        <v>0</v>
      </c>
      <c r="AM83" s="18">
        <v>0</v>
      </c>
      <c r="AN83" s="18">
        <v>0</v>
      </c>
      <c r="AO83" s="18">
        <v>0</v>
      </c>
      <c r="AP83" s="18">
        <v>0</v>
      </c>
      <c r="AQ83" s="18">
        <v>1</v>
      </c>
      <c r="AR83" s="18">
        <v>0</v>
      </c>
      <c r="AS83" s="18">
        <v>0</v>
      </c>
      <c r="AT83" s="18">
        <v>1</v>
      </c>
      <c r="AU83" s="18">
        <v>0</v>
      </c>
      <c r="AV83" s="18">
        <v>1</v>
      </c>
      <c r="AW83" s="18">
        <v>1</v>
      </c>
      <c r="AX83" s="18">
        <v>0</v>
      </c>
      <c r="AY83" s="18">
        <v>16</v>
      </c>
      <c r="AZ83" s="18">
        <v>1</v>
      </c>
      <c r="BA83" s="18">
        <v>2</v>
      </c>
      <c r="BB83" s="18">
        <v>42.52</v>
      </c>
      <c r="BC83" s="18" t="s">
        <v>772</v>
      </c>
      <c r="BD83" s="18" t="s">
        <v>386</v>
      </c>
      <c r="BE83" s="18" t="s">
        <v>226</v>
      </c>
      <c r="BF83" s="18" t="s">
        <v>77</v>
      </c>
      <c r="BG83" s="18">
        <v>1</v>
      </c>
      <c r="BH83" s="18">
        <v>28</v>
      </c>
      <c r="BI83" s="18">
        <v>0.0345</v>
      </c>
      <c r="BJ83" s="18">
        <v>1</v>
      </c>
      <c r="BK83" s="18">
        <v>6</v>
      </c>
      <c r="BL83" s="18">
        <v>98.4</v>
      </c>
      <c r="BM83" s="13">
        <f t="shared" si="0"/>
        <v>299.99</v>
      </c>
    </row>
    <row r="84" customHeight="1" spans="1:65">
      <c r="A84" s="18" t="s">
        <v>777</v>
      </c>
      <c r="B84" s="18" t="s">
        <v>778</v>
      </c>
      <c r="C84" s="13"/>
      <c r="D84" s="13"/>
      <c r="E84" s="18" t="s">
        <v>255</v>
      </c>
      <c r="F84" s="18" t="s">
        <v>82</v>
      </c>
      <c r="G84" s="18" t="s">
        <v>83</v>
      </c>
      <c r="H84" s="18" t="s">
        <v>84</v>
      </c>
      <c r="I84" s="18" t="s">
        <v>153</v>
      </c>
      <c r="J84" s="18">
        <v>2</v>
      </c>
      <c r="K84" s="16">
        <v>70</v>
      </c>
      <c r="L84" s="10"/>
      <c r="M84" s="16">
        <v>0</v>
      </c>
      <c r="N84" s="16">
        <v>0</v>
      </c>
      <c r="O84" s="18">
        <v>0</v>
      </c>
      <c r="P84" s="18" t="s">
        <v>86</v>
      </c>
      <c r="Q84" s="18">
        <v>4.26268</v>
      </c>
      <c r="R84" s="10"/>
      <c r="S84" s="16">
        <v>1</v>
      </c>
      <c r="T84" s="16">
        <v>4</v>
      </c>
      <c r="U84" s="18" t="s">
        <v>777</v>
      </c>
      <c r="V84" s="18" t="s">
        <v>778</v>
      </c>
      <c r="W84" s="13"/>
      <c r="X84" s="13"/>
      <c r="Y84" s="18" t="s">
        <v>255</v>
      </c>
      <c r="Z84" s="18" t="s">
        <v>82</v>
      </c>
      <c r="AA84" s="18" t="s">
        <v>83</v>
      </c>
      <c r="AB84" s="18" t="s">
        <v>84</v>
      </c>
      <c r="AC84" s="18" t="s">
        <v>153</v>
      </c>
      <c r="AD84" s="18">
        <v>138</v>
      </c>
      <c r="AE84" s="18">
        <v>0</v>
      </c>
      <c r="AF84" s="18">
        <v>0</v>
      </c>
      <c r="AG84" s="18">
        <v>0</v>
      </c>
      <c r="AH84" s="18">
        <v>0</v>
      </c>
      <c r="AI84" s="18">
        <v>0</v>
      </c>
      <c r="AJ84" s="18">
        <v>0</v>
      </c>
      <c r="AK84" s="18">
        <v>0</v>
      </c>
      <c r="AL84" s="18">
        <v>0</v>
      </c>
      <c r="AM84" s="18">
        <v>0</v>
      </c>
      <c r="AN84" s="18">
        <v>0</v>
      </c>
      <c r="AO84" s="18">
        <v>0</v>
      </c>
      <c r="AP84" s="18">
        <v>0</v>
      </c>
      <c r="AQ84" s="18">
        <v>0</v>
      </c>
      <c r="AR84" s="18">
        <v>0</v>
      </c>
      <c r="AS84" s="18">
        <v>0</v>
      </c>
      <c r="AT84" s="18">
        <v>0</v>
      </c>
      <c r="AU84" s="18">
        <v>0</v>
      </c>
      <c r="AV84" s="18">
        <v>0</v>
      </c>
      <c r="AW84" s="18">
        <v>0</v>
      </c>
      <c r="AX84" s="18">
        <v>0</v>
      </c>
      <c r="AY84" s="13"/>
      <c r="AZ84" s="18">
        <v>1</v>
      </c>
      <c r="BA84" s="18">
        <v>1</v>
      </c>
      <c r="BB84" s="18">
        <v>8</v>
      </c>
      <c r="BC84" s="18" t="s">
        <v>779</v>
      </c>
      <c r="BD84" s="18" t="s">
        <v>780</v>
      </c>
      <c r="BE84" s="18" t="s">
        <v>781</v>
      </c>
      <c r="BF84" s="18" t="s">
        <v>77</v>
      </c>
      <c r="BG84" s="18">
        <v>168</v>
      </c>
      <c r="BH84" s="18">
        <v>11</v>
      </c>
      <c r="BI84" s="18">
        <v>0.9385</v>
      </c>
      <c r="BJ84" s="18">
        <v>0</v>
      </c>
      <c r="BK84" s="13"/>
      <c r="BL84" s="13"/>
      <c r="BM84" s="13">
        <f t="shared" si="0"/>
        <v>70</v>
      </c>
    </row>
    <row r="85" customHeight="1" spans="1:65">
      <c r="A85" s="18" t="s">
        <v>1141</v>
      </c>
      <c r="B85" s="18" t="s">
        <v>65</v>
      </c>
      <c r="C85" s="18" t="s">
        <v>1142</v>
      </c>
      <c r="D85" s="18">
        <v>695529053417</v>
      </c>
      <c r="E85" s="18" t="s">
        <v>81</v>
      </c>
      <c r="F85" s="18" t="s">
        <v>82</v>
      </c>
      <c r="G85" s="18" t="s">
        <v>65</v>
      </c>
      <c r="H85" s="18" t="s">
        <v>69</v>
      </c>
      <c r="I85" s="18" t="s">
        <v>203</v>
      </c>
      <c r="J85" s="18">
        <v>4</v>
      </c>
      <c r="K85" s="16">
        <v>99.99</v>
      </c>
      <c r="L85" s="10"/>
      <c r="M85" s="16">
        <v>0</v>
      </c>
      <c r="N85" s="16">
        <v>0</v>
      </c>
      <c r="O85" s="18">
        <v>0</v>
      </c>
      <c r="P85" s="18" t="s">
        <v>95</v>
      </c>
      <c r="Q85" s="18">
        <v>4.615022</v>
      </c>
      <c r="R85" s="10"/>
      <c r="S85" s="16">
        <v>38</v>
      </c>
      <c r="T85" s="16">
        <v>10</v>
      </c>
      <c r="U85" s="18" t="s">
        <v>1141</v>
      </c>
      <c r="V85" s="18" t="s">
        <v>65</v>
      </c>
      <c r="W85" s="18" t="s">
        <v>1142</v>
      </c>
      <c r="X85" s="18">
        <v>695529053418</v>
      </c>
      <c r="Y85" s="18" t="s">
        <v>81</v>
      </c>
      <c r="Z85" s="18" t="s">
        <v>82</v>
      </c>
      <c r="AA85" s="18" t="s">
        <v>65</v>
      </c>
      <c r="AB85" s="18" t="s">
        <v>69</v>
      </c>
      <c r="AC85" s="18" t="s">
        <v>203</v>
      </c>
      <c r="AD85" s="18">
        <v>195.98</v>
      </c>
      <c r="AE85" s="18">
        <v>0</v>
      </c>
      <c r="AF85" s="18">
        <v>0</v>
      </c>
      <c r="AG85" s="18">
        <v>0</v>
      </c>
      <c r="AH85" s="18">
        <v>1</v>
      </c>
      <c r="AI85" s="18">
        <v>0</v>
      </c>
      <c r="AJ85" s="18">
        <v>0</v>
      </c>
      <c r="AK85" s="18">
        <v>0</v>
      </c>
      <c r="AL85" s="18">
        <v>0</v>
      </c>
      <c r="AM85" s="18">
        <v>0</v>
      </c>
      <c r="AN85" s="18">
        <v>0</v>
      </c>
      <c r="AO85" s="18">
        <v>0</v>
      </c>
      <c r="AP85" s="18">
        <v>1</v>
      </c>
      <c r="AQ85" s="18">
        <v>0</v>
      </c>
      <c r="AR85" s="18">
        <v>0</v>
      </c>
      <c r="AS85" s="18">
        <v>0</v>
      </c>
      <c r="AT85" s="18">
        <v>0</v>
      </c>
      <c r="AU85" s="18">
        <v>0</v>
      </c>
      <c r="AV85" s="18">
        <v>0</v>
      </c>
      <c r="AW85" s="18">
        <v>0</v>
      </c>
      <c r="AX85" s="18">
        <v>1</v>
      </c>
      <c r="AY85" s="13"/>
      <c r="AZ85" s="18">
        <v>1</v>
      </c>
      <c r="BA85" s="18">
        <v>1</v>
      </c>
      <c r="BB85" s="18">
        <v>61.52</v>
      </c>
      <c r="BC85" s="18" t="s">
        <v>784</v>
      </c>
      <c r="BD85" s="18" t="s">
        <v>785</v>
      </c>
      <c r="BE85" s="18" t="s">
        <v>774</v>
      </c>
      <c r="BF85" s="18" t="s">
        <v>77</v>
      </c>
      <c r="BG85" s="18">
        <v>1</v>
      </c>
      <c r="BH85" s="18">
        <v>23</v>
      </c>
      <c r="BI85" s="18">
        <v>0.0417</v>
      </c>
      <c r="BJ85" s="18">
        <v>1</v>
      </c>
      <c r="BK85" s="18">
        <v>2</v>
      </c>
      <c r="BL85" s="18">
        <v>99.5</v>
      </c>
      <c r="BM85" s="13">
        <f t="shared" si="0"/>
        <v>3799.62</v>
      </c>
    </row>
    <row r="86" customHeight="1" spans="1:65">
      <c r="A86" s="18" t="s">
        <v>1994</v>
      </c>
      <c r="B86" s="18" t="s">
        <v>65</v>
      </c>
      <c r="C86" s="18" t="s">
        <v>1995</v>
      </c>
      <c r="D86" s="13"/>
      <c r="E86" s="18" t="s">
        <v>239</v>
      </c>
      <c r="F86" s="18" t="s">
        <v>240</v>
      </c>
      <c r="G86" s="18" t="s">
        <v>65</v>
      </c>
      <c r="H86" s="18" t="s">
        <v>69</v>
      </c>
      <c r="I86" s="18" t="s">
        <v>85</v>
      </c>
      <c r="J86" s="18">
        <v>5</v>
      </c>
      <c r="K86" s="16">
        <v>439.99</v>
      </c>
      <c r="L86" s="10"/>
      <c r="M86" s="16">
        <v>0</v>
      </c>
      <c r="N86" s="16">
        <v>0</v>
      </c>
      <c r="O86" s="18">
        <v>0</v>
      </c>
      <c r="P86" s="18" t="s">
        <v>71</v>
      </c>
      <c r="Q86" s="18">
        <v>6.089022</v>
      </c>
      <c r="R86" s="16">
        <v>22</v>
      </c>
      <c r="S86" s="16">
        <v>5</v>
      </c>
      <c r="T86" s="16">
        <v>10</v>
      </c>
      <c r="U86" s="18" t="s">
        <v>1994</v>
      </c>
      <c r="V86" s="18" t="s">
        <v>65</v>
      </c>
      <c r="W86" s="18" t="s">
        <v>2545</v>
      </c>
      <c r="X86" s="13"/>
      <c r="Y86" s="18" t="s">
        <v>239</v>
      </c>
      <c r="Z86" s="18" t="s">
        <v>240</v>
      </c>
      <c r="AA86" s="18" t="s">
        <v>65</v>
      </c>
      <c r="AB86" s="18" t="s">
        <v>69</v>
      </c>
      <c r="AC86" s="18" t="s">
        <v>85</v>
      </c>
      <c r="AD86" s="18">
        <v>874.98</v>
      </c>
      <c r="AE86" s="18">
        <v>0</v>
      </c>
      <c r="AF86" s="18">
        <v>0</v>
      </c>
      <c r="AG86" s="18">
        <v>1</v>
      </c>
      <c r="AH86" s="18">
        <v>1</v>
      </c>
      <c r="AI86" s="18">
        <v>0</v>
      </c>
      <c r="AJ86" s="18">
        <v>0</v>
      </c>
      <c r="AK86" s="18">
        <v>0</v>
      </c>
      <c r="AL86" s="18">
        <v>0</v>
      </c>
      <c r="AM86" s="18">
        <v>0</v>
      </c>
      <c r="AN86" s="18">
        <v>0</v>
      </c>
      <c r="AO86" s="18">
        <v>0</v>
      </c>
      <c r="AP86" s="18">
        <v>0</v>
      </c>
      <c r="AQ86" s="18">
        <v>0</v>
      </c>
      <c r="AR86" s="18">
        <v>0</v>
      </c>
      <c r="AS86" s="18">
        <v>0</v>
      </c>
      <c r="AT86" s="18">
        <v>0</v>
      </c>
      <c r="AU86" s="18">
        <v>0</v>
      </c>
      <c r="AV86" s="18">
        <v>1</v>
      </c>
      <c r="AW86" s="18">
        <v>1</v>
      </c>
      <c r="AX86" s="18">
        <v>0</v>
      </c>
      <c r="AY86" s="18">
        <v>20</v>
      </c>
      <c r="AZ86" s="18">
        <v>1</v>
      </c>
      <c r="BA86" s="18">
        <v>1</v>
      </c>
      <c r="BB86" s="18">
        <v>43.18</v>
      </c>
      <c r="BC86" s="18" t="s">
        <v>784</v>
      </c>
      <c r="BD86" s="18" t="s">
        <v>785</v>
      </c>
      <c r="BE86" s="18" t="s">
        <v>774</v>
      </c>
      <c r="BF86" s="18" t="s">
        <v>77</v>
      </c>
      <c r="BG86" s="18">
        <v>1</v>
      </c>
      <c r="BH86" s="18">
        <v>27</v>
      </c>
      <c r="BI86" s="18">
        <v>0.0357</v>
      </c>
      <c r="BJ86" s="18">
        <v>1</v>
      </c>
      <c r="BK86" s="18">
        <v>2</v>
      </c>
      <c r="BL86" s="18">
        <v>99.5</v>
      </c>
      <c r="BM86" s="13">
        <f t="shared" si="0"/>
        <v>2199.95</v>
      </c>
    </row>
    <row r="87" customHeight="1" spans="1:65">
      <c r="A87" s="18" t="s">
        <v>782</v>
      </c>
      <c r="B87" s="18" t="s">
        <v>65</v>
      </c>
      <c r="C87" s="18" t="s">
        <v>783</v>
      </c>
      <c r="D87" s="13"/>
      <c r="E87" s="18" t="s">
        <v>163</v>
      </c>
      <c r="F87" s="18" t="s">
        <v>240</v>
      </c>
      <c r="G87" s="18" t="s">
        <v>65</v>
      </c>
      <c r="H87" s="18" t="s">
        <v>69</v>
      </c>
      <c r="I87" s="18" t="s">
        <v>85</v>
      </c>
      <c r="J87" s="18">
        <v>5</v>
      </c>
      <c r="K87" s="16">
        <v>675</v>
      </c>
      <c r="L87" s="10"/>
      <c r="M87" s="16">
        <v>0</v>
      </c>
      <c r="N87" s="16">
        <v>0</v>
      </c>
      <c r="O87" s="18">
        <v>0</v>
      </c>
      <c r="P87" s="18" t="s">
        <v>147</v>
      </c>
      <c r="Q87" s="18">
        <v>6.516193</v>
      </c>
      <c r="R87" s="16">
        <v>56.25</v>
      </c>
      <c r="S87" s="16">
        <v>1</v>
      </c>
      <c r="T87" s="16">
        <v>10</v>
      </c>
      <c r="U87" s="18" t="s">
        <v>782</v>
      </c>
      <c r="V87" s="18" t="s">
        <v>65</v>
      </c>
      <c r="W87" s="18" t="s">
        <v>2546</v>
      </c>
      <c r="X87" s="13"/>
      <c r="Y87" s="18" t="s">
        <v>163</v>
      </c>
      <c r="Z87" s="18" t="s">
        <v>240</v>
      </c>
      <c r="AA87" s="18" t="s">
        <v>65</v>
      </c>
      <c r="AB87" s="18" t="s">
        <v>69</v>
      </c>
      <c r="AC87" s="18" t="s">
        <v>85</v>
      </c>
      <c r="AD87" s="18">
        <v>1345</v>
      </c>
      <c r="AE87" s="18">
        <v>0</v>
      </c>
      <c r="AF87" s="18">
        <v>0</v>
      </c>
      <c r="AG87" s="18">
        <v>1</v>
      </c>
      <c r="AH87" s="18">
        <v>1</v>
      </c>
      <c r="AI87" s="18">
        <v>0</v>
      </c>
      <c r="AJ87" s="18">
        <v>0</v>
      </c>
      <c r="AK87" s="18">
        <v>0</v>
      </c>
      <c r="AL87" s="18">
        <v>0</v>
      </c>
      <c r="AM87" s="18">
        <v>0</v>
      </c>
      <c r="AN87" s="18">
        <v>0</v>
      </c>
      <c r="AO87" s="18">
        <v>0</v>
      </c>
      <c r="AP87" s="18">
        <v>0</v>
      </c>
      <c r="AQ87" s="18">
        <v>1</v>
      </c>
      <c r="AR87" s="18">
        <v>0</v>
      </c>
      <c r="AS87" s="18">
        <v>0</v>
      </c>
      <c r="AT87" s="18">
        <v>0</v>
      </c>
      <c r="AU87" s="18">
        <v>0</v>
      </c>
      <c r="AV87" s="18">
        <v>1</v>
      </c>
      <c r="AW87" s="18">
        <v>1</v>
      </c>
      <c r="AX87" s="18">
        <v>0</v>
      </c>
      <c r="AY87" s="18">
        <v>12</v>
      </c>
      <c r="AZ87" s="18">
        <v>1</v>
      </c>
      <c r="BA87" s="18">
        <v>2</v>
      </c>
      <c r="BB87" s="18">
        <v>33.22</v>
      </c>
      <c r="BC87" s="18" t="s">
        <v>784</v>
      </c>
      <c r="BD87" s="18" t="s">
        <v>785</v>
      </c>
      <c r="BE87" s="18" t="s">
        <v>774</v>
      </c>
      <c r="BF87" s="18" t="s">
        <v>77</v>
      </c>
      <c r="BG87" s="18">
        <v>1</v>
      </c>
      <c r="BH87" s="18">
        <v>27</v>
      </c>
      <c r="BI87" s="18">
        <v>0.0357</v>
      </c>
      <c r="BJ87" s="18">
        <v>1</v>
      </c>
      <c r="BK87" s="18">
        <v>5</v>
      </c>
      <c r="BL87" s="18">
        <v>98.6</v>
      </c>
      <c r="BM87" s="13">
        <f t="shared" si="0"/>
        <v>675</v>
      </c>
    </row>
    <row r="88" customHeight="1" spans="1:65">
      <c r="A88" s="18" t="s">
        <v>1420</v>
      </c>
      <c r="B88" s="18" t="s">
        <v>65</v>
      </c>
      <c r="C88" s="18" t="s">
        <v>1421</v>
      </c>
      <c r="D88" s="18">
        <v>695529052106</v>
      </c>
      <c r="E88" s="18" t="s">
        <v>163</v>
      </c>
      <c r="F88" s="18" t="s">
        <v>68</v>
      </c>
      <c r="G88" s="18" t="s">
        <v>65</v>
      </c>
      <c r="H88" s="18" t="s">
        <v>69</v>
      </c>
      <c r="I88" s="18" t="s">
        <v>85</v>
      </c>
      <c r="J88" s="18">
        <v>5</v>
      </c>
      <c r="K88" s="16">
        <v>419.99</v>
      </c>
      <c r="L88" s="10"/>
      <c r="M88" s="16">
        <v>0</v>
      </c>
      <c r="N88" s="16">
        <v>0</v>
      </c>
      <c r="O88" s="18">
        <v>0</v>
      </c>
      <c r="P88" s="18" t="s">
        <v>71</v>
      </c>
      <c r="Q88" s="18">
        <v>6.042609</v>
      </c>
      <c r="R88" s="10"/>
      <c r="S88" s="16">
        <v>18</v>
      </c>
      <c r="T88" s="16">
        <v>10</v>
      </c>
      <c r="U88" s="18" t="s">
        <v>1420</v>
      </c>
      <c r="V88" s="18" t="s">
        <v>65</v>
      </c>
      <c r="W88" s="18" t="s">
        <v>1421</v>
      </c>
      <c r="X88" s="18">
        <v>695529052107</v>
      </c>
      <c r="Y88" s="18" t="s">
        <v>163</v>
      </c>
      <c r="Z88" s="18" t="s">
        <v>68</v>
      </c>
      <c r="AA88" s="18" t="s">
        <v>65</v>
      </c>
      <c r="AB88" s="18" t="s">
        <v>69</v>
      </c>
      <c r="AC88" s="18" t="s">
        <v>85</v>
      </c>
      <c r="AD88" s="18">
        <v>834.98</v>
      </c>
      <c r="AE88" s="18">
        <v>0</v>
      </c>
      <c r="AF88" s="18">
        <v>0</v>
      </c>
      <c r="AG88" s="18">
        <v>1</v>
      </c>
      <c r="AH88" s="18">
        <v>1</v>
      </c>
      <c r="AI88" s="18">
        <v>0</v>
      </c>
      <c r="AJ88" s="18">
        <v>0</v>
      </c>
      <c r="AK88" s="18">
        <v>0</v>
      </c>
      <c r="AL88" s="18">
        <v>0</v>
      </c>
      <c r="AM88" s="18">
        <v>0</v>
      </c>
      <c r="AN88" s="18">
        <v>0</v>
      </c>
      <c r="AO88" s="18">
        <v>0</v>
      </c>
      <c r="AP88" s="18">
        <v>0</v>
      </c>
      <c r="AQ88" s="18">
        <v>1</v>
      </c>
      <c r="AR88" s="18">
        <v>0</v>
      </c>
      <c r="AS88" s="18">
        <v>0</v>
      </c>
      <c r="AT88" s="18">
        <v>0</v>
      </c>
      <c r="AU88" s="18">
        <v>0</v>
      </c>
      <c r="AV88" s="18">
        <v>1</v>
      </c>
      <c r="AW88" s="18">
        <v>0</v>
      </c>
      <c r="AX88" s="18">
        <v>0</v>
      </c>
      <c r="AY88" s="13"/>
      <c r="AZ88" s="18">
        <v>1</v>
      </c>
      <c r="BA88" s="18">
        <v>2</v>
      </c>
      <c r="BB88" s="18">
        <v>55.57</v>
      </c>
      <c r="BC88" s="18" t="s">
        <v>784</v>
      </c>
      <c r="BD88" s="18" t="s">
        <v>785</v>
      </c>
      <c r="BE88" s="18" t="s">
        <v>774</v>
      </c>
      <c r="BF88" s="18" t="s">
        <v>77</v>
      </c>
      <c r="BG88" s="18">
        <v>1</v>
      </c>
      <c r="BH88" s="18">
        <v>27</v>
      </c>
      <c r="BI88" s="18">
        <v>0.0357</v>
      </c>
      <c r="BJ88" s="18">
        <v>1</v>
      </c>
      <c r="BK88" s="18">
        <v>2</v>
      </c>
      <c r="BL88" s="18">
        <v>99.5</v>
      </c>
      <c r="BM88" s="13">
        <f t="shared" si="0"/>
        <v>7559.82</v>
      </c>
    </row>
    <row r="89" customHeight="1" spans="1:65">
      <c r="A89" s="18" t="s">
        <v>1860</v>
      </c>
      <c r="B89" s="18" t="s">
        <v>65</v>
      </c>
      <c r="C89" s="18" t="s">
        <v>1861</v>
      </c>
      <c r="D89" s="13"/>
      <c r="E89" s="18" t="s">
        <v>163</v>
      </c>
      <c r="F89" s="18" t="s">
        <v>82</v>
      </c>
      <c r="G89" s="18" t="s">
        <v>65</v>
      </c>
      <c r="H89" s="18" t="s">
        <v>69</v>
      </c>
      <c r="I89" s="18" t="s">
        <v>85</v>
      </c>
      <c r="J89" s="18">
        <v>5</v>
      </c>
      <c r="K89" s="16">
        <v>110.99</v>
      </c>
      <c r="L89" s="10"/>
      <c r="M89" s="16">
        <v>0</v>
      </c>
      <c r="N89" s="16">
        <v>0</v>
      </c>
      <c r="O89" s="18">
        <v>0</v>
      </c>
      <c r="P89" s="18" t="s">
        <v>95</v>
      </c>
      <c r="Q89" s="18">
        <v>4.71841</v>
      </c>
      <c r="R89" s="10"/>
      <c r="S89" s="16">
        <v>7</v>
      </c>
      <c r="T89" s="16">
        <v>10</v>
      </c>
      <c r="U89" s="18" t="s">
        <v>1860</v>
      </c>
      <c r="V89" s="18" t="s">
        <v>65</v>
      </c>
      <c r="W89" s="18" t="s">
        <v>1861</v>
      </c>
      <c r="X89" s="13"/>
      <c r="Y89" s="18" t="s">
        <v>163</v>
      </c>
      <c r="Z89" s="18" t="s">
        <v>82</v>
      </c>
      <c r="AA89" s="18" t="s">
        <v>65</v>
      </c>
      <c r="AB89" s="18" t="s">
        <v>69</v>
      </c>
      <c r="AC89" s="18" t="s">
        <v>85</v>
      </c>
      <c r="AD89" s="18">
        <v>216.98</v>
      </c>
      <c r="AE89" s="18">
        <v>0</v>
      </c>
      <c r="AF89" s="18">
        <v>0</v>
      </c>
      <c r="AG89" s="18">
        <v>1</v>
      </c>
      <c r="AH89" s="18">
        <v>0</v>
      </c>
      <c r="AI89" s="18">
        <v>0</v>
      </c>
      <c r="AJ89" s="18">
        <v>0</v>
      </c>
      <c r="AK89" s="18">
        <v>0</v>
      </c>
      <c r="AL89" s="18">
        <v>0</v>
      </c>
      <c r="AM89" s="18">
        <v>0</v>
      </c>
      <c r="AN89" s="18">
        <v>0</v>
      </c>
      <c r="AO89" s="18">
        <v>0</v>
      </c>
      <c r="AP89" s="18">
        <v>0</v>
      </c>
      <c r="AQ89" s="18">
        <v>0</v>
      </c>
      <c r="AR89" s="18">
        <v>0</v>
      </c>
      <c r="AS89" s="18">
        <v>0</v>
      </c>
      <c r="AT89" s="18">
        <v>0</v>
      </c>
      <c r="AU89" s="18">
        <v>0</v>
      </c>
      <c r="AV89" s="18">
        <v>0</v>
      </c>
      <c r="AW89" s="18">
        <v>0</v>
      </c>
      <c r="AX89" s="18">
        <v>0</v>
      </c>
      <c r="AY89" s="13"/>
      <c r="AZ89" s="18">
        <v>1</v>
      </c>
      <c r="BA89" s="18">
        <v>0</v>
      </c>
      <c r="BB89" s="18">
        <v>46.32</v>
      </c>
      <c r="BC89" s="18" t="s">
        <v>784</v>
      </c>
      <c r="BD89" s="18" t="s">
        <v>785</v>
      </c>
      <c r="BE89" s="18" t="s">
        <v>774</v>
      </c>
      <c r="BF89" s="18" t="s">
        <v>77</v>
      </c>
      <c r="BG89" s="18">
        <v>1</v>
      </c>
      <c r="BH89" s="18">
        <v>27</v>
      </c>
      <c r="BI89" s="18">
        <v>0.0357</v>
      </c>
      <c r="BJ89" s="18">
        <v>1</v>
      </c>
      <c r="BK89" s="18">
        <v>2</v>
      </c>
      <c r="BL89" s="18">
        <v>99.5</v>
      </c>
      <c r="BM89" s="13">
        <f t="shared" si="0"/>
        <v>776.93</v>
      </c>
    </row>
    <row r="90" customHeight="1" spans="1:65">
      <c r="A90" s="18" t="s">
        <v>1957</v>
      </c>
      <c r="B90" s="18" t="s">
        <v>65</v>
      </c>
      <c r="C90" s="18" t="s">
        <v>1958</v>
      </c>
      <c r="D90" s="13"/>
      <c r="E90" s="18" t="s">
        <v>163</v>
      </c>
      <c r="F90" s="18" t="s">
        <v>82</v>
      </c>
      <c r="G90" s="18" t="s">
        <v>65</v>
      </c>
      <c r="H90" s="18" t="s">
        <v>69</v>
      </c>
      <c r="I90" s="18" t="s">
        <v>85</v>
      </c>
      <c r="J90" s="18">
        <v>5</v>
      </c>
      <c r="K90" s="16">
        <v>219.99</v>
      </c>
      <c r="L90" s="10"/>
      <c r="M90" s="16">
        <v>0</v>
      </c>
      <c r="N90" s="16">
        <v>0</v>
      </c>
      <c r="O90" s="18">
        <v>0</v>
      </c>
      <c r="P90" s="18" t="s">
        <v>71</v>
      </c>
      <c r="Q90" s="18">
        <v>5.398117</v>
      </c>
      <c r="R90" s="10"/>
      <c r="S90" s="16">
        <v>3</v>
      </c>
      <c r="T90" s="16">
        <v>10</v>
      </c>
      <c r="U90" s="18" t="s">
        <v>1957</v>
      </c>
      <c r="V90" s="18" t="s">
        <v>65</v>
      </c>
      <c r="W90" s="18" t="s">
        <v>1958</v>
      </c>
      <c r="X90" s="13"/>
      <c r="Y90" s="18" t="s">
        <v>163</v>
      </c>
      <c r="Z90" s="18" t="s">
        <v>82</v>
      </c>
      <c r="AA90" s="18" t="s">
        <v>65</v>
      </c>
      <c r="AB90" s="18" t="s">
        <v>69</v>
      </c>
      <c r="AC90" s="18" t="s">
        <v>85</v>
      </c>
      <c r="AD90" s="18">
        <v>434.98</v>
      </c>
      <c r="AE90" s="18">
        <v>0</v>
      </c>
      <c r="AF90" s="18">
        <v>0</v>
      </c>
      <c r="AG90" s="18">
        <v>0</v>
      </c>
      <c r="AH90" s="18">
        <v>1</v>
      </c>
      <c r="AI90" s="18">
        <v>0</v>
      </c>
      <c r="AJ90" s="18">
        <v>0</v>
      </c>
      <c r="AK90" s="18">
        <v>0</v>
      </c>
      <c r="AL90" s="18">
        <v>0</v>
      </c>
      <c r="AM90" s="18">
        <v>0</v>
      </c>
      <c r="AN90" s="18">
        <v>0</v>
      </c>
      <c r="AO90" s="18">
        <v>0</v>
      </c>
      <c r="AP90" s="18">
        <v>1</v>
      </c>
      <c r="AQ90" s="18">
        <v>0</v>
      </c>
      <c r="AR90" s="18">
        <v>0</v>
      </c>
      <c r="AS90" s="18">
        <v>0</v>
      </c>
      <c r="AT90" s="18">
        <v>1</v>
      </c>
      <c r="AU90" s="18">
        <v>1</v>
      </c>
      <c r="AV90" s="18">
        <v>0</v>
      </c>
      <c r="AW90" s="18">
        <v>0</v>
      </c>
      <c r="AX90" s="18">
        <v>0</v>
      </c>
      <c r="AY90" s="13"/>
      <c r="AZ90" s="18">
        <v>1</v>
      </c>
      <c r="BA90" s="18">
        <v>1</v>
      </c>
      <c r="BB90" s="18">
        <v>39.08</v>
      </c>
      <c r="BC90" s="18" t="s">
        <v>784</v>
      </c>
      <c r="BD90" s="18" t="s">
        <v>785</v>
      </c>
      <c r="BE90" s="18" t="s">
        <v>774</v>
      </c>
      <c r="BF90" s="18" t="s">
        <v>77</v>
      </c>
      <c r="BG90" s="18">
        <v>1</v>
      </c>
      <c r="BH90" s="18">
        <v>23</v>
      </c>
      <c r="BI90" s="18">
        <v>0.0417</v>
      </c>
      <c r="BJ90" s="18">
        <v>1</v>
      </c>
      <c r="BK90" s="18">
        <v>2</v>
      </c>
      <c r="BL90" s="18">
        <v>99.5</v>
      </c>
      <c r="BM90" s="13">
        <f t="shared" si="0"/>
        <v>659.97</v>
      </c>
    </row>
    <row r="91" customHeight="1" spans="1:65">
      <c r="A91" s="18" t="s">
        <v>2296</v>
      </c>
      <c r="B91" s="18" t="s">
        <v>65</v>
      </c>
      <c r="C91" s="18" t="s">
        <v>2297</v>
      </c>
      <c r="D91" s="18">
        <v>695529059501</v>
      </c>
      <c r="E91" s="18" t="s">
        <v>163</v>
      </c>
      <c r="F91" s="18" t="s">
        <v>160</v>
      </c>
      <c r="G91" s="18" t="s">
        <v>65</v>
      </c>
      <c r="H91" s="18" t="s">
        <v>69</v>
      </c>
      <c r="I91" s="18" t="s">
        <v>85</v>
      </c>
      <c r="J91" s="18">
        <v>5</v>
      </c>
      <c r="K91" s="16">
        <v>934.99</v>
      </c>
      <c r="L91" s="10"/>
      <c r="M91" s="16">
        <v>0</v>
      </c>
      <c r="N91" s="16">
        <v>0</v>
      </c>
      <c r="O91" s="18">
        <v>0</v>
      </c>
      <c r="P91" s="18" t="s">
        <v>147</v>
      </c>
      <c r="Q91" s="18">
        <v>6.841605</v>
      </c>
      <c r="R91" s="16">
        <v>58.44</v>
      </c>
      <c r="S91" s="16">
        <v>1</v>
      </c>
      <c r="T91" s="16">
        <v>10</v>
      </c>
      <c r="U91" s="18" t="s">
        <v>2296</v>
      </c>
      <c r="V91" s="18" t="s">
        <v>65</v>
      </c>
      <c r="W91" s="18" t="s">
        <v>2297</v>
      </c>
      <c r="X91" s="18">
        <v>695529059502</v>
      </c>
      <c r="Y91" s="18" t="s">
        <v>163</v>
      </c>
      <c r="Z91" s="18" t="s">
        <v>160</v>
      </c>
      <c r="AA91" s="18" t="s">
        <v>65</v>
      </c>
      <c r="AB91" s="18" t="s">
        <v>69</v>
      </c>
      <c r="AC91" s="18" t="s">
        <v>85</v>
      </c>
      <c r="AD91" s="18">
        <v>1864.98</v>
      </c>
      <c r="AE91" s="18">
        <v>0</v>
      </c>
      <c r="AF91" s="18">
        <v>0</v>
      </c>
      <c r="AG91" s="18">
        <v>1</v>
      </c>
      <c r="AH91" s="18">
        <v>1</v>
      </c>
      <c r="AI91" s="18">
        <v>0</v>
      </c>
      <c r="AJ91" s="18">
        <v>0</v>
      </c>
      <c r="AK91" s="18">
        <v>0</v>
      </c>
      <c r="AL91" s="18">
        <v>0</v>
      </c>
      <c r="AM91" s="18">
        <v>0</v>
      </c>
      <c r="AN91" s="18">
        <v>0</v>
      </c>
      <c r="AO91" s="18">
        <v>0</v>
      </c>
      <c r="AP91" s="18">
        <v>0</v>
      </c>
      <c r="AQ91" s="18">
        <v>1</v>
      </c>
      <c r="AR91" s="18">
        <v>0</v>
      </c>
      <c r="AS91" s="18">
        <v>0</v>
      </c>
      <c r="AT91" s="18">
        <v>0</v>
      </c>
      <c r="AU91" s="18">
        <v>0</v>
      </c>
      <c r="AV91" s="18">
        <v>1</v>
      </c>
      <c r="AW91" s="18">
        <v>1</v>
      </c>
      <c r="AX91" s="18">
        <v>0</v>
      </c>
      <c r="AY91" s="18">
        <v>16</v>
      </c>
      <c r="AZ91" s="18">
        <v>1</v>
      </c>
      <c r="BA91" s="18">
        <v>2</v>
      </c>
      <c r="BB91" s="18">
        <v>33.49</v>
      </c>
      <c r="BC91" s="18" t="s">
        <v>784</v>
      </c>
      <c r="BD91" s="18" t="s">
        <v>785</v>
      </c>
      <c r="BE91" s="18" t="s">
        <v>774</v>
      </c>
      <c r="BF91" s="18" t="s">
        <v>77</v>
      </c>
      <c r="BG91" s="18">
        <v>1</v>
      </c>
      <c r="BH91" s="18">
        <v>27</v>
      </c>
      <c r="BI91" s="18">
        <v>0.0357</v>
      </c>
      <c r="BJ91" s="18">
        <v>1</v>
      </c>
      <c r="BK91" s="18">
        <v>2</v>
      </c>
      <c r="BL91" s="18">
        <v>99.5</v>
      </c>
      <c r="BM91" s="13">
        <f t="shared" si="0"/>
        <v>934.99</v>
      </c>
    </row>
    <row r="92" customHeight="1" spans="1:65">
      <c r="A92" s="18" t="s">
        <v>2465</v>
      </c>
      <c r="B92" s="18" t="s">
        <v>65</v>
      </c>
      <c r="C92" s="18" t="s">
        <v>2466</v>
      </c>
      <c r="D92" s="13"/>
      <c r="E92" s="18" t="s">
        <v>163</v>
      </c>
      <c r="F92" s="18" t="s">
        <v>82</v>
      </c>
      <c r="G92" s="18" t="s">
        <v>65</v>
      </c>
      <c r="H92" s="18" t="s">
        <v>69</v>
      </c>
      <c r="I92" s="18" t="s">
        <v>85</v>
      </c>
      <c r="J92" s="18">
        <v>5</v>
      </c>
      <c r="K92" s="16">
        <v>99.99</v>
      </c>
      <c r="L92" s="10"/>
      <c r="M92" s="16">
        <v>0</v>
      </c>
      <c r="N92" s="16">
        <v>0</v>
      </c>
      <c r="O92" s="18">
        <v>0</v>
      </c>
      <c r="P92" s="18" t="s">
        <v>95</v>
      </c>
      <c r="Q92" s="18">
        <v>4.615022</v>
      </c>
      <c r="R92" s="10"/>
      <c r="S92" s="16">
        <v>2</v>
      </c>
      <c r="T92" s="16">
        <v>10</v>
      </c>
      <c r="U92" s="18" t="s">
        <v>2465</v>
      </c>
      <c r="V92" s="18" t="s">
        <v>65</v>
      </c>
      <c r="W92" s="18" t="s">
        <v>2466</v>
      </c>
      <c r="X92" s="13"/>
      <c r="Y92" s="18" t="s">
        <v>163</v>
      </c>
      <c r="Z92" s="18" t="s">
        <v>82</v>
      </c>
      <c r="AA92" s="18" t="s">
        <v>65</v>
      </c>
      <c r="AB92" s="18" t="s">
        <v>69</v>
      </c>
      <c r="AC92" s="18" t="s">
        <v>85</v>
      </c>
      <c r="AD92" s="18">
        <v>194.98</v>
      </c>
      <c r="AE92" s="18">
        <v>0</v>
      </c>
      <c r="AF92" s="18">
        <v>0</v>
      </c>
      <c r="AG92" s="18">
        <v>0</v>
      </c>
      <c r="AH92" s="18">
        <v>1</v>
      </c>
      <c r="AI92" s="18">
        <v>0</v>
      </c>
      <c r="AJ92" s="18">
        <v>0</v>
      </c>
      <c r="AK92" s="18">
        <v>1</v>
      </c>
      <c r="AL92" s="18">
        <v>0</v>
      </c>
      <c r="AM92" s="18">
        <v>0</v>
      </c>
      <c r="AN92" s="18">
        <v>0</v>
      </c>
      <c r="AO92" s="18">
        <v>0</v>
      </c>
      <c r="AP92" s="18">
        <v>0</v>
      </c>
      <c r="AQ92" s="18">
        <v>0</v>
      </c>
      <c r="AR92" s="18">
        <v>0</v>
      </c>
      <c r="AS92" s="18">
        <v>0</v>
      </c>
      <c r="AT92" s="18">
        <v>0</v>
      </c>
      <c r="AU92" s="18">
        <v>1</v>
      </c>
      <c r="AV92" s="18">
        <v>0</v>
      </c>
      <c r="AW92" s="18">
        <v>0</v>
      </c>
      <c r="AX92" s="18">
        <v>0</v>
      </c>
      <c r="AY92" s="13"/>
      <c r="AZ92" s="18">
        <v>1</v>
      </c>
      <c r="BA92" s="18">
        <v>2</v>
      </c>
      <c r="BB92" s="18">
        <v>36.52</v>
      </c>
      <c r="BC92" s="18" t="s">
        <v>784</v>
      </c>
      <c r="BD92" s="18" t="s">
        <v>785</v>
      </c>
      <c r="BE92" s="18" t="s">
        <v>774</v>
      </c>
      <c r="BF92" s="18" t="s">
        <v>77</v>
      </c>
      <c r="BG92" s="18">
        <v>1</v>
      </c>
      <c r="BH92" s="18">
        <v>27</v>
      </c>
      <c r="BI92" s="18">
        <v>0.0357</v>
      </c>
      <c r="BJ92" s="18">
        <v>1</v>
      </c>
      <c r="BK92" s="18">
        <v>2</v>
      </c>
      <c r="BL92" s="18">
        <v>99.5</v>
      </c>
      <c r="BM92" s="13">
        <f t="shared" si="0"/>
        <v>199.98</v>
      </c>
    </row>
    <row r="93" customHeight="1" spans="1:65">
      <c r="A93" s="18" t="s">
        <v>1111</v>
      </c>
      <c r="B93" s="18" t="s">
        <v>65</v>
      </c>
      <c r="C93" s="18" t="s">
        <v>1112</v>
      </c>
      <c r="D93" s="13"/>
      <c r="E93" s="18" t="s">
        <v>163</v>
      </c>
      <c r="F93" s="18" t="s">
        <v>82</v>
      </c>
      <c r="G93" s="18" t="s">
        <v>65</v>
      </c>
      <c r="H93" s="18" t="s">
        <v>69</v>
      </c>
      <c r="I93" s="18" t="s">
        <v>203</v>
      </c>
      <c r="J93" s="18">
        <v>4</v>
      </c>
      <c r="K93" s="16">
        <v>99.99</v>
      </c>
      <c r="L93" s="10"/>
      <c r="M93" s="16">
        <v>0</v>
      </c>
      <c r="N93" s="16">
        <v>0</v>
      </c>
      <c r="O93" s="18">
        <v>0</v>
      </c>
      <c r="P93" s="18" t="s">
        <v>95</v>
      </c>
      <c r="Q93" s="18">
        <v>4.615022</v>
      </c>
      <c r="R93" s="10"/>
      <c r="S93" s="16">
        <v>9</v>
      </c>
      <c r="T93" s="16">
        <v>10</v>
      </c>
      <c r="U93" s="18" t="s">
        <v>1111</v>
      </c>
      <c r="V93" s="18" t="s">
        <v>65</v>
      </c>
      <c r="W93" s="18" t="s">
        <v>1112</v>
      </c>
      <c r="X93" s="13"/>
      <c r="Y93" s="18" t="s">
        <v>163</v>
      </c>
      <c r="Z93" s="18" t="s">
        <v>82</v>
      </c>
      <c r="AA93" s="18" t="s">
        <v>65</v>
      </c>
      <c r="AB93" s="18" t="s">
        <v>69</v>
      </c>
      <c r="AC93" s="18" t="s">
        <v>203</v>
      </c>
      <c r="AD93" s="18">
        <v>195.98</v>
      </c>
      <c r="AE93" s="18">
        <v>0</v>
      </c>
      <c r="AF93" s="18">
        <v>1</v>
      </c>
      <c r="AG93" s="18">
        <v>0</v>
      </c>
      <c r="AH93" s="18">
        <v>1</v>
      </c>
      <c r="AI93" s="18">
        <v>0</v>
      </c>
      <c r="AJ93" s="18">
        <v>0</v>
      </c>
      <c r="AK93" s="18">
        <v>0</v>
      </c>
      <c r="AL93" s="18">
        <v>0</v>
      </c>
      <c r="AM93" s="18">
        <v>0</v>
      </c>
      <c r="AN93" s="18">
        <v>0</v>
      </c>
      <c r="AO93" s="18">
        <v>0</v>
      </c>
      <c r="AP93" s="18">
        <v>0</v>
      </c>
      <c r="AQ93" s="18">
        <v>0</v>
      </c>
      <c r="AR93" s="18">
        <v>0</v>
      </c>
      <c r="AS93" s="18">
        <v>1</v>
      </c>
      <c r="AT93" s="18">
        <v>0</v>
      </c>
      <c r="AU93" s="18">
        <v>0</v>
      </c>
      <c r="AV93" s="18">
        <v>0</v>
      </c>
      <c r="AW93" s="18">
        <v>0</v>
      </c>
      <c r="AX93" s="18">
        <v>1</v>
      </c>
      <c r="AY93" s="13"/>
      <c r="AZ93" s="18">
        <v>1</v>
      </c>
      <c r="BA93" s="18">
        <v>1</v>
      </c>
      <c r="BB93" s="18">
        <v>48.8</v>
      </c>
      <c r="BC93" s="18" t="s">
        <v>784</v>
      </c>
      <c r="BD93" s="18" t="s">
        <v>785</v>
      </c>
      <c r="BE93" s="18" t="s">
        <v>774</v>
      </c>
      <c r="BF93" s="18" t="s">
        <v>77</v>
      </c>
      <c r="BG93" s="18">
        <v>1</v>
      </c>
      <c r="BH93" s="18">
        <v>27</v>
      </c>
      <c r="BI93" s="18">
        <v>0.0357</v>
      </c>
      <c r="BJ93" s="18">
        <v>1</v>
      </c>
      <c r="BK93" s="18">
        <v>2</v>
      </c>
      <c r="BL93" s="18">
        <v>99.5</v>
      </c>
      <c r="BM93" s="13">
        <f t="shared" si="0"/>
        <v>899.91</v>
      </c>
    </row>
    <row r="94" customHeight="1" spans="1:65">
      <c r="A94" s="18" t="s">
        <v>1355</v>
      </c>
      <c r="B94" s="18" t="s">
        <v>65</v>
      </c>
      <c r="C94" s="18" t="s">
        <v>1356</v>
      </c>
      <c r="D94" s="18">
        <v>695529059310</v>
      </c>
      <c r="E94" s="18" t="s">
        <v>163</v>
      </c>
      <c r="F94" s="18" t="s">
        <v>160</v>
      </c>
      <c r="G94" s="18" t="s">
        <v>65</v>
      </c>
      <c r="H94" s="18" t="s">
        <v>69</v>
      </c>
      <c r="I94" s="18" t="s">
        <v>203</v>
      </c>
      <c r="J94" s="18">
        <v>4</v>
      </c>
      <c r="K94" s="16">
        <v>274.99</v>
      </c>
      <c r="L94" s="10"/>
      <c r="M94" s="16">
        <v>0</v>
      </c>
      <c r="N94" s="16">
        <v>0</v>
      </c>
      <c r="O94" s="18">
        <v>0</v>
      </c>
      <c r="P94" s="18" t="s">
        <v>71</v>
      </c>
      <c r="Q94" s="18">
        <v>5.620365</v>
      </c>
      <c r="R94" s="10"/>
      <c r="S94" s="16">
        <v>61</v>
      </c>
      <c r="T94" s="16">
        <v>5</v>
      </c>
      <c r="U94" s="18" t="s">
        <v>1355</v>
      </c>
      <c r="V94" s="18" t="s">
        <v>65</v>
      </c>
      <c r="W94" s="18" t="s">
        <v>1356</v>
      </c>
      <c r="X94" s="18">
        <v>695529059311</v>
      </c>
      <c r="Y94" s="18" t="s">
        <v>163</v>
      </c>
      <c r="Z94" s="18" t="s">
        <v>160</v>
      </c>
      <c r="AA94" s="18" t="s">
        <v>65</v>
      </c>
      <c r="AB94" s="18" t="s">
        <v>69</v>
      </c>
      <c r="AC94" s="18" t="s">
        <v>203</v>
      </c>
      <c r="AD94" s="18">
        <v>545.98</v>
      </c>
      <c r="AE94" s="18">
        <v>0</v>
      </c>
      <c r="AF94" s="18">
        <v>0</v>
      </c>
      <c r="AG94" s="18">
        <v>1</v>
      </c>
      <c r="AH94" s="18">
        <v>1</v>
      </c>
      <c r="AI94" s="18">
        <v>0</v>
      </c>
      <c r="AJ94" s="18">
        <v>0</v>
      </c>
      <c r="AK94" s="18">
        <v>0</v>
      </c>
      <c r="AL94" s="18">
        <v>0</v>
      </c>
      <c r="AM94" s="18">
        <v>0</v>
      </c>
      <c r="AN94" s="18">
        <v>0</v>
      </c>
      <c r="AO94" s="18">
        <v>0</v>
      </c>
      <c r="AP94" s="18">
        <v>0</v>
      </c>
      <c r="AQ94" s="18">
        <v>1</v>
      </c>
      <c r="AR94" s="18">
        <v>0</v>
      </c>
      <c r="AS94" s="18">
        <v>0</v>
      </c>
      <c r="AT94" s="18">
        <v>0</v>
      </c>
      <c r="AU94" s="18">
        <v>0</v>
      </c>
      <c r="AV94" s="18">
        <v>1</v>
      </c>
      <c r="AW94" s="18">
        <v>0</v>
      </c>
      <c r="AX94" s="18">
        <v>1</v>
      </c>
      <c r="AY94" s="13"/>
      <c r="AZ94" s="18">
        <v>1</v>
      </c>
      <c r="BA94" s="18">
        <v>2</v>
      </c>
      <c r="BB94" s="18">
        <v>66.82</v>
      </c>
      <c r="BC94" s="18" t="s">
        <v>784</v>
      </c>
      <c r="BD94" s="18" t="s">
        <v>785</v>
      </c>
      <c r="BE94" s="18" t="s">
        <v>774</v>
      </c>
      <c r="BF94" s="18" t="s">
        <v>77</v>
      </c>
      <c r="BG94" s="18">
        <v>1</v>
      </c>
      <c r="BH94" s="18">
        <v>27</v>
      </c>
      <c r="BI94" s="18">
        <v>0.0357</v>
      </c>
      <c r="BJ94" s="18">
        <v>1</v>
      </c>
      <c r="BK94" s="18">
        <v>2</v>
      </c>
      <c r="BL94" s="18">
        <v>99.5</v>
      </c>
      <c r="BM94" s="13">
        <f t="shared" si="0"/>
        <v>16774.39</v>
      </c>
    </row>
    <row r="95" customHeight="1" spans="1:65">
      <c r="A95" s="18" t="s">
        <v>1805</v>
      </c>
      <c r="B95" s="18" t="s">
        <v>65</v>
      </c>
      <c r="C95" s="18" t="s">
        <v>1806</v>
      </c>
      <c r="D95" s="18">
        <v>695529063782</v>
      </c>
      <c r="E95" s="18" t="s">
        <v>163</v>
      </c>
      <c r="F95" s="18" t="s">
        <v>160</v>
      </c>
      <c r="G95" s="18" t="s">
        <v>65</v>
      </c>
      <c r="H95" s="18" t="s">
        <v>69</v>
      </c>
      <c r="I95" s="18" t="s">
        <v>203</v>
      </c>
      <c r="J95" s="18">
        <v>4</v>
      </c>
      <c r="K95" s="16">
        <v>341.99</v>
      </c>
      <c r="L95" s="10"/>
      <c r="M95" s="16">
        <v>0</v>
      </c>
      <c r="N95" s="16">
        <v>0</v>
      </c>
      <c r="O95" s="18">
        <v>0</v>
      </c>
      <c r="P95" s="18" t="s">
        <v>71</v>
      </c>
      <c r="Q95" s="18">
        <v>5.837701</v>
      </c>
      <c r="R95" s="10"/>
      <c r="S95" s="16">
        <v>17</v>
      </c>
      <c r="T95" s="16">
        <v>5</v>
      </c>
      <c r="U95" s="18" t="s">
        <v>1805</v>
      </c>
      <c r="V95" s="18" t="s">
        <v>65</v>
      </c>
      <c r="W95" s="18" t="s">
        <v>1806</v>
      </c>
      <c r="X95" s="18">
        <v>695529063783</v>
      </c>
      <c r="Y95" s="18" t="s">
        <v>163</v>
      </c>
      <c r="Z95" s="18" t="s">
        <v>160</v>
      </c>
      <c r="AA95" s="18" t="s">
        <v>65</v>
      </c>
      <c r="AB95" s="18" t="s">
        <v>69</v>
      </c>
      <c r="AC95" s="18" t="s">
        <v>203</v>
      </c>
      <c r="AD95" s="18">
        <v>679.98</v>
      </c>
      <c r="AE95" s="18">
        <v>0</v>
      </c>
      <c r="AF95" s="18">
        <v>0</v>
      </c>
      <c r="AG95" s="18">
        <v>1</v>
      </c>
      <c r="AH95" s="18">
        <v>1</v>
      </c>
      <c r="AI95" s="18">
        <v>0</v>
      </c>
      <c r="AJ95" s="18">
        <v>0</v>
      </c>
      <c r="AK95" s="18">
        <v>0</v>
      </c>
      <c r="AL95" s="18">
        <v>0</v>
      </c>
      <c r="AM95" s="18">
        <v>0</v>
      </c>
      <c r="AN95" s="18">
        <v>0</v>
      </c>
      <c r="AO95" s="18">
        <v>0</v>
      </c>
      <c r="AP95" s="18">
        <v>0</v>
      </c>
      <c r="AQ95" s="18">
        <v>1</v>
      </c>
      <c r="AR95" s="18">
        <v>0</v>
      </c>
      <c r="AS95" s="18">
        <v>0</v>
      </c>
      <c r="AT95" s="18">
        <v>0</v>
      </c>
      <c r="AU95" s="18">
        <v>0</v>
      </c>
      <c r="AV95" s="18">
        <v>1</v>
      </c>
      <c r="AW95" s="18">
        <v>0</v>
      </c>
      <c r="AX95" s="18">
        <v>1</v>
      </c>
      <c r="AY95" s="13"/>
      <c r="AZ95" s="18">
        <v>1</v>
      </c>
      <c r="BA95" s="18">
        <v>2</v>
      </c>
      <c r="BB95" s="18">
        <v>60.76</v>
      </c>
      <c r="BC95" s="18" t="s">
        <v>784</v>
      </c>
      <c r="BD95" s="18" t="s">
        <v>785</v>
      </c>
      <c r="BE95" s="18" t="s">
        <v>774</v>
      </c>
      <c r="BF95" s="18" t="s">
        <v>77</v>
      </c>
      <c r="BG95" s="18">
        <v>1</v>
      </c>
      <c r="BH95" s="18">
        <v>27</v>
      </c>
      <c r="BI95" s="18">
        <v>0.0357</v>
      </c>
      <c r="BJ95" s="18">
        <v>1</v>
      </c>
      <c r="BK95" s="18">
        <v>2</v>
      </c>
      <c r="BL95" s="18">
        <v>99.5</v>
      </c>
      <c r="BM95" s="13">
        <f t="shared" si="0"/>
        <v>5813.83</v>
      </c>
    </row>
    <row r="96" customHeight="1" spans="1:65">
      <c r="A96" s="18" t="s">
        <v>2329</v>
      </c>
      <c r="B96" s="18" t="s">
        <v>65</v>
      </c>
      <c r="C96" s="18" t="s">
        <v>2330</v>
      </c>
      <c r="D96" s="18">
        <v>695529050584</v>
      </c>
      <c r="E96" s="18" t="s">
        <v>163</v>
      </c>
      <c r="F96" s="18" t="s">
        <v>82</v>
      </c>
      <c r="G96" s="18" t="s">
        <v>65</v>
      </c>
      <c r="H96" s="18" t="s">
        <v>69</v>
      </c>
      <c r="I96" s="18" t="s">
        <v>203</v>
      </c>
      <c r="J96" s="18">
        <v>4</v>
      </c>
      <c r="K96" s="16">
        <v>109.99</v>
      </c>
      <c r="L96" s="10"/>
      <c r="M96" s="16">
        <v>0</v>
      </c>
      <c r="N96" s="16">
        <v>0</v>
      </c>
      <c r="O96" s="18">
        <v>0</v>
      </c>
      <c r="P96" s="18" t="s">
        <v>95</v>
      </c>
      <c r="Q96" s="18">
        <v>4.70944</v>
      </c>
      <c r="R96" s="10"/>
      <c r="S96" s="16">
        <v>10</v>
      </c>
      <c r="T96" s="16">
        <v>5</v>
      </c>
      <c r="U96" s="18" t="s">
        <v>2329</v>
      </c>
      <c r="V96" s="18" t="s">
        <v>65</v>
      </c>
      <c r="W96" s="18" t="s">
        <v>2330</v>
      </c>
      <c r="X96" s="18">
        <v>695529050585</v>
      </c>
      <c r="Y96" s="18" t="s">
        <v>163</v>
      </c>
      <c r="Z96" s="18" t="s">
        <v>82</v>
      </c>
      <c r="AA96" s="18" t="s">
        <v>65</v>
      </c>
      <c r="AB96" s="18" t="s">
        <v>69</v>
      </c>
      <c r="AC96" s="18" t="s">
        <v>203</v>
      </c>
      <c r="AD96" s="18">
        <v>215.98</v>
      </c>
      <c r="AE96" s="18">
        <v>0</v>
      </c>
      <c r="AF96" s="18">
        <v>0</v>
      </c>
      <c r="AG96" s="18">
        <v>0</v>
      </c>
      <c r="AH96" s="18">
        <v>1</v>
      </c>
      <c r="AI96" s="18">
        <v>0</v>
      </c>
      <c r="AJ96" s="18">
        <v>0</v>
      </c>
      <c r="AK96" s="18">
        <v>0</v>
      </c>
      <c r="AL96" s="18">
        <v>0</v>
      </c>
      <c r="AM96" s="18">
        <v>0</v>
      </c>
      <c r="AN96" s="18">
        <v>0</v>
      </c>
      <c r="AO96" s="18">
        <v>0</v>
      </c>
      <c r="AP96" s="18">
        <v>1</v>
      </c>
      <c r="AQ96" s="18">
        <v>0</v>
      </c>
      <c r="AR96" s="18">
        <v>0</v>
      </c>
      <c r="AS96" s="18">
        <v>0</v>
      </c>
      <c r="AT96" s="18">
        <v>0</v>
      </c>
      <c r="AU96" s="18">
        <v>0</v>
      </c>
      <c r="AV96" s="18">
        <v>0</v>
      </c>
      <c r="AW96" s="18">
        <v>0</v>
      </c>
      <c r="AX96" s="18">
        <v>1</v>
      </c>
      <c r="AY96" s="13"/>
      <c r="AZ96" s="18">
        <v>1</v>
      </c>
      <c r="BA96" s="18">
        <v>1</v>
      </c>
      <c r="BB96" s="18">
        <v>56.52</v>
      </c>
      <c r="BC96" s="18" t="s">
        <v>784</v>
      </c>
      <c r="BD96" s="18" t="s">
        <v>785</v>
      </c>
      <c r="BE96" s="18" t="s">
        <v>774</v>
      </c>
      <c r="BF96" s="18" t="s">
        <v>77</v>
      </c>
      <c r="BG96" s="18">
        <v>1</v>
      </c>
      <c r="BH96" s="18">
        <v>27</v>
      </c>
      <c r="BI96" s="18">
        <v>0.0357</v>
      </c>
      <c r="BJ96" s="18">
        <v>1</v>
      </c>
      <c r="BK96" s="18">
        <v>2</v>
      </c>
      <c r="BL96" s="18">
        <v>99.5</v>
      </c>
      <c r="BM96" s="13">
        <f t="shared" si="0"/>
        <v>1099.9</v>
      </c>
    </row>
    <row r="97" customHeight="1" spans="1:65">
      <c r="A97" s="18" t="s">
        <v>1516</v>
      </c>
      <c r="B97" s="18" t="s">
        <v>65</v>
      </c>
      <c r="C97" s="18" t="s">
        <v>1517</v>
      </c>
      <c r="D97" s="13"/>
      <c r="E97" s="18" t="s">
        <v>163</v>
      </c>
      <c r="F97" s="18" t="s">
        <v>82</v>
      </c>
      <c r="G97" s="18" t="s">
        <v>65</v>
      </c>
      <c r="H97" s="18" t="s">
        <v>69</v>
      </c>
      <c r="I97" s="18" t="s">
        <v>153</v>
      </c>
      <c r="J97" s="18">
        <v>2</v>
      </c>
      <c r="K97" s="16">
        <v>79.99</v>
      </c>
      <c r="L97" s="10"/>
      <c r="M97" s="16">
        <v>0</v>
      </c>
      <c r="N97" s="16">
        <v>0</v>
      </c>
      <c r="O97" s="18">
        <v>0</v>
      </c>
      <c r="P97" s="18" t="s">
        <v>95</v>
      </c>
      <c r="Q97" s="18">
        <v>4.394326</v>
      </c>
      <c r="R97" s="10"/>
      <c r="S97" s="16">
        <v>31</v>
      </c>
      <c r="T97" s="16">
        <v>10</v>
      </c>
      <c r="U97" s="18" t="s">
        <v>1516</v>
      </c>
      <c r="V97" s="18" t="s">
        <v>65</v>
      </c>
      <c r="W97" s="18" t="s">
        <v>1517</v>
      </c>
      <c r="X97" s="13"/>
      <c r="Y97" s="18" t="s">
        <v>163</v>
      </c>
      <c r="Z97" s="18" t="s">
        <v>82</v>
      </c>
      <c r="AA97" s="18" t="s">
        <v>65</v>
      </c>
      <c r="AB97" s="18" t="s">
        <v>69</v>
      </c>
      <c r="AC97" s="18" t="s">
        <v>153</v>
      </c>
      <c r="AD97" s="18">
        <v>157.98</v>
      </c>
      <c r="AE97" s="18">
        <v>0</v>
      </c>
      <c r="AF97" s="18">
        <v>0</v>
      </c>
      <c r="AG97" s="18">
        <v>1</v>
      </c>
      <c r="AH97" s="18">
        <v>1</v>
      </c>
      <c r="AI97" s="18">
        <v>0</v>
      </c>
      <c r="AJ97" s="18">
        <v>0</v>
      </c>
      <c r="AK97" s="18">
        <v>0</v>
      </c>
      <c r="AL97" s="18">
        <v>0</v>
      </c>
      <c r="AM97" s="18">
        <v>0</v>
      </c>
      <c r="AN97" s="18">
        <v>0</v>
      </c>
      <c r="AO97" s="18">
        <v>0</v>
      </c>
      <c r="AP97" s="18">
        <v>0</v>
      </c>
      <c r="AQ97" s="18">
        <v>0</v>
      </c>
      <c r="AR97" s="18">
        <v>0</v>
      </c>
      <c r="AS97" s="18">
        <v>1</v>
      </c>
      <c r="AT97" s="18">
        <v>0</v>
      </c>
      <c r="AU97" s="18">
        <v>0</v>
      </c>
      <c r="AV97" s="18">
        <v>0</v>
      </c>
      <c r="AW97" s="18">
        <v>0</v>
      </c>
      <c r="AX97" s="18">
        <v>1</v>
      </c>
      <c r="AY97" s="13"/>
      <c r="AZ97" s="18">
        <v>1</v>
      </c>
      <c r="BA97" s="18">
        <v>1</v>
      </c>
      <c r="BB97" s="18">
        <v>60.09</v>
      </c>
      <c r="BC97" s="18" t="s">
        <v>784</v>
      </c>
      <c r="BD97" s="18" t="s">
        <v>785</v>
      </c>
      <c r="BE97" s="18" t="s">
        <v>774</v>
      </c>
      <c r="BF97" s="18" t="s">
        <v>77</v>
      </c>
      <c r="BG97" s="18">
        <v>1</v>
      </c>
      <c r="BH97" s="18">
        <v>27</v>
      </c>
      <c r="BI97" s="18">
        <v>0.0357</v>
      </c>
      <c r="BJ97" s="18">
        <v>1</v>
      </c>
      <c r="BK97" s="18">
        <v>2</v>
      </c>
      <c r="BL97" s="18">
        <v>99.5</v>
      </c>
      <c r="BM97" s="13">
        <f t="shared" si="0"/>
        <v>2479.69</v>
      </c>
    </row>
    <row r="98" customHeight="1" spans="1:65">
      <c r="A98" s="18" t="s">
        <v>786</v>
      </c>
      <c r="B98" s="18" t="s">
        <v>301</v>
      </c>
      <c r="C98" s="13"/>
      <c r="D98" s="13"/>
      <c r="E98" s="18" t="s">
        <v>302</v>
      </c>
      <c r="F98" s="18" t="s">
        <v>240</v>
      </c>
      <c r="G98" s="18" t="s">
        <v>83</v>
      </c>
      <c r="H98" s="18" t="s">
        <v>84</v>
      </c>
      <c r="I98" s="18" t="s">
        <v>153</v>
      </c>
      <c r="J98" s="18">
        <v>2</v>
      </c>
      <c r="K98" s="16">
        <v>265.5</v>
      </c>
      <c r="L98" s="16">
        <v>589.99</v>
      </c>
      <c r="M98" s="16">
        <v>55</v>
      </c>
      <c r="N98" s="16">
        <v>324.49</v>
      </c>
      <c r="O98" s="18">
        <v>1</v>
      </c>
      <c r="P98" s="18" t="s">
        <v>71</v>
      </c>
      <c r="Q98" s="18">
        <v>5.585374</v>
      </c>
      <c r="R98" s="16">
        <v>16.59</v>
      </c>
      <c r="S98" s="10"/>
      <c r="T98" s="16">
        <v>2</v>
      </c>
      <c r="U98" s="18" t="s">
        <v>2547</v>
      </c>
      <c r="V98" s="18" t="s">
        <v>301</v>
      </c>
      <c r="W98" s="13"/>
      <c r="X98" s="13"/>
      <c r="Y98" s="18" t="s">
        <v>302</v>
      </c>
      <c r="Z98" s="18" t="s">
        <v>240</v>
      </c>
      <c r="AA98" s="18" t="s">
        <v>83</v>
      </c>
      <c r="AB98" s="18" t="s">
        <v>84</v>
      </c>
      <c r="AC98" s="18" t="s">
        <v>153</v>
      </c>
      <c r="AD98" s="18">
        <v>170.028</v>
      </c>
      <c r="AE98" s="18">
        <v>0</v>
      </c>
      <c r="AF98" s="18">
        <v>0</v>
      </c>
      <c r="AG98" s="18">
        <v>0</v>
      </c>
      <c r="AH98" s="18">
        <v>0</v>
      </c>
      <c r="AI98" s="18">
        <v>0</v>
      </c>
      <c r="AJ98" s="18">
        <v>0</v>
      </c>
      <c r="AK98" s="18">
        <v>0</v>
      </c>
      <c r="AL98" s="18">
        <v>0</v>
      </c>
      <c r="AM98" s="18">
        <v>0</v>
      </c>
      <c r="AN98" s="18">
        <v>0</v>
      </c>
      <c r="AO98" s="18">
        <v>0</v>
      </c>
      <c r="AP98" s="18">
        <v>0</v>
      </c>
      <c r="AQ98" s="18">
        <v>1</v>
      </c>
      <c r="AR98" s="18">
        <v>0</v>
      </c>
      <c r="AS98" s="18">
        <v>0</v>
      </c>
      <c r="AT98" s="18">
        <v>0</v>
      </c>
      <c r="AU98" s="18">
        <v>0</v>
      </c>
      <c r="AV98" s="18">
        <v>1</v>
      </c>
      <c r="AW98" s="18">
        <v>1</v>
      </c>
      <c r="AX98" s="18">
        <v>0</v>
      </c>
      <c r="AY98" s="18">
        <v>16</v>
      </c>
      <c r="AZ98" s="18">
        <v>1</v>
      </c>
      <c r="BA98" s="18">
        <v>1</v>
      </c>
      <c r="BB98" s="18">
        <v>41.31</v>
      </c>
      <c r="BC98" s="18" t="s">
        <v>787</v>
      </c>
      <c r="BD98" s="18" t="s">
        <v>788</v>
      </c>
      <c r="BE98" s="18" t="s">
        <v>789</v>
      </c>
      <c r="BF98" s="18" t="s">
        <v>77</v>
      </c>
      <c r="BG98" s="18">
        <v>208</v>
      </c>
      <c r="BH98" s="18">
        <v>13</v>
      </c>
      <c r="BI98" s="18">
        <v>0.9412</v>
      </c>
      <c r="BJ98" s="18">
        <v>0</v>
      </c>
      <c r="BK98" s="18">
        <v>63</v>
      </c>
      <c r="BL98" s="18">
        <v>82.7</v>
      </c>
      <c r="BM98" s="13">
        <f t="shared" si="0"/>
        <v>0</v>
      </c>
    </row>
    <row r="99" customHeight="1" spans="1:65">
      <c r="A99" s="18" t="s">
        <v>790</v>
      </c>
      <c r="B99" s="18" t="s">
        <v>791</v>
      </c>
      <c r="C99" s="13"/>
      <c r="D99" s="13"/>
      <c r="E99" s="18" t="s">
        <v>653</v>
      </c>
      <c r="F99" s="18" t="s">
        <v>160</v>
      </c>
      <c r="G99" s="18" t="s">
        <v>83</v>
      </c>
      <c r="H99" s="18" t="s">
        <v>84</v>
      </c>
      <c r="I99" s="18" t="s">
        <v>85</v>
      </c>
      <c r="J99" s="18">
        <v>5</v>
      </c>
      <c r="K99" s="16">
        <v>13.29</v>
      </c>
      <c r="L99" s="10"/>
      <c r="M99" s="16">
        <v>0</v>
      </c>
      <c r="N99" s="16">
        <v>0</v>
      </c>
      <c r="O99" s="18">
        <v>0</v>
      </c>
      <c r="P99" s="18" t="s">
        <v>133</v>
      </c>
      <c r="Q99" s="18">
        <v>2.65956</v>
      </c>
      <c r="R99" s="10"/>
      <c r="S99" s="16">
        <v>54</v>
      </c>
      <c r="T99" s="16">
        <v>10</v>
      </c>
      <c r="U99" s="18" t="s">
        <v>790</v>
      </c>
      <c r="V99" s="18" t="s">
        <v>791</v>
      </c>
      <c r="W99" s="13"/>
      <c r="X99" s="13"/>
      <c r="Y99" s="18" t="s">
        <v>653</v>
      </c>
      <c r="Z99" s="18" t="s">
        <v>160</v>
      </c>
      <c r="AA99" s="18" t="s">
        <v>83</v>
      </c>
      <c r="AB99" s="18" t="s">
        <v>84</v>
      </c>
      <c r="AC99" s="18" t="s">
        <v>85</v>
      </c>
      <c r="AD99" s="18">
        <v>21.58</v>
      </c>
      <c r="AE99" s="18">
        <v>0</v>
      </c>
      <c r="AF99" s="18">
        <v>0</v>
      </c>
      <c r="AG99" s="18">
        <v>0</v>
      </c>
      <c r="AH99" s="18">
        <v>0</v>
      </c>
      <c r="AI99" s="18">
        <v>0</v>
      </c>
      <c r="AJ99" s="18">
        <v>0</v>
      </c>
      <c r="AK99" s="18">
        <v>0</v>
      </c>
      <c r="AL99" s="18">
        <v>0</v>
      </c>
      <c r="AM99" s="18">
        <v>0</v>
      </c>
      <c r="AN99" s="18">
        <v>0</v>
      </c>
      <c r="AO99" s="18">
        <v>0</v>
      </c>
      <c r="AP99" s="18">
        <v>0</v>
      </c>
      <c r="AQ99" s="18">
        <v>0</v>
      </c>
      <c r="AR99" s="18">
        <v>0</v>
      </c>
      <c r="AS99" s="18">
        <v>0</v>
      </c>
      <c r="AT99" s="18">
        <v>0</v>
      </c>
      <c r="AU99" s="18">
        <v>1</v>
      </c>
      <c r="AV99" s="18">
        <v>0</v>
      </c>
      <c r="AW99" s="18">
        <v>0</v>
      </c>
      <c r="AX99" s="18">
        <v>0</v>
      </c>
      <c r="AY99" s="13"/>
      <c r="AZ99" s="18">
        <v>1</v>
      </c>
      <c r="BA99" s="18">
        <v>0</v>
      </c>
      <c r="BB99" s="18">
        <v>63.51</v>
      </c>
      <c r="BC99" s="18" t="s">
        <v>792</v>
      </c>
      <c r="BD99" s="18" t="s">
        <v>793</v>
      </c>
      <c r="BE99" s="18" t="s">
        <v>113</v>
      </c>
      <c r="BF99" s="18" t="s">
        <v>77</v>
      </c>
      <c r="BG99" s="18">
        <v>168</v>
      </c>
      <c r="BH99" s="18">
        <v>51</v>
      </c>
      <c r="BI99" s="18">
        <v>0.7671</v>
      </c>
      <c r="BJ99" s="18">
        <v>0</v>
      </c>
      <c r="BK99" s="18">
        <v>3</v>
      </c>
      <c r="BL99" s="18">
        <v>99.2</v>
      </c>
      <c r="BM99" s="13">
        <f t="shared" si="0"/>
        <v>717.66</v>
      </c>
    </row>
    <row r="100" customHeight="1" spans="1:65">
      <c r="A100" s="18" t="s">
        <v>167</v>
      </c>
      <c r="B100" s="18" t="s">
        <v>125</v>
      </c>
      <c r="C100" s="13"/>
      <c r="D100" s="13"/>
      <c r="E100" s="18" t="s">
        <v>122</v>
      </c>
      <c r="F100" s="18" t="s">
        <v>82</v>
      </c>
      <c r="G100" s="18" t="s">
        <v>117</v>
      </c>
      <c r="H100" s="18" t="s">
        <v>138</v>
      </c>
      <c r="I100" s="18" t="s">
        <v>85</v>
      </c>
      <c r="J100" s="18">
        <v>5</v>
      </c>
      <c r="K100" s="16">
        <v>26.99</v>
      </c>
      <c r="L100" s="10"/>
      <c r="M100" s="16">
        <v>0</v>
      </c>
      <c r="N100" s="16">
        <v>0</v>
      </c>
      <c r="O100" s="18">
        <v>0</v>
      </c>
      <c r="P100" s="18" t="s">
        <v>86</v>
      </c>
      <c r="Q100" s="18">
        <v>3.331847</v>
      </c>
      <c r="R100" s="10"/>
      <c r="S100" s="16">
        <v>256</v>
      </c>
      <c r="T100" s="16">
        <v>701</v>
      </c>
      <c r="U100" s="18" t="s">
        <v>2548</v>
      </c>
      <c r="V100" s="18" t="s">
        <v>125</v>
      </c>
      <c r="W100" s="13"/>
      <c r="X100" s="13"/>
      <c r="Y100" s="18" t="s">
        <v>122</v>
      </c>
      <c r="Z100" s="18" t="s">
        <v>82</v>
      </c>
      <c r="AA100" s="18" t="s">
        <v>117</v>
      </c>
      <c r="AB100" s="18" t="s">
        <v>138</v>
      </c>
      <c r="AC100" s="18" t="s">
        <v>85</v>
      </c>
      <c r="AD100" s="18">
        <v>48.98</v>
      </c>
      <c r="AE100" s="18">
        <v>0</v>
      </c>
      <c r="AF100" s="18">
        <v>1</v>
      </c>
      <c r="AG100" s="18">
        <v>0</v>
      </c>
      <c r="AH100" s="18">
        <v>0</v>
      </c>
      <c r="AI100" s="18">
        <v>0</v>
      </c>
      <c r="AJ100" s="18">
        <v>0</v>
      </c>
      <c r="AK100" s="18">
        <v>0</v>
      </c>
      <c r="AL100" s="18">
        <v>0</v>
      </c>
      <c r="AM100" s="18">
        <v>0</v>
      </c>
      <c r="AN100" s="18">
        <v>0</v>
      </c>
      <c r="AO100" s="18">
        <v>0</v>
      </c>
      <c r="AP100" s="18">
        <v>0</v>
      </c>
      <c r="AQ100" s="18">
        <v>0</v>
      </c>
      <c r="AR100" s="18">
        <v>0</v>
      </c>
      <c r="AS100" s="18">
        <v>1</v>
      </c>
      <c r="AT100" s="18">
        <v>0</v>
      </c>
      <c r="AU100" s="18">
        <v>0</v>
      </c>
      <c r="AV100" s="18">
        <v>0</v>
      </c>
      <c r="AW100" s="18">
        <v>1</v>
      </c>
      <c r="AX100" s="18">
        <v>0</v>
      </c>
      <c r="AY100" s="13"/>
      <c r="AZ100" s="18">
        <v>2</v>
      </c>
      <c r="BA100" s="18">
        <v>0</v>
      </c>
      <c r="BB100" s="18">
        <v>35.27</v>
      </c>
      <c r="BC100" s="18" t="s">
        <v>168</v>
      </c>
      <c r="BD100" s="18" t="s">
        <v>169</v>
      </c>
      <c r="BE100" s="18" t="s">
        <v>128</v>
      </c>
      <c r="BF100" s="18" t="s">
        <v>77</v>
      </c>
      <c r="BG100" s="18">
        <v>1</v>
      </c>
      <c r="BH100" s="18">
        <v>17</v>
      </c>
      <c r="BI100" s="18">
        <v>0.0556</v>
      </c>
      <c r="BJ100" s="18">
        <v>1</v>
      </c>
      <c r="BK100" s="18">
        <v>66</v>
      </c>
      <c r="BL100" s="18">
        <v>81.9</v>
      </c>
      <c r="BM100" s="13">
        <f t="shared" si="0"/>
        <v>6909.44</v>
      </c>
    </row>
    <row r="101" customHeight="1" spans="1:65">
      <c r="A101" s="18" t="s">
        <v>840</v>
      </c>
      <c r="B101" s="18" t="s">
        <v>344</v>
      </c>
      <c r="C101" s="13"/>
      <c r="D101" s="13"/>
      <c r="E101" s="18" t="s">
        <v>209</v>
      </c>
      <c r="F101" s="18" t="s">
        <v>82</v>
      </c>
      <c r="G101" s="18" t="s">
        <v>346</v>
      </c>
      <c r="H101" s="18" t="s">
        <v>107</v>
      </c>
      <c r="I101" s="18" t="s">
        <v>203</v>
      </c>
      <c r="J101" s="18">
        <v>4</v>
      </c>
      <c r="K101" s="16">
        <v>89.24</v>
      </c>
      <c r="L101" s="16">
        <v>104.99</v>
      </c>
      <c r="M101" s="16">
        <v>15</v>
      </c>
      <c r="N101" s="16">
        <v>15.75</v>
      </c>
      <c r="O101" s="18">
        <v>1</v>
      </c>
      <c r="P101" s="18" t="s">
        <v>95</v>
      </c>
      <c r="Q101" s="18">
        <v>4.502473</v>
      </c>
      <c r="R101" s="16">
        <v>44.62</v>
      </c>
      <c r="S101" s="16">
        <v>42</v>
      </c>
      <c r="T101" s="16">
        <v>10</v>
      </c>
      <c r="U101" s="18" t="s">
        <v>840</v>
      </c>
      <c r="V101" s="18" t="s">
        <v>344</v>
      </c>
      <c r="W101" s="13"/>
      <c r="X101" s="13"/>
      <c r="Y101" s="18" t="s">
        <v>209</v>
      </c>
      <c r="Z101" s="18" t="s">
        <v>82</v>
      </c>
      <c r="AA101" s="18" t="s">
        <v>346</v>
      </c>
      <c r="AB101" s="18" t="s">
        <v>107</v>
      </c>
      <c r="AC101" s="18" t="s">
        <v>203</v>
      </c>
      <c r="AD101" s="18">
        <v>5.78399999999996</v>
      </c>
      <c r="AE101" s="18">
        <v>0</v>
      </c>
      <c r="AF101" s="18">
        <v>0</v>
      </c>
      <c r="AG101" s="18">
        <v>0</v>
      </c>
      <c r="AH101" s="18">
        <v>1</v>
      </c>
      <c r="AI101" s="18">
        <v>0</v>
      </c>
      <c r="AJ101" s="18">
        <v>0</v>
      </c>
      <c r="AK101" s="18">
        <v>0</v>
      </c>
      <c r="AL101" s="18">
        <v>0</v>
      </c>
      <c r="AM101" s="18">
        <v>0</v>
      </c>
      <c r="AN101" s="18">
        <v>0</v>
      </c>
      <c r="AO101" s="18">
        <v>0</v>
      </c>
      <c r="AP101" s="18">
        <v>0</v>
      </c>
      <c r="AQ101" s="18">
        <v>0</v>
      </c>
      <c r="AR101" s="18">
        <v>0</v>
      </c>
      <c r="AS101" s="18">
        <v>0</v>
      </c>
      <c r="AT101" s="18">
        <v>1</v>
      </c>
      <c r="AU101" s="18">
        <v>0</v>
      </c>
      <c r="AV101" s="18">
        <v>0</v>
      </c>
      <c r="AW101" s="18">
        <v>1</v>
      </c>
      <c r="AX101" s="18">
        <v>0</v>
      </c>
      <c r="AY101" s="18">
        <v>2</v>
      </c>
      <c r="AZ101" s="18">
        <v>1</v>
      </c>
      <c r="BA101" s="18">
        <v>1</v>
      </c>
      <c r="BB101" s="18">
        <v>66.57</v>
      </c>
      <c r="BC101" s="18" t="s">
        <v>795</v>
      </c>
      <c r="BD101" s="18" t="s">
        <v>841</v>
      </c>
      <c r="BE101" s="18" t="s">
        <v>407</v>
      </c>
      <c r="BF101" s="18" t="s">
        <v>77</v>
      </c>
      <c r="BG101" s="18">
        <v>168</v>
      </c>
      <c r="BH101" s="18">
        <v>11</v>
      </c>
      <c r="BI101" s="18">
        <v>0.9385</v>
      </c>
      <c r="BJ101" s="18">
        <v>0</v>
      </c>
      <c r="BK101" s="18">
        <v>3</v>
      </c>
      <c r="BL101" s="18">
        <v>99.2</v>
      </c>
      <c r="BM101" s="13">
        <f t="shared" si="0"/>
        <v>3748.08</v>
      </c>
    </row>
    <row r="102" customHeight="1" spans="1:65">
      <c r="A102" s="18" t="s">
        <v>1530</v>
      </c>
      <c r="B102" s="18" t="s">
        <v>1531</v>
      </c>
      <c r="C102" s="18" t="s">
        <v>1532</v>
      </c>
      <c r="D102" s="13"/>
      <c r="E102" s="18" t="s">
        <v>250</v>
      </c>
      <c r="F102" s="18" t="s">
        <v>82</v>
      </c>
      <c r="G102" s="18" t="s">
        <v>83</v>
      </c>
      <c r="H102" s="18" t="s">
        <v>84</v>
      </c>
      <c r="I102" s="18" t="s">
        <v>85</v>
      </c>
      <c r="J102" s="18">
        <v>5</v>
      </c>
      <c r="K102" s="16">
        <v>142.49</v>
      </c>
      <c r="L102" s="16">
        <v>149.99</v>
      </c>
      <c r="M102" s="16">
        <v>5</v>
      </c>
      <c r="N102" s="16">
        <v>7.5</v>
      </c>
      <c r="O102" s="18">
        <v>1</v>
      </c>
      <c r="P102" s="18" t="s">
        <v>95</v>
      </c>
      <c r="Q102" s="18">
        <v>4.966265</v>
      </c>
      <c r="R102" s="10"/>
      <c r="S102" s="16">
        <v>8</v>
      </c>
      <c r="T102" s="16">
        <v>2</v>
      </c>
      <c r="U102" s="18" t="s">
        <v>1530</v>
      </c>
      <c r="V102" s="18" t="s">
        <v>1531</v>
      </c>
      <c r="W102" s="18" t="s">
        <v>2549</v>
      </c>
      <c r="X102" s="13"/>
      <c r="Y102" s="18" t="s">
        <v>250</v>
      </c>
      <c r="Z102" s="18" t="s">
        <v>82</v>
      </c>
      <c r="AA102" s="18" t="s">
        <v>83</v>
      </c>
      <c r="AB102" s="18" t="s">
        <v>84</v>
      </c>
      <c r="AC102" s="18" t="s">
        <v>85</v>
      </c>
      <c r="AD102" s="18">
        <v>-5.16599999999991</v>
      </c>
      <c r="AE102" s="18">
        <v>0</v>
      </c>
      <c r="AF102" s="18">
        <v>0</v>
      </c>
      <c r="AG102" s="18">
        <v>0</v>
      </c>
      <c r="AH102" s="18">
        <v>0</v>
      </c>
      <c r="AI102" s="18">
        <v>0</v>
      </c>
      <c r="AJ102" s="18">
        <v>0</v>
      </c>
      <c r="AK102" s="18">
        <v>0</v>
      </c>
      <c r="AL102" s="18">
        <v>0</v>
      </c>
      <c r="AM102" s="18">
        <v>0</v>
      </c>
      <c r="AN102" s="18">
        <v>0</v>
      </c>
      <c r="AO102" s="18">
        <v>0</v>
      </c>
      <c r="AP102" s="18">
        <v>0</v>
      </c>
      <c r="AQ102" s="18">
        <v>0</v>
      </c>
      <c r="AR102" s="18">
        <v>0</v>
      </c>
      <c r="AS102" s="18">
        <v>0</v>
      </c>
      <c r="AT102" s="18">
        <v>1</v>
      </c>
      <c r="AU102" s="18">
        <v>0</v>
      </c>
      <c r="AV102" s="18">
        <v>0</v>
      </c>
      <c r="AW102" s="18">
        <v>0</v>
      </c>
      <c r="AX102" s="18">
        <v>0</v>
      </c>
      <c r="AY102" s="13"/>
      <c r="AZ102" s="18">
        <v>1</v>
      </c>
      <c r="BA102" s="18">
        <v>1</v>
      </c>
      <c r="BB102" s="18">
        <v>33.5</v>
      </c>
      <c r="BC102" s="18" t="s">
        <v>795</v>
      </c>
      <c r="BD102" s="18" t="s">
        <v>841</v>
      </c>
      <c r="BE102" s="18" t="s">
        <v>557</v>
      </c>
      <c r="BF102" s="18" t="s">
        <v>77</v>
      </c>
      <c r="BG102" s="18">
        <v>168</v>
      </c>
      <c r="BH102" s="18">
        <v>11</v>
      </c>
      <c r="BI102" s="18">
        <v>0.9385</v>
      </c>
      <c r="BJ102" s="18">
        <v>0</v>
      </c>
      <c r="BK102" s="13"/>
      <c r="BL102" s="13"/>
      <c r="BM102" s="13">
        <f t="shared" si="0"/>
        <v>1139.92</v>
      </c>
    </row>
    <row r="103" customHeight="1" spans="1:65">
      <c r="A103" s="18" t="s">
        <v>1461</v>
      </c>
      <c r="B103" s="18" t="s">
        <v>65</v>
      </c>
      <c r="C103" s="13"/>
      <c r="D103" s="13"/>
      <c r="E103" s="18" t="s">
        <v>250</v>
      </c>
      <c r="F103" s="18" t="s">
        <v>82</v>
      </c>
      <c r="G103" s="18" t="s">
        <v>65</v>
      </c>
      <c r="H103" s="18" t="s">
        <v>69</v>
      </c>
      <c r="I103" s="18" t="s">
        <v>85</v>
      </c>
      <c r="J103" s="18">
        <v>5</v>
      </c>
      <c r="K103" s="16">
        <v>84.55</v>
      </c>
      <c r="L103" s="10"/>
      <c r="M103" s="16">
        <v>0</v>
      </c>
      <c r="N103" s="16">
        <v>0</v>
      </c>
      <c r="O103" s="18">
        <v>0</v>
      </c>
      <c r="P103" s="18" t="s">
        <v>95</v>
      </c>
      <c r="Q103" s="18">
        <v>4.449101</v>
      </c>
      <c r="R103" s="10"/>
      <c r="S103" s="16">
        <v>202</v>
      </c>
      <c r="T103" s="16">
        <v>10</v>
      </c>
      <c r="U103" s="18" t="s">
        <v>1461</v>
      </c>
      <c r="V103" s="18" t="s">
        <v>65</v>
      </c>
      <c r="W103" s="13"/>
      <c r="X103" s="13"/>
      <c r="Y103" s="18" t="s">
        <v>250</v>
      </c>
      <c r="Z103" s="18" t="s">
        <v>82</v>
      </c>
      <c r="AA103" s="18" t="s">
        <v>65</v>
      </c>
      <c r="AB103" s="18" t="s">
        <v>69</v>
      </c>
      <c r="AC103" s="18" t="s">
        <v>85</v>
      </c>
      <c r="AD103" s="18">
        <v>164.1</v>
      </c>
      <c r="AE103" s="18">
        <v>0</v>
      </c>
      <c r="AF103" s="18">
        <v>0</v>
      </c>
      <c r="AG103" s="18">
        <v>0</v>
      </c>
      <c r="AH103" s="18">
        <v>0</v>
      </c>
      <c r="AI103" s="18">
        <v>0</v>
      </c>
      <c r="AJ103" s="18">
        <v>0</v>
      </c>
      <c r="AK103" s="18">
        <v>0</v>
      </c>
      <c r="AL103" s="18">
        <v>0</v>
      </c>
      <c r="AM103" s="18">
        <v>0</v>
      </c>
      <c r="AN103" s="18">
        <v>0</v>
      </c>
      <c r="AO103" s="18">
        <v>0</v>
      </c>
      <c r="AP103" s="18">
        <v>0</v>
      </c>
      <c r="AQ103" s="18">
        <v>0</v>
      </c>
      <c r="AR103" s="18">
        <v>0</v>
      </c>
      <c r="AS103" s="18">
        <v>0</v>
      </c>
      <c r="AT103" s="18">
        <v>1</v>
      </c>
      <c r="AU103" s="18">
        <v>0</v>
      </c>
      <c r="AV103" s="18">
        <v>0</v>
      </c>
      <c r="AW103" s="18">
        <v>0</v>
      </c>
      <c r="AX103" s="18">
        <v>0</v>
      </c>
      <c r="AY103" s="13"/>
      <c r="AZ103" s="18">
        <v>1</v>
      </c>
      <c r="BA103" s="18">
        <v>0</v>
      </c>
      <c r="BB103" s="18">
        <v>67.96</v>
      </c>
      <c r="BC103" s="18" t="s">
        <v>795</v>
      </c>
      <c r="BD103" s="18" t="s">
        <v>796</v>
      </c>
      <c r="BE103" s="18" t="s">
        <v>407</v>
      </c>
      <c r="BF103" s="18" t="s">
        <v>77</v>
      </c>
      <c r="BG103" s="18">
        <v>168</v>
      </c>
      <c r="BH103" s="18">
        <v>11</v>
      </c>
      <c r="BI103" s="18">
        <v>0.9385</v>
      </c>
      <c r="BJ103" s="18">
        <v>0</v>
      </c>
      <c r="BK103" s="18">
        <v>2</v>
      </c>
      <c r="BL103" s="18">
        <v>99.5</v>
      </c>
      <c r="BM103" s="13">
        <f t="shared" si="0"/>
        <v>17079.1</v>
      </c>
    </row>
    <row r="104" customHeight="1" spans="1:65">
      <c r="A104" s="18" t="s">
        <v>1172</v>
      </c>
      <c r="B104" s="18" t="s">
        <v>65</v>
      </c>
      <c r="C104" s="13"/>
      <c r="D104" s="13"/>
      <c r="E104" s="18" t="s">
        <v>250</v>
      </c>
      <c r="F104" s="18" t="s">
        <v>82</v>
      </c>
      <c r="G104" s="18" t="s">
        <v>65</v>
      </c>
      <c r="H104" s="18" t="s">
        <v>69</v>
      </c>
      <c r="I104" s="18" t="s">
        <v>203</v>
      </c>
      <c r="J104" s="18">
        <v>4</v>
      </c>
      <c r="K104" s="16">
        <v>94.05</v>
      </c>
      <c r="L104" s="10"/>
      <c r="M104" s="16">
        <v>0</v>
      </c>
      <c r="N104" s="16">
        <v>0</v>
      </c>
      <c r="O104" s="18">
        <v>0</v>
      </c>
      <c r="P104" s="18" t="s">
        <v>95</v>
      </c>
      <c r="Q104" s="18">
        <v>4.554403</v>
      </c>
      <c r="R104" s="10"/>
      <c r="S104" s="16">
        <v>32</v>
      </c>
      <c r="T104" s="16">
        <v>10</v>
      </c>
      <c r="U104" s="18" t="s">
        <v>1172</v>
      </c>
      <c r="V104" s="18" t="s">
        <v>65</v>
      </c>
      <c r="W104" s="13"/>
      <c r="X104" s="13"/>
      <c r="Y104" s="18" t="s">
        <v>250</v>
      </c>
      <c r="Z104" s="18" t="s">
        <v>82</v>
      </c>
      <c r="AA104" s="18" t="s">
        <v>65</v>
      </c>
      <c r="AB104" s="18" t="s">
        <v>69</v>
      </c>
      <c r="AC104" s="18" t="s">
        <v>203</v>
      </c>
      <c r="AD104" s="18">
        <v>184.1</v>
      </c>
      <c r="AE104" s="18">
        <v>0</v>
      </c>
      <c r="AF104" s="18">
        <v>0</v>
      </c>
      <c r="AG104" s="18">
        <v>0</v>
      </c>
      <c r="AH104" s="18">
        <v>0</v>
      </c>
      <c r="AI104" s="18">
        <v>0</v>
      </c>
      <c r="AJ104" s="18">
        <v>0</v>
      </c>
      <c r="AK104" s="18">
        <v>0</v>
      </c>
      <c r="AL104" s="18">
        <v>0</v>
      </c>
      <c r="AM104" s="18">
        <v>0</v>
      </c>
      <c r="AN104" s="18">
        <v>0</v>
      </c>
      <c r="AO104" s="18">
        <v>0</v>
      </c>
      <c r="AP104" s="18">
        <v>0</v>
      </c>
      <c r="AQ104" s="18">
        <v>0</v>
      </c>
      <c r="AR104" s="18">
        <v>0</v>
      </c>
      <c r="AS104" s="18">
        <v>0</v>
      </c>
      <c r="AT104" s="18">
        <v>0</v>
      </c>
      <c r="AU104" s="18">
        <v>0</v>
      </c>
      <c r="AV104" s="18">
        <v>0</v>
      </c>
      <c r="AW104" s="18">
        <v>0</v>
      </c>
      <c r="AX104" s="18">
        <v>1</v>
      </c>
      <c r="AY104" s="13"/>
      <c r="AZ104" s="18">
        <v>1</v>
      </c>
      <c r="BA104" s="18">
        <v>0</v>
      </c>
      <c r="BB104" s="18">
        <v>58.59</v>
      </c>
      <c r="BC104" s="18" t="s">
        <v>795</v>
      </c>
      <c r="BD104" s="18" t="s">
        <v>796</v>
      </c>
      <c r="BE104" s="18" t="s">
        <v>407</v>
      </c>
      <c r="BF104" s="18" t="s">
        <v>77</v>
      </c>
      <c r="BG104" s="18">
        <v>168</v>
      </c>
      <c r="BH104" s="18">
        <v>11</v>
      </c>
      <c r="BI104" s="18">
        <v>0.9385</v>
      </c>
      <c r="BJ104" s="18">
        <v>0</v>
      </c>
      <c r="BK104" s="18">
        <v>23</v>
      </c>
      <c r="BL104" s="18">
        <v>93.7</v>
      </c>
      <c r="BM104" s="13">
        <f t="shared" si="0"/>
        <v>3009.6</v>
      </c>
    </row>
    <row r="105" customHeight="1" spans="1:65">
      <c r="A105" s="18" t="s">
        <v>794</v>
      </c>
      <c r="B105" s="18" t="s">
        <v>65</v>
      </c>
      <c r="C105" s="13"/>
      <c r="D105" s="13"/>
      <c r="E105" s="18" t="s">
        <v>255</v>
      </c>
      <c r="F105" s="18" t="s">
        <v>160</v>
      </c>
      <c r="G105" s="18" t="s">
        <v>65</v>
      </c>
      <c r="H105" s="18" t="s">
        <v>69</v>
      </c>
      <c r="I105" s="18" t="s">
        <v>70</v>
      </c>
      <c r="J105" s="18">
        <v>3</v>
      </c>
      <c r="K105" s="16">
        <v>113.05</v>
      </c>
      <c r="L105" s="10"/>
      <c r="M105" s="16">
        <v>0</v>
      </c>
      <c r="N105" s="16">
        <v>0</v>
      </c>
      <c r="O105" s="18">
        <v>0</v>
      </c>
      <c r="P105" s="18" t="s">
        <v>95</v>
      </c>
      <c r="Q105" s="18">
        <v>4.736637</v>
      </c>
      <c r="R105" s="10"/>
      <c r="S105" s="16">
        <v>86</v>
      </c>
      <c r="T105" s="16">
        <v>1</v>
      </c>
      <c r="U105" s="18" t="s">
        <v>794</v>
      </c>
      <c r="V105" s="18" t="s">
        <v>65</v>
      </c>
      <c r="W105" s="13"/>
      <c r="X105" s="13"/>
      <c r="Y105" s="18" t="s">
        <v>255</v>
      </c>
      <c r="Z105" s="18" t="s">
        <v>160</v>
      </c>
      <c r="AA105" s="18" t="s">
        <v>65</v>
      </c>
      <c r="AB105" s="18" t="s">
        <v>69</v>
      </c>
      <c r="AC105" s="18" t="s">
        <v>70</v>
      </c>
      <c r="AD105" s="18">
        <v>223.1</v>
      </c>
      <c r="AE105" s="18">
        <v>0</v>
      </c>
      <c r="AF105" s="18">
        <v>0</v>
      </c>
      <c r="AG105" s="18">
        <v>1</v>
      </c>
      <c r="AH105" s="18">
        <v>0</v>
      </c>
      <c r="AI105" s="18">
        <v>0</v>
      </c>
      <c r="AJ105" s="18">
        <v>0</v>
      </c>
      <c r="AK105" s="18">
        <v>0</v>
      </c>
      <c r="AL105" s="18">
        <v>0</v>
      </c>
      <c r="AM105" s="18">
        <v>0</v>
      </c>
      <c r="AN105" s="18">
        <v>0</v>
      </c>
      <c r="AO105" s="18">
        <v>0</v>
      </c>
      <c r="AP105" s="18">
        <v>0</v>
      </c>
      <c r="AQ105" s="18">
        <v>0</v>
      </c>
      <c r="AR105" s="18">
        <v>0</v>
      </c>
      <c r="AS105" s="18">
        <v>0</v>
      </c>
      <c r="AT105" s="18">
        <v>0</v>
      </c>
      <c r="AU105" s="18">
        <v>0</v>
      </c>
      <c r="AV105" s="18">
        <v>0</v>
      </c>
      <c r="AW105" s="18">
        <v>0</v>
      </c>
      <c r="AX105" s="18">
        <v>0</v>
      </c>
      <c r="AY105" s="13"/>
      <c r="AZ105" s="18">
        <v>1</v>
      </c>
      <c r="BA105" s="18">
        <v>0</v>
      </c>
      <c r="BB105" s="18">
        <v>65.43</v>
      </c>
      <c r="BC105" s="18" t="s">
        <v>795</v>
      </c>
      <c r="BD105" s="18" t="s">
        <v>796</v>
      </c>
      <c r="BE105" s="18" t="s">
        <v>407</v>
      </c>
      <c r="BF105" s="18" t="s">
        <v>77</v>
      </c>
      <c r="BG105" s="18">
        <v>168</v>
      </c>
      <c r="BH105" s="18">
        <v>11</v>
      </c>
      <c r="BI105" s="18">
        <v>0.9385</v>
      </c>
      <c r="BJ105" s="18">
        <v>0</v>
      </c>
      <c r="BK105" s="18">
        <v>50</v>
      </c>
      <c r="BL105" s="18">
        <v>86.3</v>
      </c>
      <c r="BM105" s="13">
        <f t="shared" si="0"/>
        <v>9722.3</v>
      </c>
    </row>
    <row r="106" customHeight="1" spans="1:65">
      <c r="A106" s="18" t="s">
        <v>797</v>
      </c>
      <c r="B106" s="18" t="s">
        <v>798</v>
      </c>
      <c r="C106" s="13"/>
      <c r="D106" s="13"/>
      <c r="E106" s="18" t="s">
        <v>163</v>
      </c>
      <c r="F106" s="18" t="s">
        <v>82</v>
      </c>
      <c r="G106" s="18" t="s">
        <v>346</v>
      </c>
      <c r="H106" s="18" t="s">
        <v>84</v>
      </c>
      <c r="I106" s="18" t="s">
        <v>85</v>
      </c>
      <c r="J106" s="18">
        <v>5</v>
      </c>
      <c r="K106" s="16">
        <v>13.66</v>
      </c>
      <c r="L106" s="16">
        <v>14.38</v>
      </c>
      <c r="M106" s="16">
        <v>5.01</v>
      </c>
      <c r="N106" s="16">
        <v>0.72</v>
      </c>
      <c r="O106" s="18">
        <v>1</v>
      </c>
      <c r="P106" s="18" t="s">
        <v>133</v>
      </c>
      <c r="Q106" s="18">
        <v>2.685123</v>
      </c>
      <c r="R106" s="10"/>
      <c r="S106" s="16">
        <v>22</v>
      </c>
      <c r="T106" s="16">
        <v>1</v>
      </c>
      <c r="U106" s="18" t="s">
        <v>2550</v>
      </c>
      <c r="V106" s="18" t="s">
        <v>798</v>
      </c>
      <c r="W106" s="13"/>
      <c r="X106" s="13"/>
      <c r="Y106" s="18" t="s">
        <v>163</v>
      </c>
      <c r="Z106" s="18" t="s">
        <v>82</v>
      </c>
      <c r="AA106" s="18" t="s">
        <v>346</v>
      </c>
      <c r="AB106" s="18" t="s">
        <v>84</v>
      </c>
      <c r="AC106" s="18" t="s">
        <v>85</v>
      </c>
      <c r="AD106" s="18">
        <v>-0.19066666666666</v>
      </c>
      <c r="AE106" s="18">
        <v>0</v>
      </c>
      <c r="AF106" s="18">
        <v>0</v>
      </c>
      <c r="AG106" s="18">
        <v>0</v>
      </c>
      <c r="AH106" s="18">
        <v>0</v>
      </c>
      <c r="AI106" s="18">
        <v>0</v>
      </c>
      <c r="AJ106" s="18">
        <v>0</v>
      </c>
      <c r="AK106" s="18">
        <v>0</v>
      </c>
      <c r="AL106" s="18">
        <v>0</v>
      </c>
      <c r="AM106" s="18">
        <v>0</v>
      </c>
      <c r="AN106" s="18">
        <v>0</v>
      </c>
      <c r="AO106" s="18">
        <v>0</v>
      </c>
      <c r="AP106" s="18">
        <v>0</v>
      </c>
      <c r="AQ106" s="18">
        <v>0</v>
      </c>
      <c r="AR106" s="18">
        <v>0</v>
      </c>
      <c r="AS106" s="18">
        <v>0</v>
      </c>
      <c r="AT106" s="18">
        <v>1</v>
      </c>
      <c r="AU106" s="18">
        <v>0</v>
      </c>
      <c r="AV106" s="18">
        <v>0</v>
      </c>
      <c r="AW106" s="18">
        <v>1</v>
      </c>
      <c r="AX106" s="18">
        <v>0</v>
      </c>
      <c r="AY106" s="13"/>
      <c r="AZ106" s="18">
        <v>3</v>
      </c>
      <c r="BA106" s="18">
        <v>0</v>
      </c>
      <c r="BB106" s="18">
        <v>69.43</v>
      </c>
      <c r="BC106" s="18" t="s">
        <v>799</v>
      </c>
      <c r="BD106" s="18" t="s">
        <v>664</v>
      </c>
      <c r="BE106" s="18" t="s">
        <v>665</v>
      </c>
      <c r="BF106" s="18" t="s">
        <v>77</v>
      </c>
      <c r="BG106" s="18">
        <v>1</v>
      </c>
      <c r="BH106" s="18">
        <v>15</v>
      </c>
      <c r="BI106" s="18">
        <v>0.0625</v>
      </c>
      <c r="BJ106" s="18">
        <v>1</v>
      </c>
      <c r="BK106" s="18">
        <v>4</v>
      </c>
      <c r="BL106" s="18">
        <v>98.9</v>
      </c>
      <c r="BM106" s="13">
        <f t="shared" si="0"/>
        <v>300.52</v>
      </c>
    </row>
    <row r="107" customHeight="1" spans="1:65">
      <c r="A107" s="18" t="s">
        <v>800</v>
      </c>
      <c r="B107" s="18" t="s">
        <v>125</v>
      </c>
      <c r="C107" s="13"/>
      <c r="D107" s="13"/>
      <c r="E107" s="18" t="s">
        <v>801</v>
      </c>
      <c r="F107" s="18" t="s">
        <v>198</v>
      </c>
      <c r="G107" s="18" t="s">
        <v>83</v>
      </c>
      <c r="H107" s="18" t="s">
        <v>138</v>
      </c>
      <c r="I107" s="18" t="s">
        <v>85</v>
      </c>
      <c r="J107" s="18">
        <v>5</v>
      </c>
      <c r="K107" s="16">
        <v>12.99</v>
      </c>
      <c r="L107" s="10"/>
      <c r="M107" s="16">
        <v>0</v>
      </c>
      <c r="N107" s="16">
        <v>0</v>
      </c>
      <c r="O107" s="18">
        <v>0</v>
      </c>
      <c r="P107" s="18" t="s">
        <v>133</v>
      </c>
      <c r="Q107" s="18">
        <v>2.638343</v>
      </c>
      <c r="R107" s="10"/>
      <c r="S107" s="16">
        <v>290</v>
      </c>
      <c r="T107" s="16">
        <v>1</v>
      </c>
      <c r="U107" s="18" t="s">
        <v>800</v>
      </c>
      <c r="V107" s="18" t="s">
        <v>125</v>
      </c>
      <c r="W107" s="13"/>
      <c r="X107" s="13"/>
      <c r="Y107" s="18" t="s">
        <v>801</v>
      </c>
      <c r="Z107" s="18" t="s">
        <v>198</v>
      </c>
      <c r="AA107" s="18" t="s">
        <v>83</v>
      </c>
      <c r="AB107" s="18" t="s">
        <v>138</v>
      </c>
      <c r="AC107" s="18" t="s">
        <v>85</v>
      </c>
      <c r="AD107" s="18">
        <v>20.98</v>
      </c>
      <c r="AE107" s="18">
        <v>0</v>
      </c>
      <c r="AF107" s="18">
        <v>0</v>
      </c>
      <c r="AG107" s="18">
        <v>0</v>
      </c>
      <c r="AH107" s="18">
        <v>0</v>
      </c>
      <c r="AI107" s="18">
        <v>0</v>
      </c>
      <c r="AJ107" s="18">
        <v>0</v>
      </c>
      <c r="AK107" s="18">
        <v>0</v>
      </c>
      <c r="AL107" s="18">
        <v>0</v>
      </c>
      <c r="AM107" s="18">
        <v>0</v>
      </c>
      <c r="AN107" s="18">
        <v>0</v>
      </c>
      <c r="AO107" s="18">
        <v>0</v>
      </c>
      <c r="AP107" s="18">
        <v>0</v>
      </c>
      <c r="AQ107" s="18">
        <v>0</v>
      </c>
      <c r="AR107" s="18">
        <v>0</v>
      </c>
      <c r="AS107" s="18">
        <v>0</v>
      </c>
      <c r="AT107" s="18">
        <v>0</v>
      </c>
      <c r="AU107" s="18">
        <v>0</v>
      </c>
      <c r="AV107" s="18">
        <v>0</v>
      </c>
      <c r="AW107" s="18">
        <v>0</v>
      </c>
      <c r="AX107" s="18">
        <v>0</v>
      </c>
      <c r="AY107" s="13"/>
      <c r="AZ107" s="18">
        <v>1</v>
      </c>
      <c r="BA107" s="18">
        <v>1</v>
      </c>
      <c r="BB107" s="18">
        <v>69.71</v>
      </c>
      <c r="BC107" s="18" t="s">
        <v>802</v>
      </c>
      <c r="BD107" s="18" t="s">
        <v>537</v>
      </c>
      <c r="BE107" s="18" t="s">
        <v>91</v>
      </c>
      <c r="BF107" s="18" t="s">
        <v>77</v>
      </c>
      <c r="BG107" s="18">
        <v>162</v>
      </c>
      <c r="BH107" s="18">
        <v>59</v>
      </c>
      <c r="BI107" s="18">
        <v>0.733</v>
      </c>
      <c r="BJ107" s="18">
        <v>0</v>
      </c>
      <c r="BK107" s="18">
        <v>2</v>
      </c>
      <c r="BL107" s="18">
        <v>99.5</v>
      </c>
      <c r="BM107" s="13">
        <f t="shared" si="0"/>
        <v>3767.1</v>
      </c>
    </row>
    <row r="108" customHeight="1" spans="1:65">
      <c r="A108" s="18" t="s">
        <v>806</v>
      </c>
      <c r="B108" s="18" t="s">
        <v>807</v>
      </c>
      <c r="C108" s="13"/>
      <c r="D108" s="13"/>
      <c r="E108" s="18" t="s">
        <v>808</v>
      </c>
      <c r="F108" s="18" t="s">
        <v>198</v>
      </c>
      <c r="G108" s="18" t="s">
        <v>83</v>
      </c>
      <c r="H108" s="18" t="s">
        <v>84</v>
      </c>
      <c r="I108" s="18" t="s">
        <v>85</v>
      </c>
      <c r="J108" s="18">
        <v>5</v>
      </c>
      <c r="K108" s="16">
        <v>12.89</v>
      </c>
      <c r="L108" s="10"/>
      <c r="M108" s="16">
        <v>0</v>
      </c>
      <c r="N108" s="16">
        <v>0</v>
      </c>
      <c r="O108" s="18">
        <v>0</v>
      </c>
      <c r="P108" s="18" t="s">
        <v>133</v>
      </c>
      <c r="Q108" s="18">
        <v>2.631169</v>
      </c>
      <c r="R108" s="10"/>
      <c r="S108" s="16">
        <v>87</v>
      </c>
      <c r="T108" s="16">
        <v>10</v>
      </c>
      <c r="U108" s="18" t="s">
        <v>806</v>
      </c>
      <c r="V108" s="18" t="s">
        <v>807</v>
      </c>
      <c r="W108" s="13"/>
      <c r="X108" s="13"/>
      <c r="Y108" s="18" t="s">
        <v>808</v>
      </c>
      <c r="Z108" s="18" t="s">
        <v>198</v>
      </c>
      <c r="AA108" s="18" t="s">
        <v>83</v>
      </c>
      <c r="AB108" s="18" t="s">
        <v>84</v>
      </c>
      <c r="AC108" s="18" t="s">
        <v>85</v>
      </c>
      <c r="AD108" s="18">
        <v>20.78</v>
      </c>
      <c r="AE108" s="18">
        <v>0</v>
      </c>
      <c r="AF108" s="18">
        <v>0</v>
      </c>
      <c r="AG108" s="18">
        <v>0</v>
      </c>
      <c r="AH108" s="18">
        <v>0</v>
      </c>
      <c r="AI108" s="18">
        <v>0</v>
      </c>
      <c r="AJ108" s="18">
        <v>0</v>
      </c>
      <c r="AK108" s="18">
        <v>0</v>
      </c>
      <c r="AL108" s="18">
        <v>0</v>
      </c>
      <c r="AM108" s="18">
        <v>0</v>
      </c>
      <c r="AN108" s="18">
        <v>0</v>
      </c>
      <c r="AO108" s="18">
        <v>0</v>
      </c>
      <c r="AP108" s="18">
        <v>0</v>
      </c>
      <c r="AQ108" s="18">
        <v>0</v>
      </c>
      <c r="AR108" s="18">
        <v>0</v>
      </c>
      <c r="AS108" s="18">
        <v>0</v>
      </c>
      <c r="AT108" s="18">
        <v>0</v>
      </c>
      <c r="AU108" s="18">
        <v>0</v>
      </c>
      <c r="AV108" s="18">
        <v>0</v>
      </c>
      <c r="AW108" s="18">
        <v>0</v>
      </c>
      <c r="AX108" s="18">
        <v>0</v>
      </c>
      <c r="AY108" s="13"/>
      <c r="AZ108" s="18">
        <v>1</v>
      </c>
      <c r="BA108" s="18">
        <v>1</v>
      </c>
      <c r="BB108" s="18">
        <v>63.24</v>
      </c>
      <c r="BC108" s="18" t="s">
        <v>809</v>
      </c>
      <c r="BD108" s="18" t="s">
        <v>180</v>
      </c>
      <c r="BE108" s="18" t="s">
        <v>113</v>
      </c>
      <c r="BF108" s="18" t="s">
        <v>77</v>
      </c>
      <c r="BG108" s="18">
        <v>168</v>
      </c>
      <c r="BH108" s="18">
        <v>11</v>
      </c>
      <c r="BI108" s="18">
        <v>0.9385</v>
      </c>
      <c r="BJ108" s="18">
        <v>0</v>
      </c>
      <c r="BK108" s="18">
        <v>32</v>
      </c>
      <c r="BL108" s="18">
        <v>91.2</v>
      </c>
      <c r="BM108" s="13">
        <f t="shared" si="0"/>
        <v>1121.43</v>
      </c>
    </row>
    <row r="109" customHeight="1" spans="1:65">
      <c r="A109" s="18" t="s">
        <v>810</v>
      </c>
      <c r="B109" s="18" t="s">
        <v>811</v>
      </c>
      <c r="C109" s="13"/>
      <c r="D109" s="13"/>
      <c r="E109" s="18" t="s">
        <v>250</v>
      </c>
      <c r="F109" s="18" t="s">
        <v>82</v>
      </c>
      <c r="G109" s="18" t="s">
        <v>83</v>
      </c>
      <c r="H109" s="18" t="s">
        <v>84</v>
      </c>
      <c r="I109" s="18" t="s">
        <v>85</v>
      </c>
      <c r="J109" s="18">
        <v>5</v>
      </c>
      <c r="K109" s="16">
        <v>29.94</v>
      </c>
      <c r="L109" s="10"/>
      <c r="M109" s="16">
        <v>0</v>
      </c>
      <c r="N109" s="16">
        <v>0</v>
      </c>
      <c r="O109" s="18">
        <v>0</v>
      </c>
      <c r="P109" s="18" t="s">
        <v>86</v>
      </c>
      <c r="Q109" s="18">
        <v>3.43205</v>
      </c>
      <c r="R109" s="10"/>
      <c r="S109" s="16">
        <v>3</v>
      </c>
      <c r="T109" s="16">
        <v>10</v>
      </c>
      <c r="U109" s="18" t="s">
        <v>810</v>
      </c>
      <c r="V109" s="18" t="s">
        <v>811</v>
      </c>
      <c r="W109" s="13"/>
      <c r="X109" s="13"/>
      <c r="Y109" s="18" t="s">
        <v>250</v>
      </c>
      <c r="Z109" s="18" t="s">
        <v>82</v>
      </c>
      <c r="AA109" s="18" t="s">
        <v>83</v>
      </c>
      <c r="AB109" s="18" t="s">
        <v>84</v>
      </c>
      <c r="AC109" s="18" t="s">
        <v>85</v>
      </c>
      <c r="AD109" s="18">
        <v>54.88</v>
      </c>
      <c r="AE109" s="18">
        <v>0</v>
      </c>
      <c r="AF109" s="18">
        <v>0</v>
      </c>
      <c r="AG109" s="18">
        <v>1</v>
      </c>
      <c r="AH109" s="18">
        <v>0</v>
      </c>
      <c r="AI109" s="18">
        <v>1</v>
      </c>
      <c r="AJ109" s="18">
        <v>0</v>
      </c>
      <c r="AK109" s="18">
        <v>0</v>
      </c>
      <c r="AL109" s="18">
        <v>0</v>
      </c>
      <c r="AM109" s="18">
        <v>0</v>
      </c>
      <c r="AN109" s="18">
        <v>0</v>
      </c>
      <c r="AO109" s="18">
        <v>0</v>
      </c>
      <c r="AP109" s="18">
        <v>0</v>
      </c>
      <c r="AQ109" s="18">
        <v>0</v>
      </c>
      <c r="AR109" s="18">
        <v>0</v>
      </c>
      <c r="AS109" s="18">
        <v>0</v>
      </c>
      <c r="AT109" s="18">
        <v>1</v>
      </c>
      <c r="AU109" s="18">
        <v>0</v>
      </c>
      <c r="AV109" s="18">
        <v>0</v>
      </c>
      <c r="AW109" s="18">
        <v>0</v>
      </c>
      <c r="AX109" s="18">
        <v>0</v>
      </c>
      <c r="AY109" s="13"/>
      <c r="AZ109" s="18">
        <v>1</v>
      </c>
      <c r="BA109" s="18">
        <v>0</v>
      </c>
      <c r="BB109" s="18">
        <v>38.81</v>
      </c>
      <c r="BC109" s="18" t="s">
        <v>812</v>
      </c>
      <c r="BD109" s="18" t="s">
        <v>626</v>
      </c>
      <c r="BE109" s="18" t="s">
        <v>166</v>
      </c>
      <c r="BF109" s="18" t="s">
        <v>77</v>
      </c>
      <c r="BG109" s="18">
        <v>208</v>
      </c>
      <c r="BH109" s="18">
        <v>11</v>
      </c>
      <c r="BI109" s="18">
        <v>0.9498</v>
      </c>
      <c r="BJ109" s="18">
        <v>0</v>
      </c>
      <c r="BK109" s="18">
        <v>5</v>
      </c>
      <c r="BL109" s="18">
        <v>98.6</v>
      </c>
      <c r="BM109" s="13">
        <f t="shared" si="0"/>
        <v>89.82</v>
      </c>
    </row>
    <row r="110" customHeight="1" spans="1:65">
      <c r="A110" s="18" t="s">
        <v>814</v>
      </c>
      <c r="B110" s="18" t="s">
        <v>344</v>
      </c>
      <c r="C110" s="13"/>
      <c r="D110" s="13"/>
      <c r="E110" s="18" t="s">
        <v>815</v>
      </c>
      <c r="F110" s="18" t="s">
        <v>82</v>
      </c>
      <c r="G110" s="18" t="s">
        <v>346</v>
      </c>
      <c r="H110" s="18" t="s">
        <v>107</v>
      </c>
      <c r="I110" s="18" t="s">
        <v>203</v>
      </c>
      <c r="J110" s="18">
        <v>4</v>
      </c>
      <c r="K110" s="16">
        <v>19.99</v>
      </c>
      <c r="L110" s="10"/>
      <c r="M110" s="16">
        <v>0</v>
      </c>
      <c r="N110" s="16">
        <v>0</v>
      </c>
      <c r="O110" s="18">
        <v>0</v>
      </c>
      <c r="P110" s="18" t="s">
        <v>133</v>
      </c>
      <c r="Q110" s="18">
        <v>3.044046</v>
      </c>
      <c r="R110" s="10"/>
      <c r="S110" s="16">
        <v>1</v>
      </c>
      <c r="T110" s="16">
        <v>1</v>
      </c>
      <c r="U110" s="18" t="s">
        <v>814</v>
      </c>
      <c r="V110" s="18" t="s">
        <v>344</v>
      </c>
      <c r="W110" s="13"/>
      <c r="X110" s="13"/>
      <c r="Y110" s="18" t="s">
        <v>815</v>
      </c>
      <c r="Z110" s="18" t="s">
        <v>82</v>
      </c>
      <c r="AA110" s="18" t="s">
        <v>346</v>
      </c>
      <c r="AB110" s="18" t="s">
        <v>107</v>
      </c>
      <c r="AC110" s="18" t="s">
        <v>203</v>
      </c>
      <c r="AD110" s="18">
        <v>35.98</v>
      </c>
      <c r="AE110" s="18">
        <v>0</v>
      </c>
      <c r="AF110" s="18">
        <v>0</v>
      </c>
      <c r="AG110" s="18">
        <v>0</v>
      </c>
      <c r="AH110" s="18">
        <v>0</v>
      </c>
      <c r="AI110" s="18">
        <v>0</v>
      </c>
      <c r="AJ110" s="18">
        <v>0</v>
      </c>
      <c r="AK110" s="18">
        <v>0</v>
      </c>
      <c r="AL110" s="18">
        <v>0</v>
      </c>
      <c r="AM110" s="18">
        <v>0</v>
      </c>
      <c r="AN110" s="18">
        <v>0</v>
      </c>
      <c r="AO110" s="18">
        <v>0</v>
      </c>
      <c r="AP110" s="18">
        <v>0</v>
      </c>
      <c r="AQ110" s="18">
        <v>0</v>
      </c>
      <c r="AR110" s="18">
        <v>0</v>
      </c>
      <c r="AS110" s="18">
        <v>0</v>
      </c>
      <c r="AT110" s="18">
        <v>0</v>
      </c>
      <c r="AU110" s="18">
        <v>0</v>
      </c>
      <c r="AV110" s="18">
        <v>0</v>
      </c>
      <c r="AW110" s="18">
        <v>1</v>
      </c>
      <c r="AX110" s="18">
        <v>0</v>
      </c>
      <c r="AY110" s="13"/>
      <c r="AZ110" s="18">
        <v>1</v>
      </c>
      <c r="BA110" s="18">
        <v>0</v>
      </c>
      <c r="BB110" s="18">
        <v>45.14</v>
      </c>
      <c r="BC110" s="18" t="s">
        <v>816</v>
      </c>
      <c r="BD110" s="18" t="s">
        <v>817</v>
      </c>
      <c r="BE110" s="18" t="s">
        <v>690</v>
      </c>
      <c r="BF110" s="18" t="s">
        <v>77</v>
      </c>
      <c r="BG110" s="18">
        <v>168</v>
      </c>
      <c r="BH110" s="18">
        <v>51</v>
      </c>
      <c r="BI110" s="18">
        <v>0.7671</v>
      </c>
      <c r="BJ110" s="18">
        <v>0</v>
      </c>
      <c r="BK110" s="18">
        <v>59</v>
      </c>
      <c r="BL110" s="18">
        <v>83.8</v>
      </c>
      <c r="BM110" s="13">
        <f t="shared" si="0"/>
        <v>19.99</v>
      </c>
    </row>
    <row r="111" customHeight="1" spans="1:65">
      <c r="A111" s="18" t="s">
        <v>818</v>
      </c>
      <c r="B111" s="18" t="s">
        <v>819</v>
      </c>
      <c r="C111" s="13"/>
      <c r="D111" s="18">
        <v>810083471167</v>
      </c>
      <c r="E111" s="18" t="s">
        <v>81</v>
      </c>
      <c r="F111" s="18" t="s">
        <v>82</v>
      </c>
      <c r="G111" s="18" t="s">
        <v>819</v>
      </c>
      <c r="H111" s="18" t="s">
        <v>102</v>
      </c>
      <c r="I111" s="18" t="s">
        <v>108</v>
      </c>
      <c r="J111" s="18">
        <v>3</v>
      </c>
      <c r="K111" s="16">
        <v>79.99</v>
      </c>
      <c r="L111" s="10"/>
      <c r="M111" s="16">
        <v>0</v>
      </c>
      <c r="N111" s="16">
        <v>0</v>
      </c>
      <c r="O111" s="18">
        <v>0</v>
      </c>
      <c r="P111" s="18" t="s">
        <v>95</v>
      </c>
      <c r="Q111" s="18">
        <v>4.394326</v>
      </c>
      <c r="R111" s="10"/>
      <c r="S111" s="16">
        <v>39</v>
      </c>
      <c r="T111" s="16">
        <v>10</v>
      </c>
      <c r="U111" s="18" t="s">
        <v>818</v>
      </c>
      <c r="V111" s="18" t="s">
        <v>819</v>
      </c>
      <c r="W111" s="13"/>
      <c r="X111" s="18">
        <v>810083471168</v>
      </c>
      <c r="Y111" s="18" t="s">
        <v>81</v>
      </c>
      <c r="Z111" s="18" t="s">
        <v>82</v>
      </c>
      <c r="AA111" s="18" t="s">
        <v>819</v>
      </c>
      <c r="AB111" s="18" t="s">
        <v>102</v>
      </c>
      <c r="AC111" s="18" t="s">
        <v>108</v>
      </c>
      <c r="AD111" s="18">
        <v>156.98</v>
      </c>
      <c r="AE111" s="18">
        <v>0</v>
      </c>
      <c r="AF111" s="18">
        <v>0</v>
      </c>
      <c r="AG111" s="18">
        <v>0</v>
      </c>
      <c r="AH111" s="18">
        <v>0</v>
      </c>
      <c r="AI111" s="18">
        <v>0</v>
      </c>
      <c r="AJ111" s="18">
        <v>0</v>
      </c>
      <c r="AK111" s="18">
        <v>0</v>
      </c>
      <c r="AL111" s="18">
        <v>0</v>
      </c>
      <c r="AM111" s="18">
        <v>0</v>
      </c>
      <c r="AN111" s="18">
        <v>0</v>
      </c>
      <c r="AO111" s="18">
        <v>0</v>
      </c>
      <c r="AP111" s="18">
        <v>1</v>
      </c>
      <c r="AQ111" s="18">
        <v>0</v>
      </c>
      <c r="AR111" s="18">
        <v>0</v>
      </c>
      <c r="AS111" s="18">
        <v>0</v>
      </c>
      <c r="AT111" s="18">
        <v>1</v>
      </c>
      <c r="AU111" s="18">
        <v>0</v>
      </c>
      <c r="AV111" s="18">
        <v>0</v>
      </c>
      <c r="AW111" s="18">
        <v>0</v>
      </c>
      <c r="AX111" s="18">
        <v>0</v>
      </c>
      <c r="AY111" s="13"/>
      <c r="AZ111" s="18">
        <v>1</v>
      </c>
      <c r="BA111" s="18">
        <v>0</v>
      </c>
      <c r="BB111" s="18">
        <v>61.09</v>
      </c>
      <c r="BC111" s="18" t="s">
        <v>820</v>
      </c>
      <c r="BD111" s="18" t="s">
        <v>821</v>
      </c>
      <c r="BE111" s="18" t="s">
        <v>822</v>
      </c>
      <c r="BF111" s="18" t="s">
        <v>77</v>
      </c>
      <c r="BG111" s="18">
        <v>1</v>
      </c>
      <c r="BH111" s="18">
        <v>53</v>
      </c>
      <c r="BI111" s="18">
        <v>0.0185</v>
      </c>
      <c r="BJ111" s="18">
        <v>1</v>
      </c>
      <c r="BK111" s="18">
        <v>9</v>
      </c>
      <c r="BL111" s="18">
        <v>97.5</v>
      </c>
      <c r="BM111" s="13">
        <f t="shared" si="0"/>
        <v>3119.61</v>
      </c>
    </row>
    <row r="112" customHeight="1" spans="1:65">
      <c r="A112" s="18" t="s">
        <v>825</v>
      </c>
      <c r="B112" s="18" t="s">
        <v>344</v>
      </c>
      <c r="C112" s="13"/>
      <c r="D112" s="13"/>
      <c r="E112" s="18" t="s">
        <v>81</v>
      </c>
      <c r="F112" s="18" t="s">
        <v>160</v>
      </c>
      <c r="G112" s="18" t="s">
        <v>346</v>
      </c>
      <c r="H112" s="18" t="s">
        <v>107</v>
      </c>
      <c r="I112" s="18" t="s">
        <v>85</v>
      </c>
      <c r="J112" s="18">
        <v>5</v>
      </c>
      <c r="K112" s="16">
        <v>119.4</v>
      </c>
      <c r="L112" s="10"/>
      <c r="M112" s="16">
        <v>0</v>
      </c>
      <c r="N112" s="16">
        <v>0</v>
      </c>
      <c r="O112" s="18">
        <v>0</v>
      </c>
      <c r="P112" s="18" t="s">
        <v>95</v>
      </c>
      <c r="Q112" s="18">
        <v>4.79082</v>
      </c>
      <c r="R112" s="10"/>
      <c r="S112" s="10"/>
      <c r="T112" s="10"/>
      <c r="U112" s="18" t="s">
        <v>825</v>
      </c>
      <c r="V112" s="18" t="s">
        <v>344</v>
      </c>
      <c r="W112" s="13"/>
      <c r="X112" s="13"/>
      <c r="Y112" s="18" t="s">
        <v>81</v>
      </c>
      <c r="Z112" s="18" t="s">
        <v>160</v>
      </c>
      <c r="AA112" s="18" t="s">
        <v>346</v>
      </c>
      <c r="AB112" s="18" t="s">
        <v>107</v>
      </c>
      <c r="AC112" s="18" t="s">
        <v>85</v>
      </c>
      <c r="AD112" s="18">
        <v>233.8</v>
      </c>
      <c r="AE112" s="18">
        <v>0</v>
      </c>
      <c r="AF112" s="18">
        <v>0</v>
      </c>
      <c r="AG112" s="18">
        <v>0</v>
      </c>
      <c r="AH112" s="18">
        <v>1</v>
      </c>
      <c r="AI112" s="18">
        <v>0</v>
      </c>
      <c r="AJ112" s="18">
        <v>0</v>
      </c>
      <c r="AK112" s="18">
        <v>0</v>
      </c>
      <c r="AL112" s="18">
        <v>0</v>
      </c>
      <c r="AM112" s="18">
        <v>0</v>
      </c>
      <c r="AN112" s="18">
        <v>0</v>
      </c>
      <c r="AO112" s="18">
        <v>0</v>
      </c>
      <c r="AP112" s="18">
        <v>0</v>
      </c>
      <c r="AQ112" s="18">
        <v>0</v>
      </c>
      <c r="AR112" s="18">
        <v>0</v>
      </c>
      <c r="AS112" s="18">
        <v>1</v>
      </c>
      <c r="AT112" s="18">
        <v>1</v>
      </c>
      <c r="AU112" s="18">
        <v>0</v>
      </c>
      <c r="AV112" s="18">
        <v>0</v>
      </c>
      <c r="AW112" s="18">
        <v>0</v>
      </c>
      <c r="AX112" s="18">
        <v>0</v>
      </c>
      <c r="AY112" s="13"/>
      <c r="AZ112" s="18">
        <v>1</v>
      </c>
      <c r="BA112" s="18">
        <v>1</v>
      </c>
      <c r="BB112" s="18">
        <v>0</v>
      </c>
      <c r="BC112" s="18" t="s">
        <v>826</v>
      </c>
      <c r="BD112" s="18" t="s">
        <v>827</v>
      </c>
      <c r="BE112" s="18" t="s">
        <v>128</v>
      </c>
      <c r="BF112" s="18" t="s">
        <v>77</v>
      </c>
      <c r="BG112" s="18">
        <v>1</v>
      </c>
      <c r="BH112" s="18">
        <v>11</v>
      </c>
      <c r="BI112" s="18">
        <v>0.0833</v>
      </c>
      <c r="BJ112" s="18">
        <v>1</v>
      </c>
      <c r="BK112" s="13"/>
      <c r="BL112" s="13"/>
      <c r="BM112" s="13">
        <f t="shared" si="0"/>
        <v>0</v>
      </c>
    </row>
    <row r="113" customHeight="1" spans="1:65">
      <c r="A113" s="18" t="s">
        <v>830</v>
      </c>
      <c r="B113" s="18" t="s">
        <v>831</v>
      </c>
      <c r="C113" s="13"/>
      <c r="D113" s="13"/>
      <c r="E113" s="18" t="s">
        <v>505</v>
      </c>
      <c r="F113" s="18" t="s">
        <v>198</v>
      </c>
      <c r="G113" s="18" t="s">
        <v>83</v>
      </c>
      <c r="H113" s="18" t="s">
        <v>84</v>
      </c>
      <c r="I113" s="18" t="s">
        <v>85</v>
      </c>
      <c r="J113" s="18">
        <v>5</v>
      </c>
      <c r="K113" s="16">
        <v>29.88</v>
      </c>
      <c r="L113" s="10"/>
      <c r="M113" s="16">
        <v>0</v>
      </c>
      <c r="N113" s="16">
        <v>0</v>
      </c>
      <c r="O113" s="18">
        <v>0</v>
      </c>
      <c r="P113" s="18" t="s">
        <v>86</v>
      </c>
      <c r="Q113" s="18">
        <v>3.430109</v>
      </c>
      <c r="R113" s="10"/>
      <c r="S113" s="16">
        <v>37</v>
      </c>
      <c r="T113" s="16">
        <v>10</v>
      </c>
      <c r="U113" s="18" t="s">
        <v>830</v>
      </c>
      <c r="V113" s="18" t="s">
        <v>831</v>
      </c>
      <c r="W113" s="13"/>
      <c r="X113" s="13"/>
      <c r="Y113" s="18" t="s">
        <v>505</v>
      </c>
      <c r="Z113" s="18" t="s">
        <v>198</v>
      </c>
      <c r="AA113" s="18" t="s">
        <v>83</v>
      </c>
      <c r="AB113" s="18" t="s">
        <v>84</v>
      </c>
      <c r="AC113" s="18" t="s">
        <v>85</v>
      </c>
      <c r="AD113" s="18">
        <v>54.76</v>
      </c>
      <c r="AE113" s="18">
        <v>1</v>
      </c>
      <c r="AF113" s="18">
        <v>0</v>
      </c>
      <c r="AG113" s="18">
        <v>0</v>
      </c>
      <c r="AH113" s="18">
        <v>0</v>
      </c>
      <c r="AI113" s="18">
        <v>0</v>
      </c>
      <c r="AJ113" s="18">
        <v>0</v>
      </c>
      <c r="AK113" s="18">
        <v>0</v>
      </c>
      <c r="AL113" s="18">
        <v>0</v>
      </c>
      <c r="AM113" s="18">
        <v>0</v>
      </c>
      <c r="AN113" s="18">
        <v>0</v>
      </c>
      <c r="AO113" s="18">
        <v>0</v>
      </c>
      <c r="AP113" s="18">
        <v>0</v>
      </c>
      <c r="AQ113" s="18">
        <v>0</v>
      </c>
      <c r="AR113" s="18">
        <v>0</v>
      </c>
      <c r="AS113" s="18">
        <v>0</v>
      </c>
      <c r="AT113" s="18">
        <v>1</v>
      </c>
      <c r="AU113" s="18">
        <v>0</v>
      </c>
      <c r="AV113" s="18">
        <v>0</v>
      </c>
      <c r="AW113" s="18">
        <v>0</v>
      </c>
      <c r="AX113" s="18">
        <v>0</v>
      </c>
      <c r="AY113" s="13"/>
      <c r="AZ113" s="18">
        <v>1</v>
      </c>
      <c r="BA113" s="18">
        <v>1</v>
      </c>
      <c r="BB113" s="18">
        <v>61.34</v>
      </c>
      <c r="BC113" s="18" t="s">
        <v>832</v>
      </c>
      <c r="BD113" s="18" t="s">
        <v>833</v>
      </c>
      <c r="BE113" s="18" t="s">
        <v>834</v>
      </c>
      <c r="BF113" s="18" t="s">
        <v>77</v>
      </c>
      <c r="BG113" s="18">
        <v>1</v>
      </c>
      <c r="BH113" s="18">
        <v>93</v>
      </c>
      <c r="BI113" s="18">
        <v>0.0106</v>
      </c>
      <c r="BJ113" s="18">
        <v>1</v>
      </c>
      <c r="BK113" s="18">
        <v>2</v>
      </c>
      <c r="BL113" s="18">
        <v>99.5</v>
      </c>
      <c r="BM113" s="13">
        <f t="shared" si="0"/>
        <v>1105.56</v>
      </c>
    </row>
    <row r="114" customHeight="1" spans="1:65">
      <c r="A114" s="18" t="s">
        <v>842</v>
      </c>
      <c r="B114" s="18" t="s">
        <v>843</v>
      </c>
      <c r="C114" s="18" t="s">
        <v>844</v>
      </c>
      <c r="D114" s="13"/>
      <c r="E114" s="18" t="s">
        <v>656</v>
      </c>
      <c r="F114" s="18" t="s">
        <v>82</v>
      </c>
      <c r="G114" s="18" t="s">
        <v>427</v>
      </c>
      <c r="H114" s="18" t="s">
        <v>84</v>
      </c>
      <c r="I114" s="18" t="s">
        <v>85</v>
      </c>
      <c r="J114" s="18">
        <v>5</v>
      </c>
      <c r="K114" s="16">
        <v>62.67</v>
      </c>
      <c r="L114" s="10"/>
      <c r="M114" s="16">
        <v>0</v>
      </c>
      <c r="N114" s="16">
        <v>0</v>
      </c>
      <c r="O114" s="18">
        <v>0</v>
      </c>
      <c r="P114" s="18" t="s">
        <v>86</v>
      </c>
      <c r="Q114" s="18">
        <v>4.153713</v>
      </c>
      <c r="R114" s="10"/>
      <c r="S114" s="16">
        <v>53</v>
      </c>
      <c r="T114" s="16">
        <v>10</v>
      </c>
      <c r="U114" s="18" t="s">
        <v>842</v>
      </c>
      <c r="V114" s="18" t="s">
        <v>843</v>
      </c>
      <c r="W114" s="18" t="s">
        <v>844</v>
      </c>
      <c r="X114" s="13"/>
      <c r="Y114" s="18" t="s">
        <v>656</v>
      </c>
      <c r="Z114" s="18" t="s">
        <v>82</v>
      </c>
      <c r="AA114" s="18" t="s">
        <v>427</v>
      </c>
      <c r="AB114" s="18" t="s">
        <v>84</v>
      </c>
      <c r="AC114" s="18" t="s">
        <v>85</v>
      </c>
      <c r="AD114" s="18">
        <v>120.34</v>
      </c>
      <c r="AE114" s="18">
        <v>0</v>
      </c>
      <c r="AF114" s="18">
        <v>1</v>
      </c>
      <c r="AG114" s="18">
        <v>0</v>
      </c>
      <c r="AH114" s="18">
        <v>0</v>
      </c>
      <c r="AI114" s="18">
        <v>0</v>
      </c>
      <c r="AJ114" s="18">
        <v>0</v>
      </c>
      <c r="AK114" s="18">
        <v>0</v>
      </c>
      <c r="AL114" s="18">
        <v>0</v>
      </c>
      <c r="AM114" s="18">
        <v>0</v>
      </c>
      <c r="AN114" s="18">
        <v>0</v>
      </c>
      <c r="AO114" s="18">
        <v>0</v>
      </c>
      <c r="AP114" s="18">
        <v>0</v>
      </c>
      <c r="AQ114" s="18">
        <v>0</v>
      </c>
      <c r="AR114" s="18">
        <v>0</v>
      </c>
      <c r="AS114" s="18">
        <v>0</v>
      </c>
      <c r="AT114" s="18">
        <v>0</v>
      </c>
      <c r="AU114" s="18">
        <v>0</v>
      </c>
      <c r="AV114" s="18">
        <v>0</v>
      </c>
      <c r="AW114" s="18">
        <v>0</v>
      </c>
      <c r="AX114" s="18">
        <v>0</v>
      </c>
      <c r="AY114" s="13"/>
      <c r="AZ114" s="18">
        <v>1</v>
      </c>
      <c r="BA114" s="18">
        <v>0</v>
      </c>
      <c r="BB114" s="18">
        <v>63.5</v>
      </c>
      <c r="BC114" s="18" t="s">
        <v>845</v>
      </c>
      <c r="BD114" s="18" t="s">
        <v>180</v>
      </c>
      <c r="BE114" s="18" t="s">
        <v>128</v>
      </c>
      <c r="BF114" s="18" t="s">
        <v>77</v>
      </c>
      <c r="BG114" s="18">
        <v>1</v>
      </c>
      <c r="BH114" s="18">
        <v>53</v>
      </c>
      <c r="BI114" s="18">
        <v>0.0185</v>
      </c>
      <c r="BJ114" s="18">
        <v>1</v>
      </c>
      <c r="BK114" s="18">
        <v>2</v>
      </c>
      <c r="BL114" s="18">
        <v>99.5</v>
      </c>
      <c r="BM114" s="13">
        <f t="shared" si="0"/>
        <v>3321.51</v>
      </c>
    </row>
    <row r="115" customHeight="1" spans="1:65">
      <c r="A115" s="18" t="s">
        <v>1294</v>
      </c>
      <c r="B115" s="18" t="s">
        <v>171</v>
      </c>
      <c r="C115" s="18" t="s">
        <v>1295</v>
      </c>
      <c r="D115" s="13"/>
      <c r="E115" s="18" t="s">
        <v>250</v>
      </c>
      <c r="F115" s="18" t="s">
        <v>160</v>
      </c>
      <c r="G115" s="18" t="s">
        <v>83</v>
      </c>
      <c r="H115" s="18" t="s">
        <v>84</v>
      </c>
      <c r="I115" s="18" t="s">
        <v>85</v>
      </c>
      <c r="J115" s="18">
        <v>5</v>
      </c>
      <c r="K115" s="16">
        <v>16.49</v>
      </c>
      <c r="L115" s="10"/>
      <c r="M115" s="16">
        <v>0</v>
      </c>
      <c r="N115" s="16">
        <v>0</v>
      </c>
      <c r="O115" s="18">
        <v>0</v>
      </c>
      <c r="P115" s="18" t="s">
        <v>133</v>
      </c>
      <c r="Q115" s="18">
        <v>2.861629</v>
      </c>
      <c r="R115" s="10"/>
      <c r="S115" s="16">
        <v>726</v>
      </c>
      <c r="T115" s="16">
        <v>10</v>
      </c>
      <c r="U115" s="18" t="s">
        <v>1294</v>
      </c>
      <c r="V115" s="18" t="s">
        <v>171</v>
      </c>
      <c r="W115" s="18" t="s">
        <v>2551</v>
      </c>
      <c r="X115" s="13"/>
      <c r="Y115" s="18" t="s">
        <v>250</v>
      </c>
      <c r="Z115" s="18" t="s">
        <v>160</v>
      </c>
      <c r="AA115" s="18" t="s">
        <v>83</v>
      </c>
      <c r="AB115" s="18" t="s">
        <v>84</v>
      </c>
      <c r="AC115" s="18" t="s">
        <v>85</v>
      </c>
      <c r="AD115" s="18">
        <v>27.98</v>
      </c>
      <c r="AE115" s="18">
        <v>0</v>
      </c>
      <c r="AF115" s="18">
        <v>0</v>
      </c>
      <c r="AG115" s="18">
        <v>0</v>
      </c>
      <c r="AH115" s="18">
        <v>0</v>
      </c>
      <c r="AI115" s="18">
        <v>0</v>
      </c>
      <c r="AJ115" s="18">
        <v>0</v>
      </c>
      <c r="AK115" s="18">
        <v>0</v>
      </c>
      <c r="AL115" s="18">
        <v>0</v>
      </c>
      <c r="AM115" s="18">
        <v>0</v>
      </c>
      <c r="AN115" s="18">
        <v>0</v>
      </c>
      <c r="AO115" s="18">
        <v>0</v>
      </c>
      <c r="AP115" s="18">
        <v>0</v>
      </c>
      <c r="AQ115" s="18">
        <v>0</v>
      </c>
      <c r="AR115" s="18">
        <v>0</v>
      </c>
      <c r="AS115" s="18">
        <v>0</v>
      </c>
      <c r="AT115" s="18">
        <v>1</v>
      </c>
      <c r="AU115" s="18">
        <v>0</v>
      </c>
      <c r="AV115" s="18">
        <v>0</v>
      </c>
      <c r="AW115" s="18">
        <v>0</v>
      </c>
      <c r="AX115" s="18">
        <v>0</v>
      </c>
      <c r="AY115" s="13"/>
      <c r="AZ115" s="18">
        <v>1</v>
      </c>
      <c r="BA115" s="18">
        <v>1</v>
      </c>
      <c r="BB115" s="18">
        <v>68.98</v>
      </c>
      <c r="BC115" s="18" t="s">
        <v>174</v>
      </c>
      <c r="BD115" s="18" t="s">
        <v>175</v>
      </c>
      <c r="BE115" s="18" t="s">
        <v>226</v>
      </c>
      <c r="BF115" s="18" t="s">
        <v>77</v>
      </c>
      <c r="BG115" s="18">
        <v>1</v>
      </c>
      <c r="BH115" s="18">
        <v>28</v>
      </c>
      <c r="BI115" s="18">
        <v>0.0345</v>
      </c>
      <c r="BJ115" s="18">
        <v>1</v>
      </c>
      <c r="BK115" s="18">
        <v>6</v>
      </c>
      <c r="BL115" s="18">
        <v>98.4</v>
      </c>
      <c r="BM115" s="13">
        <f t="shared" si="0"/>
        <v>11971.74</v>
      </c>
    </row>
    <row r="116" customHeight="1" spans="1:65">
      <c r="A116" s="18" t="s">
        <v>1658</v>
      </c>
      <c r="B116" s="18" t="s">
        <v>171</v>
      </c>
      <c r="C116" s="18" t="s">
        <v>1659</v>
      </c>
      <c r="D116" s="13"/>
      <c r="E116" s="18" t="s">
        <v>250</v>
      </c>
      <c r="F116" s="18" t="s">
        <v>82</v>
      </c>
      <c r="G116" s="18" t="s">
        <v>83</v>
      </c>
      <c r="H116" s="18" t="s">
        <v>84</v>
      </c>
      <c r="I116" s="18" t="s">
        <v>85</v>
      </c>
      <c r="J116" s="18">
        <v>5</v>
      </c>
      <c r="K116" s="16">
        <v>59.99</v>
      </c>
      <c r="L116" s="16">
        <v>74.99</v>
      </c>
      <c r="M116" s="16">
        <v>20</v>
      </c>
      <c r="N116" s="16">
        <v>15</v>
      </c>
      <c r="O116" s="18">
        <v>1</v>
      </c>
      <c r="P116" s="18" t="s">
        <v>86</v>
      </c>
      <c r="Q116" s="18">
        <v>4.11071</v>
      </c>
      <c r="R116" s="10"/>
      <c r="S116" s="16">
        <v>4</v>
      </c>
      <c r="T116" s="16">
        <v>10</v>
      </c>
      <c r="U116" s="18" t="s">
        <v>1658</v>
      </c>
      <c r="V116" s="18" t="s">
        <v>171</v>
      </c>
      <c r="W116" s="18" t="s">
        <v>1659</v>
      </c>
      <c r="X116" s="13"/>
      <c r="Y116" s="18" t="s">
        <v>250</v>
      </c>
      <c r="Z116" s="18" t="s">
        <v>82</v>
      </c>
      <c r="AA116" s="18" t="s">
        <v>83</v>
      </c>
      <c r="AB116" s="18" t="s">
        <v>84</v>
      </c>
      <c r="AC116" s="18" t="s">
        <v>85</v>
      </c>
      <c r="AD116" s="18">
        <v>8.33400000000007</v>
      </c>
      <c r="AE116" s="18">
        <v>0</v>
      </c>
      <c r="AF116" s="18">
        <v>0</v>
      </c>
      <c r="AG116" s="18">
        <v>0</v>
      </c>
      <c r="AH116" s="18">
        <v>1</v>
      </c>
      <c r="AI116" s="18">
        <v>0</v>
      </c>
      <c r="AJ116" s="18">
        <v>0</v>
      </c>
      <c r="AK116" s="18">
        <v>0</v>
      </c>
      <c r="AL116" s="18">
        <v>0</v>
      </c>
      <c r="AM116" s="18">
        <v>0</v>
      </c>
      <c r="AN116" s="18">
        <v>1</v>
      </c>
      <c r="AO116" s="18">
        <v>0</v>
      </c>
      <c r="AP116" s="18">
        <v>0</v>
      </c>
      <c r="AQ116" s="18">
        <v>0</v>
      </c>
      <c r="AR116" s="18">
        <v>0</v>
      </c>
      <c r="AS116" s="18">
        <v>0</v>
      </c>
      <c r="AT116" s="18">
        <v>0</v>
      </c>
      <c r="AU116" s="18">
        <v>0</v>
      </c>
      <c r="AV116" s="18">
        <v>0</v>
      </c>
      <c r="AW116" s="18">
        <v>0</v>
      </c>
      <c r="AX116" s="18">
        <v>0</v>
      </c>
      <c r="AY116" s="13"/>
      <c r="AZ116" s="18">
        <v>1</v>
      </c>
      <c r="BA116" s="18">
        <v>4</v>
      </c>
      <c r="BB116" s="18">
        <v>17.43</v>
      </c>
      <c r="BC116" s="18" t="s">
        <v>174</v>
      </c>
      <c r="BD116" s="18" t="s">
        <v>175</v>
      </c>
      <c r="BE116" s="18" t="s">
        <v>226</v>
      </c>
      <c r="BF116" s="18" t="s">
        <v>77</v>
      </c>
      <c r="BG116" s="18">
        <v>162</v>
      </c>
      <c r="BH116" s="18">
        <v>60</v>
      </c>
      <c r="BI116" s="18">
        <v>0.7297</v>
      </c>
      <c r="BJ116" s="18">
        <v>0</v>
      </c>
      <c r="BK116" s="13"/>
      <c r="BL116" s="13"/>
      <c r="BM116" s="13">
        <f t="shared" si="0"/>
        <v>239.96</v>
      </c>
    </row>
    <row r="117" customHeight="1" spans="1:65">
      <c r="A117" s="18" t="s">
        <v>2213</v>
      </c>
      <c r="B117" s="18" t="s">
        <v>171</v>
      </c>
      <c r="C117" s="18" t="s">
        <v>2214</v>
      </c>
      <c r="D117" s="13"/>
      <c r="E117" s="18" t="s">
        <v>250</v>
      </c>
      <c r="F117" s="18" t="s">
        <v>160</v>
      </c>
      <c r="G117" s="18" t="s">
        <v>83</v>
      </c>
      <c r="H117" s="18" t="s">
        <v>84</v>
      </c>
      <c r="I117" s="18" t="s">
        <v>85</v>
      </c>
      <c r="J117" s="18">
        <v>5</v>
      </c>
      <c r="K117" s="16">
        <v>146.99</v>
      </c>
      <c r="L117" s="16">
        <v>174.99</v>
      </c>
      <c r="M117" s="16">
        <v>16</v>
      </c>
      <c r="N117" s="16">
        <v>28</v>
      </c>
      <c r="O117" s="18">
        <v>1</v>
      </c>
      <c r="P117" s="18" t="s">
        <v>95</v>
      </c>
      <c r="Q117" s="18">
        <v>4.997145</v>
      </c>
      <c r="R117" s="16">
        <v>36.75</v>
      </c>
      <c r="S117" s="16">
        <v>1</v>
      </c>
      <c r="T117" s="16">
        <v>10</v>
      </c>
      <c r="U117" s="18" t="s">
        <v>2213</v>
      </c>
      <c r="V117" s="18" t="s">
        <v>171</v>
      </c>
      <c r="W117" s="19" t="s">
        <v>2214</v>
      </c>
      <c r="X117" s="13"/>
      <c r="Y117" s="18" t="s">
        <v>250</v>
      </c>
      <c r="Z117" s="18" t="s">
        <v>160</v>
      </c>
      <c r="AA117" s="18" t="s">
        <v>83</v>
      </c>
      <c r="AB117" s="18" t="s">
        <v>84</v>
      </c>
      <c r="AC117" s="18" t="s">
        <v>85</v>
      </c>
      <c r="AD117" s="18">
        <v>8.4006666666666</v>
      </c>
      <c r="AE117" s="18">
        <v>0</v>
      </c>
      <c r="AF117" s="18">
        <v>0</v>
      </c>
      <c r="AG117" s="18">
        <v>0</v>
      </c>
      <c r="AH117" s="18">
        <v>1</v>
      </c>
      <c r="AI117" s="18">
        <v>0</v>
      </c>
      <c r="AJ117" s="18">
        <v>0</v>
      </c>
      <c r="AK117" s="18">
        <v>0</v>
      </c>
      <c r="AL117" s="18">
        <v>0</v>
      </c>
      <c r="AM117" s="18">
        <v>0</v>
      </c>
      <c r="AN117" s="18">
        <v>0</v>
      </c>
      <c r="AO117" s="18">
        <v>0</v>
      </c>
      <c r="AP117" s="18">
        <v>0</v>
      </c>
      <c r="AQ117" s="18">
        <v>1</v>
      </c>
      <c r="AR117" s="18">
        <v>0</v>
      </c>
      <c r="AS117" s="18">
        <v>0</v>
      </c>
      <c r="AT117" s="18">
        <v>0</v>
      </c>
      <c r="AU117" s="18">
        <v>0</v>
      </c>
      <c r="AV117" s="18">
        <v>1</v>
      </c>
      <c r="AW117" s="18">
        <v>1</v>
      </c>
      <c r="AX117" s="18">
        <v>0</v>
      </c>
      <c r="AY117" s="18">
        <v>4</v>
      </c>
      <c r="AZ117" s="18">
        <v>1</v>
      </c>
      <c r="BA117" s="18">
        <v>2</v>
      </c>
      <c r="BB117" s="18">
        <v>37.36</v>
      </c>
      <c r="BC117" s="18" t="s">
        <v>174</v>
      </c>
      <c r="BD117" s="18" t="s">
        <v>175</v>
      </c>
      <c r="BE117" s="18" t="s">
        <v>226</v>
      </c>
      <c r="BF117" s="18" t="s">
        <v>77</v>
      </c>
      <c r="BG117" s="18">
        <v>162</v>
      </c>
      <c r="BH117" s="18">
        <v>60</v>
      </c>
      <c r="BI117" s="18">
        <v>0.7297</v>
      </c>
      <c r="BJ117" s="18">
        <v>0</v>
      </c>
      <c r="BK117" s="18">
        <v>13</v>
      </c>
      <c r="BL117" s="18">
        <v>96.4</v>
      </c>
      <c r="BM117" s="13">
        <f t="shared" si="0"/>
        <v>146.99</v>
      </c>
    </row>
    <row r="118" customHeight="1" spans="1:65">
      <c r="A118" s="18" t="s">
        <v>2261</v>
      </c>
      <c r="B118" s="18" t="s">
        <v>171</v>
      </c>
      <c r="C118" s="18" t="s">
        <v>2262</v>
      </c>
      <c r="D118" s="13"/>
      <c r="E118" s="18" t="s">
        <v>250</v>
      </c>
      <c r="F118" s="18" t="s">
        <v>160</v>
      </c>
      <c r="G118" s="18" t="s">
        <v>83</v>
      </c>
      <c r="H118" s="18" t="s">
        <v>84</v>
      </c>
      <c r="I118" s="18" t="s">
        <v>85</v>
      </c>
      <c r="J118" s="18">
        <v>5</v>
      </c>
      <c r="K118" s="16">
        <v>159.59</v>
      </c>
      <c r="L118" s="16">
        <v>189.99</v>
      </c>
      <c r="M118" s="16">
        <v>16</v>
      </c>
      <c r="N118" s="16">
        <v>30.4</v>
      </c>
      <c r="O118" s="18">
        <v>1</v>
      </c>
      <c r="P118" s="18" t="s">
        <v>95</v>
      </c>
      <c r="Q118" s="18">
        <v>5.078855</v>
      </c>
      <c r="R118" s="16">
        <v>19.95</v>
      </c>
      <c r="S118" s="16">
        <v>718</v>
      </c>
      <c r="T118" s="16">
        <v>10</v>
      </c>
      <c r="U118" s="18" t="s">
        <v>2261</v>
      </c>
      <c r="V118" s="18" t="s">
        <v>171</v>
      </c>
      <c r="W118" s="18" t="s">
        <v>2262</v>
      </c>
      <c r="X118" s="13"/>
      <c r="Y118" s="18" t="s">
        <v>250</v>
      </c>
      <c r="Z118" s="18" t="s">
        <v>160</v>
      </c>
      <c r="AA118" s="18" t="s">
        <v>83</v>
      </c>
      <c r="AB118" s="18" t="s">
        <v>84</v>
      </c>
      <c r="AC118" s="18" t="s">
        <v>85</v>
      </c>
      <c r="AD118" s="18">
        <v>8.84066666666701</v>
      </c>
      <c r="AE118" s="18">
        <v>0</v>
      </c>
      <c r="AF118" s="18">
        <v>0</v>
      </c>
      <c r="AG118" s="18">
        <v>0</v>
      </c>
      <c r="AH118" s="18">
        <v>0</v>
      </c>
      <c r="AI118" s="18">
        <v>0</v>
      </c>
      <c r="AJ118" s="18">
        <v>0</v>
      </c>
      <c r="AK118" s="18">
        <v>0</v>
      </c>
      <c r="AL118" s="18">
        <v>0</v>
      </c>
      <c r="AM118" s="18">
        <v>0</v>
      </c>
      <c r="AN118" s="18">
        <v>0</v>
      </c>
      <c r="AO118" s="18">
        <v>0</v>
      </c>
      <c r="AP118" s="18">
        <v>0</v>
      </c>
      <c r="AQ118" s="18">
        <v>1</v>
      </c>
      <c r="AR118" s="18">
        <v>0</v>
      </c>
      <c r="AS118" s="18">
        <v>0</v>
      </c>
      <c r="AT118" s="18">
        <v>1</v>
      </c>
      <c r="AU118" s="18">
        <v>0</v>
      </c>
      <c r="AV118" s="18">
        <v>1</v>
      </c>
      <c r="AW118" s="18">
        <v>1</v>
      </c>
      <c r="AX118" s="18">
        <v>0</v>
      </c>
      <c r="AY118" s="18">
        <v>8</v>
      </c>
      <c r="AZ118" s="18">
        <v>1</v>
      </c>
      <c r="BA118" s="18">
        <v>3</v>
      </c>
      <c r="BB118" s="18">
        <v>73.77</v>
      </c>
      <c r="BC118" s="18" t="s">
        <v>174</v>
      </c>
      <c r="BD118" s="18" t="s">
        <v>175</v>
      </c>
      <c r="BE118" s="18" t="s">
        <v>226</v>
      </c>
      <c r="BF118" s="18" t="s">
        <v>77</v>
      </c>
      <c r="BG118" s="18">
        <v>161</v>
      </c>
      <c r="BH118" s="18">
        <v>61</v>
      </c>
      <c r="BI118" s="18">
        <v>0.7252</v>
      </c>
      <c r="BJ118" s="18">
        <v>0</v>
      </c>
      <c r="BK118" s="18">
        <v>6</v>
      </c>
      <c r="BL118" s="18">
        <v>98.4</v>
      </c>
      <c r="BM118" s="13">
        <f t="shared" si="0"/>
        <v>114585.62</v>
      </c>
    </row>
    <row r="119" customHeight="1" spans="1:65">
      <c r="A119" s="18" t="s">
        <v>2266</v>
      </c>
      <c r="B119" s="18" t="s">
        <v>171</v>
      </c>
      <c r="C119" s="18" t="s">
        <v>2267</v>
      </c>
      <c r="D119" s="13"/>
      <c r="E119" s="18" t="s">
        <v>250</v>
      </c>
      <c r="F119" s="18" t="s">
        <v>160</v>
      </c>
      <c r="G119" s="18" t="s">
        <v>83</v>
      </c>
      <c r="H119" s="18" t="s">
        <v>84</v>
      </c>
      <c r="I119" s="18" t="s">
        <v>85</v>
      </c>
      <c r="J119" s="18">
        <v>5</v>
      </c>
      <c r="K119" s="16">
        <v>49.49</v>
      </c>
      <c r="L119" s="16">
        <v>89.99</v>
      </c>
      <c r="M119" s="16">
        <v>45.01</v>
      </c>
      <c r="N119" s="16">
        <v>40.5</v>
      </c>
      <c r="O119" s="18">
        <v>1</v>
      </c>
      <c r="P119" s="18" t="s">
        <v>86</v>
      </c>
      <c r="Q119" s="18">
        <v>3.921775</v>
      </c>
      <c r="R119" s="10"/>
      <c r="S119" s="16">
        <v>11</v>
      </c>
      <c r="T119" s="16">
        <v>10</v>
      </c>
      <c r="U119" s="18" t="s">
        <v>2266</v>
      </c>
      <c r="V119" s="18" t="s">
        <v>171</v>
      </c>
      <c r="W119" s="18" t="s">
        <v>2552</v>
      </c>
      <c r="X119" s="13"/>
      <c r="Y119" s="18" t="s">
        <v>250</v>
      </c>
      <c r="Z119" s="18" t="s">
        <v>160</v>
      </c>
      <c r="AA119" s="18" t="s">
        <v>83</v>
      </c>
      <c r="AB119" s="18" t="s">
        <v>84</v>
      </c>
      <c r="AC119" s="18" t="s">
        <v>85</v>
      </c>
      <c r="AD119" s="18">
        <v>29.3033333333333</v>
      </c>
      <c r="AE119" s="18">
        <v>0</v>
      </c>
      <c r="AF119" s="18">
        <v>0</v>
      </c>
      <c r="AG119" s="18">
        <v>1</v>
      </c>
      <c r="AH119" s="18">
        <v>0</v>
      </c>
      <c r="AI119" s="18">
        <v>1</v>
      </c>
      <c r="AJ119" s="18">
        <v>0</v>
      </c>
      <c r="AK119" s="18">
        <v>0</v>
      </c>
      <c r="AL119" s="18">
        <v>1</v>
      </c>
      <c r="AM119" s="18">
        <v>1</v>
      </c>
      <c r="AN119" s="18">
        <v>0</v>
      </c>
      <c r="AO119" s="18">
        <v>0</v>
      </c>
      <c r="AP119" s="18">
        <v>0</v>
      </c>
      <c r="AQ119" s="18">
        <v>0</v>
      </c>
      <c r="AR119" s="18">
        <v>0</v>
      </c>
      <c r="AS119" s="18">
        <v>0</v>
      </c>
      <c r="AT119" s="18">
        <v>1</v>
      </c>
      <c r="AU119" s="18">
        <v>0</v>
      </c>
      <c r="AV119" s="18">
        <v>0</v>
      </c>
      <c r="AW119" s="18">
        <v>0</v>
      </c>
      <c r="AX119" s="18">
        <v>0</v>
      </c>
      <c r="AY119" s="13"/>
      <c r="AZ119" s="18">
        <v>1</v>
      </c>
      <c r="BA119" s="18">
        <v>3</v>
      </c>
      <c r="BB119" s="18">
        <v>63.64</v>
      </c>
      <c r="BC119" s="18" t="s">
        <v>174</v>
      </c>
      <c r="BD119" s="18" t="s">
        <v>175</v>
      </c>
      <c r="BE119" s="18" t="s">
        <v>226</v>
      </c>
      <c r="BF119" s="18" t="s">
        <v>77</v>
      </c>
      <c r="BG119" s="18">
        <v>162</v>
      </c>
      <c r="BH119" s="18">
        <v>60</v>
      </c>
      <c r="BI119" s="18">
        <v>0.7297</v>
      </c>
      <c r="BJ119" s="18">
        <v>0</v>
      </c>
      <c r="BK119" s="18">
        <v>10</v>
      </c>
      <c r="BL119" s="18">
        <v>97.3</v>
      </c>
      <c r="BM119" s="13">
        <f t="shared" si="0"/>
        <v>544.39</v>
      </c>
    </row>
    <row r="120" customHeight="1" spans="1:65">
      <c r="A120" s="18" t="s">
        <v>2310</v>
      </c>
      <c r="B120" s="18" t="s">
        <v>171</v>
      </c>
      <c r="C120" s="18" t="s">
        <v>2311</v>
      </c>
      <c r="D120" s="13"/>
      <c r="E120" s="18" t="s">
        <v>250</v>
      </c>
      <c r="F120" s="18" t="s">
        <v>160</v>
      </c>
      <c r="G120" s="18" t="s">
        <v>83</v>
      </c>
      <c r="H120" s="18" t="s">
        <v>84</v>
      </c>
      <c r="I120" s="18" t="s">
        <v>85</v>
      </c>
      <c r="J120" s="18">
        <v>5</v>
      </c>
      <c r="K120" s="16">
        <v>134.39</v>
      </c>
      <c r="L120" s="16">
        <v>159.99</v>
      </c>
      <c r="M120" s="16">
        <v>16</v>
      </c>
      <c r="N120" s="16">
        <v>25.6</v>
      </c>
      <c r="O120" s="18">
        <v>1</v>
      </c>
      <c r="P120" s="18" t="s">
        <v>95</v>
      </c>
      <c r="Q120" s="18">
        <v>4.90816</v>
      </c>
      <c r="R120" s="16">
        <v>8.4</v>
      </c>
      <c r="S120" s="16">
        <v>299</v>
      </c>
      <c r="T120" s="16">
        <v>10</v>
      </c>
      <c r="U120" s="18" t="s">
        <v>2310</v>
      </c>
      <c r="V120" s="18" t="s">
        <v>171</v>
      </c>
      <c r="W120" s="18" t="s">
        <v>2311</v>
      </c>
      <c r="X120" s="13"/>
      <c r="Y120" s="18" t="s">
        <v>250</v>
      </c>
      <c r="Z120" s="18" t="s">
        <v>160</v>
      </c>
      <c r="AA120" s="18" t="s">
        <v>83</v>
      </c>
      <c r="AB120" s="18" t="s">
        <v>84</v>
      </c>
      <c r="AC120" s="18" t="s">
        <v>85</v>
      </c>
      <c r="AD120" s="18">
        <v>7.9606666666667</v>
      </c>
      <c r="AE120" s="18">
        <v>0</v>
      </c>
      <c r="AF120" s="18">
        <v>0</v>
      </c>
      <c r="AG120" s="18">
        <v>0</v>
      </c>
      <c r="AH120" s="18">
        <v>0</v>
      </c>
      <c r="AI120" s="18">
        <v>0</v>
      </c>
      <c r="AJ120" s="18">
        <v>0</v>
      </c>
      <c r="AK120" s="18">
        <v>0</v>
      </c>
      <c r="AL120" s="18">
        <v>0</v>
      </c>
      <c r="AM120" s="18">
        <v>1</v>
      </c>
      <c r="AN120" s="18">
        <v>0</v>
      </c>
      <c r="AO120" s="18">
        <v>0</v>
      </c>
      <c r="AP120" s="18">
        <v>0</v>
      </c>
      <c r="AQ120" s="18">
        <v>1</v>
      </c>
      <c r="AR120" s="18">
        <v>0</v>
      </c>
      <c r="AS120" s="18">
        <v>0</v>
      </c>
      <c r="AT120" s="18">
        <v>1</v>
      </c>
      <c r="AU120" s="18">
        <v>0</v>
      </c>
      <c r="AV120" s="18">
        <v>1</v>
      </c>
      <c r="AW120" s="18">
        <v>1</v>
      </c>
      <c r="AX120" s="18">
        <v>0</v>
      </c>
      <c r="AY120" s="18">
        <v>16</v>
      </c>
      <c r="AZ120" s="18">
        <v>1</v>
      </c>
      <c r="BA120" s="18">
        <v>2</v>
      </c>
      <c r="BB120" s="18">
        <v>73.08</v>
      </c>
      <c r="BC120" s="18" t="s">
        <v>174</v>
      </c>
      <c r="BD120" s="18" t="s">
        <v>175</v>
      </c>
      <c r="BE120" s="18" t="s">
        <v>226</v>
      </c>
      <c r="BF120" s="18" t="s">
        <v>77</v>
      </c>
      <c r="BG120" s="18">
        <v>161</v>
      </c>
      <c r="BH120" s="18">
        <v>61</v>
      </c>
      <c r="BI120" s="18">
        <v>0.7252</v>
      </c>
      <c r="BJ120" s="18">
        <v>0</v>
      </c>
      <c r="BK120" s="18">
        <v>5</v>
      </c>
      <c r="BL120" s="18">
        <v>98.6</v>
      </c>
      <c r="BM120" s="13">
        <f t="shared" si="0"/>
        <v>40182.61</v>
      </c>
    </row>
    <row r="121" customHeight="1" spans="1:65">
      <c r="A121" s="18" t="s">
        <v>1627</v>
      </c>
      <c r="B121" s="18" t="s">
        <v>171</v>
      </c>
      <c r="C121" s="18" t="s">
        <v>504</v>
      </c>
      <c r="D121" s="13"/>
      <c r="E121" s="18" t="s">
        <v>312</v>
      </c>
      <c r="F121" s="18" t="s">
        <v>160</v>
      </c>
      <c r="G121" s="18" t="s">
        <v>83</v>
      </c>
      <c r="H121" s="18" t="s">
        <v>84</v>
      </c>
      <c r="I121" s="18" t="s">
        <v>85</v>
      </c>
      <c r="J121" s="18">
        <v>5</v>
      </c>
      <c r="K121" s="16">
        <v>59.99</v>
      </c>
      <c r="L121" s="16">
        <v>99.99</v>
      </c>
      <c r="M121" s="16">
        <v>40</v>
      </c>
      <c r="N121" s="16">
        <v>40</v>
      </c>
      <c r="O121" s="18">
        <v>1</v>
      </c>
      <c r="P121" s="18" t="s">
        <v>86</v>
      </c>
      <c r="Q121" s="18">
        <v>4.11071</v>
      </c>
      <c r="R121" s="16">
        <v>7.5</v>
      </c>
      <c r="S121" s="16">
        <v>374</v>
      </c>
      <c r="T121" s="16">
        <v>10</v>
      </c>
      <c r="U121" s="18" t="s">
        <v>1627</v>
      </c>
      <c r="V121" s="18" t="s">
        <v>171</v>
      </c>
      <c r="W121" s="18" t="s">
        <v>504</v>
      </c>
      <c r="X121" s="13"/>
      <c r="Y121" s="18" t="s">
        <v>312</v>
      </c>
      <c r="Z121" s="18" t="s">
        <v>160</v>
      </c>
      <c r="AA121" s="18" t="s">
        <v>83</v>
      </c>
      <c r="AB121" s="18" t="s">
        <v>84</v>
      </c>
      <c r="AC121" s="18" t="s">
        <v>85</v>
      </c>
      <c r="AD121" s="18">
        <v>27.0006666666667</v>
      </c>
      <c r="AE121" s="18">
        <v>0</v>
      </c>
      <c r="AF121" s="18">
        <v>0</v>
      </c>
      <c r="AG121" s="18">
        <v>0</v>
      </c>
      <c r="AH121" s="18">
        <v>0</v>
      </c>
      <c r="AI121" s="18">
        <v>0</v>
      </c>
      <c r="AJ121" s="18">
        <v>0</v>
      </c>
      <c r="AK121" s="18">
        <v>0</v>
      </c>
      <c r="AL121" s="18">
        <v>0</v>
      </c>
      <c r="AM121" s="18">
        <v>0</v>
      </c>
      <c r="AN121" s="18">
        <v>0</v>
      </c>
      <c r="AO121" s="18">
        <v>0</v>
      </c>
      <c r="AP121" s="18">
        <v>0</v>
      </c>
      <c r="AQ121" s="18">
        <v>1</v>
      </c>
      <c r="AR121" s="18">
        <v>0</v>
      </c>
      <c r="AS121" s="18">
        <v>0</v>
      </c>
      <c r="AT121" s="18">
        <v>0</v>
      </c>
      <c r="AU121" s="18">
        <v>0</v>
      </c>
      <c r="AV121" s="18">
        <v>1</v>
      </c>
      <c r="AW121" s="18">
        <v>1</v>
      </c>
      <c r="AX121" s="18">
        <v>0</v>
      </c>
      <c r="AY121" s="18">
        <v>8</v>
      </c>
      <c r="AZ121" s="18">
        <v>1</v>
      </c>
      <c r="BA121" s="18">
        <v>1</v>
      </c>
      <c r="BB121" s="18">
        <v>77.09</v>
      </c>
      <c r="BC121" s="18" t="s">
        <v>174</v>
      </c>
      <c r="BD121" s="18" t="s">
        <v>175</v>
      </c>
      <c r="BE121" s="18" t="s">
        <v>226</v>
      </c>
      <c r="BF121" s="18" t="s">
        <v>77</v>
      </c>
      <c r="BG121" s="18">
        <v>161</v>
      </c>
      <c r="BH121" s="18">
        <v>61</v>
      </c>
      <c r="BI121" s="18">
        <v>0.7252</v>
      </c>
      <c r="BJ121" s="18">
        <v>0</v>
      </c>
      <c r="BK121" s="18">
        <v>47</v>
      </c>
      <c r="BL121" s="18">
        <v>87.1</v>
      </c>
      <c r="BM121" s="13">
        <f t="shared" si="0"/>
        <v>22436.26</v>
      </c>
    </row>
    <row r="122" customHeight="1" spans="1:65">
      <c r="A122" s="18" t="s">
        <v>1605</v>
      </c>
      <c r="B122" s="18" t="s">
        <v>171</v>
      </c>
      <c r="C122" s="18" t="s">
        <v>1064</v>
      </c>
      <c r="D122" s="13"/>
      <c r="E122" s="18" t="s">
        <v>239</v>
      </c>
      <c r="F122" s="18" t="s">
        <v>160</v>
      </c>
      <c r="G122" s="18" t="s">
        <v>83</v>
      </c>
      <c r="H122" s="18" t="s">
        <v>84</v>
      </c>
      <c r="I122" s="18" t="s">
        <v>153</v>
      </c>
      <c r="J122" s="18">
        <v>2</v>
      </c>
      <c r="K122" s="16">
        <v>79.79</v>
      </c>
      <c r="L122" s="16">
        <v>132.99</v>
      </c>
      <c r="M122" s="16">
        <v>40</v>
      </c>
      <c r="N122" s="16">
        <v>53.2</v>
      </c>
      <c r="O122" s="18">
        <v>1</v>
      </c>
      <c r="P122" s="18" t="s">
        <v>95</v>
      </c>
      <c r="Q122" s="18">
        <v>4.391853</v>
      </c>
      <c r="R122" s="16">
        <v>4.99</v>
      </c>
      <c r="S122" s="16">
        <v>146</v>
      </c>
      <c r="T122" s="16">
        <v>10</v>
      </c>
      <c r="U122" s="18" t="s">
        <v>1605</v>
      </c>
      <c r="V122" s="18" t="s">
        <v>171</v>
      </c>
      <c r="W122" s="18" t="s">
        <v>2553</v>
      </c>
      <c r="X122" s="13"/>
      <c r="Y122" s="18" t="s">
        <v>239</v>
      </c>
      <c r="Z122" s="18" t="s">
        <v>160</v>
      </c>
      <c r="AA122" s="18" t="s">
        <v>83</v>
      </c>
      <c r="AB122" s="18" t="s">
        <v>84</v>
      </c>
      <c r="AC122" s="18" t="s">
        <v>153</v>
      </c>
      <c r="AD122" s="18">
        <v>33.7206666666667</v>
      </c>
      <c r="AE122" s="18">
        <v>0</v>
      </c>
      <c r="AF122" s="18">
        <v>0</v>
      </c>
      <c r="AG122" s="18">
        <v>0</v>
      </c>
      <c r="AH122" s="18">
        <v>0</v>
      </c>
      <c r="AI122" s="18">
        <v>0</v>
      </c>
      <c r="AJ122" s="18">
        <v>0</v>
      </c>
      <c r="AK122" s="18">
        <v>0</v>
      </c>
      <c r="AL122" s="18">
        <v>0</v>
      </c>
      <c r="AM122" s="18">
        <v>0</v>
      </c>
      <c r="AN122" s="18">
        <v>0</v>
      </c>
      <c r="AO122" s="18">
        <v>0</v>
      </c>
      <c r="AP122" s="18">
        <v>0</v>
      </c>
      <c r="AQ122" s="18">
        <v>1</v>
      </c>
      <c r="AR122" s="18">
        <v>0</v>
      </c>
      <c r="AS122" s="18">
        <v>0</v>
      </c>
      <c r="AT122" s="18">
        <v>0</v>
      </c>
      <c r="AU122" s="18">
        <v>0</v>
      </c>
      <c r="AV122" s="18">
        <v>1</v>
      </c>
      <c r="AW122" s="18">
        <v>1</v>
      </c>
      <c r="AX122" s="18">
        <v>0</v>
      </c>
      <c r="AY122" s="18">
        <v>16</v>
      </c>
      <c r="AZ122" s="18">
        <v>1</v>
      </c>
      <c r="BA122" s="18">
        <v>1</v>
      </c>
      <c r="BB122" s="18">
        <v>79.11</v>
      </c>
      <c r="BC122" s="18" t="s">
        <v>174</v>
      </c>
      <c r="BD122" s="18" t="s">
        <v>175</v>
      </c>
      <c r="BE122" s="18" t="s">
        <v>226</v>
      </c>
      <c r="BF122" s="18" t="s">
        <v>77</v>
      </c>
      <c r="BG122" s="18">
        <v>162</v>
      </c>
      <c r="BH122" s="18">
        <v>60</v>
      </c>
      <c r="BI122" s="18">
        <v>0.7297</v>
      </c>
      <c r="BJ122" s="18">
        <v>0</v>
      </c>
      <c r="BK122" s="18">
        <v>4</v>
      </c>
      <c r="BL122" s="18">
        <v>98.9</v>
      </c>
      <c r="BM122" s="13">
        <f t="shared" si="0"/>
        <v>11649.34</v>
      </c>
    </row>
    <row r="123" customHeight="1" spans="1:65">
      <c r="A123" s="18" t="s">
        <v>1881</v>
      </c>
      <c r="B123" s="18" t="s">
        <v>171</v>
      </c>
      <c r="C123" s="18" t="s">
        <v>1882</v>
      </c>
      <c r="D123" s="13"/>
      <c r="E123" s="18" t="s">
        <v>1883</v>
      </c>
      <c r="F123" s="18" t="s">
        <v>160</v>
      </c>
      <c r="G123" s="18" t="s">
        <v>83</v>
      </c>
      <c r="H123" s="18" t="s">
        <v>84</v>
      </c>
      <c r="I123" s="18" t="s">
        <v>85</v>
      </c>
      <c r="J123" s="18">
        <v>5</v>
      </c>
      <c r="K123" s="16">
        <v>109.19</v>
      </c>
      <c r="L123" s="16">
        <v>129.99</v>
      </c>
      <c r="M123" s="16">
        <v>16</v>
      </c>
      <c r="N123" s="16">
        <v>20.8</v>
      </c>
      <c r="O123" s="18">
        <v>1</v>
      </c>
      <c r="P123" s="18" t="s">
        <v>95</v>
      </c>
      <c r="Q123" s="18">
        <v>4.702206</v>
      </c>
      <c r="R123" s="16">
        <v>13.65</v>
      </c>
      <c r="S123" s="16">
        <v>8</v>
      </c>
      <c r="T123" s="16">
        <v>10</v>
      </c>
      <c r="U123" s="18" t="s">
        <v>1881</v>
      </c>
      <c r="V123" s="18" t="s">
        <v>171</v>
      </c>
      <c r="W123" s="18" t="s">
        <v>1882</v>
      </c>
      <c r="X123" s="13"/>
      <c r="Y123" s="18" t="s">
        <v>1883</v>
      </c>
      <c r="Z123" s="18" t="s">
        <v>160</v>
      </c>
      <c r="AA123" s="18" t="s">
        <v>83</v>
      </c>
      <c r="AB123" s="18" t="s">
        <v>84</v>
      </c>
      <c r="AC123" s="18" t="s">
        <v>85</v>
      </c>
      <c r="AD123" s="18">
        <v>7.0806666666668</v>
      </c>
      <c r="AE123" s="18">
        <v>0</v>
      </c>
      <c r="AF123" s="18">
        <v>0</v>
      </c>
      <c r="AG123" s="18">
        <v>0</v>
      </c>
      <c r="AH123" s="18">
        <v>0</v>
      </c>
      <c r="AI123" s="18">
        <v>0</v>
      </c>
      <c r="AJ123" s="18">
        <v>0</v>
      </c>
      <c r="AK123" s="18">
        <v>0</v>
      </c>
      <c r="AL123" s="18">
        <v>0</v>
      </c>
      <c r="AM123" s="18">
        <v>0</v>
      </c>
      <c r="AN123" s="18">
        <v>0</v>
      </c>
      <c r="AO123" s="18">
        <v>0</v>
      </c>
      <c r="AP123" s="18">
        <v>0</v>
      </c>
      <c r="AQ123" s="18">
        <v>1</v>
      </c>
      <c r="AR123" s="18">
        <v>0</v>
      </c>
      <c r="AS123" s="18">
        <v>0</v>
      </c>
      <c r="AT123" s="18">
        <v>1</v>
      </c>
      <c r="AU123" s="18">
        <v>0</v>
      </c>
      <c r="AV123" s="18">
        <v>1</v>
      </c>
      <c r="AW123" s="18">
        <v>1</v>
      </c>
      <c r="AX123" s="18">
        <v>0</v>
      </c>
      <c r="AY123" s="18">
        <v>8</v>
      </c>
      <c r="AZ123" s="18">
        <v>1</v>
      </c>
      <c r="BA123" s="18">
        <v>3</v>
      </c>
      <c r="BB123" s="18">
        <v>51.68</v>
      </c>
      <c r="BC123" s="18" t="s">
        <v>174</v>
      </c>
      <c r="BD123" s="18" t="s">
        <v>175</v>
      </c>
      <c r="BE123" s="18" t="s">
        <v>91</v>
      </c>
      <c r="BF123" s="18" t="s">
        <v>77</v>
      </c>
      <c r="BG123" s="18">
        <v>161</v>
      </c>
      <c r="BH123" s="18">
        <v>61</v>
      </c>
      <c r="BI123" s="18">
        <v>0.7252</v>
      </c>
      <c r="BJ123" s="18">
        <v>0</v>
      </c>
      <c r="BK123" s="18">
        <v>11</v>
      </c>
      <c r="BL123" s="18">
        <v>97</v>
      </c>
      <c r="BM123" s="13">
        <f t="shared" si="0"/>
        <v>873.52</v>
      </c>
    </row>
    <row r="124" customHeight="1" spans="1:65">
      <c r="A124" s="18" t="s">
        <v>998</v>
      </c>
      <c r="B124" s="18" t="s">
        <v>171</v>
      </c>
      <c r="C124" s="18" t="s">
        <v>999</v>
      </c>
      <c r="D124" s="13"/>
      <c r="E124" s="18" t="s">
        <v>250</v>
      </c>
      <c r="F124" s="18" t="s">
        <v>160</v>
      </c>
      <c r="G124" s="18" t="s">
        <v>83</v>
      </c>
      <c r="H124" s="18" t="s">
        <v>84</v>
      </c>
      <c r="I124" s="18" t="s">
        <v>85</v>
      </c>
      <c r="J124" s="18">
        <v>5</v>
      </c>
      <c r="K124" s="16">
        <v>67.19</v>
      </c>
      <c r="L124" s="16">
        <v>79.99</v>
      </c>
      <c r="M124" s="16">
        <v>16</v>
      </c>
      <c r="N124" s="16">
        <v>12.8</v>
      </c>
      <c r="O124" s="18">
        <v>1</v>
      </c>
      <c r="P124" s="18" t="s">
        <v>86</v>
      </c>
      <c r="Q124" s="18">
        <v>4.222298</v>
      </c>
      <c r="R124" s="16">
        <v>8.4</v>
      </c>
      <c r="S124" s="16">
        <v>8</v>
      </c>
      <c r="T124" s="16">
        <v>10</v>
      </c>
      <c r="U124" s="18" t="s">
        <v>998</v>
      </c>
      <c r="V124" s="18" t="s">
        <v>171</v>
      </c>
      <c r="W124" s="18" t="s">
        <v>999</v>
      </c>
      <c r="X124" s="13"/>
      <c r="Y124" s="18" t="s">
        <v>250</v>
      </c>
      <c r="Z124" s="18" t="s">
        <v>160</v>
      </c>
      <c r="AA124" s="18" t="s">
        <v>83</v>
      </c>
      <c r="AB124" s="18" t="s">
        <v>84</v>
      </c>
      <c r="AC124" s="18" t="s">
        <v>85</v>
      </c>
      <c r="AD124" s="18">
        <v>5.61399999999995</v>
      </c>
      <c r="AE124" s="18">
        <v>0</v>
      </c>
      <c r="AF124" s="18">
        <v>0</v>
      </c>
      <c r="AG124" s="18">
        <v>0</v>
      </c>
      <c r="AH124" s="18">
        <v>0</v>
      </c>
      <c r="AI124" s="18">
        <v>0</v>
      </c>
      <c r="AJ124" s="18">
        <v>0</v>
      </c>
      <c r="AK124" s="18">
        <v>0</v>
      </c>
      <c r="AL124" s="18">
        <v>0</v>
      </c>
      <c r="AM124" s="18">
        <v>1</v>
      </c>
      <c r="AN124" s="18">
        <v>0</v>
      </c>
      <c r="AO124" s="18">
        <v>0</v>
      </c>
      <c r="AP124" s="18">
        <v>0</v>
      </c>
      <c r="AQ124" s="18">
        <v>1</v>
      </c>
      <c r="AR124" s="18">
        <v>0</v>
      </c>
      <c r="AS124" s="18">
        <v>0</v>
      </c>
      <c r="AT124" s="18">
        <v>0</v>
      </c>
      <c r="AU124" s="18">
        <v>0</v>
      </c>
      <c r="AV124" s="18">
        <v>1</v>
      </c>
      <c r="AW124" s="18">
        <v>1</v>
      </c>
      <c r="AX124" s="18">
        <v>0</v>
      </c>
      <c r="AY124" s="18">
        <v>8</v>
      </c>
      <c r="AZ124" s="18">
        <v>1</v>
      </c>
      <c r="BA124" s="18">
        <v>4</v>
      </c>
      <c r="BB124" s="18">
        <v>50.36</v>
      </c>
      <c r="BC124" s="18" t="s">
        <v>174</v>
      </c>
      <c r="BD124" s="18" t="s">
        <v>175</v>
      </c>
      <c r="BE124" s="18" t="s">
        <v>91</v>
      </c>
      <c r="BF124" s="18" t="s">
        <v>77</v>
      </c>
      <c r="BG124" s="18">
        <v>161</v>
      </c>
      <c r="BH124" s="18">
        <v>61</v>
      </c>
      <c r="BI124" s="18">
        <v>0.7252</v>
      </c>
      <c r="BJ124" s="18">
        <v>0</v>
      </c>
      <c r="BK124" s="18">
        <v>27</v>
      </c>
      <c r="BL124" s="18">
        <v>92.6</v>
      </c>
      <c r="BM124" s="13">
        <f t="shared" si="0"/>
        <v>537.52</v>
      </c>
    </row>
    <row r="125" customHeight="1" spans="1:65">
      <c r="A125" s="18" t="s">
        <v>1217</v>
      </c>
      <c r="B125" s="18" t="s">
        <v>171</v>
      </c>
      <c r="C125" s="18" t="s">
        <v>1218</v>
      </c>
      <c r="D125" s="13"/>
      <c r="E125" s="18" t="s">
        <v>250</v>
      </c>
      <c r="F125" s="18" t="s">
        <v>160</v>
      </c>
      <c r="G125" s="18" t="s">
        <v>83</v>
      </c>
      <c r="H125" s="18" t="s">
        <v>84</v>
      </c>
      <c r="I125" s="18" t="s">
        <v>85</v>
      </c>
      <c r="J125" s="18">
        <v>5</v>
      </c>
      <c r="K125" s="16">
        <v>159.59</v>
      </c>
      <c r="L125" s="16">
        <v>189.99</v>
      </c>
      <c r="M125" s="16">
        <v>16</v>
      </c>
      <c r="N125" s="16">
        <v>30.4</v>
      </c>
      <c r="O125" s="18">
        <v>1</v>
      </c>
      <c r="P125" s="18" t="s">
        <v>95</v>
      </c>
      <c r="Q125" s="18">
        <v>5.078855</v>
      </c>
      <c r="R125" s="16">
        <v>19.95</v>
      </c>
      <c r="S125" s="16">
        <v>15</v>
      </c>
      <c r="T125" s="16">
        <v>10</v>
      </c>
      <c r="U125" s="18" t="s">
        <v>1217</v>
      </c>
      <c r="V125" s="18" t="s">
        <v>171</v>
      </c>
      <c r="W125" s="18" t="s">
        <v>1218</v>
      </c>
      <c r="X125" s="13"/>
      <c r="Y125" s="18" t="s">
        <v>250</v>
      </c>
      <c r="Z125" s="18" t="s">
        <v>160</v>
      </c>
      <c r="AA125" s="18" t="s">
        <v>83</v>
      </c>
      <c r="AB125" s="18" t="s">
        <v>84</v>
      </c>
      <c r="AC125" s="18" t="s">
        <v>85</v>
      </c>
      <c r="AD125" s="18">
        <v>8.84066666666701</v>
      </c>
      <c r="AE125" s="18">
        <v>0</v>
      </c>
      <c r="AF125" s="18">
        <v>0</v>
      </c>
      <c r="AG125" s="18">
        <v>0</v>
      </c>
      <c r="AH125" s="18">
        <v>0</v>
      </c>
      <c r="AI125" s="18">
        <v>0</v>
      </c>
      <c r="AJ125" s="18">
        <v>0</v>
      </c>
      <c r="AK125" s="18">
        <v>0</v>
      </c>
      <c r="AL125" s="18">
        <v>0</v>
      </c>
      <c r="AM125" s="18">
        <v>1</v>
      </c>
      <c r="AN125" s="18">
        <v>0</v>
      </c>
      <c r="AO125" s="18">
        <v>0</v>
      </c>
      <c r="AP125" s="18">
        <v>0</v>
      </c>
      <c r="AQ125" s="18">
        <v>1</v>
      </c>
      <c r="AR125" s="18">
        <v>0</v>
      </c>
      <c r="AS125" s="18">
        <v>0</v>
      </c>
      <c r="AT125" s="18">
        <v>1</v>
      </c>
      <c r="AU125" s="18">
        <v>0</v>
      </c>
      <c r="AV125" s="18">
        <v>1</v>
      </c>
      <c r="AW125" s="18">
        <v>1</v>
      </c>
      <c r="AX125" s="18">
        <v>0</v>
      </c>
      <c r="AY125" s="18">
        <v>8</v>
      </c>
      <c r="AZ125" s="18">
        <v>1</v>
      </c>
      <c r="BA125" s="18">
        <v>2</v>
      </c>
      <c r="BB125" s="18">
        <v>58.47</v>
      </c>
      <c r="BC125" s="18" t="s">
        <v>174</v>
      </c>
      <c r="BD125" s="18" t="s">
        <v>175</v>
      </c>
      <c r="BE125" s="18" t="s">
        <v>91</v>
      </c>
      <c r="BF125" s="18" t="s">
        <v>77</v>
      </c>
      <c r="BG125" s="18">
        <v>161</v>
      </c>
      <c r="BH125" s="18">
        <v>61</v>
      </c>
      <c r="BI125" s="18">
        <v>0.7252</v>
      </c>
      <c r="BJ125" s="18">
        <v>0</v>
      </c>
      <c r="BK125" s="18">
        <v>4</v>
      </c>
      <c r="BL125" s="18">
        <v>98.9</v>
      </c>
      <c r="BM125" s="13">
        <f t="shared" si="0"/>
        <v>2393.85</v>
      </c>
    </row>
    <row r="126" customHeight="1" spans="1:65">
      <c r="A126" s="18" t="s">
        <v>1340</v>
      </c>
      <c r="B126" s="18" t="s">
        <v>171</v>
      </c>
      <c r="C126" s="18" t="s">
        <v>1341</v>
      </c>
      <c r="D126" s="13"/>
      <c r="E126" s="18" t="s">
        <v>250</v>
      </c>
      <c r="F126" s="18" t="s">
        <v>160</v>
      </c>
      <c r="G126" s="18" t="s">
        <v>83</v>
      </c>
      <c r="H126" s="18" t="s">
        <v>84</v>
      </c>
      <c r="I126" s="18" t="s">
        <v>85</v>
      </c>
      <c r="J126" s="18">
        <v>5</v>
      </c>
      <c r="K126" s="16">
        <v>148.49</v>
      </c>
      <c r="L126" s="16">
        <v>269.99</v>
      </c>
      <c r="M126" s="16">
        <v>45</v>
      </c>
      <c r="N126" s="16">
        <v>121.5</v>
      </c>
      <c r="O126" s="18">
        <v>1</v>
      </c>
      <c r="P126" s="18" t="s">
        <v>95</v>
      </c>
      <c r="Q126" s="18">
        <v>5.00723</v>
      </c>
      <c r="R126" s="16">
        <v>18.56</v>
      </c>
      <c r="S126" s="16">
        <v>44</v>
      </c>
      <c r="T126" s="16">
        <v>10</v>
      </c>
      <c r="U126" s="18" t="s">
        <v>1340</v>
      </c>
      <c r="V126" s="18" t="s">
        <v>171</v>
      </c>
      <c r="W126" s="18" t="s">
        <v>2554</v>
      </c>
      <c r="X126" s="13"/>
      <c r="Y126" s="18" t="s">
        <v>250</v>
      </c>
      <c r="Z126" s="18" t="s">
        <v>160</v>
      </c>
      <c r="AA126" s="18" t="s">
        <v>83</v>
      </c>
      <c r="AB126" s="18" t="s">
        <v>84</v>
      </c>
      <c r="AC126" s="18" t="s">
        <v>85</v>
      </c>
      <c r="AD126" s="18">
        <v>65.9006666666668</v>
      </c>
      <c r="AE126" s="18">
        <v>0</v>
      </c>
      <c r="AF126" s="18">
        <v>0</v>
      </c>
      <c r="AG126" s="18">
        <v>1</v>
      </c>
      <c r="AH126" s="18">
        <v>0</v>
      </c>
      <c r="AI126" s="18">
        <v>1</v>
      </c>
      <c r="AJ126" s="18">
        <v>0</v>
      </c>
      <c r="AK126" s="18">
        <v>0</v>
      </c>
      <c r="AL126" s="18">
        <v>0</v>
      </c>
      <c r="AM126" s="18">
        <v>0</v>
      </c>
      <c r="AN126" s="18">
        <v>0</v>
      </c>
      <c r="AO126" s="18">
        <v>0</v>
      </c>
      <c r="AP126" s="18">
        <v>0</v>
      </c>
      <c r="AQ126" s="18">
        <v>1</v>
      </c>
      <c r="AR126" s="18">
        <v>0</v>
      </c>
      <c r="AS126" s="18">
        <v>0</v>
      </c>
      <c r="AT126" s="18">
        <v>0</v>
      </c>
      <c r="AU126" s="18">
        <v>0</v>
      </c>
      <c r="AV126" s="18">
        <v>1</v>
      </c>
      <c r="AW126" s="18">
        <v>1</v>
      </c>
      <c r="AX126" s="18">
        <v>0</v>
      </c>
      <c r="AY126" s="18">
        <v>8</v>
      </c>
      <c r="AZ126" s="18">
        <v>1</v>
      </c>
      <c r="BA126" s="18">
        <v>3</v>
      </c>
      <c r="BB126" s="18">
        <v>75.76</v>
      </c>
      <c r="BC126" s="18" t="s">
        <v>174</v>
      </c>
      <c r="BD126" s="18" t="s">
        <v>175</v>
      </c>
      <c r="BE126" s="18" t="s">
        <v>91</v>
      </c>
      <c r="BF126" s="18" t="s">
        <v>77</v>
      </c>
      <c r="BG126" s="18">
        <v>161</v>
      </c>
      <c r="BH126" s="18">
        <v>61</v>
      </c>
      <c r="BI126" s="18">
        <v>0.7252</v>
      </c>
      <c r="BJ126" s="18">
        <v>0</v>
      </c>
      <c r="BK126" s="18">
        <v>4</v>
      </c>
      <c r="BL126" s="18">
        <v>98.9</v>
      </c>
      <c r="BM126" s="13">
        <f t="shared" si="0"/>
        <v>6533.56</v>
      </c>
    </row>
    <row r="127" customHeight="1" spans="1:65">
      <c r="A127" s="18" t="s">
        <v>1826</v>
      </c>
      <c r="B127" s="18" t="s">
        <v>171</v>
      </c>
      <c r="C127" s="18" t="s">
        <v>1827</v>
      </c>
      <c r="D127" s="13"/>
      <c r="E127" s="18" t="s">
        <v>250</v>
      </c>
      <c r="F127" s="18" t="s">
        <v>160</v>
      </c>
      <c r="G127" s="18" t="s">
        <v>83</v>
      </c>
      <c r="H127" s="18" t="s">
        <v>84</v>
      </c>
      <c r="I127" s="18" t="s">
        <v>85</v>
      </c>
      <c r="J127" s="18">
        <v>5</v>
      </c>
      <c r="K127" s="16">
        <v>357.49</v>
      </c>
      <c r="L127" s="16">
        <v>649.99</v>
      </c>
      <c r="M127" s="16">
        <v>45</v>
      </c>
      <c r="N127" s="16">
        <v>292.5</v>
      </c>
      <c r="O127" s="18">
        <v>1</v>
      </c>
      <c r="P127" s="18" t="s">
        <v>71</v>
      </c>
      <c r="Q127" s="18">
        <v>5.881901</v>
      </c>
      <c r="R127" s="16">
        <v>22.34</v>
      </c>
      <c r="S127" s="16">
        <v>9</v>
      </c>
      <c r="T127" s="16">
        <v>10</v>
      </c>
      <c r="U127" s="18" t="s">
        <v>1826</v>
      </c>
      <c r="V127" s="18" t="s">
        <v>171</v>
      </c>
      <c r="W127" s="18" t="s">
        <v>2555</v>
      </c>
      <c r="X127" s="13"/>
      <c r="Y127" s="18" t="s">
        <v>250</v>
      </c>
      <c r="Z127" s="18" t="s">
        <v>160</v>
      </c>
      <c r="AA127" s="18" t="s">
        <v>83</v>
      </c>
      <c r="AB127" s="18" t="s">
        <v>84</v>
      </c>
      <c r="AC127" s="18" t="s">
        <v>85</v>
      </c>
      <c r="AD127" s="18">
        <v>143.167333333333</v>
      </c>
      <c r="AE127" s="18">
        <v>0</v>
      </c>
      <c r="AF127" s="18">
        <v>0</v>
      </c>
      <c r="AG127" s="18">
        <v>1</v>
      </c>
      <c r="AH127" s="18">
        <v>0</v>
      </c>
      <c r="AI127" s="18">
        <v>1</v>
      </c>
      <c r="AJ127" s="18">
        <v>0</v>
      </c>
      <c r="AK127" s="18">
        <v>0</v>
      </c>
      <c r="AL127" s="18">
        <v>0</v>
      </c>
      <c r="AM127" s="18">
        <v>0</v>
      </c>
      <c r="AN127" s="18">
        <v>0</v>
      </c>
      <c r="AO127" s="18">
        <v>0</v>
      </c>
      <c r="AP127" s="18">
        <v>0</v>
      </c>
      <c r="AQ127" s="18">
        <v>1</v>
      </c>
      <c r="AR127" s="18">
        <v>0</v>
      </c>
      <c r="AS127" s="18">
        <v>0</v>
      </c>
      <c r="AT127" s="18">
        <v>0</v>
      </c>
      <c r="AU127" s="18">
        <v>0</v>
      </c>
      <c r="AV127" s="18">
        <v>1</v>
      </c>
      <c r="AW127" s="18">
        <v>1</v>
      </c>
      <c r="AX127" s="18">
        <v>0</v>
      </c>
      <c r="AY127" s="18">
        <v>16</v>
      </c>
      <c r="AZ127" s="18">
        <v>1</v>
      </c>
      <c r="BA127" s="18">
        <v>3</v>
      </c>
      <c r="BB127" s="18">
        <v>62.03</v>
      </c>
      <c r="BC127" s="18" t="s">
        <v>174</v>
      </c>
      <c r="BD127" s="18" t="s">
        <v>175</v>
      </c>
      <c r="BE127" s="18" t="s">
        <v>91</v>
      </c>
      <c r="BF127" s="18" t="s">
        <v>77</v>
      </c>
      <c r="BG127" s="18">
        <v>161</v>
      </c>
      <c r="BH127" s="18">
        <v>61</v>
      </c>
      <c r="BI127" s="18">
        <v>0.7252</v>
      </c>
      <c r="BJ127" s="18">
        <v>0</v>
      </c>
      <c r="BK127" s="18">
        <v>5</v>
      </c>
      <c r="BL127" s="18">
        <v>98.6</v>
      </c>
      <c r="BM127" s="13">
        <f t="shared" si="0"/>
        <v>3217.41</v>
      </c>
    </row>
    <row r="128" customHeight="1" spans="1:65">
      <c r="A128" s="18" t="s">
        <v>2031</v>
      </c>
      <c r="B128" s="18" t="s">
        <v>171</v>
      </c>
      <c r="C128" s="18" t="s">
        <v>2032</v>
      </c>
      <c r="D128" s="13"/>
      <c r="E128" s="18" t="s">
        <v>250</v>
      </c>
      <c r="F128" s="18" t="s">
        <v>160</v>
      </c>
      <c r="G128" s="18" t="s">
        <v>83</v>
      </c>
      <c r="H128" s="18" t="s">
        <v>84</v>
      </c>
      <c r="I128" s="18" t="s">
        <v>85</v>
      </c>
      <c r="J128" s="18">
        <v>5</v>
      </c>
      <c r="K128" s="16">
        <v>96.59</v>
      </c>
      <c r="L128" s="16">
        <v>114.99</v>
      </c>
      <c r="M128" s="16">
        <v>16</v>
      </c>
      <c r="N128" s="16">
        <v>18.4</v>
      </c>
      <c r="O128" s="18">
        <v>1</v>
      </c>
      <c r="P128" s="18" t="s">
        <v>95</v>
      </c>
      <c r="Q128" s="18">
        <v>4.580775</v>
      </c>
      <c r="R128" s="16">
        <v>12.07</v>
      </c>
      <c r="S128" s="16">
        <v>39</v>
      </c>
      <c r="T128" s="16">
        <v>10</v>
      </c>
      <c r="U128" s="18" t="s">
        <v>2031</v>
      </c>
      <c r="V128" s="18" t="s">
        <v>171</v>
      </c>
      <c r="W128" s="18" t="s">
        <v>2032</v>
      </c>
      <c r="X128" s="13"/>
      <c r="Y128" s="18" t="s">
        <v>250</v>
      </c>
      <c r="Z128" s="18" t="s">
        <v>160</v>
      </c>
      <c r="AA128" s="18" t="s">
        <v>83</v>
      </c>
      <c r="AB128" s="18" t="s">
        <v>84</v>
      </c>
      <c r="AC128" s="18" t="s">
        <v>85</v>
      </c>
      <c r="AD128" s="18">
        <v>6.6406666666666</v>
      </c>
      <c r="AE128" s="18">
        <v>0</v>
      </c>
      <c r="AF128" s="18">
        <v>0</v>
      </c>
      <c r="AG128" s="18">
        <v>0</v>
      </c>
      <c r="AH128" s="18">
        <v>0</v>
      </c>
      <c r="AI128" s="18">
        <v>0</v>
      </c>
      <c r="AJ128" s="18">
        <v>0</v>
      </c>
      <c r="AK128" s="18">
        <v>0</v>
      </c>
      <c r="AL128" s="18">
        <v>1</v>
      </c>
      <c r="AM128" s="18">
        <v>1</v>
      </c>
      <c r="AN128" s="18">
        <v>0</v>
      </c>
      <c r="AO128" s="18">
        <v>0</v>
      </c>
      <c r="AP128" s="18">
        <v>0</v>
      </c>
      <c r="AQ128" s="18">
        <v>1</v>
      </c>
      <c r="AR128" s="18">
        <v>0</v>
      </c>
      <c r="AS128" s="18">
        <v>0</v>
      </c>
      <c r="AT128" s="18">
        <v>1</v>
      </c>
      <c r="AU128" s="18">
        <v>0</v>
      </c>
      <c r="AV128" s="18">
        <v>1</v>
      </c>
      <c r="AW128" s="18">
        <v>1</v>
      </c>
      <c r="AX128" s="18">
        <v>0</v>
      </c>
      <c r="AY128" s="18">
        <v>8</v>
      </c>
      <c r="AZ128" s="18">
        <v>1</v>
      </c>
      <c r="BA128" s="18">
        <v>2</v>
      </c>
      <c r="BB128" s="18">
        <v>66.4</v>
      </c>
      <c r="BC128" s="18" t="s">
        <v>174</v>
      </c>
      <c r="BD128" s="18" t="s">
        <v>175</v>
      </c>
      <c r="BE128" s="18" t="s">
        <v>91</v>
      </c>
      <c r="BF128" s="18" t="s">
        <v>77</v>
      </c>
      <c r="BG128" s="18">
        <v>161</v>
      </c>
      <c r="BH128" s="18">
        <v>61</v>
      </c>
      <c r="BI128" s="18">
        <v>0.7252</v>
      </c>
      <c r="BJ128" s="18">
        <v>0</v>
      </c>
      <c r="BK128" s="18">
        <v>3</v>
      </c>
      <c r="BL128" s="18">
        <v>99.2</v>
      </c>
      <c r="BM128" s="13">
        <f t="shared" si="0"/>
        <v>3767.01</v>
      </c>
    </row>
    <row r="129" customHeight="1" spans="1:65">
      <c r="A129" s="18" t="s">
        <v>332</v>
      </c>
      <c r="B129" s="18" t="s">
        <v>171</v>
      </c>
      <c r="C129" s="18" t="s">
        <v>333</v>
      </c>
      <c r="D129" s="18">
        <v>713651297148</v>
      </c>
      <c r="E129" s="18" t="s">
        <v>131</v>
      </c>
      <c r="F129" s="18" t="s">
        <v>132</v>
      </c>
      <c r="G129" s="18" t="s">
        <v>83</v>
      </c>
      <c r="H129" s="18" t="s">
        <v>84</v>
      </c>
      <c r="I129" s="18" t="s">
        <v>85</v>
      </c>
      <c r="J129" s="18">
        <v>5</v>
      </c>
      <c r="K129" s="16">
        <v>25.19</v>
      </c>
      <c r="L129" s="10"/>
      <c r="M129" s="16">
        <v>0</v>
      </c>
      <c r="N129" s="16">
        <v>0</v>
      </c>
      <c r="O129" s="18">
        <v>0</v>
      </c>
      <c r="P129" s="18" t="s">
        <v>86</v>
      </c>
      <c r="Q129" s="18">
        <v>3.265378</v>
      </c>
      <c r="R129" s="10"/>
      <c r="S129" s="16">
        <v>1450</v>
      </c>
      <c r="T129" s="16">
        <v>10</v>
      </c>
      <c r="U129" s="18" t="s">
        <v>332</v>
      </c>
      <c r="V129" s="18" t="s">
        <v>171</v>
      </c>
      <c r="W129" s="18" t="s">
        <v>2556</v>
      </c>
      <c r="X129" s="18">
        <v>713651297149</v>
      </c>
      <c r="Y129" s="18" t="s">
        <v>131</v>
      </c>
      <c r="Z129" s="18" t="s">
        <v>132</v>
      </c>
      <c r="AA129" s="18" t="s">
        <v>83</v>
      </c>
      <c r="AB129" s="18" t="s">
        <v>84</v>
      </c>
      <c r="AC129" s="18" t="s">
        <v>85</v>
      </c>
      <c r="AD129" s="18">
        <v>45.38</v>
      </c>
      <c r="AE129" s="18">
        <v>0</v>
      </c>
      <c r="AF129" s="18">
        <v>0</v>
      </c>
      <c r="AG129" s="18">
        <v>0</v>
      </c>
      <c r="AH129" s="18">
        <v>0</v>
      </c>
      <c r="AI129" s="18">
        <v>0</v>
      </c>
      <c r="AJ129" s="18">
        <v>0</v>
      </c>
      <c r="AK129" s="18">
        <v>0</v>
      </c>
      <c r="AL129" s="18">
        <v>0</v>
      </c>
      <c r="AM129" s="18">
        <v>0</v>
      </c>
      <c r="AN129" s="18">
        <v>0</v>
      </c>
      <c r="AO129" s="18">
        <v>0</v>
      </c>
      <c r="AP129" s="18">
        <v>0</v>
      </c>
      <c r="AQ129" s="18">
        <v>0</v>
      </c>
      <c r="AR129" s="18">
        <v>0</v>
      </c>
      <c r="AS129" s="18">
        <v>0</v>
      </c>
      <c r="AT129" s="18">
        <v>0</v>
      </c>
      <c r="AU129" s="18">
        <v>0</v>
      </c>
      <c r="AV129" s="18">
        <v>0</v>
      </c>
      <c r="AW129" s="18">
        <v>1</v>
      </c>
      <c r="AX129" s="18">
        <v>0</v>
      </c>
      <c r="AY129" s="13"/>
      <c r="AZ129" s="18">
        <v>4</v>
      </c>
      <c r="BA129" s="18">
        <v>0</v>
      </c>
      <c r="BB129" s="18">
        <v>69.25</v>
      </c>
      <c r="BC129" s="18" t="s">
        <v>174</v>
      </c>
      <c r="BD129" s="18" t="s">
        <v>175</v>
      </c>
      <c r="BE129" s="18" t="s">
        <v>91</v>
      </c>
      <c r="BF129" s="18" t="s">
        <v>77</v>
      </c>
      <c r="BG129" s="18">
        <v>162</v>
      </c>
      <c r="BH129" s="18">
        <v>60</v>
      </c>
      <c r="BI129" s="18">
        <v>0.7297</v>
      </c>
      <c r="BJ129" s="18">
        <v>0</v>
      </c>
      <c r="BK129" s="18">
        <v>6</v>
      </c>
      <c r="BL129" s="18">
        <v>98.4</v>
      </c>
      <c r="BM129" s="13">
        <f t="shared" si="0"/>
        <v>36525.5</v>
      </c>
    </row>
    <row r="130" customHeight="1" spans="1:65">
      <c r="A130" s="18" t="s">
        <v>2033</v>
      </c>
      <c r="B130" s="18" t="s">
        <v>171</v>
      </c>
      <c r="C130" s="18" t="s">
        <v>2034</v>
      </c>
      <c r="D130" s="13"/>
      <c r="E130" s="18" t="s">
        <v>81</v>
      </c>
      <c r="F130" s="18" t="s">
        <v>160</v>
      </c>
      <c r="G130" s="18" t="s">
        <v>83</v>
      </c>
      <c r="H130" s="18" t="s">
        <v>84</v>
      </c>
      <c r="I130" s="18" t="s">
        <v>85</v>
      </c>
      <c r="J130" s="18">
        <v>5</v>
      </c>
      <c r="K130" s="16">
        <v>109.99</v>
      </c>
      <c r="L130" s="16">
        <v>199.99</v>
      </c>
      <c r="M130" s="16">
        <v>45</v>
      </c>
      <c r="N130" s="16">
        <v>90</v>
      </c>
      <c r="O130" s="18">
        <v>1</v>
      </c>
      <c r="P130" s="18" t="s">
        <v>95</v>
      </c>
      <c r="Q130" s="18">
        <v>4.70944</v>
      </c>
      <c r="R130" s="16">
        <v>13.75</v>
      </c>
      <c r="S130" s="16">
        <v>88</v>
      </c>
      <c r="T130" s="16">
        <v>10</v>
      </c>
      <c r="U130" s="18" t="s">
        <v>2033</v>
      </c>
      <c r="V130" s="18" t="s">
        <v>171</v>
      </c>
      <c r="W130" s="18" t="s">
        <v>2034</v>
      </c>
      <c r="X130" s="13"/>
      <c r="Y130" s="18" t="s">
        <v>81</v>
      </c>
      <c r="Z130" s="18" t="s">
        <v>160</v>
      </c>
      <c r="AA130" s="18" t="s">
        <v>83</v>
      </c>
      <c r="AB130" s="18" t="s">
        <v>84</v>
      </c>
      <c r="AC130" s="18" t="s">
        <v>85</v>
      </c>
      <c r="AD130" s="18">
        <v>51.6673333333333</v>
      </c>
      <c r="AE130" s="18">
        <v>0</v>
      </c>
      <c r="AF130" s="18">
        <v>0</v>
      </c>
      <c r="AG130" s="18">
        <v>0</v>
      </c>
      <c r="AH130" s="18">
        <v>0</v>
      </c>
      <c r="AI130" s="18">
        <v>0</v>
      </c>
      <c r="AJ130" s="18">
        <v>0</v>
      </c>
      <c r="AK130" s="18">
        <v>0</v>
      </c>
      <c r="AL130" s="18">
        <v>0</v>
      </c>
      <c r="AM130" s="18">
        <v>0</v>
      </c>
      <c r="AN130" s="18">
        <v>0</v>
      </c>
      <c r="AO130" s="18">
        <v>0</v>
      </c>
      <c r="AP130" s="18">
        <v>0</v>
      </c>
      <c r="AQ130" s="18">
        <v>1</v>
      </c>
      <c r="AR130" s="18">
        <v>0</v>
      </c>
      <c r="AS130" s="18">
        <v>0</v>
      </c>
      <c r="AT130" s="18">
        <v>0</v>
      </c>
      <c r="AU130" s="18">
        <v>0</v>
      </c>
      <c r="AV130" s="18">
        <v>1</v>
      </c>
      <c r="AW130" s="18">
        <v>0</v>
      </c>
      <c r="AX130" s="18">
        <v>0</v>
      </c>
      <c r="AY130" s="18">
        <v>8</v>
      </c>
      <c r="AZ130" s="18">
        <v>1</v>
      </c>
      <c r="BA130" s="18">
        <v>1</v>
      </c>
      <c r="BB130" s="18">
        <v>79.18</v>
      </c>
      <c r="BC130" s="18" t="s">
        <v>174</v>
      </c>
      <c r="BD130" s="18" t="s">
        <v>175</v>
      </c>
      <c r="BE130" s="18" t="s">
        <v>91</v>
      </c>
      <c r="BF130" s="18" t="s">
        <v>77</v>
      </c>
      <c r="BG130" s="18">
        <v>161</v>
      </c>
      <c r="BH130" s="18">
        <v>61</v>
      </c>
      <c r="BI130" s="18">
        <v>0.7252</v>
      </c>
      <c r="BJ130" s="18">
        <v>0</v>
      </c>
      <c r="BK130" s="18">
        <v>3</v>
      </c>
      <c r="BL130" s="18">
        <v>99.2</v>
      </c>
      <c r="BM130" s="13">
        <f t="shared" si="0"/>
        <v>9679.12</v>
      </c>
    </row>
    <row r="131" customHeight="1" spans="1:65">
      <c r="A131" s="18" t="s">
        <v>1249</v>
      </c>
      <c r="B131" s="18" t="s">
        <v>171</v>
      </c>
      <c r="C131" s="18" t="s">
        <v>1250</v>
      </c>
      <c r="D131" s="13"/>
      <c r="E131" s="18" t="s">
        <v>312</v>
      </c>
      <c r="F131" s="18" t="s">
        <v>160</v>
      </c>
      <c r="G131" s="18" t="s">
        <v>83</v>
      </c>
      <c r="H131" s="18" t="s">
        <v>84</v>
      </c>
      <c r="I131" s="18" t="s">
        <v>85</v>
      </c>
      <c r="J131" s="18">
        <v>5</v>
      </c>
      <c r="K131" s="16">
        <v>53.99</v>
      </c>
      <c r="L131" s="16">
        <v>89.99</v>
      </c>
      <c r="M131" s="16">
        <v>40</v>
      </c>
      <c r="N131" s="16">
        <v>36</v>
      </c>
      <c r="O131" s="18">
        <v>1</v>
      </c>
      <c r="P131" s="18" t="s">
        <v>86</v>
      </c>
      <c r="Q131" s="18">
        <v>4.007151</v>
      </c>
      <c r="R131" s="16">
        <v>6.75</v>
      </c>
      <c r="S131" s="16">
        <v>11</v>
      </c>
      <c r="T131" s="16">
        <v>10</v>
      </c>
      <c r="U131" s="18" t="s">
        <v>1249</v>
      </c>
      <c r="V131" s="18" t="s">
        <v>171</v>
      </c>
      <c r="W131" s="18" t="s">
        <v>1250</v>
      </c>
      <c r="X131" s="13"/>
      <c r="Y131" s="18" t="s">
        <v>312</v>
      </c>
      <c r="Z131" s="18" t="s">
        <v>160</v>
      </c>
      <c r="AA131" s="18" t="s">
        <v>83</v>
      </c>
      <c r="AB131" s="18" t="s">
        <v>84</v>
      </c>
      <c r="AC131" s="18" t="s">
        <v>85</v>
      </c>
      <c r="AD131" s="18">
        <v>25.2673333333333</v>
      </c>
      <c r="AE131" s="18">
        <v>0</v>
      </c>
      <c r="AF131" s="18">
        <v>0</v>
      </c>
      <c r="AG131" s="18">
        <v>0</v>
      </c>
      <c r="AH131" s="18">
        <v>0</v>
      </c>
      <c r="AI131" s="18">
        <v>0</v>
      </c>
      <c r="AJ131" s="18">
        <v>0</v>
      </c>
      <c r="AK131" s="18">
        <v>0</v>
      </c>
      <c r="AL131" s="18">
        <v>0</v>
      </c>
      <c r="AM131" s="18">
        <v>0</v>
      </c>
      <c r="AN131" s="18">
        <v>0</v>
      </c>
      <c r="AO131" s="18">
        <v>0</v>
      </c>
      <c r="AP131" s="18">
        <v>0</v>
      </c>
      <c r="AQ131" s="18">
        <v>1</v>
      </c>
      <c r="AR131" s="18">
        <v>0</v>
      </c>
      <c r="AS131" s="18">
        <v>0</v>
      </c>
      <c r="AT131" s="18">
        <v>0</v>
      </c>
      <c r="AU131" s="18">
        <v>0</v>
      </c>
      <c r="AV131" s="18">
        <v>1</v>
      </c>
      <c r="AW131" s="18">
        <v>1</v>
      </c>
      <c r="AX131" s="18">
        <v>0</v>
      </c>
      <c r="AY131" s="18">
        <v>8</v>
      </c>
      <c r="AZ131" s="18">
        <v>1</v>
      </c>
      <c r="BA131" s="18">
        <v>1</v>
      </c>
      <c r="BB131" s="18">
        <v>62.47</v>
      </c>
      <c r="BC131" s="18" t="s">
        <v>174</v>
      </c>
      <c r="BD131" s="18" t="s">
        <v>175</v>
      </c>
      <c r="BE131" s="18" t="s">
        <v>91</v>
      </c>
      <c r="BF131" s="18" t="s">
        <v>77</v>
      </c>
      <c r="BG131" s="18">
        <v>161</v>
      </c>
      <c r="BH131" s="18">
        <v>61</v>
      </c>
      <c r="BI131" s="18">
        <v>0.7252</v>
      </c>
      <c r="BJ131" s="18">
        <v>0</v>
      </c>
      <c r="BK131" s="18">
        <v>6</v>
      </c>
      <c r="BL131" s="18">
        <v>98.4</v>
      </c>
      <c r="BM131" s="13">
        <f t="shared" si="0"/>
        <v>593.89</v>
      </c>
    </row>
    <row r="132" customHeight="1" spans="1:65">
      <c r="A132" s="18" t="s">
        <v>2225</v>
      </c>
      <c r="B132" s="18" t="s">
        <v>171</v>
      </c>
      <c r="C132" s="18" t="s">
        <v>2226</v>
      </c>
      <c r="D132" s="13"/>
      <c r="E132" s="18" t="s">
        <v>255</v>
      </c>
      <c r="F132" s="18" t="s">
        <v>160</v>
      </c>
      <c r="G132" s="18" t="s">
        <v>83</v>
      </c>
      <c r="H132" s="18" t="s">
        <v>84</v>
      </c>
      <c r="I132" s="18" t="s">
        <v>85</v>
      </c>
      <c r="J132" s="18">
        <v>5</v>
      </c>
      <c r="K132" s="16">
        <v>167.99</v>
      </c>
      <c r="L132" s="16">
        <v>199.99</v>
      </c>
      <c r="M132" s="16">
        <v>16</v>
      </c>
      <c r="N132" s="16">
        <v>32</v>
      </c>
      <c r="O132" s="18">
        <v>1</v>
      </c>
      <c r="P132" s="18" t="s">
        <v>95</v>
      </c>
      <c r="Q132" s="18">
        <v>5.12984</v>
      </c>
      <c r="R132" s="10"/>
      <c r="S132" s="16">
        <v>24</v>
      </c>
      <c r="T132" s="16">
        <v>10</v>
      </c>
      <c r="U132" s="18" t="s">
        <v>2225</v>
      </c>
      <c r="V132" s="18" t="s">
        <v>171</v>
      </c>
      <c r="W132" s="18" t="s">
        <v>2226</v>
      </c>
      <c r="X132" s="13"/>
      <c r="Y132" s="18" t="s">
        <v>255</v>
      </c>
      <c r="Z132" s="18" t="s">
        <v>160</v>
      </c>
      <c r="AA132" s="18" t="s">
        <v>83</v>
      </c>
      <c r="AB132" s="18" t="s">
        <v>84</v>
      </c>
      <c r="AC132" s="18" t="s">
        <v>85</v>
      </c>
      <c r="AD132" s="18">
        <v>9.1340000000006</v>
      </c>
      <c r="AE132" s="18">
        <v>1</v>
      </c>
      <c r="AF132" s="18">
        <v>0</v>
      </c>
      <c r="AG132" s="18">
        <v>0</v>
      </c>
      <c r="AH132" s="18">
        <v>1</v>
      </c>
      <c r="AI132" s="18">
        <v>0</v>
      </c>
      <c r="AJ132" s="18">
        <v>0</v>
      </c>
      <c r="AK132" s="18">
        <v>0</v>
      </c>
      <c r="AL132" s="18">
        <v>0</v>
      </c>
      <c r="AM132" s="18">
        <v>0</v>
      </c>
      <c r="AN132" s="18">
        <v>1</v>
      </c>
      <c r="AO132" s="18">
        <v>0</v>
      </c>
      <c r="AP132" s="18">
        <v>0</v>
      </c>
      <c r="AQ132" s="18">
        <v>0</v>
      </c>
      <c r="AR132" s="18">
        <v>0</v>
      </c>
      <c r="AS132" s="18">
        <v>0</v>
      </c>
      <c r="AT132" s="18">
        <v>0</v>
      </c>
      <c r="AU132" s="18">
        <v>0</v>
      </c>
      <c r="AV132" s="18">
        <v>0</v>
      </c>
      <c r="AW132" s="18">
        <v>1</v>
      </c>
      <c r="AX132" s="18">
        <v>0</v>
      </c>
      <c r="AY132" s="13"/>
      <c r="AZ132" s="18">
        <v>1</v>
      </c>
      <c r="BA132" s="18">
        <v>3</v>
      </c>
      <c r="BB132" s="18">
        <v>62.62</v>
      </c>
      <c r="BC132" s="18" t="s">
        <v>174</v>
      </c>
      <c r="BD132" s="18" t="s">
        <v>175</v>
      </c>
      <c r="BE132" s="18" t="s">
        <v>91</v>
      </c>
      <c r="BF132" s="18" t="s">
        <v>77</v>
      </c>
      <c r="BG132" s="18">
        <v>162</v>
      </c>
      <c r="BH132" s="18">
        <v>60</v>
      </c>
      <c r="BI132" s="18">
        <v>0.7297</v>
      </c>
      <c r="BJ132" s="18">
        <v>0</v>
      </c>
      <c r="BK132" s="18">
        <v>5</v>
      </c>
      <c r="BL132" s="18">
        <v>98.6</v>
      </c>
      <c r="BM132" s="13">
        <f t="shared" si="0"/>
        <v>4031.76</v>
      </c>
    </row>
    <row r="133" customHeight="1" spans="1:65">
      <c r="A133" s="18" t="s">
        <v>577</v>
      </c>
      <c r="B133" s="18" t="s">
        <v>171</v>
      </c>
      <c r="C133" s="18" t="s">
        <v>578</v>
      </c>
      <c r="D133" s="13"/>
      <c r="E133" s="18" t="s">
        <v>239</v>
      </c>
      <c r="F133" s="18" t="s">
        <v>160</v>
      </c>
      <c r="G133" s="18" t="s">
        <v>83</v>
      </c>
      <c r="H133" s="18" t="s">
        <v>84</v>
      </c>
      <c r="I133" s="18" t="s">
        <v>85</v>
      </c>
      <c r="J133" s="18">
        <v>5</v>
      </c>
      <c r="K133" s="16">
        <v>263.19</v>
      </c>
      <c r="L133" s="16">
        <v>375.99</v>
      </c>
      <c r="M133" s="16">
        <v>30</v>
      </c>
      <c r="N133" s="16">
        <v>112.8</v>
      </c>
      <c r="O133" s="18">
        <v>1</v>
      </c>
      <c r="P133" s="18" t="s">
        <v>71</v>
      </c>
      <c r="Q133" s="18">
        <v>5.576669</v>
      </c>
      <c r="R133" s="16">
        <v>32.9</v>
      </c>
      <c r="S133" s="16">
        <v>69</v>
      </c>
      <c r="T133" s="16">
        <v>10</v>
      </c>
      <c r="U133" s="18" t="s">
        <v>577</v>
      </c>
      <c r="V133" s="18" t="s">
        <v>171</v>
      </c>
      <c r="W133" s="18" t="s">
        <v>578</v>
      </c>
      <c r="X133" s="13"/>
      <c r="Y133" s="18" t="s">
        <v>239</v>
      </c>
      <c r="Z133" s="18" t="s">
        <v>160</v>
      </c>
      <c r="AA133" s="18" t="s">
        <v>83</v>
      </c>
      <c r="AB133" s="18" t="s">
        <v>84</v>
      </c>
      <c r="AC133" s="18" t="s">
        <v>85</v>
      </c>
      <c r="AD133" s="18">
        <v>49.6140000000004</v>
      </c>
      <c r="AE133" s="18">
        <v>0</v>
      </c>
      <c r="AF133" s="18">
        <v>0</v>
      </c>
      <c r="AG133" s="18">
        <v>0</v>
      </c>
      <c r="AH133" s="18">
        <v>0</v>
      </c>
      <c r="AI133" s="18">
        <v>0</v>
      </c>
      <c r="AJ133" s="18">
        <v>0</v>
      </c>
      <c r="AK133" s="18">
        <v>0</v>
      </c>
      <c r="AL133" s="18">
        <v>0</v>
      </c>
      <c r="AM133" s="18">
        <v>0</v>
      </c>
      <c r="AN133" s="18">
        <v>0</v>
      </c>
      <c r="AO133" s="18">
        <v>0</v>
      </c>
      <c r="AP133" s="18">
        <v>0</v>
      </c>
      <c r="AQ133" s="18">
        <v>1</v>
      </c>
      <c r="AR133" s="18">
        <v>0</v>
      </c>
      <c r="AS133" s="18">
        <v>0</v>
      </c>
      <c r="AT133" s="18">
        <v>0</v>
      </c>
      <c r="AU133" s="18">
        <v>0</v>
      </c>
      <c r="AV133" s="18">
        <v>1</v>
      </c>
      <c r="AW133" s="18">
        <v>1</v>
      </c>
      <c r="AX133" s="18">
        <v>0</v>
      </c>
      <c r="AY133" s="18">
        <v>8</v>
      </c>
      <c r="AZ133" s="18">
        <v>1</v>
      </c>
      <c r="BA133" s="18">
        <v>1</v>
      </c>
      <c r="BB133" s="18">
        <v>73.19</v>
      </c>
      <c r="BC133" s="18" t="s">
        <v>174</v>
      </c>
      <c r="BD133" s="18" t="s">
        <v>175</v>
      </c>
      <c r="BE133" s="18" t="s">
        <v>91</v>
      </c>
      <c r="BF133" s="18" t="s">
        <v>77</v>
      </c>
      <c r="BG133" s="18">
        <v>161</v>
      </c>
      <c r="BH133" s="18">
        <v>61</v>
      </c>
      <c r="BI133" s="18">
        <v>0.7252</v>
      </c>
      <c r="BJ133" s="18">
        <v>0</v>
      </c>
      <c r="BK133" s="18">
        <v>9</v>
      </c>
      <c r="BL133" s="18">
        <v>97.5</v>
      </c>
      <c r="BM133" s="13">
        <f t="shared" si="0"/>
        <v>18160.11</v>
      </c>
    </row>
    <row r="134" customHeight="1" spans="1:65">
      <c r="A134" s="18" t="s">
        <v>1063</v>
      </c>
      <c r="B134" s="18" t="s">
        <v>171</v>
      </c>
      <c r="C134" s="18" t="s">
        <v>1064</v>
      </c>
      <c r="D134" s="13"/>
      <c r="E134" s="18" t="s">
        <v>239</v>
      </c>
      <c r="F134" s="18" t="s">
        <v>160</v>
      </c>
      <c r="G134" s="18" t="s">
        <v>83</v>
      </c>
      <c r="H134" s="18" t="s">
        <v>84</v>
      </c>
      <c r="I134" s="18" t="s">
        <v>85</v>
      </c>
      <c r="J134" s="18">
        <v>5</v>
      </c>
      <c r="K134" s="16">
        <v>79.79</v>
      </c>
      <c r="L134" s="16">
        <v>132.99</v>
      </c>
      <c r="M134" s="16">
        <v>40</v>
      </c>
      <c r="N134" s="16">
        <v>53.2</v>
      </c>
      <c r="O134" s="18">
        <v>1</v>
      </c>
      <c r="P134" s="18" t="s">
        <v>95</v>
      </c>
      <c r="Q134" s="18">
        <v>4.391853</v>
      </c>
      <c r="R134" s="16">
        <v>4.99</v>
      </c>
      <c r="S134" s="16">
        <v>33</v>
      </c>
      <c r="T134" s="16">
        <v>10</v>
      </c>
      <c r="U134" s="18" t="s">
        <v>1063</v>
      </c>
      <c r="V134" s="18" t="s">
        <v>171</v>
      </c>
      <c r="W134" s="18" t="s">
        <v>2553</v>
      </c>
      <c r="X134" s="13"/>
      <c r="Y134" s="18" t="s">
        <v>239</v>
      </c>
      <c r="Z134" s="18" t="s">
        <v>160</v>
      </c>
      <c r="AA134" s="18" t="s">
        <v>83</v>
      </c>
      <c r="AB134" s="18" t="s">
        <v>84</v>
      </c>
      <c r="AC134" s="18" t="s">
        <v>85</v>
      </c>
      <c r="AD134" s="18">
        <v>32.7206666666666</v>
      </c>
      <c r="AE134" s="18">
        <v>0</v>
      </c>
      <c r="AF134" s="18">
        <v>0</v>
      </c>
      <c r="AG134" s="18">
        <v>0</v>
      </c>
      <c r="AH134" s="18">
        <v>0</v>
      </c>
      <c r="AI134" s="18">
        <v>0</v>
      </c>
      <c r="AJ134" s="18">
        <v>0</v>
      </c>
      <c r="AK134" s="18">
        <v>0</v>
      </c>
      <c r="AL134" s="18">
        <v>0</v>
      </c>
      <c r="AM134" s="18">
        <v>0</v>
      </c>
      <c r="AN134" s="18">
        <v>0</v>
      </c>
      <c r="AO134" s="18">
        <v>0</v>
      </c>
      <c r="AP134" s="18">
        <v>0</v>
      </c>
      <c r="AQ134" s="18">
        <v>1</v>
      </c>
      <c r="AR134" s="18">
        <v>0</v>
      </c>
      <c r="AS134" s="18">
        <v>0</v>
      </c>
      <c r="AT134" s="18">
        <v>0</v>
      </c>
      <c r="AU134" s="18">
        <v>0</v>
      </c>
      <c r="AV134" s="18">
        <v>1</v>
      </c>
      <c r="AW134" s="18">
        <v>1</v>
      </c>
      <c r="AX134" s="18">
        <v>0</v>
      </c>
      <c r="AY134" s="18">
        <v>16</v>
      </c>
      <c r="AZ134" s="18">
        <v>1</v>
      </c>
      <c r="BA134" s="18">
        <v>1</v>
      </c>
      <c r="BB134" s="18">
        <v>72.28</v>
      </c>
      <c r="BC134" s="18" t="s">
        <v>174</v>
      </c>
      <c r="BD134" s="18" t="s">
        <v>175</v>
      </c>
      <c r="BE134" s="18" t="s">
        <v>91</v>
      </c>
      <c r="BF134" s="18" t="s">
        <v>77</v>
      </c>
      <c r="BG134" s="18">
        <v>162</v>
      </c>
      <c r="BH134" s="18">
        <v>60</v>
      </c>
      <c r="BI134" s="18">
        <v>0.7297</v>
      </c>
      <c r="BJ134" s="18">
        <v>0</v>
      </c>
      <c r="BK134" s="18">
        <v>5</v>
      </c>
      <c r="BL134" s="18">
        <v>98.6</v>
      </c>
      <c r="BM134" s="13">
        <f t="shared" si="0"/>
        <v>2633.07</v>
      </c>
    </row>
    <row r="135" customHeight="1" spans="1:65">
      <c r="A135" s="18" t="s">
        <v>1707</v>
      </c>
      <c r="B135" s="18" t="s">
        <v>171</v>
      </c>
      <c r="C135" s="18" t="s">
        <v>1708</v>
      </c>
      <c r="D135" s="13"/>
      <c r="E135" s="18" t="s">
        <v>559</v>
      </c>
      <c r="F135" s="18" t="s">
        <v>160</v>
      </c>
      <c r="G135" s="18" t="s">
        <v>83</v>
      </c>
      <c r="H135" s="18" t="s">
        <v>84</v>
      </c>
      <c r="I135" s="18" t="s">
        <v>85</v>
      </c>
      <c r="J135" s="18">
        <v>5</v>
      </c>
      <c r="K135" s="16">
        <v>76.99</v>
      </c>
      <c r="L135" s="16">
        <v>109.99</v>
      </c>
      <c r="M135" s="16">
        <v>30</v>
      </c>
      <c r="N135" s="16">
        <v>33</v>
      </c>
      <c r="O135" s="18">
        <v>1</v>
      </c>
      <c r="P135" s="18" t="s">
        <v>95</v>
      </c>
      <c r="Q135" s="18">
        <v>4.356581</v>
      </c>
      <c r="R135" s="10"/>
      <c r="S135" s="16">
        <v>237</v>
      </c>
      <c r="T135" s="16">
        <v>10</v>
      </c>
      <c r="U135" s="18" t="s">
        <v>1707</v>
      </c>
      <c r="V135" s="18" t="s">
        <v>171</v>
      </c>
      <c r="W135" s="18" t="s">
        <v>2557</v>
      </c>
      <c r="X135" s="13"/>
      <c r="Y135" s="18" t="s">
        <v>559</v>
      </c>
      <c r="Z135" s="18" t="s">
        <v>160</v>
      </c>
      <c r="AA135" s="18" t="s">
        <v>83</v>
      </c>
      <c r="AB135" s="18" t="s">
        <v>84</v>
      </c>
      <c r="AC135" s="18" t="s">
        <v>85</v>
      </c>
      <c r="AD135" s="18">
        <v>19.4673333333334</v>
      </c>
      <c r="AE135" s="18">
        <v>0</v>
      </c>
      <c r="AF135" s="18">
        <v>0</v>
      </c>
      <c r="AG135" s="18">
        <v>1</v>
      </c>
      <c r="AH135" s="18">
        <v>0</v>
      </c>
      <c r="AI135" s="18">
        <v>1</v>
      </c>
      <c r="AJ135" s="18">
        <v>0</v>
      </c>
      <c r="AK135" s="18">
        <v>0</v>
      </c>
      <c r="AL135" s="18">
        <v>0</v>
      </c>
      <c r="AM135" s="18">
        <v>0</v>
      </c>
      <c r="AN135" s="18">
        <v>0</v>
      </c>
      <c r="AO135" s="18">
        <v>0</v>
      </c>
      <c r="AP135" s="18">
        <v>0</v>
      </c>
      <c r="AQ135" s="18">
        <v>1</v>
      </c>
      <c r="AR135" s="18">
        <v>0</v>
      </c>
      <c r="AS135" s="18">
        <v>0</v>
      </c>
      <c r="AT135" s="18">
        <v>0</v>
      </c>
      <c r="AU135" s="18">
        <v>0</v>
      </c>
      <c r="AV135" s="18">
        <v>1</v>
      </c>
      <c r="AW135" s="18">
        <v>1</v>
      </c>
      <c r="AX135" s="18">
        <v>0</v>
      </c>
      <c r="AY135" s="13"/>
      <c r="AZ135" s="18">
        <v>1</v>
      </c>
      <c r="BA135" s="18">
        <v>1</v>
      </c>
      <c r="BB135" s="18">
        <v>76.81</v>
      </c>
      <c r="BC135" s="18" t="s">
        <v>174</v>
      </c>
      <c r="BD135" s="18" t="s">
        <v>175</v>
      </c>
      <c r="BE135" s="18" t="s">
        <v>91</v>
      </c>
      <c r="BF135" s="18" t="s">
        <v>77</v>
      </c>
      <c r="BG135" s="18">
        <v>162</v>
      </c>
      <c r="BH135" s="18">
        <v>60</v>
      </c>
      <c r="BI135" s="18">
        <v>0.7297</v>
      </c>
      <c r="BJ135" s="18">
        <v>0</v>
      </c>
      <c r="BK135" s="18">
        <v>7</v>
      </c>
      <c r="BL135" s="18">
        <v>98.1</v>
      </c>
      <c r="BM135" s="13">
        <f t="shared" si="0"/>
        <v>18246.63</v>
      </c>
    </row>
    <row r="136" customHeight="1" spans="1:65">
      <c r="A136" s="18" t="s">
        <v>170</v>
      </c>
      <c r="B136" s="18" t="s">
        <v>171</v>
      </c>
      <c r="C136" s="18" t="s">
        <v>172</v>
      </c>
      <c r="D136" s="13"/>
      <c r="E136" s="18" t="s">
        <v>173</v>
      </c>
      <c r="F136" s="18" t="s">
        <v>160</v>
      </c>
      <c r="G136" s="18" t="s">
        <v>83</v>
      </c>
      <c r="H136" s="18" t="s">
        <v>84</v>
      </c>
      <c r="I136" s="18" t="s">
        <v>85</v>
      </c>
      <c r="J136" s="18">
        <v>5</v>
      </c>
      <c r="K136" s="16">
        <v>274.99</v>
      </c>
      <c r="L136" s="16">
        <v>499.98</v>
      </c>
      <c r="M136" s="16">
        <v>45</v>
      </c>
      <c r="N136" s="16">
        <v>224.99</v>
      </c>
      <c r="O136" s="18">
        <v>1</v>
      </c>
      <c r="P136" s="18" t="s">
        <v>71</v>
      </c>
      <c r="Q136" s="18">
        <v>5.620365</v>
      </c>
      <c r="R136" s="16">
        <v>17.19</v>
      </c>
      <c r="S136" s="16">
        <v>233</v>
      </c>
      <c r="T136" s="16">
        <v>10</v>
      </c>
      <c r="U136" s="18" t="s">
        <v>170</v>
      </c>
      <c r="V136" s="18" t="s">
        <v>171</v>
      </c>
      <c r="W136" s="18" t="s">
        <v>172</v>
      </c>
      <c r="X136" s="13"/>
      <c r="Y136" s="18" t="s">
        <v>173</v>
      </c>
      <c r="Z136" s="18" t="s">
        <v>160</v>
      </c>
      <c r="AA136" s="18" t="s">
        <v>83</v>
      </c>
      <c r="AB136" s="18" t="s">
        <v>84</v>
      </c>
      <c r="AC136" s="18" t="s">
        <v>85</v>
      </c>
      <c r="AD136" s="18">
        <v>112.662000000001</v>
      </c>
      <c r="AE136" s="18">
        <v>0</v>
      </c>
      <c r="AF136" s="18">
        <v>0</v>
      </c>
      <c r="AG136" s="18">
        <v>1</v>
      </c>
      <c r="AH136" s="18">
        <v>0</v>
      </c>
      <c r="AI136" s="18">
        <v>1</v>
      </c>
      <c r="AJ136" s="18">
        <v>0</v>
      </c>
      <c r="AK136" s="18">
        <v>0</v>
      </c>
      <c r="AL136" s="18">
        <v>0</v>
      </c>
      <c r="AM136" s="18">
        <v>0</v>
      </c>
      <c r="AN136" s="18">
        <v>0</v>
      </c>
      <c r="AO136" s="18">
        <v>0</v>
      </c>
      <c r="AP136" s="18">
        <v>0</v>
      </c>
      <c r="AQ136" s="18">
        <v>1</v>
      </c>
      <c r="AR136" s="18">
        <v>0</v>
      </c>
      <c r="AS136" s="18">
        <v>0</v>
      </c>
      <c r="AT136" s="18">
        <v>0</v>
      </c>
      <c r="AU136" s="18">
        <v>0</v>
      </c>
      <c r="AV136" s="18">
        <v>1</v>
      </c>
      <c r="AW136" s="18">
        <v>1</v>
      </c>
      <c r="AX136" s="18">
        <v>0</v>
      </c>
      <c r="AY136" s="18">
        <v>16</v>
      </c>
      <c r="AZ136" s="18">
        <v>1</v>
      </c>
      <c r="BA136" s="18">
        <v>3</v>
      </c>
      <c r="BB136" s="18">
        <v>81.37</v>
      </c>
      <c r="BC136" s="18" t="s">
        <v>174</v>
      </c>
      <c r="BD136" s="18" t="s">
        <v>175</v>
      </c>
      <c r="BE136" s="18" t="s">
        <v>91</v>
      </c>
      <c r="BF136" s="18" t="s">
        <v>77</v>
      </c>
      <c r="BG136" s="18">
        <v>161</v>
      </c>
      <c r="BH136" s="18">
        <v>61</v>
      </c>
      <c r="BI136" s="18">
        <v>0.7252</v>
      </c>
      <c r="BJ136" s="18">
        <v>0</v>
      </c>
      <c r="BK136" s="18">
        <v>6</v>
      </c>
      <c r="BL136" s="18">
        <v>98.4</v>
      </c>
      <c r="BM136" s="13">
        <f t="shared" si="0"/>
        <v>64072.67</v>
      </c>
    </row>
    <row r="137" customHeight="1" spans="1:65">
      <c r="A137" s="18" t="s">
        <v>387</v>
      </c>
      <c r="B137" s="18" t="s">
        <v>171</v>
      </c>
      <c r="C137" s="18" t="s">
        <v>388</v>
      </c>
      <c r="D137" s="13"/>
      <c r="E137" s="18" t="s">
        <v>173</v>
      </c>
      <c r="F137" s="18" t="s">
        <v>160</v>
      </c>
      <c r="G137" s="18" t="s">
        <v>83</v>
      </c>
      <c r="H137" s="18" t="s">
        <v>84</v>
      </c>
      <c r="I137" s="18" t="s">
        <v>85</v>
      </c>
      <c r="J137" s="18">
        <v>5</v>
      </c>
      <c r="K137" s="16">
        <v>274.99</v>
      </c>
      <c r="L137" s="16">
        <v>499.99</v>
      </c>
      <c r="M137" s="16">
        <v>45</v>
      </c>
      <c r="N137" s="16">
        <v>225</v>
      </c>
      <c r="O137" s="18">
        <v>1</v>
      </c>
      <c r="P137" s="18" t="s">
        <v>71</v>
      </c>
      <c r="Q137" s="18">
        <v>5.620365</v>
      </c>
      <c r="R137" s="16">
        <v>34.37</v>
      </c>
      <c r="S137" s="16">
        <v>35</v>
      </c>
      <c r="T137" s="16">
        <v>10</v>
      </c>
      <c r="U137" s="18" t="s">
        <v>2558</v>
      </c>
      <c r="V137" s="18" t="s">
        <v>171</v>
      </c>
      <c r="W137" s="18" t="s">
        <v>388</v>
      </c>
      <c r="X137" s="13"/>
      <c r="Y137" s="18" t="s">
        <v>173</v>
      </c>
      <c r="Z137" s="18" t="s">
        <v>160</v>
      </c>
      <c r="AA137" s="18" t="s">
        <v>83</v>
      </c>
      <c r="AB137" s="18" t="s">
        <v>84</v>
      </c>
      <c r="AC137" s="18" t="s">
        <v>85</v>
      </c>
      <c r="AD137" s="18">
        <v>112.667333333333</v>
      </c>
      <c r="AE137" s="18">
        <v>0</v>
      </c>
      <c r="AF137" s="18">
        <v>0</v>
      </c>
      <c r="AG137" s="18">
        <v>1</v>
      </c>
      <c r="AH137" s="18">
        <v>0</v>
      </c>
      <c r="AI137" s="18">
        <v>1</v>
      </c>
      <c r="AJ137" s="18">
        <v>0</v>
      </c>
      <c r="AK137" s="18">
        <v>0</v>
      </c>
      <c r="AL137" s="18">
        <v>0</v>
      </c>
      <c r="AM137" s="18">
        <v>0</v>
      </c>
      <c r="AN137" s="18">
        <v>0</v>
      </c>
      <c r="AO137" s="18">
        <v>0</v>
      </c>
      <c r="AP137" s="18">
        <v>0</v>
      </c>
      <c r="AQ137" s="18">
        <v>1</v>
      </c>
      <c r="AR137" s="18">
        <v>0</v>
      </c>
      <c r="AS137" s="18">
        <v>0</v>
      </c>
      <c r="AT137" s="18">
        <v>1</v>
      </c>
      <c r="AU137" s="18">
        <v>0</v>
      </c>
      <c r="AV137" s="18">
        <v>1</v>
      </c>
      <c r="AW137" s="18">
        <v>1</v>
      </c>
      <c r="AX137" s="18">
        <v>0</v>
      </c>
      <c r="AY137" s="18">
        <v>8</v>
      </c>
      <c r="AZ137" s="18">
        <v>1</v>
      </c>
      <c r="BA137" s="18">
        <v>3</v>
      </c>
      <c r="BB137" s="18">
        <v>73.8</v>
      </c>
      <c r="BC137" s="18" t="s">
        <v>174</v>
      </c>
      <c r="BD137" s="18" t="s">
        <v>175</v>
      </c>
      <c r="BE137" s="18" t="s">
        <v>91</v>
      </c>
      <c r="BF137" s="18" t="s">
        <v>77</v>
      </c>
      <c r="BG137" s="18">
        <v>161</v>
      </c>
      <c r="BH137" s="18">
        <v>61</v>
      </c>
      <c r="BI137" s="18">
        <v>0.7252</v>
      </c>
      <c r="BJ137" s="18">
        <v>0</v>
      </c>
      <c r="BK137" s="18">
        <v>10</v>
      </c>
      <c r="BL137" s="18">
        <v>97.3</v>
      </c>
      <c r="BM137" s="13">
        <f t="shared" si="0"/>
        <v>9624.65</v>
      </c>
    </row>
    <row r="138" customHeight="1" spans="1:65">
      <c r="A138" s="18" t="s">
        <v>857</v>
      </c>
      <c r="B138" s="18" t="s">
        <v>171</v>
      </c>
      <c r="C138" s="18" t="s">
        <v>858</v>
      </c>
      <c r="D138" s="13"/>
      <c r="E138" s="18" t="s">
        <v>173</v>
      </c>
      <c r="F138" s="18" t="s">
        <v>160</v>
      </c>
      <c r="G138" s="18" t="s">
        <v>83</v>
      </c>
      <c r="H138" s="18" t="s">
        <v>84</v>
      </c>
      <c r="I138" s="18" t="s">
        <v>85</v>
      </c>
      <c r="J138" s="18">
        <v>5</v>
      </c>
      <c r="K138" s="16">
        <v>153.99</v>
      </c>
      <c r="L138" s="16">
        <v>219.99</v>
      </c>
      <c r="M138" s="16">
        <v>30</v>
      </c>
      <c r="N138" s="16">
        <v>66</v>
      </c>
      <c r="O138" s="18">
        <v>1</v>
      </c>
      <c r="P138" s="18" t="s">
        <v>95</v>
      </c>
      <c r="Q138" s="18">
        <v>5.043361</v>
      </c>
      <c r="R138" s="16">
        <v>19.25</v>
      </c>
      <c r="S138" s="16">
        <v>22</v>
      </c>
      <c r="T138" s="16">
        <v>10</v>
      </c>
      <c r="U138" s="18" t="s">
        <v>857</v>
      </c>
      <c r="V138" s="18" t="s">
        <v>171</v>
      </c>
      <c r="W138" s="18" t="s">
        <v>858</v>
      </c>
      <c r="X138" s="13"/>
      <c r="Y138" s="18" t="s">
        <v>173</v>
      </c>
      <c r="Z138" s="18" t="s">
        <v>160</v>
      </c>
      <c r="AA138" s="18" t="s">
        <v>83</v>
      </c>
      <c r="AB138" s="18" t="s">
        <v>84</v>
      </c>
      <c r="AC138" s="18" t="s">
        <v>85</v>
      </c>
      <c r="AD138" s="18">
        <v>31.9340000000002</v>
      </c>
      <c r="AE138" s="18">
        <v>0</v>
      </c>
      <c r="AF138" s="18">
        <v>0</v>
      </c>
      <c r="AG138" s="18">
        <v>0</v>
      </c>
      <c r="AH138" s="18">
        <v>0</v>
      </c>
      <c r="AI138" s="18">
        <v>0</v>
      </c>
      <c r="AJ138" s="18">
        <v>0</v>
      </c>
      <c r="AK138" s="18">
        <v>0</v>
      </c>
      <c r="AL138" s="18">
        <v>1</v>
      </c>
      <c r="AM138" s="18">
        <v>1</v>
      </c>
      <c r="AN138" s="18">
        <v>0</v>
      </c>
      <c r="AO138" s="18">
        <v>0</v>
      </c>
      <c r="AP138" s="18">
        <v>0</v>
      </c>
      <c r="AQ138" s="18">
        <v>1</v>
      </c>
      <c r="AR138" s="18">
        <v>0</v>
      </c>
      <c r="AS138" s="18">
        <v>0</v>
      </c>
      <c r="AT138" s="18">
        <v>0</v>
      </c>
      <c r="AU138" s="18">
        <v>0</v>
      </c>
      <c r="AV138" s="18">
        <v>1</v>
      </c>
      <c r="AW138" s="18">
        <v>1</v>
      </c>
      <c r="AX138" s="18">
        <v>0</v>
      </c>
      <c r="AY138" s="18">
        <v>8</v>
      </c>
      <c r="AZ138" s="18">
        <v>1</v>
      </c>
      <c r="BA138" s="18">
        <v>4</v>
      </c>
      <c r="BB138" s="18">
        <v>66.35</v>
      </c>
      <c r="BC138" s="18" t="s">
        <v>174</v>
      </c>
      <c r="BD138" s="18" t="s">
        <v>175</v>
      </c>
      <c r="BE138" s="18" t="s">
        <v>91</v>
      </c>
      <c r="BF138" s="18" t="s">
        <v>77</v>
      </c>
      <c r="BG138" s="18">
        <v>161</v>
      </c>
      <c r="BH138" s="18">
        <v>61</v>
      </c>
      <c r="BI138" s="18">
        <v>0.7252</v>
      </c>
      <c r="BJ138" s="18">
        <v>0</v>
      </c>
      <c r="BK138" s="18">
        <v>2</v>
      </c>
      <c r="BL138" s="18">
        <v>99.5</v>
      </c>
      <c r="BM138" s="13">
        <f t="shared" si="0"/>
        <v>3387.78</v>
      </c>
    </row>
    <row r="139" customHeight="1" spans="1:65">
      <c r="A139" s="18" t="s">
        <v>2048</v>
      </c>
      <c r="B139" s="18" t="s">
        <v>171</v>
      </c>
      <c r="C139" s="18" t="s">
        <v>1343</v>
      </c>
      <c r="D139" s="13"/>
      <c r="E139" s="18" t="s">
        <v>173</v>
      </c>
      <c r="F139" s="18" t="s">
        <v>160</v>
      </c>
      <c r="G139" s="18" t="s">
        <v>83</v>
      </c>
      <c r="H139" s="18" t="s">
        <v>84</v>
      </c>
      <c r="I139" s="18" t="s">
        <v>85</v>
      </c>
      <c r="J139" s="18">
        <v>5</v>
      </c>
      <c r="K139" s="16">
        <v>35.99</v>
      </c>
      <c r="L139" s="10"/>
      <c r="M139" s="16">
        <v>0</v>
      </c>
      <c r="N139" s="16">
        <v>0</v>
      </c>
      <c r="O139" s="18">
        <v>0</v>
      </c>
      <c r="P139" s="18" t="s">
        <v>86</v>
      </c>
      <c r="Q139" s="18">
        <v>3.610648</v>
      </c>
      <c r="R139" s="10"/>
      <c r="S139" s="16">
        <v>401</v>
      </c>
      <c r="T139" s="16">
        <v>10</v>
      </c>
      <c r="U139" s="18" t="s">
        <v>2559</v>
      </c>
      <c r="V139" s="18" t="s">
        <v>171</v>
      </c>
      <c r="W139" s="18" t="s">
        <v>1343</v>
      </c>
      <c r="X139" s="13"/>
      <c r="Y139" s="18" t="s">
        <v>173</v>
      </c>
      <c r="Z139" s="18" t="s">
        <v>160</v>
      </c>
      <c r="AA139" s="18" t="s">
        <v>83</v>
      </c>
      <c r="AB139" s="18" t="s">
        <v>84</v>
      </c>
      <c r="AC139" s="18" t="s">
        <v>85</v>
      </c>
      <c r="AD139" s="18">
        <v>66.98</v>
      </c>
      <c r="AE139" s="18">
        <v>0</v>
      </c>
      <c r="AF139" s="18">
        <v>0</v>
      </c>
      <c r="AG139" s="18">
        <v>1</v>
      </c>
      <c r="AH139" s="18">
        <v>0</v>
      </c>
      <c r="AI139" s="18">
        <v>1</v>
      </c>
      <c r="AJ139" s="18">
        <v>0</v>
      </c>
      <c r="AK139" s="18">
        <v>0</v>
      </c>
      <c r="AL139" s="18">
        <v>0</v>
      </c>
      <c r="AM139" s="18">
        <v>0</v>
      </c>
      <c r="AN139" s="18">
        <v>0</v>
      </c>
      <c r="AO139" s="18">
        <v>0</v>
      </c>
      <c r="AP139" s="18">
        <v>0</v>
      </c>
      <c r="AQ139" s="18">
        <v>0</v>
      </c>
      <c r="AR139" s="18">
        <v>0</v>
      </c>
      <c r="AS139" s="18">
        <v>0</v>
      </c>
      <c r="AT139" s="18">
        <v>1</v>
      </c>
      <c r="AU139" s="18">
        <v>0</v>
      </c>
      <c r="AV139" s="18">
        <v>0</v>
      </c>
      <c r="AW139" s="18">
        <v>0</v>
      </c>
      <c r="AX139" s="18">
        <v>0</v>
      </c>
      <c r="AY139" s="13"/>
      <c r="AZ139" s="18">
        <v>1</v>
      </c>
      <c r="BA139" s="18">
        <v>2</v>
      </c>
      <c r="BB139" s="18">
        <v>68.61</v>
      </c>
      <c r="BC139" s="18" t="s">
        <v>174</v>
      </c>
      <c r="BD139" s="18" t="s">
        <v>175</v>
      </c>
      <c r="BE139" s="18" t="s">
        <v>91</v>
      </c>
      <c r="BF139" s="18" t="s">
        <v>77</v>
      </c>
      <c r="BG139" s="18">
        <v>162</v>
      </c>
      <c r="BH139" s="18">
        <v>60</v>
      </c>
      <c r="BI139" s="18">
        <v>0.7297</v>
      </c>
      <c r="BJ139" s="18">
        <v>0</v>
      </c>
      <c r="BK139" s="18">
        <v>5</v>
      </c>
      <c r="BL139" s="18">
        <v>98.6</v>
      </c>
      <c r="BM139" s="13">
        <f t="shared" si="0"/>
        <v>14431.99</v>
      </c>
    </row>
    <row r="140" customHeight="1" spans="1:65">
      <c r="A140" s="18" t="s">
        <v>2307</v>
      </c>
      <c r="B140" s="18" t="s">
        <v>171</v>
      </c>
      <c r="C140" s="18" t="s">
        <v>2308</v>
      </c>
      <c r="D140" s="13"/>
      <c r="E140" s="18" t="s">
        <v>250</v>
      </c>
      <c r="F140" s="18" t="s">
        <v>160</v>
      </c>
      <c r="G140" s="18" t="s">
        <v>83</v>
      </c>
      <c r="H140" s="18" t="s">
        <v>84</v>
      </c>
      <c r="I140" s="18" t="s">
        <v>85</v>
      </c>
      <c r="J140" s="18">
        <v>5</v>
      </c>
      <c r="K140" s="16">
        <v>67.19</v>
      </c>
      <c r="L140" s="10"/>
      <c r="M140" s="16">
        <v>0</v>
      </c>
      <c r="N140" s="16">
        <v>0</v>
      </c>
      <c r="O140" s="18">
        <v>0</v>
      </c>
      <c r="P140" s="18" t="s">
        <v>86</v>
      </c>
      <c r="Q140" s="18">
        <v>4.222298</v>
      </c>
      <c r="R140" s="10"/>
      <c r="S140" s="16">
        <v>74</v>
      </c>
      <c r="T140" s="16">
        <v>10</v>
      </c>
      <c r="U140" s="18" t="s">
        <v>2560</v>
      </c>
      <c r="V140" s="18" t="s">
        <v>171</v>
      </c>
      <c r="W140" s="18" t="s">
        <v>2561</v>
      </c>
      <c r="X140" s="13"/>
      <c r="Y140" s="18" t="s">
        <v>250</v>
      </c>
      <c r="Z140" s="18" t="s">
        <v>160</v>
      </c>
      <c r="AA140" s="18" t="s">
        <v>83</v>
      </c>
      <c r="AB140" s="18" t="s">
        <v>84</v>
      </c>
      <c r="AC140" s="18" t="s">
        <v>85</v>
      </c>
      <c r="AD140" s="18">
        <v>129.38</v>
      </c>
      <c r="AE140" s="18">
        <v>0</v>
      </c>
      <c r="AF140" s="18">
        <v>0</v>
      </c>
      <c r="AG140" s="18">
        <v>0</v>
      </c>
      <c r="AH140" s="18">
        <v>0</v>
      </c>
      <c r="AI140" s="18">
        <v>0</v>
      </c>
      <c r="AJ140" s="18">
        <v>0</v>
      </c>
      <c r="AK140" s="18">
        <v>0</v>
      </c>
      <c r="AL140" s="18">
        <v>0</v>
      </c>
      <c r="AM140" s="18">
        <v>0</v>
      </c>
      <c r="AN140" s="18">
        <v>0</v>
      </c>
      <c r="AO140" s="18">
        <v>0</v>
      </c>
      <c r="AP140" s="18">
        <v>0</v>
      </c>
      <c r="AQ140" s="18">
        <v>0</v>
      </c>
      <c r="AR140" s="18">
        <v>0</v>
      </c>
      <c r="AS140" s="18">
        <v>0</v>
      </c>
      <c r="AT140" s="18">
        <v>1</v>
      </c>
      <c r="AU140" s="18">
        <v>0</v>
      </c>
      <c r="AV140" s="18">
        <v>0</v>
      </c>
      <c r="AW140" s="18">
        <v>0</v>
      </c>
      <c r="AX140" s="18">
        <v>0</v>
      </c>
      <c r="AY140" s="13"/>
      <c r="AZ140" s="18">
        <v>4</v>
      </c>
      <c r="BA140" s="18">
        <v>2</v>
      </c>
      <c r="BB140" s="18">
        <v>64.58</v>
      </c>
      <c r="BC140" s="18" t="s">
        <v>174</v>
      </c>
      <c r="BD140" s="18" t="s">
        <v>356</v>
      </c>
      <c r="BE140" s="18" t="s">
        <v>287</v>
      </c>
      <c r="BF140" s="18" t="s">
        <v>77</v>
      </c>
      <c r="BG140" s="18">
        <v>162</v>
      </c>
      <c r="BH140" s="18">
        <v>60</v>
      </c>
      <c r="BI140" s="18">
        <v>0.7297</v>
      </c>
      <c r="BJ140" s="18">
        <v>0</v>
      </c>
      <c r="BK140" s="18">
        <v>8</v>
      </c>
      <c r="BL140" s="18">
        <v>97.8</v>
      </c>
      <c r="BM140" s="13">
        <f t="shared" si="0"/>
        <v>4972.06</v>
      </c>
    </row>
    <row r="141" customHeight="1" spans="1:65">
      <c r="A141" s="18" t="s">
        <v>1228</v>
      </c>
      <c r="B141" s="18" t="s">
        <v>171</v>
      </c>
      <c r="C141" s="13"/>
      <c r="D141" s="13"/>
      <c r="E141" s="18" t="s">
        <v>1229</v>
      </c>
      <c r="F141" s="18" t="s">
        <v>160</v>
      </c>
      <c r="G141" s="18" t="s">
        <v>83</v>
      </c>
      <c r="H141" s="18" t="s">
        <v>84</v>
      </c>
      <c r="I141" s="18" t="s">
        <v>85</v>
      </c>
      <c r="J141" s="18">
        <v>5</v>
      </c>
      <c r="K141" s="16">
        <v>44.99</v>
      </c>
      <c r="L141" s="10"/>
      <c r="M141" s="16">
        <v>0</v>
      </c>
      <c r="N141" s="16">
        <v>0</v>
      </c>
      <c r="O141" s="18">
        <v>0</v>
      </c>
      <c r="P141" s="18" t="s">
        <v>86</v>
      </c>
      <c r="Q141" s="18">
        <v>3.828424</v>
      </c>
      <c r="R141" s="10"/>
      <c r="S141" s="16">
        <v>46</v>
      </c>
      <c r="T141" s="16">
        <v>10</v>
      </c>
      <c r="U141" s="18" t="s">
        <v>1228</v>
      </c>
      <c r="V141" s="18" t="s">
        <v>171</v>
      </c>
      <c r="W141" s="13"/>
      <c r="X141" s="13"/>
      <c r="Y141" s="18" t="s">
        <v>1229</v>
      </c>
      <c r="Z141" s="18" t="s">
        <v>160</v>
      </c>
      <c r="AA141" s="18" t="s">
        <v>83</v>
      </c>
      <c r="AB141" s="18" t="s">
        <v>84</v>
      </c>
      <c r="AC141" s="18" t="s">
        <v>85</v>
      </c>
      <c r="AD141" s="18">
        <v>84.98</v>
      </c>
      <c r="AE141" s="18">
        <v>0</v>
      </c>
      <c r="AF141" s="18">
        <v>0</v>
      </c>
      <c r="AG141" s="18">
        <v>1</v>
      </c>
      <c r="AH141" s="18">
        <v>0</v>
      </c>
      <c r="AI141" s="18">
        <v>1</v>
      </c>
      <c r="AJ141" s="18">
        <v>0</v>
      </c>
      <c r="AK141" s="18">
        <v>0</v>
      </c>
      <c r="AL141" s="18">
        <v>0</v>
      </c>
      <c r="AM141" s="18">
        <v>0</v>
      </c>
      <c r="AN141" s="18">
        <v>0</v>
      </c>
      <c r="AO141" s="18">
        <v>0</v>
      </c>
      <c r="AP141" s="18">
        <v>0</v>
      </c>
      <c r="AQ141" s="18">
        <v>1</v>
      </c>
      <c r="AR141" s="18">
        <v>0</v>
      </c>
      <c r="AS141" s="18">
        <v>0</v>
      </c>
      <c r="AT141" s="18">
        <v>0</v>
      </c>
      <c r="AU141" s="18">
        <v>0</v>
      </c>
      <c r="AV141" s="18">
        <v>1</v>
      </c>
      <c r="AW141" s="18">
        <v>0</v>
      </c>
      <c r="AX141" s="18">
        <v>0</v>
      </c>
      <c r="AY141" s="13"/>
      <c r="AZ141" s="18">
        <v>1</v>
      </c>
      <c r="BA141" s="18">
        <v>1</v>
      </c>
      <c r="BB141" s="18">
        <v>62.38</v>
      </c>
      <c r="BC141" s="18" t="s">
        <v>174</v>
      </c>
      <c r="BD141" s="18" t="s">
        <v>356</v>
      </c>
      <c r="BE141" s="18" t="s">
        <v>423</v>
      </c>
      <c r="BF141" s="18" t="s">
        <v>77</v>
      </c>
      <c r="BG141" s="18">
        <v>162</v>
      </c>
      <c r="BH141" s="18">
        <v>60</v>
      </c>
      <c r="BI141" s="18">
        <v>0.7297</v>
      </c>
      <c r="BJ141" s="18">
        <v>0</v>
      </c>
      <c r="BK141" s="18">
        <v>6</v>
      </c>
      <c r="BL141" s="18">
        <v>98.4</v>
      </c>
      <c r="BM141" s="13">
        <f t="shared" si="0"/>
        <v>2069.54</v>
      </c>
    </row>
    <row r="142" customHeight="1" spans="1:65">
      <c r="A142" s="18" t="s">
        <v>2013</v>
      </c>
      <c r="B142" s="18" t="s">
        <v>171</v>
      </c>
      <c r="C142" s="18" t="s">
        <v>2014</v>
      </c>
      <c r="D142" s="13"/>
      <c r="E142" s="18" t="s">
        <v>559</v>
      </c>
      <c r="F142" s="18" t="s">
        <v>160</v>
      </c>
      <c r="G142" s="18" t="s">
        <v>83</v>
      </c>
      <c r="H142" s="18" t="s">
        <v>84</v>
      </c>
      <c r="I142" s="18" t="s">
        <v>85</v>
      </c>
      <c r="J142" s="18">
        <v>5</v>
      </c>
      <c r="K142" s="16">
        <v>109.99</v>
      </c>
      <c r="L142" s="16">
        <v>199.99</v>
      </c>
      <c r="M142" s="16">
        <v>45</v>
      </c>
      <c r="N142" s="16">
        <v>90</v>
      </c>
      <c r="O142" s="18">
        <v>1</v>
      </c>
      <c r="P142" s="18" t="s">
        <v>95</v>
      </c>
      <c r="Q142" s="18">
        <v>4.70944</v>
      </c>
      <c r="R142" s="16">
        <v>13.75</v>
      </c>
      <c r="S142" s="16">
        <v>66</v>
      </c>
      <c r="T142" s="16">
        <v>10</v>
      </c>
      <c r="U142" s="18" t="s">
        <v>2013</v>
      </c>
      <c r="V142" s="18" t="s">
        <v>171</v>
      </c>
      <c r="W142" s="18" t="s">
        <v>2562</v>
      </c>
      <c r="X142" s="13"/>
      <c r="Y142" s="18" t="s">
        <v>559</v>
      </c>
      <c r="Z142" s="18" t="s">
        <v>160</v>
      </c>
      <c r="AA142" s="18" t="s">
        <v>83</v>
      </c>
      <c r="AB142" s="18" t="s">
        <v>84</v>
      </c>
      <c r="AC142" s="18" t="s">
        <v>85</v>
      </c>
      <c r="AD142" s="18">
        <v>51.6673333333333</v>
      </c>
      <c r="AE142" s="18">
        <v>0</v>
      </c>
      <c r="AF142" s="18">
        <v>0</v>
      </c>
      <c r="AG142" s="18">
        <v>1</v>
      </c>
      <c r="AH142" s="18">
        <v>0</v>
      </c>
      <c r="AI142" s="18">
        <v>1</v>
      </c>
      <c r="AJ142" s="18">
        <v>0</v>
      </c>
      <c r="AK142" s="18">
        <v>0</v>
      </c>
      <c r="AL142" s="18">
        <v>0</v>
      </c>
      <c r="AM142" s="18">
        <v>0</v>
      </c>
      <c r="AN142" s="18">
        <v>0</v>
      </c>
      <c r="AO142" s="18">
        <v>0</v>
      </c>
      <c r="AP142" s="18">
        <v>0</v>
      </c>
      <c r="AQ142" s="18">
        <v>1</v>
      </c>
      <c r="AR142" s="18">
        <v>0</v>
      </c>
      <c r="AS142" s="18">
        <v>0</v>
      </c>
      <c r="AT142" s="18">
        <v>0</v>
      </c>
      <c r="AU142" s="18">
        <v>0</v>
      </c>
      <c r="AV142" s="18">
        <v>1</v>
      </c>
      <c r="AW142" s="18">
        <v>0</v>
      </c>
      <c r="AX142" s="18">
        <v>0</v>
      </c>
      <c r="AY142" s="18">
        <v>8</v>
      </c>
      <c r="AZ142" s="18">
        <v>1</v>
      </c>
      <c r="BA142" s="18">
        <v>1</v>
      </c>
      <c r="BB142" s="18">
        <v>77.91</v>
      </c>
      <c r="BC142" s="18" t="s">
        <v>174</v>
      </c>
      <c r="BD142" s="18" t="s">
        <v>356</v>
      </c>
      <c r="BE142" s="18" t="s">
        <v>423</v>
      </c>
      <c r="BF142" s="18" t="s">
        <v>77</v>
      </c>
      <c r="BG142" s="18">
        <v>162</v>
      </c>
      <c r="BH142" s="18">
        <v>60</v>
      </c>
      <c r="BI142" s="18">
        <v>0.7297</v>
      </c>
      <c r="BJ142" s="18">
        <v>0</v>
      </c>
      <c r="BK142" s="18">
        <v>4</v>
      </c>
      <c r="BL142" s="18">
        <v>98.9</v>
      </c>
      <c r="BM142" s="13">
        <f t="shared" si="0"/>
        <v>7259.34</v>
      </c>
    </row>
    <row r="143" customHeight="1" spans="1:65">
      <c r="A143" s="18" t="s">
        <v>1458</v>
      </c>
      <c r="B143" s="18" t="s">
        <v>171</v>
      </c>
      <c r="C143" s="18" t="s">
        <v>1459</v>
      </c>
      <c r="D143" s="13"/>
      <c r="E143" s="18" t="s">
        <v>173</v>
      </c>
      <c r="F143" s="18" t="s">
        <v>160</v>
      </c>
      <c r="G143" s="18" t="s">
        <v>83</v>
      </c>
      <c r="H143" s="18" t="s">
        <v>84</v>
      </c>
      <c r="I143" s="18" t="s">
        <v>85</v>
      </c>
      <c r="J143" s="18">
        <v>5</v>
      </c>
      <c r="K143" s="16">
        <v>377.99</v>
      </c>
      <c r="L143" s="16">
        <v>539.99</v>
      </c>
      <c r="M143" s="16">
        <v>30</v>
      </c>
      <c r="N143" s="16">
        <v>162</v>
      </c>
      <c r="O143" s="18">
        <v>1</v>
      </c>
      <c r="P143" s="18" t="s">
        <v>71</v>
      </c>
      <c r="Q143" s="18">
        <v>5.93751</v>
      </c>
      <c r="R143" s="16">
        <v>47.25</v>
      </c>
      <c r="S143" s="16">
        <v>265</v>
      </c>
      <c r="T143" s="16">
        <v>10</v>
      </c>
      <c r="U143" s="18" t="s">
        <v>1458</v>
      </c>
      <c r="V143" s="18" t="s">
        <v>171</v>
      </c>
      <c r="W143" s="18" t="s">
        <v>1459</v>
      </c>
      <c r="X143" s="13"/>
      <c r="Y143" s="18" t="s">
        <v>173</v>
      </c>
      <c r="Z143" s="18" t="s">
        <v>160</v>
      </c>
      <c r="AA143" s="18" t="s">
        <v>83</v>
      </c>
      <c r="AB143" s="18" t="s">
        <v>84</v>
      </c>
      <c r="AC143" s="18" t="s">
        <v>85</v>
      </c>
      <c r="AD143" s="18">
        <v>68.200666666667</v>
      </c>
      <c r="AE143" s="18">
        <v>0</v>
      </c>
      <c r="AF143" s="18">
        <v>0</v>
      </c>
      <c r="AG143" s="18">
        <v>1</v>
      </c>
      <c r="AH143" s="18">
        <v>0</v>
      </c>
      <c r="AI143" s="18">
        <v>1</v>
      </c>
      <c r="AJ143" s="18">
        <v>0</v>
      </c>
      <c r="AK143" s="18">
        <v>0</v>
      </c>
      <c r="AL143" s="18">
        <v>0</v>
      </c>
      <c r="AM143" s="18">
        <v>0</v>
      </c>
      <c r="AN143" s="18">
        <v>0</v>
      </c>
      <c r="AO143" s="18">
        <v>0</v>
      </c>
      <c r="AP143" s="18">
        <v>0</v>
      </c>
      <c r="AQ143" s="18">
        <v>1</v>
      </c>
      <c r="AR143" s="18">
        <v>0</v>
      </c>
      <c r="AS143" s="18">
        <v>0</v>
      </c>
      <c r="AT143" s="18">
        <v>1</v>
      </c>
      <c r="AU143" s="18">
        <v>0</v>
      </c>
      <c r="AV143" s="18">
        <v>1</v>
      </c>
      <c r="AW143" s="18">
        <v>1</v>
      </c>
      <c r="AX143" s="18">
        <v>0</v>
      </c>
      <c r="AY143" s="18">
        <v>8</v>
      </c>
      <c r="AZ143" s="18">
        <v>1</v>
      </c>
      <c r="BA143" s="18">
        <v>3</v>
      </c>
      <c r="BB143" s="18">
        <v>76.55</v>
      </c>
      <c r="BC143" s="18" t="s">
        <v>174</v>
      </c>
      <c r="BD143" s="18" t="s">
        <v>356</v>
      </c>
      <c r="BE143" s="18" t="s">
        <v>423</v>
      </c>
      <c r="BF143" s="18" t="s">
        <v>77</v>
      </c>
      <c r="BG143" s="18">
        <v>161</v>
      </c>
      <c r="BH143" s="18">
        <v>61</v>
      </c>
      <c r="BI143" s="18">
        <v>0.7252</v>
      </c>
      <c r="BJ143" s="18">
        <v>0</v>
      </c>
      <c r="BK143" s="18">
        <v>12</v>
      </c>
      <c r="BL143" s="18">
        <v>96.7</v>
      </c>
      <c r="BM143" s="13">
        <f t="shared" si="0"/>
        <v>100167.35</v>
      </c>
    </row>
    <row r="144" customHeight="1" spans="1:65">
      <c r="A144" s="18" t="s">
        <v>1535</v>
      </c>
      <c r="B144" s="18" t="s">
        <v>171</v>
      </c>
      <c r="C144" s="18" t="s">
        <v>1536</v>
      </c>
      <c r="D144" s="13"/>
      <c r="E144" s="18" t="s">
        <v>255</v>
      </c>
      <c r="F144" s="18" t="s">
        <v>160</v>
      </c>
      <c r="G144" s="18" t="s">
        <v>83</v>
      </c>
      <c r="H144" s="18" t="s">
        <v>84</v>
      </c>
      <c r="I144" s="18" t="s">
        <v>85</v>
      </c>
      <c r="J144" s="18">
        <v>5</v>
      </c>
      <c r="K144" s="16">
        <v>26.59</v>
      </c>
      <c r="L144" s="10"/>
      <c r="M144" s="16">
        <v>0</v>
      </c>
      <c r="N144" s="16">
        <v>0</v>
      </c>
      <c r="O144" s="18">
        <v>0</v>
      </c>
      <c r="P144" s="18" t="s">
        <v>86</v>
      </c>
      <c r="Q144" s="18">
        <v>3.317453</v>
      </c>
      <c r="R144" s="10"/>
      <c r="S144" s="16">
        <v>749</v>
      </c>
      <c r="T144" s="16">
        <v>10</v>
      </c>
      <c r="U144" s="18" t="s">
        <v>1535</v>
      </c>
      <c r="V144" s="18" t="s">
        <v>171</v>
      </c>
      <c r="W144" s="18" t="s">
        <v>2563</v>
      </c>
      <c r="X144" s="13"/>
      <c r="Y144" s="18" t="s">
        <v>255</v>
      </c>
      <c r="Z144" s="18" t="s">
        <v>160</v>
      </c>
      <c r="AA144" s="18" t="s">
        <v>83</v>
      </c>
      <c r="AB144" s="18" t="s">
        <v>84</v>
      </c>
      <c r="AC144" s="18" t="s">
        <v>85</v>
      </c>
      <c r="AD144" s="18">
        <v>48.18</v>
      </c>
      <c r="AE144" s="18">
        <v>0</v>
      </c>
      <c r="AF144" s="18">
        <v>0</v>
      </c>
      <c r="AG144" s="18">
        <v>0</v>
      </c>
      <c r="AH144" s="18">
        <v>0</v>
      </c>
      <c r="AI144" s="18">
        <v>0</v>
      </c>
      <c r="AJ144" s="18">
        <v>0</v>
      </c>
      <c r="AK144" s="18">
        <v>0</v>
      </c>
      <c r="AL144" s="18">
        <v>0</v>
      </c>
      <c r="AM144" s="18">
        <v>0</v>
      </c>
      <c r="AN144" s="18">
        <v>0</v>
      </c>
      <c r="AO144" s="18">
        <v>0</v>
      </c>
      <c r="AP144" s="18">
        <v>0</v>
      </c>
      <c r="AQ144" s="18">
        <v>0</v>
      </c>
      <c r="AR144" s="18">
        <v>0</v>
      </c>
      <c r="AS144" s="18">
        <v>0</v>
      </c>
      <c r="AT144" s="18">
        <v>1</v>
      </c>
      <c r="AU144" s="18">
        <v>0</v>
      </c>
      <c r="AV144" s="18">
        <v>0</v>
      </c>
      <c r="AW144" s="18">
        <v>0</v>
      </c>
      <c r="AX144" s="18">
        <v>0</v>
      </c>
      <c r="AY144" s="13"/>
      <c r="AZ144" s="18">
        <v>1</v>
      </c>
      <c r="BA144" s="18">
        <v>2</v>
      </c>
      <c r="BB144" s="18">
        <v>68.66</v>
      </c>
      <c r="BC144" s="18" t="s">
        <v>174</v>
      </c>
      <c r="BD144" s="18" t="s">
        <v>1216</v>
      </c>
      <c r="BE144" s="18" t="s">
        <v>128</v>
      </c>
      <c r="BF144" s="18" t="s">
        <v>77</v>
      </c>
      <c r="BG144" s="18">
        <v>162</v>
      </c>
      <c r="BH144" s="18">
        <v>60</v>
      </c>
      <c r="BI144" s="18">
        <v>0.7297</v>
      </c>
      <c r="BJ144" s="18">
        <v>0</v>
      </c>
      <c r="BK144" s="18">
        <v>10</v>
      </c>
      <c r="BL144" s="18">
        <v>97.3</v>
      </c>
      <c r="BM144" s="13">
        <f t="shared" si="0"/>
        <v>19915.91</v>
      </c>
    </row>
    <row r="145" customHeight="1" spans="1:65">
      <c r="A145" s="18" t="s">
        <v>517</v>
      </c>
      <c r="B145" s="18" t="s">
        <v>171</v>
      </c>
      <c r="C145" s="18" t="s">
        <v>518</v>
      </c>
      <c r="D145" s="13"/>
      <c r="E145" s="18" t="s">
        <v>255</v>
      </c>
      <c r="F145" s="18" t="s">
        <v>160</v>
      </c>
      <c r="G145" s="18" t="s">
        <v>83</v>
      </c>
      <c r="H145" s="18" t="s">
        <v>84</v>
      </c>
      <c r="I145" s="18" t="s">
        <v>85</v>
      </c>
      <c r="J145" s="18">
        <v>5</v>
      </c>
      <c r="K145" s="16">
        <v>100.79</v>
      </c>
      <c r="L145" s="16">
        <v>119.99</v>
      </c>
      <c r="M145" s="16">
        <v>16</v>
      </c>
      <c r="N145" s="16">
        <v>19.2</v>
      </c>
      <c r="O145" s="18">
        <v>1</v>
      </c>
      <c r="P145" s="18" t="s">
        <v>95</v>
      </c>
      <c r="Q145" s="18">
        <v>4.622912</v>
      </c>
      <c r="R145" s="16">
        <v>12.6</v>
      </c>
      <c r="S145" s="16">
        <v>654</v>
      </c>
      <c r="T145" s="16">
        <v>10</v>
      </c>
      <c r="U145" s="18" t="s">
        <v>517</v>
      </c>
      <c r="V145" s="18" t="s">
        <v>171</v>
      </c>
      <c r="W145" s="18" t="s">
        <v>518</v>
      </c>
      <c r="X145" s="13"/>
      <c r="Y145" s="18" t="s">
        <v>255</v>
      </c>
      <c r="Z145" s="18" t="s">
        <v>160</v>
      </c>
      <c r="AA145" s="18" t="s">
        <v>83</v>
      </c>
      <c r="AB145" s="18" t="s">
        <v>84</v>
      </c>
      <c r="AC145" s="18" t="s">
        <v>85</v>
      </c>
      <c r="AD145" s="18">
        <v>6.78733333333331</v>
      </c>
      <c r="AE145" s="18">
        <v>0</v>
      </c>
      <c r="AF145" s="18">
        <v>0</v>
      </c>
      <c r="AG145" s="18">
        <v>0</v>
      </c>
      <c r="AH145" s="18">
        <v>0</v>
      </c>
      <c r="AI145" s="18">
        <v>0</v>
      </c>
      <c r="AJ145" s="18">
        <v>0</v>
      </c>
      <c r="AK145" s="18">
        <v>0</v>
      </c>
      <c r="AL145" s="18">
        <v>0</v>
      </c>
      <c r="AM145" s="18">
        <v>0</v>
      </c>
      <c r="AN145" s="18">
        <v>0</v>
      </c>
      <c r="AO145" s="18">
        <v>0</v>
      </c>
      <c r="AP145" s="18">
        <v>0</v>
      </c>
      <c r="AQ145" s="18">
        <v>1</v>
      </c>
      <c r="AR145" s="18">
        <v>0</v>
      </c>
      <c r="AS145" s="18">
        <v>0</v>
      </c>
      <c r="AT145" s="18">
        <v>1</v>
      </c>
      <c r="AU145" s="18">
        <v>0</v>
      </c>
      <c r="AV145" s="18">
        <v>1</v>
      </c>
      <c r="AW145" s="18">
        <v>1</v>
      </c>
      <c r="AX145" s="18">
        <v>0</v>
      </c>
      <c r="AY145" s="18">
        <v>8</v>
      </c>
      <c r="AZ145" s="18">
        <v>1</v>
      </c>
      <c r="BA145" s="18">
        <v>3</v>
      </c>
      <c r="BB145" s="18">
        <v>73.78</v>
      </c>
      <c r="BC145" s="18" t="s">
        <v>174</v>
      </c>
      <c r="BD145" s="13"/>
      <c r="BE145" s="13"/>
      <c r="BF145" s="13"/>
      <c r="BG145" s="18">
        <v>0</v>
      </c>
      <c r="BH145" s="18">
        <v>0</v>
      </c>
      <c r="BI145" s="13"/>
      <c r="BJ145" s="18">
        <v>0</v>
      </c>
      <c r="BK145" s="18">
        <v>5</v>
      </c>
      <c r="BL145" s="18">
        <v>98.6</v>
      </c>
      <c r="BM145" s="13">
        <f t="shared" si="0"/>
        <v>65916.66</v>
      </c>
    </row>
    <row r="146" customHeight="1" spans="1:65">
      <c r="A146" s="18" t="s">
        <v>2217</v>
      </c>
      <c r="B146" s="18" t="s">
        <v>171</v>
      </c>
      <c r="C146" s="18" t="s">
        <v>2218</v>
      </c>
      <c r="D146" s="13"/>
      <c r="E146" s="18" t="s">
        <v>173</v>
      </c>
      <c r="F146" s="18" t="s">
        <v>160</v>
      </c>
      <c r="G146" s="18" t="s">
        <v>83</v>
      </c>
      <c r="H146" s="18" t="s">
        <v>84</v>
      </c>
      <c r="I146" s="18" t="s">
        <v>85</v>
      </c>
      <c r="J146" s="18">
        <v>5</v>
      </c>
      <c r="K146" s="16">
        <v>79.79</v>
      </c>
      <c r="L146" s="10"/>
      <c r="M146" s="16">
        <v>0</v>
      </c>
      <c r="N146" s="16">
        <v>0</v>
      </c>
      <c r="O146" s="18">
        <v>0</v>
      </c>
      <c r="P146" s="18" t="s">
        <v>95</v>
      </c>
      <c r="Q146" s="18">
        <v>4.391853</v>
      </c>
      <c r="R146" s="10"/>
      <c r="S146" s="16">
        <v>375</v>
      </c>
      <c r="T146" s="16">
        <v>10</v>
      </c>
      <c r="U146" s="18" t="s">
        <v>2564</v>
      </c>
      <c r="V146" s="18" t="s">
        <v>171</v>
      </c>
      <c r="W146" s="18" t="s">
        <v>2565</v>
      </c>
      <c r="X146" s="13"/>
      <c r="Y146" s="18" t="s">
        <v>173</v>
      </c>
      <c r="Z146" s="18" t="s">
        <v>160</v>
      </c>
      <c r="AA146" s="18" t="s">
        <v>83</v>
      </c>
      <c r="AB146" s="18" t="s">
        <v>84</v>
      </c>
      <c r="AC146" s="18" t="s">
        <v>85</v>
      </c>
      <c r="AD146" s="18">
        <v>154.58</v>
      </c>
      <c r="AE146" s="18">
        <v>0</v>
      </c>
      <c r="AF146" s="18">
        <v>0</v>
      </c>
      <c r="AG146" s="18">
        <v>1</v>
      </c>
      <c r="AH146" s="18">
        <v>0</v>
      </c>
      <c r="AI146" s="18">
        <v>1</v>
      </c>
      <c r="AJ146" s="18">
        <v>0</v>
      </c>
      <c r="AK146" s="18">
        <v>0</v>
      </c>
      <c r="AL146" s="18">
        <v>0</v>
      </c>
      <c r="AM146" s="18">
        <v>0</v>
      </c>
      <c r="AN146" s="18">
        <v>1</v>
      </c>
      <c r="AO146" s="18">
        <v>0</v>
      </c>
      <c r="AP146" s="18">
        <v>0</v>
      </c>
      <c r="AQ146" s="18">
        <v>0</v>
      </c>
      <c r="AR146" s="18">
        <v>0</v>
      </c>
      <c r="AS146" s="18">
        <v>0</v>
      </c>
      <c r="AT146" s="18">
        <v>1</v>
      </c>
      <c r="AU146" s="18">
        <v>0</v>
      </c>
      <c r="AV146" s="18">
        <v>0</v>
      </c>
      <c r="AW146" s="18">
        <v>0</v>
      </c>
      <c r="AX146" s="18">
        <v>0</v>
      </c>
      <c r="AY146" s="13"/>
      <c r="AZ146" s="18">
        <v>1</v>
      </c>
      <c r="BA146" s="18">
        <v>3</v>
      </c>
      <c r="BB146" s="18">
        <v>68.3</v>
      </c>
      <c r="BC146" s="18" t="s">
        <v>174</v>
      </c>
      <c r="BD146" s="13"/>
      <c r="BE146" s="13"/>
      <c r="BF146" s="13"/>
      <c r="BG146" s="18">
        <v>0</v>
      </c>
      <c r="BH146" s="18">
        <v>0</v>
      </c>
      <c r="BI146" s="13"/>
      <c r="BJ146" s="18">
        <v>0</v>
      </c>
      <c r="BK146" s="18">
        <v>8</v>
      </c>
      <c r="BL146" s="18">
        <v>97.8</v>
      </c>
      <c r="BM146" s="13">
        <f t="shared" si="0"/>
        <v>29921.25</v>
      </c>
    </row>
    <row r="147" customHeight="1" spans="1:65">
      <c r="A147" s="18" t="s">
        <v>432</v>
      </c>
      <c r="B147" s="18" t="s">
        <v>171</v>
      </c>
      <c r="C147" s="18" t="s">
        <v>433</v>
      </c>
      <c r="D147" s="13"/>
      <c r="E147" s="18" t="s">
        <v>434</v>
      </c>
      <c r="F147" s="18" t="s">
        <v>160</v>
      </c>
      <c r="G147" s="18" t="s">
        <v>83</v>
      </c>
      <c r="H147" s="18" t="s">
        <v>84</v>
      </c>
      <c r="I147" s="18" t="s">
        <v>85</v>
      </c>
      <c r="J147" s="18">
        <v>5</v>
      </c>
      <c r="K147" s="16">
        <v>107.99</v>
      </c>
      <c r="L147" s="16">
        <v>179.99</v>
      </c>
      <c r="M147" s="16">
        <v>40</v>
      </c>
      <c r="N147" s="16">
        <v>72</v>
      </c>
      <c r="O147" s="18">
        <v>1</v>
      </c>
      <c r="P147" s="18" t="s">
        <v>95</v>
      </c>
      <c r="Q147" s="18">
        <v>4.691256</v>
      </c>
      <c r="R147" s="16">
        <v>6.75</v>
      </c>
      <c r="S147" s="16">
        <v>77</v>
      </c>
      <c r="T147" s="16">
        <v>10</v>
      </c>
      <c r="U147" s="18" t="s">
        <v>432</v>
      </c>
      <c r="V147" s="18" t="s">
        <v>171</v>
      </c>
      <c r="W147" s="19" t="s">
        <v>433</v>
      </c>
      <c r="X147" s="13"/>
      <c r="Y147" s="18" t="s">
        <v>434</v>
      </c>
      <c r="Z147" s="18" t="s">
        <v>160</v>
      </c>
      <c r="AA147" s="18" t="s">
        <v>83</v>
      </c>
      <c r="AB147" s="18" t="s">
        <v>84</v>
      </c>
      <c r="AC147" s="18" t="s">
        <v>85</v>
      </c>
      <c r="AD147" s="18">
        <v>40.8673333333333</v>
      </c>
      <c r="AE147" s="18">
        <v>0</v>
      </c>
      <c r="AF147" s="18">
        <v>0</v>
      </c>
      <c r="AG147" s="18">
        <v>0</v>
      </c>
      <c r="AH147" s="18">
        <v>0</v>
      </c>
      <c r="AI147" s="18">
        <v>0</v>
      </c>
      <c r="AJ147" s="18">
        <v>0</v>
      </c>
      <c r="AK147" s="18">
        <v>0</v>
      </c>
      <c r="AL147" s="18">
        <v>0</v>
      </c>
      <c r="AM147" s="18">
        <v>0</v>
      </c>
      <c r="AN147" s="18">
        <v>0</v>
      </c>
      <c r="AO147" s="18">
        <v>0</v>
      </c>
      <c r="AP147" s="18">
        <v>0</v>
      </c>
      <c r="AQ147" s="18">
        <v>1</v>
      </c>
      <c r="AR147" s="18">
        <v>0</v>
      </c>
      <c r="AS147" s="18">
        <v>0</v>
      </c>
      <c r="AT147" s="18">
        <v>0</v>
      </c>
      <c r="AU147" s="18">
        <v>0</v>
      </c>
      <c r="AV147" s="18">
        <v>1</v>
      </c>
      <c r="AW147" s="18">
        <v>1</v>
      </c>
      <c r="AX147" s="18">
        <v>0</v>
      </c>
      <c r="AY147" s="18">
        <v>16</v>
      </c>
      <c r="AZ147" s="18">
        <v>1</v>
      </c>
      <c r="BA147" s="18">
        <v>1</v>
      </c>
      <c r="BB147" s="18">
        <v>71.88</v>
      </c>
      <c r="BC147" s="18" t="s">
        <v>174</v>
      </c>
      <c r="BD147" s="13"/>
      <c r="BE147" s="13"/>
      <c r="BF147" s="13"/>
      <c r="BG147" s="18">
        <v>0</v>
      </c>
      <c r="BH147" s="18">
        <v>0</v>
      </c>
      <c r="BI147" s="13"/>
      <c r="BJ147" s="18">
        <v>0</v>
      </c>
      <c r="BK147" s="18">
        <v>67</v>
      </c>
      <c r="BL147" s="18">
        <v>81.6</v>
      </c>
      <c r="BM147" s="13">
        <f t="shared" si="0"/>
        <v>8315.23</v>
      </c>
    </row>
    <row r="148" customHeight="1" spans="1:65">
      <c r="A148" s="18" t="s">
        <v>846</v>
      </c>
      <c r="B148" s="18" t="s">
        <v>125</v>
      </c>
      <c r="C148" s="13"/>
      <c r="D148" s="18">
        <v>313101250237</v>
      </c>
      <c r="E148" s="18" t="s">
        <v>163</v>
      </c>
      <c r="F148" s="18" t="s">
        <v>198</v>
      </c>
      <c r="G148" s="18" t="s">
        <v>83</v>
      </c>
      <c r="H148" s="18" t="s">
        <v>138</v>
      </c>
      <c r="I148" s="18" t="s">
        <v>85</v>
      </c>
      <c r="J148" s="18">
        <v>5</v>
      </c>
      <c r="K148" s="16">
        <v>286.28</v>
      </c>
      <c r="L148" s="10"/>
      <c r="M148" s="16">
        <v>0</v>
      </c>
      <c r="N148" s="16">
        <v>0</v>
      </c>
      <c r="O148" s="18">
        <v>0</v>
      </c>
      <c r="P148" s="18" t="s">
        <v>71</v>
      </c>
      <c r="Q148" s="18">
        <v>5.660457</v>
      </c>
      <c r="R148" s="10"/>
      <c r="S148" s="16">
        <v>1</v>
      </c>
      <c r="T148" s="16">
        <v>1</v>
      </c>
      <c r="U148" s="18" t="s">
        <v>846</v>
      </c>
      <c r="V148" s="18" t="s">
        <v>125</v>
      </c>
      <c r="W148" s="13"/>
      <c r="X148" s="18">
        <v>313101250238</v>
      </c>
      <c r="Y148" s="18" t="s">
        <v>163</v>
      </c>
      <c r="Z148" s="18" t="s">
        <v>198</v>
      </c>
      <c r="AA148" s="18" t="s">
        <v>83</v>
      </c>
      <c r="AB148" s="18" t="s">
        <v>138</v>
      </c>
      <c r="AC148" s="18" t="s">
        <v>85</v>
      </c>
      <c r="AD148" s="18">
        <v>567.56</v>
      </c>
      <c r="AE148" s="18">
        <v>0</v>
      </c>
      <c r="AF148" s="18">
        <v>0</v>
      </c>
      <c r="AG148" s="18">
        <v>0</v>
      </c>
      <c r="AH148" s="18">
        <v>1</v>
      </c>
      <c r="AI148" s="18">
        <v>0</v>
      </c>
      <c r="AJ148" s="18">
        <v>0</v>
      </c>
      <c r="AK148" s="18">
        <v>0</v>
      </c>
      <c r="AL148" s="18">
        <v>0</v>
      </c>
      <c r="AM148" s="18">
        <v>0</v>
      </c>
      <c r="AN148" s="18">
        <v>0</v>
      </c>
      <c r="AO148" s="18">
        <v>0</v>
      </c>
      <c r="AP148" s="18">
        <v>0</v>
      </c>
      <c r="AQ148" s="18">
        <v>0</v>
      </c>
      <c r="AR148" s="18">
        <v>0</v>
      </c>
      <c r="AS148" s="18">
        <v>0</v>
      </c>
      <c r="AT148" s="18">
        <v>0</v>
      </c>
      <c r="AU148" s="18">
        <v>0</v>
      </c>
      <c r="AV148" s="18">
        <v>0</v>
      </c>
      <c r="AW148" s="18">
        <v>0</v>
      </c>
      <c r="AX148" s="18">
        <v>0</v>
      </c>
      <c r="AY148" s="13"/>
      <c r="AZ148" s="18">
        <v>1</v>
      </c>
      <c r="BA148" s="18">
        <v>1</v>
      </c>
      <c r="BB148" s="18">
        <v>49.19</v>
      </c>
      <c r="BC148" s="18" t="s">
        <v>847</v>
      </c>
      <c r="BD148" s="18" t="s">
        <v>322</v>
      </c>
      <c r="BE148" s="18" t="s">
        <v>76</v>
      </c>
      <c r="BF148" s="18" t="s">
        <v>77</v>
      </c>
      <c r="BG148" s="18">
        <v>162</v>
      </c>
      <c r="BH148" s="18">
        <v>20</v>
      </c>
      <c r="BI148" s="18">
        <v>0.8901</v>
      </c>
      <c r="BJ148" s="18">
        <v>0</v>
      </c>
      <c r="BK148" s="18">
        <v>10</v>
      </c>
      <c r="BL148" s="18">
        <v>97.3</v>
      </c>
      <c r="BM148" s="13">
        <f t="shared" si="0"/>
        <v>286.28</v>
      </c>
    </row>
    <row r="149" customHeight="1" spans="1:65">
      <c r="A149" s="18" t="s">
        <v>2343</v>
      </c>
      <c r="B149" s="18" t="s">
        <v>125</v>
      </c>
      <c r="C149" s="13"/>
      <c r="D149" s="18">
        <v>726084614659</v>
      </c>
      <c r="E149" s="18" t="s">
        <v>163</v>
      </c>
      <c r="F149" s="18" t="s">
        <v>198</v>
      </c>
      <c r="G149" s="18" t="s">
        <v>83</v>
      </c>
      <c r="H149" s="18" t="s">
        <v>138</v>
      </c>
      <c r="I149" s="18" t="s">
        <v>85</v>
      </c>
      <c r="J149" s="18">
        <v>5</v>
      </c>
      <c r="K149" s="16">
        <v>89.86</v>
      </c>
      <c r="L149" s="10"/>
      <c r="M149" s="16">
        <v>0</v>
      </c>
      <c r="N149" s="16">
        <v>0</v>
      </c>
      <c r="O149" s="18">
        <v>0</v>
      </c>
      <c r="P149" s="18" t="s">
        <v>95</v>
      </c>
      <c r="Q149" s="18">
        <v>4.50932</v>
      </c>
      <c r="R149" s="10"/>
      <c r="S149" s="16">
        <v>1</v>
      </c>
      <c r="T149" s="16">
        <v>1</v>
      </c>
      <c r="U149" s="18" t="s">
        <v>2343</v>
      </c>
      <c r="V149" s="18" t="s">
        <v>125</v>
      </c>
      <c r="W149" s="13"/>
      <c r="X149" s="18">
        <v>726084614660</v>
      </c>
      <c r="Y149" s="18" t="s">
        <v>163</v>
      </c>
      <c r="Z149" s="18" t="s">
        <v>198</v>
      </c>
      <c r="AA149" s="18" t="s">
        <v>83</v>
      </c>
      <c r="AB149" s="18" t="s">
        <v>138</v>
      </c>
      <c r="AC149" s="18" t="s">
        <v>85</v>
      </c>
      <c r="AD149" s="18">
        <v>174.72</v>
      </c>
      <c r="AE149" s="18">
        <v>0</v>
      </c>
      <c r="AF149" s="18">
        <v>0</v>
      </c>
      <c r="AG149" s="18">
        <v>0</v>
      </c>
      <c r="AH149" s="18">
        <v>1</v>
      </c>
      <c r="AI149" s="18">
        <v>0</v>
      </c>
      <c r="AJ149" s="18">
        <v>0</v>
      </c>
      <c r="AK149" s="18">
        <v>0</v>
      </c>
      <c r="AL149" s="18">
        <v>0</v>
      </c>
      <c r="AM149" s="18">
        <v>0</v>
      </c>
      <c r="AN149" s="18">
        <v>0</v>
      </c>
      <c r="AO149" s="18">
        <v>0</v>
      </c>
      <c r="AP149" s="18">
        <v>0</v>
      </c>
      <c r="AQ149" s="18">
        <v>0</v>
      </c>
      <c r="AR149" s="18">
        <v>0</v>
      </c>
      <c r="AS149" s="18">
        <v>0</v>
      </c>
      <c r="AT149" s="18">
        <v>0</v>
      </c>
      <c r="AU149" s="18">
        <v>0</v>
      </c>
      <c r="AV149" s="18">
        <v>0</v>
      </c>
      <c r="AW149" s="18">
        <v>1</v>
      </c>
      <c r="AX149" s="18">
        <v>0</v>
      </c>
      <c r="AY149" s="13"/>
      <c r="AZ149" s="18">
        <v>3</v>
      </c>
      <c r="BA149" s="18">
        <v>1</v>
      </c>
      <c r="BB149" s="18">
        <v>49.85</v>
      </c>
      <c r="BC149" s="18" t="s">
        <v>847</v>
      </c>
      <c r="BD149" s="13"/>
      <c r="BE149" s="13"/>
      <c r="BF149" s="13"/>
      <c r="BG149" s="18">
        <v>0</v>
      </c>
      <c r="BH149" s="18">
        <v>0</v>
      </c>
      <c r="BI149" s="13"/>
      <c r="BJ149" s="18">
        <v>0</v>
      </c>
      <c r="BK149" s="18">
        <v>2</v>
      </c>
      <c r="BL149" s="18">
        <v>99.5</v>
      </c>
      <c r="BM149" s="13">
        <f t="shared" si="0"/>
        <v>89.86</v>
      </c>
    </row>
    <row r="150" customHeight="1" spans="1:65">
      <c r="A150" s="18" t="s">
        <v>852</v>
      </c>
      <c r="B150" s="18" t="s">
        <v>853</v>
      </c>
      <c r="C150" s="31">
        <v>93146854</v>
      </c>
      <c r="D150" s="18">
        <v>850001215428</v>
      </c>
      <c r="E150" s="18" t="s">
        <v>854</v>
      </c>
      <c r="F150" s="18" t="s">
        <v>82</v>
      </c>
      <c r="G150" s="18" t="s">
        <v>83</v>
      </c>
      <c r="H150" s="18" t="s">
        <v>84</v>
      </c>
      <c r="I150" s="18" t="s">
        <v>85</v>
      </c>
      <c r="J150" s="18">
        <v>5</v>
      </c>
      <c r="K150" s="16">
        <v>20.99</v>
      </c>
      <c r="L150" s="16">
        <v>49.99</v>
      </c>
      <c r="M150" s="16">
        <v>58.01</v>
      </c>
      <c r="N150" s="16">
        <v>29</v>
      </c>
      <c r="O150" s="18">
        <v>1</v>
      </c>
      <c r="P150" s="18" t="s">
        <v>133</v>
      </c>
      <c r="Q150" s="18">
        <v>3.090588</v>
      </c>
      <c r="R150" s="10"/>
      <c r="S150" s="16">
        <v>51</v>
      </c>
      <c r="T150" s="16">
        <v>10</v>
      </c>
      <c r="U150" s="18" t="s">
        <v>852</v>
      </c>
      <c r="V150" s="18" t="s">
        <v>853</v>
      </c>
      <c r="W150" s="31">
        <v>1699909284002</v>
      </c>
      <c r="X150" s="18">
        <v>2549817352576</v>
      </c>
      <c r="Y150" s="18" t="s">
        <v>854</v>
      </c>
      <c r="Z150" s="18" t="s">
        <v>82</v>
      </c>
      <c r="AA150" s="18" t="s">
        <v>83</v>
      </c>
      <c r="AB150" s="18" t="s">
        <v>84</v>
      </c>
      <c r="AC150" s="18" t="s">
        <v>85</v>
      </c>
      <c r="AD150" s="18">
        <v>28.5366666666667</v>
      </c>
      <c r="AE150" s="18">
        <v>0</v>
      </c>
      <c r="AF150" s="18">
        <v>0</v>
      </c>
      <c r="AG150" s="18">
        <v>0</v>
      </c>
      <c r="AH150" s="18">
        <v>0</v>
      </c>
      <c r="AI150" s="18">
        <v>0</v>
      </c>
      <c r="AJ150" s="18">
        <v>0</v>
      </c>
      <c r="AK150" s="18">
        <v>0</v>
      </c>
      <c r="AL150" s="18">
        <v>0</v>
      </c>
      <c r="AM150" s="18">
        <v>0</v>
      </c>
      <c r="AN150" s="18">
        <v>0</v>
      </c>
      <c r="AO150" s="18">
        <v>0</v>
      </c>
      <c r="AP150" s="18">
        <v>0</v>
      </c>
      <c r="AQ150" s="18">
        <v>0</v>
      </c>
      <c r="AR150" s="18">
        <v>0</v>
      </c>
      <c r="AS150" s="18">
        <v>0</v>
      </c>
      <c r="AT150" s="18">
        <v>0</v>
      </c>
      <c r="AU150" s="18">
        <v>0</v>
      </c>
      <c r="AV150" s="18">
        <v>0</v>
      </c>
      <c r="AW150" s="18">
        <v>0</v>
      </c>
      <c r="AX150" s="18">
        <v>0</v>
      </c>
      <c r="AY150" s="13"/>
      <c r="AZ150" s="18">
        <v>1</v>
      </c>
      <c r="BA150" s="18">
        <v>0</v>
      </c>
      <c r="BB150" s="18">
        <v>80.7</v>
      </c>
      <c r="BC150" s="18" t="s">
        <v>855</v>
      </c>
      <c r="BD150" s="18" t="s">
        <v>856</v>
      </c>
      <c r="BE150" s="18" t="s">
        <v>690</v>
      </c>
      <c r="BF150" s="18" t="s">
        <v>77</v>
      </c>
      <c r="BG150" s="18">
        <v>162</v>
      </c>
      <c r="BH150" s="18">
        <v>49</v>
      </c>
      <c r="BI150" s="18">
        <v>0.7678</v>
      </c>
      <c r="BJ150" s="18">
        <v>0</v>
      </c>
      <c r="BK150" s="18">
        <v>2</v>
      </c>
      <c r="BL150" s="18">
        <v>99.5</v>
      </c>
      <c r="BM150" s="13">
        <f t="shared" si="0"/>
        <v>1070.49</v>
      </c>
    </row>
    <row r="151" customHeight="1" spans="1:65">
      <c r="A151" s="18" t="s">
        <v>863</v>
      </c>
      <c r="B151" s="18" t="s">
        <v>115</v>
      </c>
      <c r="C151" s="13"/>
      <c r="D151" s="18">
        <v>842861101560</v>
      </c>
      <c r="E151" s="18" t="s">
        <v>864</v>
      </c>
      <c r="F151" s="18" t="s">
        <v>132</v>
      </c>
      <c r="G151" s="18" t="s">
        <v>117</v>
      </c>
      <c r="H151" s="18" t="s">
        <v>107</v>
      </c>
      <c r="I151" s="18" t="s">
        <v>85</v>
      </c>
      <c r="J151" s="18">
        <v>5</v>
      </c>
      <c r="K151" s="16">
        <v>29</v>
      </c>
      <c r="L151" s="10"/>
      <c r="M151" s="16">
        <v>0</v>
      </c>
      <c r="N151" s="16">
        <v>0</v>
      </c>
      <c r="O151" s="18">
        <v>0</v>
      </c>
      <c r="P151" s="18" t="s">
        <v>86</v>
      </c>
      <c r="Q151" s="18">
        <v>3.401197</v>
      </c>
      <c r="R151" s="10"/>
      <c r="S151" s="16">
        <v>7</v>
      </c>
      <c r="T151" s="16">
        <v>10</v>
      </c>
      <c r="U151" s="18" t="s">
        <v>863</v>
      </c>
      <c r="V151" s="18" t="s">
        <v>115</v>
      </c>
      <c r="W151" s="13"/>
      <c r="X151" s="18">
        <v>842861101561</v>
      </c>
      <c r="Y151" s="18" t="s">
        <v>864</v>
      </c>
      <c r="Z151" s="18" t="s">
        <v>132</v>
      </c>
      <c r="AA151" s="18" t="s">
        <v>117</v>
      </c>
      <c r="AB151" s="18" t="s">
        <v>107</v>
      </c>
      <c r="AC151" s="18" t="s">
        <v>85</v>
      </c>
      <c r="AD151" s="18">
        <v>53</v>
      </c>
      <c r="AE151" s="18">
        <v>0</v>
      </c>
      <c r="AF151" s="18">
        <v>0</v>
      </c>
      <c r="AG151" s="18">
        <v>0</v>
      </c>
      <c r="AH151" s="18">
        <v>0</v>
      </c>
      <c r="AI151" s="18">
        <v>0</v>
      </c>
      <c r="AJ151" s="18">
        <v>0</v>
      </c>
      <c r="AK151" s="18">
        <v>0</v>
      </c>
      <c r="AL151" s="18">
        <v>0</v>
      </c>
      <c r="AM151" s="18">
        <v>0</v>
      </c>
      <c r="AN151" s="18">
        <v>0</v>
      </c>
      <c r="AO151" s="18">
        <v>0</v>
      </c>
      <c r="AP151" s="18">
        <v>0</v>
      </c>
      <c r="AQ151" s="18">
        <v>0</v>
      </c>
      <c r="AR151" s="18">
        <v>0</v>
      </c>
      <c r="AS151" s="18">
        <v>0</v>
      </c>
      <c r="AT151" s="18">
        <v>0</v>
      </c>
      <c r="AU151" s="18">
        <v>0</v>
      </c>
      <c r="AV151" s="18">
        <v>0</v>
      </c>
      <c r="AW151" s="18">
        <v>0</v>
      </c>
      <c r="AX151" s="18">
        <v>0</v>
      </c>
      <c r="AY151" s="13"/>
      <c r="AZ151" s="18">
        <v>1</v>
      </c>
      <c r="BA151" s="18">
        <v>0</v>
      </c>
      <c r="BB151" s="18">
        <v>16.47</v>
      </c>
      <c r="BC151" s="18" t="s">
        <v>865</v>
      </c>
      <c r="BD151" s="18" t="s">
        <v>698</v>
      </c>
      <c r="BE151" s="18" t="s">
        <v>166</v>
      </c>
      <c r="BF151" s="18" t="s">
        <v>77</v>
      </c>
      <c r="BG151" s="18">
        <v>169</v>
      </c>
      <c r="BH151" s="18">
        <v>11</v>
      </c>
      <c r="BI151" s="18">
        <v>0.9389</v>
      </c>
      <c r="BJ151" s="18">
        <v>0</v>
      </c>
      <c r="BK151" s="13"/>
      <c r="BL151" s="13"/>
      <c r="BM151" s="13">
        <f t="shared" si="0"/>
        <v>203</v>
      </c>
    </row>
    <row r="152" customHeight="1" spans="1:65">
      <c r="A152" s="18" t="s">
        <v>868</v>
      </c>
      <c r="B152" s="18" t="s">
        <v>125</v>
      </c>
      <c r="C152" s="13"/>
      <c r="D152" s="13"/>
      <c r="E152" s="18" t="s">
        <v>705</v>
      </c>
      <c r="F152" s="18" t="s">
        <v>132</v>
      </c>
      <c r="G152" s="18" t="s">
        <v>83</v>
      </c>
      <c r="H152" s="18" t="s">
        <v>138</v>
      </c>
      <c r="I152" s="18" t="s">
        <v>85</v>
      </c>
      <c r="J152" s="18">
        <v>5</v>
      </c>
      <c r="K152" s="16">
        <v>7.95</v>
      </c>
      <c r="L152" s="10"/>
      <c r="M152" s="16">
        <v>0</v>
      </c>
      <c r="N152" s="16">
        <v>0</v>
      </c>
      <c r="O152" s="18">
        <v>0</v>
      </c>
      <c r="P152" s="18" t="s">
        <v>133</v>
      </c>
      <c r="Q152" s="18">
        <v>2.191654</v>
      </c>
      <c r="R152" s="10"/>
      <c r="S152" s="16">
        <v>2282</v>
      </c>
      <c r="T152" s="16">
        <v>10</v>
      </c>
      <c r="U152" s="18" t="s">
        <v>868</v>
      </c>
      <c r="V152" s="18" t="s">
        <v>125</v>
      </c>
      <c r="W152" s="13"/>
      <c r="X152" s="13"/>
      <c r="Y152" s="18" t="s">
        <v>705</v>
      </c>
      <c r="Z152" s="18" t="s">
        <v>132</v>
      </c>
      <c r="AA152" s="18" t="s">
        <v>83</v>
      </c>
      <c r="AB152" s="18" t="s">
        <v>138</v>
      </c>
      <c r="AC152" s="18" t="s">
        <v>85</v>
      </c>
      <c r="AD152" s="18">
        <v>10.9</v>
      </c>
      <c r="AE152" s="18">
        <v>0</v>
      </c>
      <c r="AF152" s="18">
        <v>0</v>
      </c>
      <c r="AG152" s="18">
        <v>0</v>
      </c>
      <c r="AH152" s="18">
        <v>0</v>
      </c>
      <c r="AI152" s="18">
        <v>0</v>
      </c>
      <c r="AJ152" s="18">
        <v>0</v>
      </c>
      <c r="AK152" s="18">
        <v>0</v>
      </c>
      <c r="AL152" s="18">
        <v>0</v>
      </c>
      <c r="AM152" s="18">
        <v>0</v>
      </c>
      <c r="AN152" s="18">
        <v>0</v>
      </c>
      <c r="AO152" s="18">
        <v>0</v>
      </c>
      <c r="AP152" s="18">
        <v>0</v>
      </c>
      <c r="AQ152" s="18">
        <v>0</v>
      </c>
      <c r="AR152" s="18">
        <v>0</v>
      </c>
      <c r="AS152" s="18">
        <v>0</v>
      </c>
      <c r="AT152" s="18">
        <v>0</v>
      </c>
      <c r="AU152" s="18">
        <v>0</v>
      </c>
      <c r="AV152" s="18">
        <v>0</v>
      </c>
      <c r="AW152" s="18">
        <v>0</v>
      </c>
      <c r="AX152" s="18">
        <v>0</v>
      </c>
      <c r="AY152" s="13"/>
      <c r="AZ152" s="18">
        <v>1</v>
      </c>
      <c r="BA152" s="18">
        <v>0</v>
      </c>
      <c r="BB152" s="18">
        <v>68.74</v>
      </c>
      <c r="BC152" s="18" t="s">
        <v>869</v>
      </c>
      <c r="BD152" s="18" t="s">
        <v>870</v>
      </c>
      <c r="BE152" s="18" t="s">
        <v>113</v>
      </c>
      <c r="BF152" s="18" t="s">
        <v>77</v>
      </c>
      <c r="BG152" s="18">
        <v>208</v>
      </c>
      <c r="BH152" s="18">
        <v>11</v>
      </c>
      <c r="BI152" s="18">
        <v>0.9498</v>
      </c>
      <c r="BJ152" s="18">
        <v>0</v>
      </c>
      <c r="BK152" s="18">
        <v>13</v>
      </c>
      <c r="BL152" s="18">
        <v>96.4</v>
      </c>
      <c r="BM152" s="13">
        <f t="shared" si="0"/>
        <v>18141.9</v>
      </c>
    </row>
    <row r="153" customHeight="1" spans="1:65">
      <c r="A153" s="18" t="s">
        <v>871</v>
      </c>
      <c r="B153" s="18" t="s">
        <v>125</v>
      </c>
      <c r="C153" s="13"/>
      <c r="D153" s="13"/>
      <c r="E153" s="18" t="s">
        <v>872</v>
      </c>
      <c r="F153" s="18" t="s">
        <v>132</v>
      </c>
      <c r="G153" s="18" t="s">
        <v>427</v>
      </c>
      <c r="H153" s="18" t="s">
        <v>138</v>
      </c>
      <c r="I153" s="18" t="s">
        <v>85</v>
      </c>
      <c r="J153" s="18">
        <v>5</v>
      </c>
      <c r="K153" s="16">
        <v>13.49</v>
      </c>
      <c r="L153" s="10"/>
      <c r="M153" s="16">
        <v>0</v>
      </c>
      <c r="N153" s="16">
        <v>0</v>
      </c>
      <c r="O153" s="18">
        <v>0</v>
      </c>
      <c r="P153" s="18" t="s">
        <v>133</v>
      </c>
      <c r="Q153" s="18">
        <v>2.673459</v>
      </c>
      <c r="R153" s="10"/>
      <c r="S153" s="16">
        <v>180</v>
      </c>
      <c r="T153" s="16">
        <v>10</v>
      </c>
      <c r="U153" s="18" t="s">
        <v>871</v>
      </c>
      <c r="V153" s="18" t="s">
        <v>125</v>
      </c>
      <c r="W153" s="13"/>
      <c r="X153" s="13"/>
      <c r="Y153" s="18" t="s">
        <v>872</v>
      </c>
      <c r="Z153" s="18" t="s">
        <v>132</v>
      </c>
      <c r="AA153" s="18" t="s">
        <v>427</v>
      </c>
      <c r="AB153" s="18" t="s">
        <v>138</v>
      </c>
      <c r="AC153" s="18" t="s">
        <v>85</v>
      </c>
      <c r="AD153" s="18">
        <v>21.98</v>
      </c>
      <c r="AE153" s="18">
        <v>0</v>
      </c>
      <c r="AF153" s="18">
        <v>0</v>
      </c>
      <c r="AG153" s="18">
        <v>0</v>
      </c>
      <c r="AH153" s="18">
        <v>0</v>
      </c>
      <c r="AI153" s="18">
        <v>0</v>
      </c>
      <c r="AJ153" s="18">
        <v>0</v>
      </c>
      <c r="AK153" s="18">
        <v>0</v>
      </c>
      <c r="AL153" s="18">
        <v>0</v>
      </c>
      <c r="AM153" s="18">
        <v>0</v>
      </c>
      <c r="AN153" s="18">
        <v>0</v>
      </c>
      <c r="AO153" s="18">
        <v>0</v>
      </c>
      <c r="AP153" s="18">
        <v>0</v>
      </c>
      <c r="AQ153" s="18">
        <v>0</v>
      </c>
      <c r="AR153" s="18">
        <v>0</v>
      </c>
      <c r="AS153" s="18">
        <v>0</v>
      </c>
      <c r="AT153" s="18">
        <v>0</v>
      </c>
      <c r="AU153" s="18">
        <v>0</v>
      </c>
      <c r="AV153" s="18">
        <v>0</v>
      </c>
      <c r="AW153" s="18">
        <v>0</v>
      </c>
      <c r="AX153" s="18">
        <v>0</v>
      </c>
      <c r="AY153" s="13"/>
      <c r="AZ153" s="18">
        <v>1</v>
      </c>
      <c r="BA153" s="18">
        <v>0</v>
      </c>
      <c r="BB153" s="18">
        <v>61.15</v>
      </c>
      <c r="BC153" s="18" t="s">
        <v>873</v>
      </c>
      <c r="BD153" s="18" t="s">
        <v>322</v>
      </c>
      <c r="BE153" s="18" t="s">
        <v>76</v>
      </c>
      <c r="BF153" s="18" t="s">
        <v>77</v>
      </c>
      <c r="BG153" s="18">
        <v>170</v>
      </c>
      <c r="BH153" s="18">
        <v>11</v>
      </c>
      <c r="BI153" s="18">
        <v>0.9392</v>
      </c>
      <c r="BJ153" s="18">
        <v>0</v>
      </c>
      <c r="BK153" s="18">
        <v>82</v>
      </c>
      <c r="BL153" s="18">
        <v>77.5</v>
      </c>
      <c r="BM153" s="13">
        <f t="shared" si="0"/>
        <v>2428.2</v>
      </c>
    </row>
    <row r="154" customHeight="1" spans="1:65">
      <c r="A154" s="18" t="s">
        <v>877</v>
      </c>
      <c r="B154" s="18" t="s">
        <v>878</v>
      </c>
      <c r="C154" s="18" t="s">
        <v>879</v>
      </c>
      <c r="D154" s="13"/>
      <c r="E154" s="18" t="s">
        <v>880</v>
      </c>
      <c r="F154" s="18" t="s">
        <v>198</v>
      </c>
      <c r="G154" s="18" t="s">
        <v>117</v>
      </c>
      <c r="H154" s="18" t="s">
        <v>84</v>
      </c>
      <c r="I154" s="18" t="s">
        <v>203</v>
      </c>
      <c r="J154" s="18">
        <v>4</v>
      </c>
      <c r="K154" s="16">
        <v>35</v>
      </c>
      <c r="L154" s="10"/>
      <c r="M154" s="16">
        <v>0</v>
      </c>
      <c r="N154" s="16">
        <v>0</v>
      </c>
      <c r="O154" s="18">
        <v>0</v>
      </c>
      <c r="P154" s="18" t="s">
        <v>86</v>
      </c>
      <c r="Q154" s="18">
        <v>3.583519</v>
      </c>
      <c r="R154" s="10"/>
      <c r="S154" s="16">
        <v>116</v>
      </c>
      <c r="T154" s="16">
        <v>10</v>
      </c>
      <c r="U154" s="18" t="s">
        <v>2566</v>
      </c>
      <c r="V154" s="18" t="s">
        <v>878</v>
      </c>
      <c r="W154" s="18" t="s">
        <v>2567</v>
      </c>
      <c r="X154" s="13"/>
      <c r="Y154" s="18" t="s">
        <v>880</v>
      </c>
      <c r="Z154" s="18" t="s">
        <v>198</v>
      </c>
      <c r="AA154" s="18" t="s">
        <v>117</v>
      </c>
      <c r="AB154" s="18" t="s">
        <v>84</v>
      </c>
      <c r="AC154" s="18" t="s">
        <v>203</v>
      </c>
      <c r="AD154" s="18">
        <v>66</v>
      </c>
      <c r="AE154" s="18">
        <v>0</v>
      </c>
      <c r="AF154" s="18">
        <v>0</v>
      </c>
      <c r="AG154" s="18">
        <v>0</v>
      </c>
      <c r="AH154" s="18">
        <v>0</v>
      </c>
      <c r="AI154" s="18">
        <v>0</v>
      </c>
      <c r="AJ154" s="18">
        <v>0</v>
      </c>
      <c r="AK154" s="18">
        <v>0</v>
      </c>
      <c r="AL154" s="18">
        <v>0</v>
      </c>
      <c r="AM154" s="18">
        <v>0</v>
      </c>
      <c r="AN154" s="18">
        <v>0</v>
      </c>
      <c r="AO154" s="18">
        <v>0</v>
      </c>
      <c r="AP154" s="18">
        <v>0</v>
      </c>
      <c r="AQ154" s="18">
        <v>0</v>
      </c>
      <c r="AR154" s="18">
        <v>0</v>
      </c>
      <c r="AS154" s="18">
        <v>0</v>
      </c>
      <c r="AT154" s="18">
        <v>0</v>
      </c>
      <c r="AU154" s="18">
        <v>0</v>
      </c>
      <c r="AV154" s="18">
        <v>0</v>
      </c>
      <c r="AW154" s="18">
        <v>1</v>
      </c>
      <c r="AX154" s="18">
        <v>0</v>
      </c>
      <c r="AY154" s="13"/>
      <c r="AZ154" s="18">
        <v>2</v>
      </c>
      <c r="BA154" s="18">
        <v>0</v>
      </c>
      <c r="BB154" s="18">
        <v>65.26</v>
      </c>
      <c r="BC154" s="18" t="s">
        <v>881</v>
      </c>
      <c r="BD154" s="18" t="s">
        <v>882</v>
      </c>
      <c r="BE154" s="18" t="s">
        <v>91</v>
      </c>
      <c r="BF154" s="18" t="s">
        <v>77</v>
      </c>
      <c r="BG154" s="18">
        <v>168</v>
      </c>
      <c r="BH154" s="18">
        <v>17</v>
      </c>
      <c r="BI154" s="18">
        <v>0.9081</v>
      </c>
      <c r="BJ154" s="18">
        <v>0</v>
      </c>
      <c r="BK154" s="18">
        <v>19</v>
      </c>
      <c r="BL154" s="18">
        <v>94.8</v>
      </c>
      <c r="BM154" s="13">
        <f t="shared" si="0"/>
        <v>4060</v>
      </c>
    </row>
    <row r="155" customHeight="1" spans="1:65">
      <c r="A155" s="18" t="s">
        <v>883</v>
      </c>
      <c r="B155" s="18" t="s">
        <v>884</v>
      </c>
      <c r="C155" s="18" t="s">
        <v>885</v>
      </c>
      <c r="D155" s="18">
        <v>12381230310</v>
      </c>
      <c r="E155" s="18" t="s">
        <v>81</v>
      </c>
      <c r="F155" s="18" t="s">
        <v>82</v>
      </c>
      <c r="G155" s="18" t="s">
        <v>83</v>
      </c>
      <c r="H155" s="18" t="s">
        <v>84</v>
      </c>
      <c r="I155" s="18" t="s">
        <v>85</v>
      </c>
      <c r="J155" s="18">
        <v>5</v>
      </c>
      <c r="K155" s="16">
        <v>49.5</v>
      </c>
      <c r="L155" s="10"/>
      <c r="M155" s="16">
        <v>0</v>
      </c>
      <c r="N155" s="16">
        <v>0</v>
      </c>
      <c r="O155" s="18">
        <v>0</v>
      </c>
      <c r="P155" s="18" t="s">
        <v>86</v>
      </c>
      <c r="Q155" s="18">
        <v>3.921973</v>
      </c>
      <c r="R155" s="10"/>
      <c r="S155" s="16">
        <v>9</v>
      </c>
      <c r="T155" s="16">
        <v>1</v>
      </c>
      <c r="U155" s="18" t="s">
        <v>883</v>
      </c>
      <c r="V155" s="18" t="s">
        <v>884</v>
      </c>
      <c r="W155" s="18" t="s">
        <v>885</v>
      </c>
      <c r="X155" s="18">
        <v>12381230311</v>
      </c>
      <c r="Y155" s="18" t="s">
        <v>81</v>
      </c>
      <c r="Z155" s="18" t="s">
        <v>82</v>
      </c>
      <c r="AA155" s="18" t="s">
        <v>83</v>
      </c>
      <c r="AB155" s="18" t="s">
        <v>84</v>
      </c>
      <c r="AC155" s="18" t="s">
        <v>85</v>
      </c>
      <c r="AD155" s="18">
        <v>94</v>
      </c>
      <c r="AE155" s="18">
        <v>0</v>
      </c>
      <c r="AF155" s="18">
        <v>1</v>
      </c>
      <c r="AG155" s="18">
        <v>0</v>
      </c>
      <c r="AH155" s="18">
        <v>0</v>
      </c>
      <c r="AI155" s="18">
        <v>0</v>
      </c>
      <c r="AJ155" s="18">
        <v>0</v>
      </c>
      <c r="AK155" s="18">
        <v>0</v>
      </c>
      <c r="AL155" s="18">
        <v>0</v>
      </c>
      <c r="AM155" s="18">
        <v>0</v>
      </c>
      <c r="AN155" s="18">
        <v>0</v>
      </c>
      <c r="AO155" s="18">
        <v>0</v>
      </c>
      <c r="AP155" s="18">
        <v>1</v>
      </c>
      <c r="AQ155" s="18">
        <v>0</v>
      </c>
      <c r="AR155" s="18">
        <v>0</v>
      </c>
      <c r="AS155" s="18">
        <v>0</v>
      </c>
      <c r="AT155" s="18">
        <v>1</v>
      </c>
      <c r="AU155" s="18">
        <v>0</v>
      </c>
      <c r="AV155" s="18">
        <v>0</v>
      </c>
      <c r="AW155" s="18">
        <v>0</v>
      </c>
      <c r="AX155" s="18">
        <v>0</v>
      </c>
      <c r="AY155" s="13"/>
      <c r="AZ155" s="18">
        <v>1</v>
      </c>
      <c r="BA155" s="18">
        <v>2</v>
      </c>
      <c r="BB155" s="18">
        <v>65.19</v>
      </c>
      <c r="BC155" s="18" t="s">
        <v>886</v>
      </c>
      <c r="BD155" s="18" t="s">
        <v>887</v>
      </c>
      <c r="BE155" s="18" t="s">
        <v>673</v>
      </c>
      <c r="BF155" s="18" t="s">
        <v>77</v>
      </c>
      <c r="BG155" s="18">
        <v>168</v>
      </c>
      <c r="BH155" s="18">
        <v>11</v>
      </c>
      <c r="BI155" s="18">
        <v>0.9385</v>
      </c>
      <c r="BJ155" s="18">
        <v>0</v>
      </c>
      <c r="BK155" s="18">
        <v>10</v>
      </c>
      <c r="BL155" s="18">
        <v>97.3</v>
      </c>
      <c r="BM155" s="13">
        <f t="shared" si="0"/>
        <v>445.5</v>
      </c>
    </row>
    <row r="156" customHeight="1" spans="1:65">
      <c r="A156" s="18" t="s">
        <v>888</v>
      </c>
      <c r="B156" s="18" t="s">
        <v>144</v>
      </c>
      <c r="C156" s="13"/>
      <c r="D156" s="13"/>
      <c r="E156" s="19" t="s">
        <v>889</v>
      </c>
      <c r="F156" s="18" t="s">
        <v>132</v>
      </c>
      <c r="G156" s="18" t="s">
        <v>65</v>
      </c>
      <c r="H156" s="18" t="s">
        <v>84</v>
      </c>
      <c r="I156" s="18" t="s">
        <v>85</v>
      </c>
      <c r="J156" s="18">
        <v>5</v>
      </c>
      <c r="K156" s="16">
        <v>11.99</v>
      </c>
      <c r="L156" s="10"/>
      <c r="M156" s="16">
        <v>0</v>
      </c>
      <c r="N156" s="16">
        <v>0</v>
      </c>
      <c r="O156" s="18">
        <v>0</v>
      </c>
      <c r="P156" s="18" t="s">
        <v>133</v>
      </c>
      <c r="Q156" s="18">
        <v>2.56418</v>
      </c>
      <c r="R156" s="10"/>
      <c r="S156" s="16">
        <v>4106</v>
      </c>
      <c r="T156" s="16">
        <v>10</v>
      </c>
      <c r="U156" s="18" t="s">
        <v>888</v>
      </c>
      <c r="V156" s="18" t="s">
        <v>144</v>
      </c>
      <c r="W156" s="13"/>
      <c r="X156" s="13"/>
      <c r="Y156" s="19" t="s">
        <v>889</v>
      </c>
      <c r="Z156" s="18" t="s">
        <v>132</v>
      </c>
      <c r="AA156" s="18" t="s">
        <v>65</v>
      </c>
      <c r="AB156" s="18" t="s">
        <v>84</v>
      </c>
      <c r="AC156" s="18" t="s">
        <v>85</v>
      </c>
      <c r="AD156" s="18">
        <v>18.98</v>
      </c>
      <c r="AE156" s="18">
        <v>0</v>
      </c>
      <c r="AF156" s="18">
        <v>0</v>
      </c>
      <c r="AG156" s="18">
        <v>0</v>
      </c>
      <c r="AH156" s="18">
        <v>0</v>
      </c>
      <c r="AI156" s="18">
        <v>0</v>
      </c>
      <c r="AJ156" s="18">
        <v>0</v>
      </c>
      <c r="AK156" s="18">
        <v>0</v>
      </c>
      <c r="AL156" s="18">
        <v>0</v>
      </c>
      <c r="AM156" s="18">
        <v>0</v>
      </c>
      <c r="AN156" s="18">
        <v>0</v>
      </c>
      <c r="AO156" s="18">
        <v>0</v>
      </c>
      <c r="AP156" s="18">
        <v>0</v>
      </c>
      <c r="AQ156" s="18">
        <v>1</v>
      </c>
      <c r="AR156" s="18">
        <v>0</v>
      </c>
      <c r="AS156" s="18">
        <v>0</v>
      </c>
      <c r="AT156" s="18">
        <v>0</v>
      </c>
      <c r="AU156" s="18">
        <v>0</v>
      </c>
      <c r="AV156" s="18">
        <v>1</v>
      </c>
      <c r="AW156" s="18">
        <v>0</v>
      </c>
      <c r="AX156" s="18">
        <v>0</v>
      </c>
      <c r="AY156" s="13"/>
      <c r="AZ156" s="18">
        <v>1</v>
      </c>
      <c r="BA156" s="18">
        <v>1</v>
      </c>
      <c r="BB156" s="18">
        <v>69.75</v>
      </c>
      <c r="BC156" s="18" t="s">
        <v>890</v>
      </c>
      <c r="BD156" s="18" t="s">
        <v>112</v>
      </c>
      <c r="BE156" s="18" t="s">
        <v>128</v>
      </c>
      <c r="BF156" s="18" t="s">
        <v>77</v>
      </c>
      <c r="BG156" s="18">
        <v>1</v>
      </c>
      <c r="BH156" s="18">
        <v>57</v>
      </c>
      <c r="BI156" s="18">
        <v>0.0172</v>
      </c>
      <c r="BJ156" s="18">
        <v>1</v>
      </c>
      <c r="BK156" s="18">
        <v>2</v>
      </c>
      <c r="BL156" s="18">
        <v>99.5</v>
      </c>
      <c r="BM156" s="13">
        <f t="shared" si="0"/>
        <v>49230.94</v>
      </c>
    </row>
    <row r="157" customHeight="1" spans="1:65">
      <c r="A157" s="18" t="s">
        <v>2385</v>
      </c>
      <c r="B157" s="18" t="s">
        <v>125</v>
      </c>
      <c r="C157" s="18" t="s">
        <v>2386</v>
      </c>
      <c r="D157" s="18">
        <v>313113793708</v>
      </c>
      <c r="E157" s="18" t="s">
        <v>163</v>
      </c>
      <c r="F157" s="19" t="s">
        <v>276</v>
      </c>
      <c r="G157" s="18" t="s">
        <v>901</v>
      </c>
      <c r="H157" s="18" t="s">
        <v>138</v>
      </c>
      <c r="I157" s="18" t="s">
        <v>85</v>
      </c>
      <c r="J157" s="18">
        <v>5</v>
      </c>
      <c r="K157" s="16">
        <v>14.17</v>
      </c>
      <c r="L157" s="10"/>
      <c r="M157" s="16">
        <v>0</v>
      </c>
      <c r="N157" s="16">
        <v>0</v>
      </c>
      <c r="O157" s="18">
        <v>0</v>
      </c>
      <c r="P157" s="18" t="s">
        <v>133</v>
      </c>
      <c r="Q157" s="18">
        <v>2.71932</v>
      </c>
      <c r="R157" s="10"/>
      <c r="S157" s="16">
        <v>1</v>
      </c>
      <c r="T157" s="16">
        <v>5</v>
      </c>
      <c r="U157" s="18" t="s">
        <v>2385</v>
      </c>
      <c r="V157" s="18" t="s">
        <v>125</v>
      </c>
      <c r="W157" s="18" t="s">
        <v>2568</v>
      </c>
      <c r="X157" s="18">
        <v>313113793709</v>
      </c>
      <c r="Y157" s="18" t="s">
        <v>163</v>
      </c>
      <c r="Z157" s="18" t="s">
        <v>276</v>
      </c>
      <c r="AA157" s="18" t="s">
        <v>901</v>
      </c>
      <c r="AB157" s="18" t="s">
        <v>138</v>
      </c>
      <c r="AC157" s="18" t="s">
        <v>85</v>
      </c>
      <c r="AD157" s="18">
        <v>23.34</v>
      </c>
      <c r="AE157" s="18">
        <v>0</v>
      </c>
      <c r="AF157" s="18">
        <v>0</v>
      </c>
      <c r="AG157" s="18">
        <v>0</v>
      </c>
      <c r="AH157" s="18">
        <v>0</v>
      </c>
      <c r="AI157" s="18">
        <v>0</v>
      </c>
      <c r="AJ157" s="18">
        <v>0</v>
      </c>
      <c r="AK157" s="18">
        <v>0</v>
      </c>
      <c r="AL157" s="18">
        <v>0</v>
      </c>
      <c r="AM157" s="18">
        <v>0</v>
      </c>
      <c r="AN157" s="18">
        <v>0</v>
      </c>
      <c r="AO157" s="18">
        <v>0</v>
      </c>
      <c r="AP157" s="18">
        <v>0</v>
      </c>
      <c r="AQ157" s="18">
        <v>0</v>
      </c>
      <c r="AR157" s="18">
        <v>0</v>
      </c>
      <c r="AS157" s="18">
        <v>0</v>
      </c>
      <c r="AT157" s="18">
        <v>1</v>
      </c>
      <c r="AU157" s="18">
        <v>0</v>
      </c>
      <c r="AV157" s="18">
        <v>0</v>
      </c>
      <c r="AW157" s="18">
        <v>1</v>
      </c>
      <c r="AX157" s="18">
        <v>0</v>
      </c>
      <c r="AY157" s="13"/>
      <c r="AZ157" s="18">
        <v>2</v>
      </c>
      <c r="BA157" s="18">
        <v>0</v>
      </c>
      <c r="BB157" s="18">
        <v>36.34</v>
      </c>
      <c r="BC157" s="18" t="s">
        <v>892</v>
      </c>
      <c r="BD157" s="18" t="s">
        <v>698</v>
      </c>
      <c r="BE157" s="18" t="s">
        <v>627</v>
      </c>
      <c r="BF157" s="18" t="s">
        <v>77</v>
      </c>
      <c r="BG157" s="18">
        <v>1</v>
      </c>
      <c r="BH157" s="18">
        <v>15</v>
      </c>
      <c r="BI157" s="18">
        <v>0.0625</v>
      </c>
      <c r="BJ157" s="18">
        <v>1</v>
      </c>
      <c r="BK157" s="18">
        <v>4</v>
      </c>
      <c r="BL157" s="18">
        <v>98.9</v>
      </c>
      <c r="BM157" s="13">
        <f t="shared" si="0"/>
        <v>14.17</v>
      </c>
    </row>
    <row r="158" customHeight="1" spans="1:65">
      <c r="A158" s="18" t="s">
        <v>891</v>
      </c>
      <c r="B158" s="18" t="s">
        <v>125</v>
      </c>
      <c r="C158" s="13"/>
      <c r="D158" s="18">
        <v>711181021455</v>
      </c>
      <c r="E158" s="18" t="s">
        <v>163</v>
      </c>
      <c r="F158" s="18" t="s">
        <v>198</v>
      </c>
      <c r="G158" s="18" t="s">
        <v>83</v>
      </c>
      <c r="H158" s="18" t="s">
        <v>138</v>
      </c>
      <c r="I158" s="18" t="s">
        <v>85</v>
      </c>
      <c r="J158" s="18">
        <v>5</v>
      </c>
      <c r="K158" s="16">
        <v>9.79</v>
      </c>
      <c r="L158" s="10"/>
      <c r="M158" s="16">
        <v>0</v>
      </c>
      <c r="N158" s="16">
        <v>0</v>
      </c>
      <c r="O158" s="18">
        <v>0</v>
      </c>
      <c r="P158" s="18" t="s">
        <v>133</v>
      </c>
      <c r="Q158" s="18">
        <v>2.37862</v>
      </c>
      <c r="R158" s="10"/>
      <c r="S158" s="16">
        <v>58</v>
      </c>
      <c r="T158" s="16">
        <v>5</v>
      </c>
      <c r="U158" s="18" t="s">
        <v>891</v>
      </c>
      <c r="V158" s="18" t="s">
        <v>125</v>
      </c>
      <c r="W158" s="13"/>
      <c r="X158" s="18">
        <v>711181021456</v>
      </c>
      <c r="Y158" s="18" t="s">
        <v>163</v>
      </c>
      <c r="Z158" s="18" t="s">
        <v>198</v>
      </c>
      <c r="AA158" s="18" t="s">
        <v>83</v>
      </c>
      <c r="AB158" s="18" t="s">
        <v>138</v>
      </c>
      <c r="AC158" s="18" t="s">
        <v>85</v>
      </c>
      <c r="AD158" s="18">
        <v>14.58</v>
      </c>
      <c r="AE158" s="18">
        <v>0</v>
      </c>
      <c r="AF158" s="18">
        <v>0</v>
      </c>
      <c r="AG158" s="18">
        <v>1</v>
      </c>
      <c r="AH158" s="18">
        <v>0</v>
      </c>
      <c r="AI158" s="18">
        <v>0</v>
      </c>
      <c r="AJ158" s="18">
        <v>0</v>
      </c>
      <c r="AK158" s="18">
        <v>0</v>
      </c>
      <c r="AL158" s="18">
        <v>0</v>
      </c>
      <c r="AM158" s="18">
        <v>0</v>
      </c>
      <c r="AN158" s="18">
        <v>0</v>
      </c>
      <c r="AO158" s="18">
        <v>0</v>
      </c>
      <c r="AP158" s="18">
        <v>0</v>
      </c>
      <c r="AQ158" s="18">
        <v>0</v>
      </c>
      <c r="AR158" s="18">
        <v>0</v>
      </c>
      <c r="AS158" s="18">
        <v>0</v>
      </c>
      <c r="AT158" s="18">
        <v>0</v>
      </c>
      <c r="AU158" s="18">
        <v>0</v>
      </c>
      <c r="AV158" s="18">
        <v>0</v>
      </c>
      <c r="AW158" s="18">
        <v>1</v>
      </c>
      <c r="AX158" s="18">
        <v>0</v>
      </c>
      <c r="AY158" s="13"/>
      <c r="AZ158" s="18">
        <v>5</v>
      </c>
      <c r="BA158" s="18">
        <v>0</v>
      </c>
      <c r="BB158" s="18">
        <v>66.49</v>
      </c>
      <c r="BC158" s="18" t="s">
        <v>892</v>
      </c>
      <c r="BD158" s="18" t="s">
        <v>698</v>
      </c>
      <c r="BE158" s="18" t="s">
        <v>627</v>
      </c>
      <c r="BF158" s="18" t="s">
        <v>77</v>
      </c>
      <c r="BG158" s="18">
        <v>1</v>
      </c>
      <c r="BH158" s="18">
        <v>15</v>
      </c>
      <c r="BI158" s="18">
        <v>0.0625</v>
      </c>
      <c r="BJ158" s="18">
        <v>1</v>
      </c>
      <c r="BK158" s="18">
        <v>4</v>
      </c>
      <c r="BL158" s="18">
        <v>98.9</v>
      </c>
      <c r="BM158" s="13">
        <f t="shared" si="0"/>
        <v>567.82</v>
      </c>
    </row>
    <row r="159" customHeight="1" spans="1:65">
      <c r="A159" s="18" t="s">
        <v>893</v>
      </c>
      <c r="B159" s="18" t="s">
        <v>125</v>
      </c>
      <c r="C159" s="18" t="s">
        <v>177</v>
      </c>
      <c r="D159" s="13"/>
      <c r="E159" s="18" t="s">
        <v>894</v>
      </c>
      <c r="F159" s="18" t="s">
        <v>82</v>
      </c>
      <c r="G159" s="18" t="s">
        <v>117</v>
      </c>
      <c r="H159" s="18" t="s">
        <v>138</v>
      </c>
      <c r="I159" s="18" t="s">
        <v>85</v>
      </c>
      <c r="J159" s="18">
        <v>5</v>
      </c>
      <c r="K159" s="16">
        <v>99.99</v>
      </c>
      <c r="L159" s="10"/>
      <c r="M159" s="16">
        <v>0</v>
      </c>
      <c r="N159" s="16">
        <v>0</v>
      </c>
      <c r="O159" s="18">
        <v>0</v>
      </c>
      <c r="P159" s="18" t="s">
        <v>95</v>
      </c>
      <c r="Q159" s="18">
        <v>4.615022</v>
      </c>
      <c r="R159" s="10"/>
      <c r="S159" s="16">
        <v>1</v>
      </c>
      <c r="T159" s="16">
        <v>10</v>
      </c>
      <c r="U159" s="18" t="s">
        <v>893</v>
      </c>
      <c r="V159" s="18" t="s">
        <v>125</v>
      </c>
      <c r="W159" s="18" t="s">
        <v>2569</v>
      </c>
      <c r="X159" s="13"/>
      <c r="Y159" s="18" t="s">
        <v>894</v>
      </c>
      <c r="Z159" s="18" t="s">
        <v>82</v>
      </c>
      <c r="AA159" s="18" t="s">
        <v>117</v>
      </c>
      <c r="AB159" s="18" t="s">
        <v>138</v>
      </c>
      <c r="AC159" s="18" t="s">
        <v>85</v>
      </c>
      <c r="AD159" s="18">
        <v>194.98</v>
      </c>
      <c r="AE159" s="18">
        <v>1</v>
      </c>
      <c r="AF159" s="18">
        <v>1</v>
      </c>
      <c r="AG159" s="18">
        <v>0</v>
      </c>
      <c r="AH159" s="18">
        <v>0</v>
      </c>
      <c r="AI159" s="18">
        <v>0</v>
      </c>
      <c r="AJ159" s="18">
        <v>0</v>
      </c>
      <c r="AK159" s="18">
        <v>0</v>
      </c>
      <c r="AL159" s="18">
        <v>0</v>
      </c>
      <c r="AM159" s="18">
        <v>0</v>
      </c>
      <c r="AN159" s="18">
        <v>0</v>
      </c>
      <c r="AO159" s="18">
        <v>0</v>
      </c>
      <c r="AP159" s="18">
        <v>0</v>
      </c>
      <c r="AQ159" s="18">
        <v>0</v>
      </c>
      <c r="AR159" s="18">
        <v>0</v>
      </c>
      <c r="AS159" s="18">
        <v>1</v>
      </c>
      <c r="AT159" s="18">
        <v>0</v>
      </c>
      <c r="AU159" s="18">
        <v>0</v>
      </c>
      <c r="AV159" s="18">
        <v>0</v>
      </c>
      <c r="AW159" s="18">
        <v>1</v>
      </c>
      <c r="AX159" s="18">
        <v>0</v>
      </c>
      <c r="AY159" s="13"/>
      <c r="AZ159" s="18">
        <v>4</v>
      </c>
      <c r="BA159" s="18">
        <v>1</v>
      </c>
      <c r="BB159" s="18">
        <v>33.4</v>
      </c>
      <c r="BC159" s="18" t="s">
        <v>895</v>
      </c>
      <c r="BD159" s="18" t="s">
        <v>112</v>
      </c>
      <c r="BE159" s="18" t="s">
        <v>128</v>
      </c>
      <c r="BF159" s="18" t="s">
        <v>77</v>
      </c>
      <c r="BG159" s="18">
        <v>2</v>
      </c>
      <c r="BH159" s="18">
        <v>13</v>
      </c>
      <c r="BI159" s="18">
        <v>0.1333</v>
      </c>
      <c r="BJ159" s="18">
        <v>0</v>
      </c>
      <c r="BK159" s="18">
        <v>3</v>
      </c>
      <c r="BL159" s="18">
        <v>99.2</v>
      </c>
      <c r="BM159" s="13">
        <f t="shared" si="0"/>
        <v>99.99</v>
      </c>
    </row>
    <row r="160" customHeight="1" spans="1:65">
      <c r="A160" s="18" t="s">
        <v>1450</v>
      </c>
      <c r="B160" s="18" t="s">
        <v>125</v>
      </c>
      <c r="C160" s="19" t="s">
        <v>1451</v>
      </c>
      <c r="D160" s="13"/>
      <c r="E160" s="18" t="s">
        <v>656</v>
      </c>
      <c r="F160" s="18" t="s">
        <v>132</v>
      </c>
      <c r="G160" s="18" t="s">
        <v>427</v>
      </c>
      <c r="H160" s="18" t="s">
        <v>138</v>
      </c>
      <c r="I160" s="18" t="s">
        <v>85</v>
      </c>
      <c r="J160" s="18">
        <v>5</v>
      </c>
      <c r="K160" s="16">
        <v>38.99</v>
      </c>
      <c r="L160" s="10"/>
      <c r="M160" s="16">
        <v>0</v>
      </c>
      <c r="N160" s="16">
        <v>0</v>
      </c>
      <c r="O160" s="18">
        <v>0</v>
      </c>
      <c r="P160" s="18" t="s">
        <v>86</v>
      </c>
      <c r="Q160" s="18">
        <v>3.688629</v>
      </c>
      <c r="R160" s="10"/>
      <c r="S160" s="16">
        <v>19</v>
      </c>
      <c r="T160" s="16">
        <v>10</v>
      </c>
      <c r="U160" s="18" t="s">
        <v>1450</v>
      </c>
      <c r="V160" s="18" t="s">
        <v>125</v>
      </c>
      <c r="W160" s="19" t="s">
        <v>2570</v>
      </c>
      <c r="X160" s="13"/>
      <c r="Y160" s="18" t="s">
        <v>656</v>
      </c>
      <c r="Z160" s="18" t="s">
        <v>132</v>
      </c>
      <c r="AA160" s="18" t="s">
        <v>427</v>
      </c>
      <c r="AB160" s="18" t="s">
        <v>138</v>
      </c>
      <c r="AC160" s="18" t="s">
        <v>85</v>
      </c>
      <c r="AD160" s="18">
        <v>72.98</v>
      </c>
      <c r="AE160" s="18">
        <v>0</v>
      </c>
      <c r="AF160" s="18">
        <v>1</v>
      </c>
      <c r="AG160" s="18">
        <v>0</v>
      </c>
      <c r="AH160" s="18">
        <v>0</v>
      </c>
      <c r="AI160" s="18">
        <v>0</v>
      </c>
      <c r="AJ160" s="18">
        <v>0</v>
      </c>
      <c r="AK160" s="18">
        <v>0</v>
      </c>
      <c r="AL160" s="18">
        <v>0</v>
      </c>
      <c r="AM160" s="18">
        <v>0</v>
      </c>
      <c r="AN160" s="18">
        <v>0</v>
      </c>
      <c r="AO160" s="18">
        <v>0</v>
      </c>
      <c r="AP160" s="18">
        <v>0</v>
      </c>
      <c r="AQ160" s="18">
        <v>0</v>
      </c>
      <c r="AR160" s="18">
        <v>0</v>
      </c>
      <c r="AS160" s="18">
        <v>0</v>
      </c>
      <c r="AT160" s="18">
        <v>0</v>
      </c>
      <c r="AU160" s="18">
        <v>0</v>
      </c>
      <c r="AV160" s="18">
        <v>0</v>
      </c>
      <c r="AW160" s="18">
        <v>0</v>
      </c>
      <c r="AX160" s="18">
        <v>0</v>
      </c>
      <c r="AY160" s="13"/>
      <c r="AZ160" s="18">
        <v>1</v>
      </c>
      <c r="BA160" s="18">
        <v>0</v>
      </c>
      <c r="BB160" s="18">
        <v>51.68</v>
      </c>
      <c r="BC160" s="18" t="s">
        <v>179</v>
      </c>
      <c r="BD160" s="18" t="s">
        <v>180</v>
      </c>
      <c r="BE160" s="18" t="s">
        <v>128</v>
      </c>
      <c r="BF160" s="18" t="s">
        <v>77</v>
      </c>
      <c r="BG160" s="18">
        <v>1</v>
      </c>
      <c r="BH160" s="18">
        <v>65</v>
      </c>
      <c r="BI160" s="18">
        <v>0.0152</v>
      </c>
      <c r="BJ160" s="18">
        <v>1</v>
      </c>
      <c r="BK160" s="18">
        <v>55</v>
      </c>
      <c r="BL160" s="18">
        <v>84.9</v>
      </c>
      <c r="BM160" s="13">
        <f t="shared" si="0"/>
        <v>740.81</v>
      </c>
    </row>
    <row r="161" customHeight="1" spans="1:65">
      <c r="A161" s="18" t="s">
        <v>176</v>
      </c>
      <c r="B161" s="18" t="s">
        <v>125</v>
      </c>
      <c r="C161" s="18" t="s">
        <v>177</v>
      </c>
      <c r="D161" s="13"/>
      <c r="E161" s="18" t="s">
        <v>178</v>
      </c>
      <c r="F161" s="18" t="s">
        <v>82</v>
      </c>
      <c r="G161" s="18" t="s">
        <v>117</v>
      </c>
      <c r="H161" s="18" t="s">
        <v>138</v>
      </c>
      <c r="I161" s="18" t="s">
        <v>85</v>
      </c>
      <c r="J161" s="18">
        <v>5</v>
      </c>
      <c r="K161" s="16">
        <v>32.95</v>
      </c>
      <c r="L161" s="10"/>
      <c r="M161" s="16">
        <v>0</v>
      </c>
      <c r="N161" s="16">
        <v>0</v>
      </c>
      <c r="O161" s="18">
        <v>0</v>
      </c>
      <c r="P161" s="18" t="s">
        <v>86</v>
      </c>
      <c r="Q161" s="18">
        <v>3.524889</v>
      </c>
      <c r="R161" s="10"/>
      <c r="S161" s="16">
        <v>87</v>
      </c>
      <c r="T161" s="16">
        <v>10</v>
      </c>
      <c r="U161" s="18" t="s">
        <v>2571</v>
      </c>
      <c r="V161" s="18" t="s">
        <v>125</v>
      </c>
      <c r="W161" s="18" t="s">
        <v>2569</v>
      </c>
      <c r="X161" s="13"/>
      <c r="Y161" s="18" t="s">
        <v>178</v>
      </c>
      <c r="Z161" s="18" t="s">
        <v>82</v>
      </c>
      <c r="AA161" s="18" t="s">
        <v>117</v>
      </c>
      <c r="AB161" s="18" t="s">
        <v>138</v>
      </c>
      <c r="AC161" s="18" t="s">
        <v>85</v>
      </c>
      <c r="AD161" s="18">
        <v>60.9</v>
      </c>
      <c r="AE161" s="18">
        <v>0</v>
      </c>
      <c r="AF161" s="18">
        <v>1</v>
      </c>
      <c r="AG161" s="18">
        <v>0</v>
      </c>
      <c r="AH161" s="18">
        <v>0</v>
      </c>
      <c r="AI161" s="18">
        <v>0</v>
      </c>
      <c r="AJ161" s="18">
        <v>0</v>
      </c>
      <c r="AK161" s="18">
        <v>0</v>
      </c>
      <c r="AL161" s="18">
        <v>0</v>
      </c>
      <c r="AM161" s="18">
        <v>0</v>
      </c>
      <c r="AN161" s="18">
        <v>0</v>
      </c>
      <c r="AO161" s="18">
        <v>0</v>
      </c>
      <c r="AP161" s="18">
        <v>1</v>
      </c>
      <c r="AQ161" s="18">
        <v>0</v>
      </c>
      <c r="AR161" s="18">
        <v>0</v>
      </c>
      <c r="AS161" s="18">
        <v>1</v>
      </c>
      <c r="AT161" s="18">
        <v>0</v>
      </c>
      <c r="AU161" s="18">
        <v>0</v>
      </c>
      <c r="AV161" s="18">
        <v>0</v>
      </c>
      <c r="AW161" s="18">
        <v>1</v>
      </c>
      <c r="AX161" s="18">
        <v>0</v>
      </c>
      <c r="AY161" s="13"/>
      <c r="AZ161" s="18">
        <v>2</v>
      </c>
      <c r="BA161" s="18">
        <v>0</v>
      </c>
      <c r="BB161" s="18">
        <v>65.55</v>
      </c>
      <c r="BC161" s="18" t="s">
        <v>179</v>
      </c>
      <c r="BD161" s="18" t="s">
        <v>180</v>
      </c>
      <c r="BE161" s="18" t="s">
        <v>128</v>
      </c>
      <c r="BF161" s="18" t="s">
        <v>77</v>
      </c>
      <c r="BG161" s="18">
        <v>1</v>
      </c>
      <c r="BH161" s="18">
        <v>65</v>
      </c>
      <c r="BI161" s="18">
        <v>0.0152</v>
      </c>
      <c r="BJ161" s="18">
        <v>1</v>
      </c>
      <c r="BK161" s="18">
        <v>4</v>
      </c>
      <c r="BL161" s="18">
        <v>98.9</v>
      </c>
      <c r="BM161" s="13">
        <f t="shared" si="0"/>
        <v>2866.65</v>
      </c>
    </row>
    <row r="162" customHeight="1" spans="1:65">
      <c r="A162" s="18" t="s">
        <v>654</v>
      </c>
      <c r="B162" s="18" t="s">
        <v>125</v>
      </c>
      <c r="C162" s="18" t="s">
        <v>655</v>
      </c>
      <c r="D162" s="13"/>
      <c r="E162" s="18" t="s">
        <v>656</v>
      </c>
      <c r="F162" s="18" t="s">
        <v>132</v>
      </c>
      <c r="G162" s="18" t="s">
        <v>427</v>
      </c>
      <c r="H162" s="18" t="s">
        <v>138</v>
      </c>
      <c r="I162" s="18" t="s">
        <v>85</v>
      </c>
      <c r="J162" s="18">
        <v>5</v>
      </c>
      <c r="K162" s="16">
        <v>22.99</v>
      </c>
      <c r="L162" s="10"/>
      <c r="M162" s="16">
        <v>0</v>
      </c>
      <c r="N162" s="16">
        <v>0</v>
      </c>
      <c r="O162" s="18">
        <v>0</v>
      </c>
      <c r="P162" s="18" t="s">
        <v>133</v>
      </c>
      <c r="Q162" s="18">
        <v>3.177637</v>
      </c>
      <c r="R162" s="10"/>
      <c r="S162" s="16">
        <v>41</v>
      </c>
      <c r="T162" s="16">
        <v>10</v>
      </c>
      <c r="U162" s="18" t="s">
        <v>654</v>
      </c>
      <c r="V162" s="18" t="s">
        <v>125</v>
      </c>
      <c r="W162" s="18" t="s">
        <v>655</v>
      </c>
      <c r="X162" s="13"/>
      <c r="Y162" s="18" t="s">
        <v>656</v>
      </c>
      <c r="Z162" s="18" t="s">
        <v>132</v>
      </c>
      <c r="AA162" s="18" t="s">
        <v>427</v>
      </c>
      <c r="AB162" s="18" t="s">
        <v>138</v>
      </c>
      <c r="AC162" s="18" t="s">
        <v>85</v>
      </c>
      <c r="AD162" s="18">
        <v>40.98</v>
      </c>
      <c r="AE162" s="18">
        <v>0</v>
      </c>
      <c r="AF162" s="18">
        <v>1</v>
      </c>
      <c r="AG162" s="18">
        <v>0</v>
      </c>
      <c r="AH162" s="18">
        <v>0</v>
      </c>
      <c r="AI162" s="18">
        <v>0</v>
      </c>
      <c r="AJ162" s="18">
        <v>0</v>
      </c>
      <c r="AK162" s="18">
        <v>0</v>
      </c>
      <c r="AL162" s="18">
        <v>0</v>
      </c>
      <c r="AM162" s="18">
        <v>0</v>
      </c>
      <c r="AN162" s="18">
        <v>0</v>
      </c>
      <c r="AO162" s="18">
        <v>0</v>
      </c>
      <c r="AP162" s="18">
        <v>0</v>
      </c>
      <c r="AQ162" s="18">
        <v>0</v>
      </c>
      <c r="AR162" s="18">
        <v>0</v>
      </c>
      <c r="AS162" s="18">
        <v>0</v>
      </c>
      <c r="AT162" s="18">
        <v>0</v>
      </c>
      <c r="AU162" s="18">
        <v>0</v>
      </c>
      <c r="AV162" s="18">
        <v>0</v>
      </c>
      <c r="AW162" s="18">
        <v>0</v>
      </c>
      <c r="AX162" s="18">
        <v>0</v>
      </c>
      <c r="AY162" s="13"/>
      <c r="AZ162" s="18">
        <v>1</v>
      </c>
      <c r="BA162" s="18">
        <v>0</v>
      </c>
      <c r="BB162" s="18">
        <v>61.83</v>
      </c>
      <c r="BC162" s="18" t="s">
        <v>179</v>
      </c>
      <c r="BD162" s="18" t="s">
        <v>225</v>
      </c>
      <c r="BE162" s="18" t="s">
        <v>226</v>
      </c>
      <c r="BF162" s="18" t="s">
        <v>77</v>
      </c>
      <c r="BG162" s="18">
        <v>1</v>
      </c>
      <c r="BH162" s="18">
        <v>65</v>
      </c>
      <c r="BI162" s="18">
        <v>0.0152</v>
      </c>
      <c r="BJ162" s="18">
        <v>1</v>
      </c>
      <c r="BK162" s="18">
        <v>4</v>
      </c>
      <c r="BL162" s="18">
        <v>98.9</v>
      </c>
      <c r="BM162" s="13">
        <f t="shared" si="0"/>
        <v>942.59</v>
      </c>
    </row>
    <row r="163" customHeight="1" spans="1:65">
      <c r="A163" s="18" t="s">
        <v>906</v>
      </c>
      <c r="B163" s="18" t="s">
        <v>125</v>
      </c>
      <c r="C163" s="18" t="s">
        <v>655</v>
      </c>
      <c r="D163" s="13"/>
      <c r="E163" s="18" t="s">
        <v>656</v>
      </c>
      <c r="F163" s="18" t="s">
        <v>132</v>
      </c>
      <c r="G163" s="18" t="s">
        <v>427</v>
      </c>
      <c r="H163" s="18" t="s">
        <v>138</v>
      </c>
      <c r="I163" s="18" t="s">
        <v>85</v>
      </c>
      <c r="J163" s="18">
        <v>5</v>
      </c>
      <c r="K163" s="16">
        <v>41.99</v>
      </c>
      <c r="L163" s="10"/>
      <c r="M163" s="16">
        <v>0</v>
      </c>
      <c r="N163" s="16">
        <v>0</v>
      </c>
      <c r="O163" s="18">
        <v>0</v>
      </c>
      <c r="P163" s="18" t="s">
        <v>86</v>
      </c>
      <c r="Q163" s="18">
        <v>3.760968</v>
      </c>
      <c r="R163" s="10"/>
      <c r="S163" s="16">
        <v>65</v>
      </c>
      <c r="T163" s="16">
        <v>10</v>
      </c>
      <c r="U163" s="18" t="s">
        <v>2572</v>
      </c>
      <c r="V163" s="18" t="s">
        <v>125</v>
      </c>
      <c r="W163" s="18" t="s">
        <v>655</v>
      </c>
      <c r="X163" s="13"/>
      <c r="Y163" s="18" t="s">
        <v>656</v>
      </c>
      <c r="Z163" s="18" t="s">
        <v>132</v>
      </c>
      <c r="AA163" s="18" t="s">
        <v>427</v>
      </c>
      <c r="AB163" s="18" t="s">
        <v>138</v>
      </c>
      <c r="AC163" s="18" t="s">
        <v>85</v>
      </c>
      <c r="AD163" s="18">
        <v>78.98</v>
      </c>
      <c r="AE163" s="18">
        <v>0</v>
      </c>
      <c r="AF163" s="18">
        <v>1</v>
      </c>
      <c r="AG163" s="18">
        <v>0</v>
      </c>
      <c r="AH163" s="18">
        <v>0</v>
      </c>
      <c r="AI163" s="18">
        <v>0</v>
      </c>
      <c r="AJ163" s="18">
        <v>0</v>
      </c>
      <c r="AK163" s="18">
        <v>0</v>
      </c>
      <c r="AL163" s="18">
        <v>0</v>
      </c>
      <c r="AM163" s="18">
        <v>0</v>
      </c>
      <c r="AN163" s="18">
        <v>0</v>
      </c>
      <c r="AO163" s="18">
        <v>0</v>
      </c>
      <c r="AP163" s="18">
        <v>0</v>
      </c>
      <c r="AQ163" s="18">
        <v>0</v>
      </c>
      <c r="AR163" s="18">
        <v>0</v>
      </c>
      <c r="AS163" s="18">
        <v>0</v>
      </c>
      <c r="AT163" s="18">
        <v>0</v>
      </c>
      <c r="AU163" s="18">
        <v>0</v>
      </c>
      <c r="AV163" s="18">
        <v>0</v>
      </c>
      <c r="AW163" s="18">
        <v>1</v>
      </c>
      <c r="AX163" s="18">
        <v>0</v>
      </c>
      <c r="AY163" s="13"/>
      <c r="AZ163" s="18">
        <v>2</v>
      </c>
      <c r="BA163" s="18">
        <v>0</v>
      </c>
      <c r="BB163" s="18">
        <v>64.34</v>
      </c>
      <c r="BC163" s="18" t="s">
        <v>179</v>
      </c>
      <c r="BD163" s="18" t="s">
        <v>225</v>
      </c>
      <c r="BE163" s="18" t="s">
        <v>226</v>
      </c>
      <c r="BF163" s="18" t="s">
        <v>77</v>
      </c>
      <c r="BG163" s="18">
        <v>1</v>
      </c>
      <c r="BH163" s="18">
        <v>65</v>
      </c>
      <c r="BI163" s="18">
        <v>0.0152</v>
      </c>
      <c r="BJ163" s="18">
        <v>1</v>
      </c>
      <c r="BK163" s="18">
        <v>4</v>
      </c>
      <c r="BL163" s="18">
        <v>98.9</v>
      </c>
      <c r="BM163" s="13">
        <f t="shared" si="0"/>
        <v>2729.35</v>
      </c>
    </row>
    <row r="164" customHeight="1" spans="1:65">
      <c r="A164" s="18" t="s">
        <v>896</v>
      </c>
      <c r="B164" s="18" t="s">
        <v>125</v>
      </c>
      <c r="C164" s="13"/>
      <c r="D164" s="13"/>
      <c r="E164" s="18" t="s">
        <v>81</v>
      </c>
      <c r="F164" s="18" t="s">
        <v>240</v>
      </c>
      <c r="G164" s="18" t="s">
        <v>83</v>
      </c>
      <c r="H164" s="18" t="s">
        <v>138</v>
      </c>
      <c r="I164" s="18" t="s">
        <v>153</v>
      </c>
      <c r="J164" s="18">
        <v>2</v>
      </c>
      <c r="K164" s="16">
        <v>170</v>
      </c>
      <c r="L164" s="10"/>
      <c r="M164" s="16">
        <v>0</v>
      </c>
      <c r="N164" s="16">
        <v>0</v>
      </c>
      <c r="O164" s="18">
        <v>0</v>
      </c>
      <c r="P164" s="18" t="s">
        <v>95</v>
      </c>
      <c r="Q164" s="18">
        <v>5.141664</v>
      </c>
      <c r="R164" s="10"/>
      <c r="S164" s="10"/>
      <c r="T164" s="10"/>
      <c r="U164" s="18" t="s">
        <v>896</v>
      </c>
      <c r="V164" s="18" t="s">
        <v>125</v>
      </c>
      <c r="W164" s="13"/>
      <c r="X164" s="13"/>
      <c r="Y164" s="18" t="s">
        <v>81</v>
      </c>
      <c r="Z164" s="18" t="s">
        <v>240</v>
      </c>
      <c r="AA164" s="18" t="s">
        <v>83</v>
      </c>
      <c r="AB164" s="18" t="s">
        <v>138</v>
      </c>
      <c r="AC164" s="18" t="s">
        <v>153</v>
      </c>
      <c r="AD164" s="18">
        <v>338</v>
      </c>
      <c r="AE164" s="18">
        <v>0</v>
      </c>
      <c r="AF164" s="18">
        <v>0</v>
      </c>
      <c r="AG164" s="18">
        <v>0</v>
      </c>
      <c r="AH164" s="18">
        <v>0</v>
      </c>
      <c r="AI164" s="18">
        <v>0</v>
      </c>
      <c r="AJ164" s="18">
        <v>0</v>
      </c>
      <c r="AK164" s="18">
        <v>0</v>
      </c>
      <c r="AL164" s="18">
        <v>0</v>
      </c>
      <c r="AM164" s="18">
        <v>0</v>
      </c>
      <c r="AN164" s="18">
        <v>0</v>
      </c>
      <c r="AO164" s="18">
        <v>0</v>
      </c>
      <c r="AP164" s="18">
        <v>0</v>
      </c>
      <c r="AQ164" s="18">
        <v>1</v>
      </c>
      <c r="AR164" s="18">
        <v>0</v>
      </c>
      <c r="AS164" s="18">
        <v>0</v>
      </c>
      <c r="AT164" s="18">
        <v>0</v>
      </c>
      <c r="AU164" s="18">
        <v>0</v>
      </c>
      <c r="AV164" s="18">
        <v>1</v>
      </c>
      <c r="AW164" s="18">
        <v>0</v>
      </c>
      <c r="AX164" s="18">
        <v>0</v>
      </c>
      <c r="AY164" s="13"/>
      <c r="AZ164" s="18">
        <v>1</v>
      </c>
      <c r="BA164" s="18">
        <v>1</v>
      </c>
      <c r="BB164" s="18">
        <v>0</v>
      </c>
      <c r="BC164" s="18" t="s">
        <v>897</v>
      </c>
      <c r="BD164" s="18" t="s">
        <v>898</v>
      </c>
      <c r="BE164" s="18" t="s">
        <v>627</v>
      </c>
      <c r="BF164" s="18" t="s">
        <v>77</v>
      </c>
      <c r="BG164" s="18">
        <v>1</v>
      </c>
      <c r="BH164" s="18">
        <v>11</v>
      </c>
      <c r="BI164" s="18">
        <v>0.0833</v>
      </c>
      <c r="BJ164" s="18">
        <v>1</v>
      </c>
      <c r="BK164" s="13"/>
      <c r="BL164" s="13"/>
      <c r="BM164" s="13">
        <f t="shared" si="0"/>
        <v>0</v>
      </c>
    </row>
    <row r="165" customHeight="1" spans="1:65">
      <c r="A165" s="18" t="s">
        <v>2493</v>
      </c>
      <c r="B165" s="18" t="s">
        <v>2494</v>
      </c>
      <c r="C165" s="13"/>
      <c r="D165" s="13"/>
      <c r="E165" s="18" t="s">
        <v>2495</v>
      </c>
      <c r="F165" s="18" t="s">
        <v>82</v>
      </c>
      <c r="G165" s="18" t="s">
        <v>83</v>
      </c>
      <c r="H165" s="18" t="s">
        <v>84</v>
      </c>
      <c r="I165" s="18" t="s">
        <v>203</v>
      </c>
      <c r="J165" s="18">
        <v>4</v>
      </c>
      <c r="K165" s="16">
        <v>39.99</v>
      </c>
      <c r="L165" s="10"/>
      <c r="M165" s="16">
        <v>0</v>
      </c>
      <c r="N165" s="16">
        <v>0</v>
      </c>
      <c r="O165" s="18">
        <v>0</v>
      </c>
      <c r="P165" s="18" t="s">
        <v>86</v>
      </c>
      <c r="Q165" s="18">
        <v>3.713328</v>
      </c>
      <c r="R165" s="10"/>
      <c r="S165" s="16">
        <v>6</v>
      </c>
      <c r="T165" s="16">
        <v>16</v>
      </c>
      <c r="U165" s="18" t="s">
        <v>2493</v>
      </c>
      <c r="V165" s="18" t="s">
        <v>2494</v>
      </c>
      <c r="W165" s="13"/>
      <c r="X165" s="13"/>
      <c r="Y165" s="18" t="s">
        <v>2495</v>
      </c>
      <c r="Z165" s="18" t="s">
        <v>82</v>
      </c>
      <c r="AA165" s="18" t="s">
        <v>83</v>
      </c>
      <c r="AB165" s="18" t="s">
        <v>84</v>
      </c>
      <c r="AC165" s="18" t="s">
        <v>203</v>
      </c>
      <c r="AD165" s="18">
        <v>75.98</v>
      </c>
      <c r="AE165" s="18">
        <v>0</v>
      </c>
      <c r="AF165" s="18">
        <v>0</v>
      </c>
      <c r="AG165" s="18">
        <v>0</v>
      </c>
      <c r="AH165" s="18">
        <v>0</v>
      </c>
      <c r="AI165" s="18">
        <v>0</v>
      </c>
      <c r="AJ165" s="18">
        <v>0</v>
      </c>
      <c r="AK165" s="18">
        <v>0</v>
      </c>
      <c r="AL165" s="18">
        <v>0</v>
      </c>
      <c r="AM165" s="18">
        <v>0</v>
      </c>
      <c r="AN165" s="18">
        <v>0</v>
      </c>
      <c r="AO165" s="18">
        <v>0</v>
      </c>
      <c r="AP165" s="18">
        <v>0</v>
      </c>
      <c r="AQ165" s="18">
        <v>0</v>
      </c>
      <c r="AR165" s="18">
        <v>0</v>
      </c>
      <c r="AS165" s="18">
        <v>0</v>
      </c>
      <c r="AT165" s="18">
        <v>0</v>
      </c>
      <c r="AU165" s="18">
        <v>0</v>
      </c>
      <c r="AV165" s="18">
        <v>0</v>
      </c>
      <c r="AW165" s="18">
        <v>0</v>
      </c>
      <c r="AX165" s="18">
        <v>0</v>
      </c>
      <c r="AY165" s="13"/>
      <c r="AZ165" s="18">
        <v>1</v>
      </c>
      <c r="BA165" s="18">
        <v>0</v>
      </c>
      <c r="BB165" s="18">
        <v>37.61</v>
      </c>
      <c r="BC165" s="18" t="s">
        <v>902</v>
      </c>
      <c r="BD165" s="18" t="s">
        <v>1744</v>
      </c>
      <c r="BE165" s="18" t="s">
        <v>1814</v>
      </c>
      <c r="BF165" s="18" t="s">
        <v>77</v>
      </c>
      <c r="BG165" s="18">
        <v>1</v>
      </c>
      <c r="BH165" s="18">
        <v>27</v>
      </c>
      <c r="BI165" s="18">
        <v>0.0357</v>
      </c>
      <c r="BJ165" s="18">
        <v>1</v>
      </c>
      <c r="BK165" s="18">
        <v>40</v>
      </c>
      <c r="BL165" s="18">
        <v>89</v>
      </c>
      <c r="BM165" s="13">
        <f t="shared" si="0"/>
        <v>239.94</v>
      </c>
    </row>
    <row r="166" customHeight="1" spans="1:65">
      <c r="A166" s="18" t="s">
        <v>900</v>
      </c>
      <c r="B166" s="18" t="s">
        <v>125</v>
      </c>
      <c r="C166" s="13"/>
      <c r="D166" s="13"/>
      <c r="E166" s="18" t="s">
        <v>163</v>
      </c>
      <c r="F166" s="18" t="s">
        <v>68</v>
      </c>
      <c r="G166" s="18" t="s">
        <v>901</v>
      </c>
      <c r="H166" s="18" t="s">
        <v>138</v>
      </c>
      <c r="I166" s="18" t="s">
        <v>85</v>
      </c>
      <c r="J166" s="18">
        <v>5</v>
      </c>
      <c r="K166" s="16">
        <v>79.99</v>
      </c>
      <c r="L166" s="10"/>
      <c r="M166" s="16">
        <v>0</v>
      </c>
      <c r="N166" s="16">
        <v>0</v>
      </c>
      <c r="O166" s="18">
        <v>0</v>
      </c>
      <c r="P166" s="18" t="s">
        <v>95</v>
      </c>
      <c r="Q166" s="18">
        <v>4.394326</v>
      </c>
      <c r="R166" s="10"/>
      <c r="S166" s="16">
        <v>12</v>
      </c>
      <c r="T166" s="16">
        <v>22</v>
      </c>
      <c r="U166" s="18" t="s">
        <v>900</v>
      </c>
      <c r="V166" s="18" t="s">
        <v>125</v>
      </c>
      <c r="W166" s="13"/>
      <c r="X166" s="13"/>
      <c r="Y166" s="18" t="s">
        <v>163</v>
      </c>
      <c r="Z166" s="18" t="s">
        <v>68</v>
      </c>
      <c r="AA166" s="18" t="s">
        <v>901</v>
      </c>
      <c r="AB166" s="18" t="s">
        <v>138</v>
      </c>
      <c r="AC166" s="18" t="s">
        <v>85</v>
      </c>
      <c r="AD166" s="18">
        <v>154.98</v>
      </c>
      <c r="AE166" s="18">
        <v>0</v>
      </c>
      <c r="AF166" s="18">
        <v>0</v>
      </c>
      <c r="AG166" s="18">
        <v>1</v>
      </c>
      <c r="AH166" s="18">
        <v>0</v>
      </c>
      <c r="AI166" s="18">
        <v>0</v>
      </c>
      <c r="AJ166" s="18">
        <v>0</v>
      </c>
      <c r="AK166" s="18">
        <v>0</v>
      </c>
      <c r="AL166" s="18">
        <v>0</v>
      </c>
      <c r="AM166" s="18">
        <v>0</v>
      </c>
      <c r="AN166" s="18">
        <v>0</v>
      </c>
      <c r="AO166" s="18">
        <v>0</v>
      </c>
      <c r="AP166" s="18">
        <v>0</v>
      </c>
      <c r="AQ166" s="18">
        <v>0</v>
      </c>
      <c r="AR166" s="18">
        <v>0</v>
      </c>
      <c r="AS166" s="18">
        <v>0</v>
      </c>
      <c r="AT166" s="18">
        <v>1</v>
      </c>
      <c r="AU166" s="18">
        <v>0</v>
      </c>
      <c r="AV166" s="18">
        <v>0</v>
      </c>
      <c r="AW166" s="18">
        <v>0</v>
      </c>
      <c r="AX166" s="18">
        <v>0</v>
      </c>
      <c r="AY166" s="13"/>
      <c r="AZ166" s="18">
        <v>1</v>
      </c>
      <c r="BA166" s="18">
        <v>0</v>
      </c>
      <c r="BB166" s="18">
        <v>14.12</v>
      </c>
      <c r="BC166" s="18" t="s">
        <v>902</v>
      </c>
      <c r="BD166" s="13"/>
      <c r="BE166" s="13"/>
      <c r="BF166" s="13"/>
      <c r="BG166" s="18">
        <v>0</v>
      </c>
      <c r="BH166" s="18">
        <v>0</v>
      </c>
      <c r="BI166" s="13"/>
      <c r="BJ166" s="18">
        <v>0</v>
      </c>
      <c r="BK166" s="13"/>
      <c r="BL166" s="13"/>
      <c r="BM166" s="13">
        <f t="shared" si="0"/>
        <v>959.88</v>
      </c>
    </row>
    <row r="167" customHeight="1" spans="1:65">
      <c r="A167" s="18" t="s">
        <v>1118</v>
      </c>
      <c r="B167" s="18" t="s">
        <v>344</v>
      </c>
      <c r="C167" s="13"/>
      <c r="D167" s="13"/>
      <c r="E167" s="18" t="s">
        <v>81</v>
      </c>
      <c r="F167" s="18" t="s">
        <v>82</v>
      </c>
      <c r="G167" s="18" t="s">
        <v>346</v>
      </c>
      <c r="H167" s="18" t="s">
        <v>107</v>
      </c>
      <c r="I167" s="18" t="s">
        <v>203</v>
      </c>
      <c r="J167" s="18">
        <v>4</v>
      </c>
      <c r="K167" s="16">
        <v>31.99</v>
      </c>
      <c r="L167" s="10"/>
      <c r="M167" s="16">
        <v>0</v>
      </c>
      <c r="N167" s="16">
        <v>0</v>
      </c>
      <c r="O167" s="18">
        <v>0</v>
      </c>
      <c r="P167" s="18" t="s">
        <v>86</v>
      </c>
      <c r="Q167" s="18">
        <v>3.496204</v>
      </c>
      <c r="R167" s="10"/>
      <c r="S167" s="16">
        <v>237</v>
      </c>
      <c r="T167" s="16">
        <v>10</v>
      </c>
      <c r="U167" s="18" t="s">
        <v>1118</v>
      </c>
      <c r="V167" s="18" t="s">
        <v>344</v>
      </c>
      <c r="W167" s="13"/>
      <c r="X167" s="13"/>
      <c r="Y167" s="18" t="s">
        <v>81</v>
      </c>
      <c r="Z167" s="18" t="s">
        <v>82</v>
      </c>
      <c r="AA167" s="18" t="s">
        <v>346</v>
      </c>
      <c r="AB167" s="18" t="s">
        <v>107</v>
      </c>
      <c r="AC167" s="18" t="s">
        <v>203</v>
      </c>
      <c r="AD167" s="18">
        <v>59.98</v>
      </c>
      <c r="AE167" s="18">
        <v>0</v>
      </c>
      <c r="AF167" s="18">
        <v>1</v>
      </c>
      <c r="AG167" s="18">
        <v>0</v>
      </c>
      <c r="AH167" s="18">
        <v>0</v>
      </c>
      <c r="AI167" s="18">
        <v>0</v>
      </c>
      <c r="AJ167" s="18">
        <v>0</v>
      </c>
      <c r="AK167" s="18">
        <v>0</v>
      </c>
      <c r="AL167" s="18">
        <v>0</v>
      </c>
      <c r="AM167" s="18">
        <v>0</v>
      </c>
      <c r="AN167" s="18">
        <v>0</v>
      </c>
      <c r="AO167" s="18">
        <v>0</v>
      </c>
      <c r="AP167" s="18">
        <v>0</v>
      </c>
      <c r="AQ167" s="18">
        <v>0</v>
      </c>
      <c r="AR167" s="18">
        <v>0</v>
      </c>
      <c r="AS167" s="18">
        <v>0</v>
      </c>
      <c r="AT167" s="18">
        <v>1</v>
      </c>
      <c r="AU167" s="18">
        <v>0</v>
      </c>
      <c r="AV167" s="18">
        <v>0</v>
      </c>
      <c r="AW167" s="18">
        <v>0</v>
      </c>
      <c r="AX167" s="18">
        <v>0</v>
      </c>
      <c r="AY167" s="13"/>
      <c r="AZ167" s="18">
        <v>1</v>
      </c>
      <c r="BA167" s="18">
        <v>0</v>
      </c>
      <c r="BB167" s="18">
        <v>68.23</v>
      </c>
      <c r="BC167" s="18" t="s">
        <v>912</v>
      </c>
      <c r="BD167" s="18" t="s">
        <v>698</v>
      </c>
      <c r="BE167" s="18" t="s">
        <v>166</v>
      </c>
      <c r="BF167" s="18" t="s">
        <v>77</v>
      </c>
      <c r="BG167" s="18">
        <v>162</v>
      </c>
      <c r="BH167" s="18">
        <v>54</v>
      </c>
      <c r="BI167" s="18">
        <v>0.75</v>
      </c>
      <c r="BJ167" s="18">
        <v>0</v>
      </c>
      <c r="BK167" s="18">
        <v>2</v>
      </c>
      <c r="BL167" s="18">
        <v>99.5</v>
      </c>
      <c r="BM167" s="13">
        <f t="shared" si="0"/>
        <v>7581.63</v>
      </c>
    </row>
    <row r="168" customHeight="1" spans="1:65">
      <c r="A168" s="18" t="s">
        <v>910</v>
      </c>
      <c r="B168" s="18" t="s">
        <v>344</v>
      </c>
      <c r="C168" s="13"/>
      <c r="D168" s="18">
        <v>840268907754</v>
      </c>
      <c r="E168" s="18" t="s">
        <v>911</v>
      </c>
      <c r="F168" s="18" t="s">
        <v>82</v>
      </c>
      <c r="G168" s="18" t="s">
        <v>346</v>
      </c>
      <c r="H168" s="18" t="s">
        <v>107</v>
      </c>
      <c r="I168" s="18" t="s">
        <v>203</v>
      </c>
      <c r="J168" s="18">
        <v>4</v>
      </c>
      <c r="K168" s="16">
        <v>49.99</v>
      </c>
      <c r="L168" s="10"/>
      <c r="M168" s="16">
        <v>0</v>
      </c>
      <c r="N168" s="16">
        <v>0</v>
      </c>
      <c r="O168" s="18">
        <v>0</v>
      </c>
      <c r="P168" s="18" t="s">
        <v>86</v>
      </c>
      <c r="Q168" s="18">
        <v>3.93163</v>
      </c>
      <c r="R168" s="10"/>
      <c r="S168" s="10"/>
      <c r="T168" s="16">
        <v>5</v>
      </c>
      <c r="U168" s="18" t="s">
        <v>910</v>
      </c>
      <c r="V168" s="18" t="s">
        <v>344</v>
      </c>
      <c r="W168" s="13"/>
      <c r="X168" s="18">
        <v>840268907755</v>
      </c>
      <c r="Y168" s="18" t="s">
        <v>911</v>
      </c>
      <c r="Z168" s="18" t="s">
        <v>82</v>
      </c>
      <c r="AA168" s="18" t="s">
        <v>346</v>
      </c>
      <c r="AB168" s="18" t="s">
        <v>107</v>
      </c>
      <c r="AC168" s="18" t="s">
        <v>203</v>
      </c>
      <c r="AD168" s="18">
        <v>95.98</v>
      </c>
      <c r="AE168" s="18">
        <v>0</v>
      </c>
      <c r="AF168" s="18">
        <v>0</v>
      </c>
      <c r="AG168" s="18">
        <v>0</v>
      </c>
      <c r="AH168" s="18">
        <v>0</v>
      </c>
      <c r="AI168" s="18">
        <v>0</v>
      </c>
      <c r="AJ168" s="18">
        <v>0</v>
      </c>
      <c r="AK168" s="18">
        <v>0</v>
      </c>
      <c r="AL168" s="18">
        <v>0</v>
      </c>
      <c r="AM168" s="18">
        <v>0</v>
      </c>
      <c r="AN168" s="18">
        <v>0</v>
      </c>
      <c r="AO168" s="18">
        <v>0</v>
      </c>
      <c r="AP168" s="18">
        <v>0</v>
      </c>
      <c r="AQ168" s="18">
        <v>0</v>
      </c>
      <c r="AR168" s="18">
        <v>0</v>
      </c>
      <c r="AS168" s="18">
        <v>0</v>
      </c>
      <c r="AT168" s="18">
        <v>1</v>
      </c>
      <c r="AU168" s="18">
        <v>0</v>
      </c>
      <c r="AV168" s="18">
        <v>0</v>
      </c>
      <c r="AW168" s="18">
        <v>0</v>
      </c>
      <c r="AX168" s="18">
        <v>0</v>
      </c>
      <c r="AY168" s="13"/>
      <c r="AZ168" s="18">
        <v>1</v>
      </c>
      <c r="BA168" s="18">
        <v>0</v>
      </c>
      <c r="BB168" s="18">
        <v>0</v>
      </c>
      <c r="BC168" s="18" t="s">
        <v>912</v>
      </c>
      <c r="BD168" s="18" t="s">
        <v>698</v>
      </c>
      <c r="BE168" s="18" t="s">
        <v>166</v>
      </c>
      <c r="BF168" s="18" t="s">
        <v>77</v>
      </c>
      <c r="BG168" s="18">
        <v>162</v>
      </c>
      <c r="BH168" s="18">
        <v>53</v>
      </c>
      <c r="BI168" s="18">
        <v>0.7535</v>
      </c>
      <c r="BJ168" s="18">
        <v>0</v>
      </c>
      <c r="BK168" s="13"/>
      <c r="BL168" s="13"/>
      <c r="BM168" s="13">
        <f t="shared" si="0"/>
        <v>0</v>
      </c>
    </row>
    <row r="169" customHeight="1" spans="1:65">
      <c r="A169" s="18" t="s">
        <v>913</v>
      </c>
      <c r="B169" s="18" t="s">
        <v>914</v>
      </c>
      <c r="C169" s="13"/>
      <c r="D169" s="18">
        <v>610098787006</v>
      </c>
      <c r="E169" s="18" t="s">
        <v>735</v>
      </c>
      <c r="F169" s="18" t="s">
        <v>352</v>
      </c>
      <c r="G169" s="18" t="s">
        <v>83</v>
      </c>
      <c r="H169" s="18" t="s">
        <v>84</v>
      </c>
      <c r="I169" s="18" t="s">
        <v>85</v>
      </c>
      <c r="J169" s="18">
        <v>5</v>
      </c>
      <c r="K169" s="16">
        <v>16.96</v>
      </c>
      <c r="L169" s="16">
        <v>19.95</v>
      </c>
      <c r="M169" s="16">
        <v>14.99</v>
      </c>
      <c r="N169" s="16">
        <v>2.99</v>
      </c>
      <c r="O169" s="18">
        <v>1</v>
      </c>
      <c r="P169" s="18" t="s">
        <v>133</v>
      </c>
      <c r="Q169" s="18">
        <v>2.888147</v>
      </c>
      <c r="R169" s="10"/>
      <c r="S169" s="16">
        <v>6027</v>
      </c>
      <c r="T169" s="16">
        <v>10</v>
      </c>
      <c r="U169" s="18" t="s">
        <v>913</v>
      </c>
      <c r="V169" s="18" t="s">
        <v>914</v>
      </c>
      <c r="W169" s="13"/>
      <c r="X169" s="18">
        <v>610098787007</v>
      </c>
      <c r="Y169" s="18" t="s">
        <v>735</v>
      </c>
      <c r="Z169" s="18" t="s">
        <v>352</v>
      </c>
      <c r="AA169" s="18" t="s">
        <v>83</v>
      </c>
      <c r="AB169" s="18" t="s">
        <v>84</v>
      </c>
      <c r="AC169" s="18" t="s">
        <v>85</v>
      </c>
      <c r="AD169" s="18">
        <v>3.46133333333332</v>
      </c>
      <c r="AE169" s="18">
        <v>0</v>
      </c>
      <c r="AF169" s="18">
        <v>0</v>
      </c>
      <c r="AG169" s="18">
        <v>0</v>
      </c>
      <c r="AH169" s="18">
        <v>0</v>
      </c>
      <c r="AI169" s="18">
        <v>0</v>
      </c>
      <c r="AJ169" s="18">
        <v>0</v>
      </c>
      <c r="AK169" s="18">
        <v>0</v>
      </c>
      <c r="AL169" s="18">
        <v>0</v>
      </c>
      <c r="AM169" s="18">
        <v>0</v>
      </c>
      <c r="AN169" s="18">
        <v>0</v>
      </c>
      <c r="AO169" s="18">
        <v>0</v>
      </c>
      <c r="AP169" s="18">
        <v>0</v>
      </c>
      <c r="AQ169" s="18">
        <v>0</v>
      </c>
      <c r="AR169" s="18">
        <v>0</v>
      </c>
      <c r="AS169" s="18">
        <v>0</v>
      </c>
      <c r="AT169" s="18">
        <v>1</v>
      </c>
      <c r="AU169" s="18">
        <v>0</v>
      </c>
      <c r="AV169" s="18">
        <v>0</v>
      </c>
      <c r="AW169" s="18">
        <v>0</v>
      </c>
      <c r="AX169" s="18">
        <v>0</v>
      </c>
      <c r="AY169" s="13"/>
      <c r="AZ169" s="18">
        <v>1</v>
      </c>
      <c r="BA169" s="18">
        <v>0</v>
      </c>
      <c r="BB169" s="18">
        <v>73.68</v>
      </c>
      <c r="BC169" s="18" t="s">
        <v>915</v>
      </c>
      <c r="BD169" s="18" t="s">
        <v>916</v>
      </c>
      <c r="BE169" s="18" t="s">
        <v>113</v>
      </c>
      <c r="BF169" s="18" t="s">
        <v>77</v>
      </c>
      <c r="BG169" s="18">
        <v>168</v>
      </c>
      <c r="BH169" s="18">
        <v>28</v>
      </c>
      <c r="BI169" s="18">
        <v>0.8571</v>
      </c>
      <c r="BJ169" s="18">
        <v>0</v>
      </c>
      <c r="BK169" s="18">
        <v>9</v>
      </c>
      <c r="BL169" s="18">
        <v>97.5</v>
      </c>
      <c r="BM169" s="13">
        <f t="shared" si="0"/>
        <v>102217.92</v>
      </c>
    </row>
    <row r="170" customHeight="1" spans="1:65">
      <c r="A170" s="18" t="s">
        <v>922</v>
      </c>
      <c r="B170" s="18" t="s">
        <v>923</v>
      </c>
      <c r="C170" s="18" t="s">
        <v>924</v>
      </c>
      <c r="D170" s="13"/>
      <c r="E170" s="19" t="s">
        <v>925</v>
      </c>
      <c r="F170" s="18" t="s">
        <v>82</v>
      </c>
      <c r="G170" s="18" t="s">
        <v>117</v>
      </c>
      <c r="H170" s="18" t="s">
        <v>84</v>
      </c>
      <c r="I170" s="18" t="s">
        <v>85</v>
      </c>
      <c r="J170" s="18">
        <v>5</v>
      </c>
      <c r="K170" s="16">
        <v>53.47</v>
      </c>
      <c r="L170" s="10"/>
      <c r="M170" s="16">
        <v>0</v>
      </c>
      <c r="N170" s="16">
        <v>0</v>
      </c>
      <c r="O170" s="18">
        <v>0</v>
      </c>
      <c r="P170" s="18" t="s">
        <v>86</v>
      </c>
      <c r="Q170" s="18">
        <v>3.99765</v>
      </c>
      <c r="R170" s="10"/>
      <c r="S170" s="16">
        <v>39</v>
      </c>
      <c r="T170" s="16">
        <v>10</v>
      </c>
      <c r="U170" s="18" t="s">
        <v>2573</v>
      </c>
      <c r="V170" s="18" t="s">
        <v>923</v>
      </c>
      <c r="W170" s="18" t="s">
        <v>924</v>
      </c>
      <c r="X170" s="13"/>
      <c r="Y170" s="19" t="s">
        <v>925</v>
      </c>
      <c r="Z170" s="18" t="s">
        <v>82</v>
      </c>
      <c r="AA170" s="18" t="s">
        <v>117</v>
      </c>
      <c r="AB170" s="18" t="s">
        <v>84</v>
      </c>
      <c r="AC170" s="18" t="s">
        <v>85</v>
      </c>
      <c r="AD170" s="18">
        <v>101.94</v>
      </c>
      <c r="AE170" s="18">
        <v>0</v>
      </c>
      <c r="AF170" s="18">
        <v>1</v>
      </c>
      <c r="AG170" s="18">
        <v>0</v>
      </c>
      <c r="AH170" s="18">
        <v>0</v>
      </c>
      <c r="AI170" s="18">
        <v>0</v>
      </c>
      <c r="AJ170" s="18">
        <v>0</v>
      </c>
      <c r="AK170" s="18">
        <v>0</v>
      </c>
      <c r="AL170" s="18">
        <v>0</v>
      </c>
      <c r="AM170" s="18">
        <v>0</v>
      </c>
      <c r="AN170" s="18">
        <v>0</v>
      </c>
      <c r="AO170" s="18">
        <v>0</v>
      </c>
      <c r="AP170" s="18">
        <v>0</v>
      </c>
      <c r="AQ170" s="18">
        <v>0</v>
      </c>
      <c r="AR170" s="18">
        <v>0</v>
      </c>
      <c r="AS170" s="18">
        <v>1</v>
      </c>
      <c r="AT170" s="18">
        <v>0</v>
      </c>
      <c r="AU170" s="18">
        <v>0</v>
      </c>
      <c r="AV170" s="18">
        <v>0</v>
      </c>
      <c r="AW170" s="18">
        <v>1</v>
      </c>
      <c r="AX170" s="18">
        <v>0</v>
      </c>
      <c r="AY170" s="13"/>
      <c r="AZ170" s="18">
        <v>2</v>
      </c>
      <c r="BA170" s="18">
        <v>0</v>
      </c>
      <c r="BB170" s="18">
        <v>46.06</v>
      </c>
      <c r="BC170" s="18" t="s">
        <v>926</v>
      </c>
      <c r="BD170" s="18" t="s">
        <v>180</v>
      </c>
      <c r="BE170" s="18" t="s">
        <v>128</v>
      </c>
      <c r="BF170" s="18" t="s">
        <v>77</v>
      </c>
      <c r="BG170" s="18">
        <v>1</v>
      </c>
      <c r="BH170" s="18">
        <v>14</v>
      </c>
      <c r="BI170" s="18">
        <v>0.0667</v>
      </c>
      <c r="BJ170" s="18">
        <v>1</v>
      </c>
      <c r="BK170" s="18">
        <v>192</v>
      </c>
      <c r="BL170" s="18">
        <v>47.4</v>
      </c>
      <c r="BM170" s="13">
        <f t="shared" si="0"/>
        <v>2085.33</v>
      </c>
    </row>
    <row r="171" customHeight="1" spans="1:65">
      <c r="A171" s="18" t="s">
        <v>927</v>
      </c>
      <c r="B171" s="18" t="s">
        <v>928</v>
      </c>
      <c r="C171" s="18" t="s">
        <v>929</v>
      </c>
      <c r="D171" s="13"/>
      <c r="E171" s="18" t="s">
        <v>240</v>
      </c>
      <c r="F171" s="18" t="s">
        <v>240</v>
      </c>
      <c r="G171" s="18" t="s">
        <v>83</v>
      </c>
      <c r="H171" s="18" t="s">
        <v>84</v>
      </c>
      <c r="I171" s="18" t="s">
        <v>153</v>
      </c>
      <c r="J171" s="18">
        <v>2</v>
      </c>
      <c r="K171" s="16">
        <v>109.97</v>
      </c>
      <c r="L171" s="10"/>
      <c r="M171" s="16">
        <v>0</v>
      </c>
      <c r="N171" s="16">
        <v>0</v>
      </c>
      <c r="O171" s="18">
        <v>0</v>
      </c>
      <c r="P171" s="18" t="s">
        <v>95</v>
      </c>
      <c r="Q171" s="18">
        <v>4.70926</v>
      </c>
      <c r="R171" s="16">
        <v>27.49</v>
      </c>
      <c r="S171" s="10"/>
      <c r="T171" s="10"/>
      <c r="U171" s="18" t="s">
        <v>927</v>
      </c>
      <c r="V171" s="18" t="s">
        <v>928</v>
      </c>
      <c r="W171" s="18" t="s">
        <v>2574</v>
      </c>
      <c r="X171" s="13"/>
      <c r="Y171" s="18" t="s">
        <v>240</v>
      </c>
      <c r="Z171" s="18" t="s">
        <v>240</v>
      </c>
      <c r="AA171" s="18" t="s">
        <v>83</v>
      </c>
      <c r="AB171" s="18" t="s">
        <v>84</v>
      </c>
      <c r="AC171" s="18" t="s">
        <v>153</v>
      </c>
      <c r="AD171" s="18">
        <v>217.94</v>
      </c>
      <c r="AE171" s="18">
        <v>0</v>
      </c>
      <c r="AF171" s="18">
        <v>0</v>
      </c>
      <c r="AG171" s="18">
        <v>0</v>
      </c>
      <c r="AH171" s="18">
        <v>0</v>
      </c>
      <c r="AI171" s="18">
        <v>0</v>
      </c>
      <c r="AJ171" s="18">
        <v>0</v>
      </c>
      <c r="AK171" s="18">
        <v>0</v>
      </c>
      <c r="AL171" s="18">
        <v>0</v>
      </c>
      <c r="AM171" s="18">
        <v>0</v>
      </c>
      <c r="AN171" s="18">
        <v>0</v>
      </c>
      <c r="AO171" s="18">
        <v>0</v>
      </c>
      <c r="AP171" s="18">
        <v>0</v>
      </c>
      <c r="AQ171" s="18">
        <v>1</v>
      </c>
      <c r="AR171" s="18">
        <v>0</v>
      </c>
      <c r="AS171" s="18">
        <v>0</v>
      </c>
      <c r="AT171" s="18">
        <v>0</v>
      </c>
      <c r="AU171" s="18">
        <v>0</v>
      </c>
      <c r="AV171" s="18">
        <v>1</v>
      </c>
      <c r="AW171" s="18">
        <v>1</v>
      </c>
      <c r="AX171" s="18">
        <v>0</v>
      </c>
      <c r="AY171" s="18">
        <v>4</v>
      </c>
      <c r="AZ171" s="18">
        <v>1</v>
      </c>
      <c r="BA171" s="18">
        <v>1</v>
      </c>
      <c r="BB171" s="18">
        <v>29.1</v>
      </c>
      <c r="BC171" s="18" t="s">
        <v>930</v>
      </c>
      <c r="BD171" s="18" t="s">
        <v>931</v>
      </c>
      <c r="BE171" s="18" t="s">
        <v>363</v>
      </c>
      <c r="BF171" s="18" t="s">
        <v>77</v>
      </c>
      <c r="BG171" s="18">
        <v>168</v>
      </c>
      <c r="BH171" s="18">
        <v>11</v>
      </c>
      <c r="BI171" s="18">
        <v>0.9385</v>
      </c>
      <c r="BJ171" s="18">
        <v>0</v>
      </c>
      <c r="BK171" s="18">
        <v>11</v>
      </c>
      <c r="BL171" s="18">
        <v>97</v>
      </c>
      <c r="BM171" s="13">
        <f t="shared" si="0"/>
        <v>0</v>
      </c>
    </row>
    <row r="172" customHeight="1" spans="1:65">
      <c r="A172" s="18" t="s">
        <v>937</v>
      </c>
      <c r="B172" s="18" t="s">
        <v>938</v>
      </c>
      <c r="C172" s="13"/>
      <c r="D172" s="13"/>
      <c r="E172" s="18" t="s">
        <v>554</v>
      </c>
      <c r="F172" s="18" t="s">
        <v>240</v>
      </c>
      <c r="G172" s="18" t="s">
        <v>83</v>
      </c>
      <c r="H172" s="18" t="s">
        <v>84</v>
      </c>
      <c r="I172" s="18" t="s">
        <v>153</v>
      </c>
      <c r="J172" s="18">
        <v>2</v>
      </c>
      <c r="K172" s="16">
        <v>300</v>
      </c>
      <c r="L172" s="10"/>
      <c r="M172" s="16">
        <v>0</v>
      </c>
      <c r="N172" s="16">
        <v>0</v>
      </c>
      <c r="O172" s="18">
        <v>0</v>
      </c>
      <c r="P172" s="18" t="s">
        <v>71</v>
      </c>
      <c r="Q172" s="18">
        <v>5.70711</v>
      </c>
      <c r="R172" s="10"/>
      <c r="S172" s="10"/>
      <c r="T172" s="10"/>
      <c r="U172" s="18" t="s">
        <v>937</v>
      </c>
      <c r="V172" s="18" t="s">
        <v>938</v>
      </c>
      <c r="W172" s="13"/>
      <c r="X172" s="13"/>
      <c r="Y172" s="18" t="s">
        <v>554</v>
      </c>
      <c r="Z172" s="18" t="s">
        <v>240</v>
      </c>
      <c r="AA172" s="18" t="s">
        <v>83</v>
      </c>
      <c r="AB172" s="18" t="s">
        <v>84</v>
      </c>
      <c r="AC172" s="18" t="s">
        <v>153</v>
      </c>
      <c r="AD172" s="18">
        <v>598</v>
      </c>
      <c r="AE172" s="18">
        <v>0</v>
      </c>
      <c r="AF172" s="18">
        <v>0</v>
      </c>
      <c r="AG172" s="18">
        <v>1</v>
      </c>
      <c r="AH172" s="18">
        <v>0</v>
      </c>
      <c r="AI172" s="18">
        <v>0</v>
      </c>
      <c r="AJ172" s="18">
        <v>0</v>
      </c>
      <c r="AK172" s="18">
        <v>0</v>
      </c>
      <c r="AL172" s="18">
        <v>0</v>
      </c>
      <c r="AM172" s="18">
        <v>0</v>
      </c>
      <c r="AN172" s="18">
        <v>0</v>
      </c>
      <c r="AO172" s="18">
        <v>0</v>
      </c>
      <c r="AP172" s="18">
        <v>0</v>
      </c>
      <c r="AQ172" s="18">
        <v>1</v>
      </c>
      <c r="AR172" s="18">
        <v>0</v>
      </c>
      <c r="AS172" s="18">
        <v>0</v>
      </c>
      <c r="AT172" s="18">
        <v>0</v>
      </c>
      <c r="AU172" s="18">
        <v>0</v>
      </c>
      <c r="AV172" s="18">
        <v>1</v>
      </c>
      <c r="AW172" s="18">
        <v>0</v>
      </c>
      <c r="AX172" s="18">
        <v>0</v>
      </c>
      <c r="AY172" s="13"/>
      <c r="AZ172" s="18">
        <v>1</v>
      </c>
      <c r="BA172" s="18">
        <v>1</v>
      </c>
      <c r="BB172" s="18">
        <v>0</v>
      </c>
      <c r="BC172" s="18" t="s">
        <v>939</v>
      </c>
      <c r="BD172" s="18" t="s">
        <v>940</v>
      </c>
      <c r="BE172" s="18" t="s">
        <v>941</v>
      </c>
      <c r="BF172" s="18" t="s">
        <v>77</v>
      </c>
      <c r="BG172" s="18">
        <v>168</v>
      </c>
      <c r="BH172" s="18">
        <v>11</v>
      </c>
      <c r="BI172" s="18">
        <v>0.9385</v>
      </c>
      <c r="BJ172" s="18">
        <v>0</v>
      </c>
      <c r="BK172" s="13"/>
      <c r="BL172" s="13"/>
      <c r="BM172" s="13">
        <f t="shared" si="0"/>
        <v>0</v>
      </c>
    </row>
    <row r="173" customHeight="1" spans="1:65">
      <c r="A173" s="18" t="s">
        <v>946</v>
      </c>
      <c r="B173" s="18" t="s">
        <v>344</v>
      </c>
      <c r="C173" s="13"/>
      <c r="D173" s="13"/>
      <c r="E173" s="18" t="s">
        <v>81</v>
      </c>
      <c r="F173" s="18" t="s">
        <v>82</v>
      </c>
      <c r="G173" s="18" t="s">
        <v>346</v>
      </c>
      <c r="H173" s="18" t="s">
        <v>107</v>
      </c>
      <c r="I173" s="18" t="s">
        <v>85</v>
      </c>
      <c r="J173" s="18">
        <v>5</v>
      </c>
      <c r="K173" s="16">
        <v>189.99</v>
      </c>
      <c r="L173" s="10"/>
      <c r="M173" s="16">
        <v>0</v>
      </c>
      <c r="N173" s="16">
        <v>0</v>
      </c>
      <c r="O173" s="18">
        <v>0</v>
      </c>
      <c r="P173" s="18" t="s">
        <v>95</v>
      </c>
      <c r="Q173" s="18">
        <v>5.252221</v>
      </c>
      <c r="R173" s="10"/>
      <c r="S173" s="16">
        <v>19</v>
      </c>
      <c r="T173" s="16">
        <v>10</v>
      </c>
      <c r="U173" s="18" t="s">
        <v>946</v>
      </c>
      <c r="V173" s="18" t="s">
        <v>344</v>
      </c>
      <c r="W173" s="13"/>
      <c r="X173" s="13"/>
      <c r="Y173" s="18" t="s">
        <v>81</v>
      </c>
      <c r="Z173" s="18" t="s">
        <v>82</v>
      </c>
      <c r="AA173" s="18" t="s">
        <v>346</v>
      </c>
      <c r="AB173" s="18" t="s">
        <v>107</v>
      </c>
      <c r="AC173" s="18" t="s">
        <v>85</v>
      </c>
      <c r="AD173" s="18">
        <v>374.98</v>
      </c>
      <c r="AE173" s="18">
        <v>0</v>
      </c>
      <c r="AF173" s="18">
        <v>0</v>
      </c>
      <c r="AG173" s="18">
        <v>0</v>
      </c>
      <c r="AH173" s="18">
        <v>1</v>
      </c>
      <c r="AI173" s="18">
        <v>0</v>
      </c>
      <c r="AJ173" s="18">
        <v>0</v>
      </c>
      <c r="AK173" s="18">
        <v>0</v>
      </c>
      <c r="AL173" s="18">
        <v>0</v>
      </c>
      <c r="AM173" s="18">
        <v>0</v>
      </c>
      <c r="AN173" s="18">
        <v>0</v>
      </c>
      <c r="AO173" s="18">
        <v>0</v>
      </c>
      <c r="AP173" s="18">
        <v>0</v>
      </c>
      <c r="AQ173" s="18">
        <v>0</v>
      </c>
      <c r="AR173" s="18">
        <v>0</v>
      </c>
      <c r="AS173" s="18">
        <v>0</v>
      </c>
      <c r="AT173" s="18">
        <v>1</v>
      </c>
      <c r="AU173" s="18">
        <v>0</v>
      </c>
      <c r="AV173" s="18">
        <v>0</v>
      </c>
      <c r="AW173" s="18">
        <v>1</v>
      </c>
      <c r="AX173" s="18">
        <v>0</v>
      </c>
      <c r="AY173" s="13"/>
      <c r="AZ173" s="18">
        <v>1</v>
      </c>
      <c r="BA173" s="18">
        <v>1</v>
      </c>
      <c r="BB173" s="18">
        <v>55.64</v>
      </c>
      <c r="BC173" s="18" t="s">
        <v>947</v>
      </c>
      <c r="BD173" s="18" t="s">
        <v>948</v>
      </c>
      <c r="BE173" s="18" t="s">
        <v>949</v>
      </c>
      <c r="BF173" s="18" t="s">
        <v>77</v>
      </c>
      <c r="BG173" s="18">
        <v>168</v>
      </c>
      <c r="BH173" s="18">
        <v>11</v>
      </c>
      <c r="BI173" s="18">
        <v>0.9385</v>
      </c>
      <c r="BJ173" s="18">
        <v>0</v>
      </c>
      <c r="BK173" s="18">
        <v>7</v>
      </c>
      <c r="BL173" s="18">
        <v>98.1</v>
      </c>
      <c r="BM173" s="13">
        <f t="shared" si="0"/>
        <v>3609.81</v>
      </c>
    </row>
    <row r="174" customHeight="1" spans="1:65">
      <c r="A174" s="18" t="s">
        <v>951</v>
      </c>
      <c r="B174" s="18" t="s">
        <v>125</v>
      </c>
      <c r="C174" s="13"/>
      <c r="D174" s="13"/>
      <c r="E174" s="18" t="s">
        <v>122</v>
      </c>
      <c r="F174" s="18" t="s">
        <v>82</v>
      </c>
      <c r="G174" s="18" t="s">
        <v>117</v>
      </c>
      <c r="H174" s="18" t="s">
        <v>138</v>
      </c>
      <c r="I174" s="18" t="s">
        <v>85</v>
      </c>
      <c r="J174" s="18">
        <v>5</v>
      </c>
      <c r="K174" s="16">
        <v>27.99</v>
      </c>
      <c r="L174" s="10"/>
      <c r="M174" s="16">
        <v>0</v>
      </c>
      <c r="N174" s="16">
        <v>0</v>
      </c>
      <c r="O174" s="18">
        <v>0</v>
      </c>
      <c r="P174" s="18" t="s">
        <v>86</v>
      </c>
      <c r="Q174" s="18">
        <v>3.366951</v>
      </c>
      <c r="R174" s="10"/>
      <c r="S174" s="16">
        <v>289</v>
      </c>
      <c r="T174" s="16">
        <v>10</v>
      </c>
      <c r="U174" s="18" t="s">
        <v>951</v>
      </c>
      <c r="V174" s="18" t="s">
        <v>125</v>
      </c>
      <c r="W174" s="13"/>
      <c r="X174" s="13"/>
      <c r="Y174" s="18" t="s">
        <v>122</v>
      </c>
      <c r="Z174" s="18" t="s">
        <v>82</v>
      </c>
      <c r="AA174" s="18" t="s">
        <v>117</v>
      </c>
      <c r="AB174" s="18" t="s">
        <v>138</v>
      </c>
      <c r="AC174" s="18" t="s">
        <v>85</v>
      </c>
      <c r="AD174" s="18">
        <v>50.98</v>
      </c>
      <c r="AE174" s="18">
        <v>0</v>
      </c>
      <c r="AF174" s="18">
        <v>1</v>
      </c>
      <c r="AG174" s="18">
        <v>0</v>
      </c>
      <c r="AH174" s="18">
        <v>0</v>
      </c>
      <c r="AI174" s="18">
        <v>0</v>
      </c>
      <c r="AJ174" s="18">
        <v>0</v>
      </c>
      <c r="AK174" s="18">
        <v>0</v>
      </c>
      <c r="AL174" s="18">
        <v>0</v>
      </c>
      <c r="AM174" s="18">
        <v>0</v>
      </c>
      <c r="AN174" s="18">
        <v>0</v>
      </c>
      <c r="AO174" s="18">
        <v>0</v>
      </c>
      <c r="AP174" s="18">
        <v>1</v>
      </c>
      <c r="AQ174" s="18">
        <v>0</v>
      </c>
      <c r="AR174" s="18">
        <v>0</v>
      </c>
      <c r="AS174" s="18">
        <v>1</v>
      </c>
      <c r="AT174" s="18">
        <v>0</v>
      </c>
      <c r="AU174" s="18">
        <v>0</v>
      </c>
      <c r="AV174" s="18">
        <v>0</v>
      </c>
      <c r="AW174" s="18">
        <v>0</v>
      </c>
      <c r="AX174" s="18">
        <v>0</v>
      </c>
      <c r="AY174" s="13"/>
      <c r="AZ174" s="18">
        <v>1</v>
      </c>
      <c r="BA174" s="18">
        <v>0</v>
      </c>
      <c r="BB174" s="18">
        <v>62.57</v>
      </c>
      <c r="BC174" s="18" t="s">
        <v>952</v>
      </c>
      <c r="BD174" s="13"/>
      <c r="BE174" s="13"/>
      <c r="BF174" s="13"/>
      <c r="BG174" s="18">
        <v>0</v>
      </c>
      <c r="BH174" s="18">
        <v>0</v>
      </c>
      <c r="BI174" s="13"/>
      <c r="BJ174" s="18">
        <v>0</v>
      </c>
      <c r="BK174" s="18">
        <v>74</v>
      </c>
      <c r="BL174" s="18">
        <v>79.7</v>
      </c>
      <c r="BM174" s="13">
        <f t="shared" si="0"/>
        <v>8089.11</v>
      </c>
    </row>
    <row r="175" customHeight="1" spans="1:65">
      <c r="A175" s="18" t="s">
        <v>953</v>
      </c>
      <c r="B175" s="18" t="s">
        <v>954</v>
      </c>
      <c r="C175" s="13"/>
      <c r="D175" s="13"/>
      <c r="E175" s="18" t="s">
        <v>955</v>
      </c>
      <c r="F175" s="18" t="s">
        <v>956</v>
      </c>
      <c r="G175" s="18" t="s">
        <v>83</v>
      </c>
      <c r="H175" s="18" t="s">
        <v>84</v>
      </c>
      <c r="I175" s="18" t="s">
        <v>153</v>
      </c>
      <c r="J175" s="18">
        <v>2</v>
      </c>
      <c r="K175" s="16">
        <v>40</v>
      </c>
      <c r="L175" s="10"/>
      <c r="M175" s="16">
        <v>0</v>
      </c>
      <c r="N175" s="16">
        <v>0</v>
      </c>
      <c r="O175" s="18">
        <v>0</v>
      </c>
      <c r="P175" s="18" t="s">
        <v>86</v>
      </c>
      <c r="Q175" s="18">
        <v>3.713572</v>
      </c>
      <c r="R175" s="10"/>
      <c r="S175" s="10"/>
      <c r="T175" s="10"/>
      <c r="U175" s="18" t="s">
        <v>953</v>
      </c>
      <c r="V175" s="18" t="s">
        <v>954</v>
      </c>
      <c r="W175" s="13"/>
      <c r="X175" s="13"/>
      <c r="Y175" s="18" t="s">
        <v>955</v>
      </c>
      <c r="Z175" s="18" t="s">
        <v>956</v>
      </c>
      <c r="AA175" s="18" t="s">
        <v>83</v>
      </c>
      <c r="AB175" s="18" t="s">
        <v>84</v>
      </c>
      <c r="AC175" s="18" t="s">
        <v>153</v>
      </c>
      <c r="AD175" s="18">
        <v>78</v>
      </c>
      <c r="AE175" s="18">
        <v>0</v>
      </c>
      <c r="AF175" s="18">
        <v>0</v>
      </c>
      <c r="AG175" s="18">
        <v>0</v>
      </c>
      <c r="AH175" s="18">
        <v>0</v>
      </c>
      <c r="AI175" s="18">
        <v>0</v>
      </c>
      <c r="AJ175" s="18">
        <v>0</v>
      </c>
      <c r="AK175" s="18">
        <v>0</v>
      </c>
      <c r="AL175" s="18">
        <v>0</v>
      </c>
      <c r="AM175" s="18">
        <v>0</v>
      </c>
      <c r="AN175" s="18">
        <v>0</v>
      </c>
      <c r="AO175" s="18">
        <v>0</v>
      </c>
      <c r="AP175" s="18">
        <v>0</v>
      </c>
      <c r="AQ175" s="18">
        <v>0</v>
      </c>
      <c r="AR175" s="18">
        <v>0</v>
      </c>
      <c r="AS175" s="18">
        <v>0</v>
      </c>
      <c r="AT175" s="18">
        <v>0</v>
      </c>
      <c r="AU175" s="18">
        <v>0</v>
      </c>
      <c r="AV175" s="18">
        <v>0</v>
      </c>
      <c r="AW175" s="18">
        <v>0</v>
      </c>
      <c r="AX175" s="18">
        <v>0</v>
      </c>
      <c r="AY175" s="13"/>
      <c r="AZ175" s="18">
        <v>1</v>
      </c>
      <c r="BA175" s="18">
        <v>0</v>
      </c>
      <c r="BB175" s="18">
        <v>0</v>
      </c>
      <c r="BC175" s="18" t="s">
        <v>957</v>
      </c>
      <c r="BD175" s="18" t="s">
        <v>958</v>
      </c>
      <c r="BE175" s="18" t="s">
        <v>665</v>
      </c>
      <c r="BF175" s="18" t="s">
        <v>77</v>
      </c>
      <c r="BG175" s="18">
        <v>168</v>
      </c>
      <c r="BH175" s="18">
        <v>11</v>
      </c>
      <c r="BI175" s="18">
        <v>0.9385</v>
      </c>
      <c r="BJ175" s="18">
        <v>0</v>
      </c>
      <c r="BK175" s="13"/>
      <c r="BL175" s="13"/>
      <c r="BM175" s="13">
        <f t="shared" si="0"/>
        <v>0</v>
      </c>
    </row>
    <row r="176" customHeight="1" spans="1:65">
      <c r="A176" s="18" t="s">
        <v>181</v>
      </c>
      <c r="B176" s="18" t="s">
        <v>125</v>
      </c>
      <c r="C176" s="13"/>
      <c r="D176" s="13"/>
      <c r="E176" s="18" t="s">
        <v>182</v>
      </c>
      <c r="F176" s="18" t="s">
        <v>82</v>
      </c>
      <c r="G176" s="18" t="s">
        <v>83</v>
      </c>
      <c r="H176" s="18" t="s">
        <v>138</v>
      </c>
      <c r="I176" s="18" t="s">
        <v>85</v>
      </c>
      <c r="J176" s="18">
        <v>5</v>
      </c>
      <c r="K176" s="16">
        <v>6.29</v>
      </c>
      <c r="L176" s="10"/>
      <c r="M176" s="16">
        <v>0</v>
      </c>
      <c r="N176" s="16">
        <v>0</v>
      </c>
      <c r="O176" s="18">
        <v>0</v>
      </c>
      <c r="P176" s="18" t="s">
        <v>133</v>
      </c>
      <c r="Q176" s="18">
        <v>1.986504</v>
      </c>
      <c r="R176" s="10"/>
      <c r="S176" s="16">
        <v>236</v>
      </c>
      <c r="T176" s="16">
        <v>10</v>
      </c>
      <c r="U176" s="18" t="s">
        <v>181</v>
      </c>
      <c r="V176" s="18" t="s">
        <v>125</v>
      </c>
      <c r="W176" s="13"/>
      <c r="X176" s="13"/>
      <c r="Y176" s="18" t="s">
        <v>182</v>
      </c>
      <c r="Z176" s="18" t="s">
        <v>82</v>
      </c>
      <c r="AA176" s="18" t="s">
        <v>83</v>
      </c>
      <c r="AB176" s="18" t="s">
        <v>138</v>
      </c>
      <c r="AC176" s="18" t="s">
        <v>85</v>
      </c>
      <c r="AD176" s="18">
        <v>7.58</v>
      </c>
      <c r="AE176" s="18">
        <v>0</v>
      </c>
      <c r="AF176" s="18">
        <v>0</v>
      </c>
      <c r="AG176" s="18">
        <v>0</v>
      </c>
      <c r="AH176" s="18">
        <v>1</v>
      </c>
      <c r="AI176" s="18">
        <v>0</v>
      </c>
      <c r="AJ176" s="18">
        <v>0</v>
      </c>
      <c r="AK176" s="18">
        <v>0</v>
      </c>
      <c r="AL176" s="18">
        <v>0</v>
      </c>
      <c r="AM176" s="18">
        <v>0</v>
      </c>
      <c r="AN176" s="18">
        <v>0</v>
      </c>
      <c r="AO176" s="18">
        <v>0</v>
      </c>
      <c r="AP176" s="18">
        <v>0</v>
      </c>
      <c r="AQ176" s="18">
        <v>1</v>
      </c>
      <c r="AR176" s="18">
        <v>0</v>
      </c>
      <c r="AS176" s="18">
        <v>0</v>
      </c>
      <c r="AT176" s="18">
        <v>0</v>
      </c>
      <c r="AU176" s="18">
        <v>0</v>
      </c>
      <c r="AV176" s="18">
        <v>1</v>
      </c>
      <c r="AW176" s="18">
        <v>0</v>
      </c>
      <c r="AX176" s="18">
        <v>0</v>
      </c>
      <c r="AY176" s="13"/>
      <c r="AZ176" s="18">
        <v>1</v>
      </c>
      <c r="BA176" s="18">
        <v>3</v>
      </c>
      <c r="BB176" s="18">
        <v>67.89</v>
      </c>
      <c r="BC176" s="18" t="s">
        <v>183</v>
      </c>
      <c r="BD176" s="18" t="s">
        <v>184</v>
      </c>
      <c r="BE176" s="18" t="s">
        <v>128</v>
      </c>
      <c r="BF176" s="18" t="s">
        <v>77</v>
      </c>
      <c r="BG176" s="18">
        <v>1</v>
      </c>
      <c r="BH176" s="18">
        <v>73</v>
      </c>
      <c r="BI176" s="18">
        <v>0.0135</v>
      </c>
      <c r="BJ176" s="18">
        <v>1</v>
      </c>
      <c r="BK176" s="18">
        <v>6</v>
      </c>
      <c r="BL176" s="18">
        <v>98.4</v>
      </c>
      <c r="BM176" s="13">
        <f t="shared" si="0"/>
        <v>1484.44</v>
      </c>
    </row>
    <row r="177" customHeight="1" spans="1:65">
      <c r="A177" s="18" t="s">
        <v>961</v>
      </c>
      <c r="B177" s="18" t="s">
        <v>962</v>
      </c>
      <c r="C177" s="13"/>
      <c r="D177" s="13"/>
      <c r="E177" s="18" t="s">
        <v>559</v>
      </c>
      <c r="F177" s="18" t="s">
        <v>240</v>
      </c>
      <c r="G177" s="18" t="s">
        <v>83</v>
      </c>
      <c r="H177" s="18" t="s">
        <v>84</v>
      </c>
      <c r="I177" s="18" t="s">
        <v>153</v>
      </c>
      <c r="J177" s="18">
        <v>2</v>
      </c>
      <c r="K177" s="16">
        <v>69</v>
      </c>
      <c r="L177" s="10"/>
      <c r="M177" s="16">
        <v>0</v>
      </c>
      <c r="N177" s="16">
        <v>0</v>
      </c>
      <c r="O177" s="18">
        <v>0</v>
      </c>
      <c r="P177" s="18" t="s">
        <v>86</v>
      </c>
      <c r="Q177" s="18">
        <v>4.248495</v>
      </c>
      <c r="R177" s="16">
        <v>17.25</v>
      </c>
      <c r="S177" s="10"/>
      <c r="T177" s="10"/>
      <c r="U177" s="18" t="s">
        <v>961</v>
      </c>
      <c r="V177" s="18" t="s">
        <v>962</v>
      </c>
      <c r="W177" s="13"/>
      <c r="X177" s="13"/>
      <c r="Y177" s="18" t="s">
        <v>559</v>
      </c>
      <c r="Z177" s="18" t="s">
        <v>240</v>
      </c>
      <c r="AA177" s="18" t="s">
        <v>83</v>
      </c>
      <c r="AB177" s="18" t="s">
        <v>84</v>
      </c>
      <c r="AC177" s="18" t="s">
        <v>153</v>
      </c>
      <c r="AD177" s="18">
        <v>136</v>
      </c>
      <c r="AE177" s="18">
        <v>0</v>
      </c>
      <c r="AF177" s="18">
        <v>0</v>
      </c>
      <c r="AG177" s="18">
        <v>0</v>
      </c>
      <c r="AH177" s="18">
        <v>0</v>
      </c>
      <c r="AI177" s="18">
        <v>0</v>
      </c>
      <c r="AJ177" s="18">
        <v>0</v>
      </c>
      <c r="AK177" s="18">
        <v>0</v>
      </c>
      <c r="AL177" s="18">
        <v>0</v>
      </c>
      <c r="AM177" s="18">
        <v>0</v>
      </c>
      <c r="AN177" s="18">
        <v>0</v>
      </c>
      <c r="AO177" s="18">
        <v>0</v>
      </c>
      <c r="AP177" s="18">
        <v>0</v>
      </c>
      <c r="AQ177" s="18">
        <v>1</v>
      </c>
      <c r="AR177" s="18">
        <v>0</v>
      </c>
      <c r="AS177" s="18">
        <v>0</v>
      </c>
      <c r="AT177" s="18">
        <v>0</v>
      </c>
      <c r="AU177" s="18">
        <v>0</v>
      </c>
      <c r="AV177" s="18">
        <v>1</v>
      </c>
      <c r="AW177" s="18">
        <v>1</v>
      </c>
      <c r="AX177" s="18">
        <v>0</v>
      </c>
      <c r="AY177" s="18">
        <v>4</v>
      </c>
      <c r="AZ177" s="18">
        <v>1</v>
      </c>
      <c r="BA177" s="18">
        <v>1</v>
      </c>
      <c r="BB177" s="18">
        <v>0</v>
      </c>
      <c r="BC177" s="18" t="s">
        <v>963</v>
      </c>
      <c r="BD177" s="18" t="s">
        <v>97</v>
      </c>
      <c r="BE177" s="18" t="s">
        <v>98</v>
      </c>
      <c r="BF177" s="18" t="s">
        <v>77</v>
      </c>
      <c r="BG177" s="18">
        <v>1</v>
      </c>
      <c r="BH177" s="18">
        <v>28</v>
      </c>
      <c r="BI177" s="18">
        <v>0.0345</v>
      </c>
      <c r="BJ177" s="18">
        <v>1</v>
      </c>
      <c r="BK177" s="18">
        <v>562</v>
      </c>
      <c r="BL177" s="18">
        <v>0</v>
      </c>
      <c r="BM177" s="13">
        <f t="shared" si="0"/>
        <v>0</v>
      </c>
    </row>
    <row r="178" customHeight="1" spans="1:65">
      <c r="A178" s="18" t="s">
        <v>964</v>
      </c>
      <c r="B178" s="18" t="s">
        <v>144</v>
      </c>
      <c r="C178" s="13"/>
      <c r="D178" s="13"/>
      <c r="E178" s="18" t="s">
        <v>434</v>
      </c>
      <c r="F178" s="18" t="s">
        <v>240</v>
      </c>
      <c r="G178" s="18" t="s">
        <v>83</v>
      </c>
      <c r="H178" s="18" t="s">
        <v>84</v>
      </c>
      <c r="I178" s="18" t="s">
        <v>85</v>
      </c>
      <c r="J178" s="18">
        <v>5</v>
      </c>
      <c r="K178" s="16">
        <v>129</v>
      </c>
      <c r="L178" s="10"/>
      <c r="M178" s="16">
        <v>0</v>
      </c>
      <c r="N178" s="16">
        <v>0</v>
      </c>
      <c r="O178" s="18">
        <v>0</v>
      </c>
      <c r="P178" s="18" t="s">
        <v>95</v>
      </c>
      <c r="Q178" s="18">
        <v>4.867534</v>
      </c>
      <c r="R178" s="10"/>
      <c r="S178" s="16">
        <v>2</v>
      </c>
      <c r="T178" s="16">
        <v>10</v>
      </c>
      <c r="U178" s="18" t="s">
        <v>964</v>
      </c>
      <c r="V178" s="18" t="s">
        <v>144</v>
      </c>
      <c r="W178" s="13"/>
      <c r="X178" s="13"/>
      <c r="Y178" s="18" t="s">
        <v>434</v>
      </c>
      <c r="Z178" s="18" t="s">
        <v>240</v>
      </c>
      <c r="AA178" s="18" t="s">
        <v>83</v>
      </c>
      <c r="AB178" s="18" t="s">
        <v>84</v>
      </c>
      <c r="AC178" s="18" t="s">
        <v>85</v>
      </c>
      <c r="AD178" s="18">
        <v>253</v>
      </c>
      <c r="AE178" s="18">
        <v>0</v>
      </c>
      <c r="AF178" s="18">
        <v>0</v>
      </c>
      <c r="AG178" s="18">
        <v>0</v>
      </c>
      <c r="AH178" s="18">
        <v>0</v>
      </c>
      <c r="AI178" s="18">
        <v>0</v>
      </c>
      <c r="AJ178" s="18">
        <v>0</v>
      </c>
      <c r="AK178" s="18">
        <v>0</v>
      </c>
      <c r="AL178" s="18">
        <v>0</v>
      </c>
      <c r="AM178" s="18">
        <v>0</v>
      </c>
      <c r="AN178" s="18">
        <v>0</v>
      </c>
      <c r="AO178" s="18">
        <v>0</v>
      </c>
      <c r="AP178" s="18">
        <v>0</v>
      </c>
      <c r="AQ178" s="18">
        <v>0</v>
      </c>
      <c r="AR178" s="18">
        <v>0</v>
      </c>
      <c r="AS178" s="18">
        <v>0</v>
      </c>
      <c r="AT178" s="18">
        <v>0</v>
      </c>
      <c r="AU178" s="18">
        <v>0</v>
      </c>
      <c r="AV178" s="18">
        <v>0</v>
      </c>
      <c r="AW178" s="18">
        <v>0</v>
      </c>
      <c r="AX178" s="18">
        <v>0</v>
      </c>
      <c r="AY178" s="13"/>
      <c r="AZ178" s="18">
        <v>1</v>
      </c>
      <c r="BA178" s="18">
        <v>0</v>
      </c>
      <c r="BB178" s="18">
        <v>18.58</v>
      </c>
      <c r="BC178" s="18" t="s">
        <v>965</v>
      </c>
      <c r="BD178" s="13"/>
      <c r="BE178" s="13"/>
      <c r="BF178" s="13"/>
      <c r="BG178" s="18">
        <v>0</v>
      </c>
      <c r="BH178" s="18">
        <v>0</v>
      </c>
      <c r="BI178" s="13"/>
      <c r="BJ178" s="18">
        <v>0</v>
      </c>
      <c r="BK178" s="18">
        <v>220</v>
      </c>
      <c r="BL178" s="18">
        <v>39.7</v>
      </c>
      <c r="BM178" s="13">
        <f t="shared" si="0"/>
        <v>258</v>
      </c>
    </row>
    <row r="179" customHeight="1" spans="1:65">
      <c r="A179" s="18" t="s">
        <v>966</v>
      </c>
      <c r="B179" s="18" t="s">
        <v>967</v>
      </c>
      <c r="C179" s="13"/>
      <c r="D179" s="18">
        <v>744390953460</v>
      </c>
      <c r="E179" s="18" t="s">
        <v>968</v>
      </c>
      <c r="F179" s="18" t="s">
        <v>82</v>
      </c>
      <c r="G179" s="18" t="s">
        <v>83</v>
      </c>
      <c r="H179" s="18" t="s">
        <v>84</v>
      </c>
      <c r="I179" s="18" t="s">
        <v>85</v>
      </c>
      <c r="J179" s="18">
        <v>5</v>
      </c>
      <c r="K179" s="16">
        <v>19</v>
      </c>
      <c r="L179" s="10"/>
      <c r="M179" s="16">
        <v>0</v>
      </c>
      <c r="N179" s="16">
        <v>0</v>
      </c>
      <c r="O179" s="18">
        <v>0</v>
      </c>
      <c r="P179" s="18" t="s">
        <v>133</v>
      </c>
      <c r="Q179" s="18">
        <v>2.995732</v>
      </c>
      <c r="R179" s="10"/>
      <c r="S179" s="16">
        <v>31</v>
      </c>
      <c r="T179" s="16">
        <v>10</v>
      </c>
      <c r="U179" s="18" t="s">
        <v>966</v>
      </c>
      <c r="V179" s="18" t="s">
        <v>967</v>
      </c>
      <c r="W179" s="13"/>
      <c r="X179" s="18">
        <v>744390953461</v>
      </c>
      <c r="Y179" s="18" t="s">
        <v>968</v>
      </c>
      <c r="Z179" s="18" t="s">
        <v>82</v>
      </c>
      <c r="AA179" s="18" t="s">
        <v>83</v>
      </c>
      <c r="AB179" s="18" t="s">
        <v>84</v>
      </c>
      <c r="AC179" s="18" t="s">
        <v>85</v>
      </c>
      <c r="AD179" s="18">
        <v>33</v>
      </c>
      <c r="AE179" s="18">
        <v>0</v>
      </c>
      <c r="AF179" s="18">
        <v>0</v>
      </c>
      <c r="AG179" s="18">
        <v>0</v>
      </c>
      <c r="AH179" s="18">
        <v>1</v>
      </c>
      <c r="AI179" s="18">
        <v>0</v>
      </c>
      <c r="AJ179" s="18">
        <v>0</v>
      </c>
      <c r="AK179" s="18">
        <v>1</v>
      </c>
      <c r="AL179" s="18">
        <v>0</v>
      </c>
      <c r="AM179" s="18">
        <v>0</v>
      </c>
      <c r="AN179" s="18">
        <v>0</v>
      </c>
      <c r="AO179" s="18">
        <v>0</v>
      </c>
      <c r="AP179" s="18">
        <v>0</v>
      </c>
      <c r="AQ179" s="18">
        <v>0</v>
      </c>
      <c r="AR179" s="18">
        <v>1</v>
      </c>
      <c r="AS179" s="18">
        <v>0</v>
      </c>
      <c r="AT179" s="18">
        <v>0</v>
      </c>
      <c r="AU179" s="18">
        <v>1</v>
      </c>
      <c r="AV179" s="18">
        <v>0</v>
      </c>
      <c r="AW179" s="18">
        <v>0</v>
      </c>
      <c r="AX179" s="18">
        <v>0</v>
      </c>
      <c r="AY179" s="13"/>
      <c r="AZ179" s="18">
        <v>1</v>
      </c>
      <c r="BA179" s="18">
        <v>4</v>
      </c>
      <c r="BB179" s="18">
        <v>60.09</v>
      </c>
      <c r="BC179" s="18" t="s">
        <v>969</v>
      </c>
      <c r="BD179" s="18" t="s">
        <v>970</v>
      </c>
      <c r="BE179" s="18" t="s">
        <v>77</v>
      </c>
      <c r="BF179" s="18" t="s">
        <v>77</v>
      </c>
      <c r="BG179" s="18">
        <v>162</v>
      </c>
      <c r="BH179" s="18">
        <v>20</v>
      </c>
      <c r="BI179" s="18">
        <v>0.8901</v>
      </c>
      <c r="BJ179" s="18">
        <v>0</v>
      </c>
      <c r="BK179" s="18">
        <v>2</v>
      </c>
      <c r="BL179" s="18">
        <v>99.5</v>
      </c>
      <c r="BM179" s="13">
        <f t="shared" si="0"/>
        <v>589</v>
      </c>
    </row>
    <row r="180" customHeight="1" spans="1:65">
      <c r="A180" s="18" t="s">
        <v>2230</v>
      </c>
      <c r="B180" s="18" t="s">
        <v>115</v>
      </c>
      <c r="C180" s="18" t="s">
        <v>2231</v>
      </c>
      <c r="D180" s="18">
        <v>656081895105</v>
      </c>
      <c r="E180" s="18" t="s">
        <v>131</v>
      </c>
      <c r="F180" s="18" t="s">
        <v>132</v>
      </c>
      <c r="G180" s="18" t="s">
        <v>117</v>
      </c>
      <c r="H180" s="18" t="s">
        <v>107</v>
      </c>
      <c r="I180" s="18" t="s">
        <v>85</v>
      </c>
      <c r="J180" s="18">
        <v>5</v>
      </c>
      <c r="K180" s="16">
        <v>14.99</v>
      </c>
      <c r="L180" s="10"/>
      <c r="M180" s="16">
        <v>0</v>
      </c>
      <c r="N180" s="16">
        <v>0</v>
      </c>
      <c r="O180" s="18">
        <v>0</v>
      </c>
      <c r="P180" s="18" t="s">
        <v>133</v>
      </c>
      <c r="Q180" s="18">
        <v>2.771964</v>
      </c>
      <c r="R180" s="10"/>
      <c r="S180" s="16">
        <v>16</v>
      </c>
      <c r="T180" s="16">
        <v>1</v>
      </c>
      <c r="U180" s="18" t="s">
        <v>2230</v>
      </c>
      <c r="V180" s="18" t="s">
        <v>115</v>
      </c>
      <c r="W180" s="18" t="s">
        <v>2231</v>
      </c>
      <c r="X180" s="18">
        <v>656081895106</v>
      </c>
      <c r="Y180" s="18" t="s">
        <v>131</v>
      </c>
      <c r="Z180" s="18" t="s">
        <v>132</v>
      </c>
      <c r="AA180" s="18" t="s">
        <v>117</v>
      </c>
      <c r="AB180" s="18" t="s">
        <v>107</v>
      </c>
      <c r="AC180" s="18" t="s">
        <v>85</v>
      </c>
      <c r="AD180" s="18">
        <v>24.98</v>
      </c>
      <c r="AE180" s="18">
        <v>1</v>
      </c>
      <c r="AF180" s="18">
        <v>0</v>
      </c>
      <c r="AG180" s="18">
        <v>0</v>
      </c>
      <c r="AH180" s="18">
        <v>0</v>
      </c>
      <c r="AI180" s="18">
        <v>0</v>
      </c>
      <c r="AJ180" s="18">
        <v>0</v>
      </c>
      <c r="AK180" s="18">
        <v>0</v>
      </c>
      <c r="AL180" s="18">
        <v>0</v>
      </c>
      <c r="AM180" s="18">
        <v>0</v>
      </c>
      <c r="AN180" s="18">
        <v>0</v>
      </c>
      <c r="AO180" s="18">
        <v>0</v>
      </c>
      <c r="AP180" s="18">
        <v>0</v>
      </c>
      <c r="AQ180" s="18">
        <v>0</v>
      </c>
      <c r="AR180" s="18">
        <v>0</v>
      </c>
      <c r="AS180" s="18">
        <v>0</v>
      </c>
      <c r="AT180" s="18">
        <v>0</v>
      </c>
      <c r="AU180" s="18">
        <v>0</v>
      </c>
      <c r="AV180" s="18">
        <v>0</v>
      </c>
      <c r="AW180" s="18">
        <v>0</v>
      </c>
      <c r="AX180" s="18">
        <v>0</v>
      </c>
      <c r="AY180" s="13"/>
      <c r="AZ180" s="18">
        <v>1</v>
      </c>
      <c r="BA180" s="18">
        <v>1</v>
      </c>
      <c r="BB180" s="18">
        <v>66.42</v>
      </c>
      <c r="BC180" s="18" t="s">
        <v>974</v>
      </c>
      <c r="BD180" s="18" t="s">
        <v>975</v>
      </c>
      <c r="BE180" s="18" t="s">
        <v>113</v>
      </c>
      <c r="BF180" s="18" t="s">
        <v>77</v>
      </c>
      <c r="BG180" s="18">
        <v>168</v>
      </c>
      <c r="BH180" s="18">
        <v>11</v>
      </c>
      <c r="BI180" s="18">
        <v>0.9385</v>
      </c>
      <c r="BJ180" s="18">
        <v>0</v>
      </c>
      <c r="BK180" s="18">
        <v>15</v>
      </c>
      <c r="BL180" s="18">
        <v>95.9</v>
      </c>
      <c r="BM180" s="13">
        <f t="shared" si="0"/>
        <v>239.84</v>
      </c>
    </row>
    <row r="181" customHeight="1" spans="1:65">
      <c r="A181" s="18" t="s">
        <v>973</v>
      </c>
      <c r="B181" s="18" t="s">
        <v>115</v>
      </c>
      <c r="C181" s="13"/>
      <c r="D181" s="13"/>
      <c r="E181" s="18" t="s">
        <v>163</v>
      </c>
      <c r="F181" s="18" t="s">
        <v>82</v>
      </c>
      <c r="G181" s="18" t="s">
        <v>117</v>
      </c>
      <c r="H181" s="18" t="s">
        <v>107</v>
      </c>
      <c r="I181" s="18" t="s">
        <v>85</v>
      </c>
      <c r="J181" s="18">
        <v>5</v>
      </c>
      <c r="K181" s="16">
        <v>9.99</v>
      </c>
      <c r="L181" s="10"/>
      <c r="M181" s="16">
        <v>0</v>
      </c>
      <c r="N181" s="16">
        <v>0</v>
      </c>
      <c r="O181" s="18">
        <v>0</v>
      </c>
      <c r="P181" s="18" t="s">
        <v>133</v>
      </c>
      <c r="Q181" s="18">
        <v>2.396986</v>
      </c>
      <c r="R181" s="10"/>
      <c r="S181" s="16">
        <v>41</v>
      </c>
      <c r="T181" s="16">
        <v>4</v>
      </c>
      <c r="U181" s="18" t="s">
        <v>973</v>
      </c>
      <c r="V181" s="18" t="s">
        <v>115</v>
      </c>
      <c r="W181" s="13"/>
      <c r="X181" s="13"/>
      <c r="Y181" s="18" t="s">
        <v>163</v>
      </c>
      <c r="Z181" s="18" t="s">
        <v>82</v>
      </c>
      <c r="AA181" s="18" t="s">
        <v>117</v>
      </c>
      <c r="AB181" s="18" t="s">
        <v>107</v>
      </c>
      <c r="AC181" s="18" t="s">
        <v>85</v>
      </c>
      <c r="AD181" s="18">
        <v>14.98</v>
      </c>
      <c r="AE181" s="18">
        <v>0</v>
      </c>
      <c r="AF181" s="18">
        <v>1</v>
      </c>
      <c r="AG181" s="18">
        <v>0</v>
      </c>
      <c r="AH181" s="18">
        <v>0</v>
      </c>
      <c r="AI181" s="18">
        <v>0</v>
      </c>
      <c r="AJ181" s="18">
        <v>0</v>
      </c>
      <c r="AK181" s="18">
        <v>0</v>
      </c>
      <c r="AL181" s="18">
        <v>0</v>
      </c>
      <c r="AM181" s="18">
        <v>0</v>
      </c>
      <c r="AN181" s="18">
        <v>0</v>
      </c>
      <c r="AO181" s="18">
        <v>0</v>
      </c>
      <c r="AP181" s="18">
        <v>1</v>
      </c>
      <c r="AQ181" s="18">
        <v>0</v>
      </c>
      <c r="AR181" s="18">
        <v>0</v>
      </c>
      <c r="AS181" s="18">
        <v>0</v>
      </c>
      <c r="AT181" s="18">
        <v>0</v>
      </c>
      <c r="AU181" s="18">
        <v>0</v>
      </c>
      <c r="AV181" s="18">
        <v>0</v>
      </c>
      <c r="AW181" s="18">
        <v>1</v>
      </c>
      <c r="AX181" s="18">
        <v>0</v>
      </c>
      <c r="AY181" s="13"/>
      <c r="AZ181" s="18">
        <v>1</v>
      </c>
      <c r="BA181" s="18">
        <v>0</v>
      </c>
      <c r="BB181" s="18">
        <v>66.11</v>
      </c>
      <c r="BC181" s="18" t="s">
        <v>974</v>
      </c>
      <c r="BD181" s="18" t="s">
        <v>975</v>
      </c>
      <c r="BE181" s="18" t="s">
        <v>128</v>
      </c>
      <c r="BF181" s="18" t="s">
        <v>77</v>
      </c>
      <c r="BG181" s="18">
        <v>1</v>
      </c>
      <c r="BH181" s="18">
        <v>11</v>
      </c>
      <c r="BI181" s="18">
        <v>0.0833</v>
      </c>
      <c r="BJ181" s="18">
        <v>1</v>
      </c>
      <c r="BK181" s="18">
        <v>4</v>
      </c>
      <c r="BL181" s="18">
        <v>98.9</v>
      </c>
      <c r="BM181" s="13">
        <f t="shared" si="0"/>
        <v>409.59</v>
      </c>
    </row>
    <row r="182" customHeight="1" spans="1:65">
      <c r="A182" s="18" t="s">
        <v>976</v>
      </c>
      <c r="B182" s="18" t="s">
        <v>125</v>
      </c>
      <c r="C182" s="13"/>
      <c r="D182" s="13"/>
      <c r="E182" s="18" t="s">
        <v>81</v>
      </c>
      <c r="F182" s="18" t="s">
        <v>82</v>
      </c>
      <c r="G182" s="18" t="s">
        <v>83</v>
      </c>
      <c r="H182" s="18" t="s">
        <v>138</v>
      </c>
      <c r="I182" s="18" t="s">
        <v>85</v>
      </c>
      <c r="J182" s="18">
        <v>5</v>
      </c>
      <c r="K182" s="16">
        <v>8.99</v>
      </c>
      <c r="L182" s="10"/>
      <c r="M182" s="16">
        <v>0</v>
      </c>
      <c r="N182" s="16">
        <v>0</v>
      </c>
      <c r="O182" s="18">
        <v>0</v>
      </c>
      <c r="P182" s="18" t="s">
        <v>133</v>
      </c>
      <c r="Q182" s="18">
        <v>2.301585</v>
      </c>
      <c r="R182" s="10"/>
      <c r="S182" s="16">
        <v>66</v>
      </c>
      <c r="T182" s="16">
        <v>10</v>
      </c>
      <c r="U182" s="18" t="s">
        <v>976</v>
      </c>
      <c r="V182" s="18" t="s">
        <v>125</v>
      </c>
      <c r="W182" s="13"/>
      <c r="X182" s="13"/>
      <c r="Y182" s="18" t="s">
        <v>81</v>
      </c>
      <c r="Z182" s="18" t="s">
        <v>82</v>
      </c>
      <c r="AA182" s="18" t="s">
        <v>83</v>
      </c>
      <c r="AB182" s="18" t="s">
        <v>138</v>
      </c>
      <c r="AC182" s="18" t="s">
        <v>85</v>
      </c>
      <c r="AD182" s="18">
        <v>12.98</v>
      </c>
      <c r="AE182" s="18">
        <v>0</v>
      </c>
      <c r="AF182" s="18">
        <v>0</v>
      </c>
      <c r="AG182" s="18">
        <v>0</v>
      </c>
      <c r="AH182" s="18">
        <v>1</v>
      </c>
      <c r="AI182" s="18">
        <v>0</v>
      </c>
      <c r="AJ182" s="18">
        <v>1</v>
      </c>
      <c r="AK182" s="18">
        <v>0</v>
      </c>
      <c r="AL182" s="18">
        <v>0</v>
      </c>
      <c r="AM182" s="18">
        <v>0</v>
      </c>
      <c r="AN182" s="18">
        <v>0</v>
      </c>
      <c r="AO182" s="18">
        <v>0</v>
      </c>
      <c r="AP182" s="18">
        <v>0</v>
      </c>
      <c r="AQ182" s="18">
        <v>0</v>
      </c>
      <c r="AR182" s="18">
        <v>0</v>
      </c>
      <c r="AS182" s="18">
        <v>0</v>
      </c>
      <c r="AT182" s="18">
        <v>0</v>
      </c>
      <c r="AU182" s="18">
        <v>0</v>
      </c>
      <c r="AV182" s="18">
        <v>0</v>
      </c>
      <c r="AW182" s="18">
        <v>0</v>
      </c>
      <c r="AX182" s="18">
        <v>0</v>
      </c>
      <c r="AY182" s="13"/>
      <c r="AZ182" s="18">
        <v>1</v>
      </c>
      <c r="BA182" s="18">
        <v>1</v>
      </c>
      <c r="BB182" s="18">
        <v>60.87</v>
      </c>
      <c r="BC182" s="18" t="s">
        <v>977</v>
      </c>
      <c r="BD182" s="18" t="s">
        <v>793</v>
      </c>
      <c r="BE182" s="18" t="s">
        <v>128</v>
      </c>
      <c r="BF182" s="18" t="s">
        <v>77</v>
      </c>
      <c r="BG182" s="18">
        <v>1</v>
      </c>
      <c r="BH182" s="18">
        <v>47</v>
      </c>
      <c r="BI182" s="18">
        <v>0.0208</v>
      </c>
      <c r="BJ182" s="18">
        <v>1</v>
      </c>
      <c r="BK182" s="18">
        <v>47</v>
      </c>
      <c r="BL182" s="18">
        <v>87.1</v>
      </c>
      <c r="BM182" s="13">
        <f t="shared" si="0"/>
        <v>593.34</v>
      </c>
    </row>
    <row r="183" customHeight="1" spans="1:65">
      <c r="A183" s="18" t="s">
        <v>978</v>
      </c>
      <c r="B183" s="18" t="s">
        <v>125</v>
      </c>
      <c r="C183" s="13"/>
      <c r="D183" s="13"/>
      <c r="E183" s="18" t="s">
        <v>163</v>
      </c>
      <c r="F183" s="18" t="s">
        <v>240</v>
      </c>
      <c r="G183" s="18" t="s">
        <v>83</v>
      </c>
      <c r="H183" s="18" t="s">
        <v>138</v>
      </c>
      <c r="I183" s="18" t="s">
        <v>85</v>
      </c>
      <c r="J183" s="18">
        <v>5</v>
      </c>
      <c r="K183" s="16">
        <v>45.59</v>
      </c>
      <c r="L183" s="10"/>
      <c r="M183" s="16">
        <v>0</v>
      </c>
      <c r="N183" s="16">
        <v>0</v>
      </c>
      <c r="O183" s="18">
        <v>0</v>
      </c>
      <c r="P183" s="18" t="s">
        <v>86</v>
      </c>
      <c r="Q183" s="18">
        <v>3.841386</v>
      </c>
      <c r="R183" s="10"/>
      <c r="S183" s="16">
        <v>19</v>
      </c>
      <c r="T183" s="16">
        <v>10</v>
      </c>
      <c r="U183" s="18" t="s">
        <v>978</v>
      </c>
      <c r="V183" s="18" t="s">
        <v>125</v>
      </c>
      <c r="W183" s="13"/>
      <c r="X183" s="13"/>
      <c r="Y183" s="18" t="s">
        <v>163</v>
      </c>
      <c r="Z183" s="18" t="s">
        <v>240</v>
      </c>
      <c r="AA183" s="18" t="s">
        <v>83</v>
      </c>
      <c r="AB183" s="18" t="s">
        <v>138</v>
      </c>
      <c r="AC183" s="18" t="s">
        <v>85</v>
      </c>
      <c r="AD183" s="18">
        <v>86.18</v>
      </c>
      <c r="AE183" s="18">
        <v>0</v>
      </c>
      <c r="AF183" s="18">
        <v>0</v>
      </c>
      <c r="AG183" s="18">
        <v>0</v>
      </c>
      <c r="AH183" s="18">
        <v>0</v>
      </c>
      <c r="AI183" s="18">
        <v>0</v>
      </c>
      <c r="AJ183" s="18">
        <v>0</v>
      </c>
      <c r="AK183" s="18">
        <v>0</v>
      </c>
      <c r="AL183" s="18">
        <v>0</v>
      </c>
      <c r="AM183" s="18">
        <v>0</v>
      </c>
      <c r="AN183" s="18">
        <v>0</v>
      </c>
      <c r="AO183" s="18">
        <v>0</v>
      </c>
      <c r="AP183" s="18">
        <v>0</v>
      </c>
      <c r="AQ183" s="18">
        <v>0</v>
      </c>
      <c r="AR183" s="18">
        <v>0</v>
      </c>
      <c r="AS183" s="18">
        <v>0</v>
      </c>
      <c r="AT183" s="18">
        <v>0</v>
      </c>
      <c r="AU183" s="18">
        <v>0</v>
      </c>
      <c r="AV183" s="18">
        <v>0</v>
      </c>
      <c r="AW183" s="18">
        <v>0</v>
      </c>
      <c r="AX183" s="18">
        <v>0</v>
      </c>
      <c r="AY183" s="13"/>
      <c r="AZ183" s="18">
        <v>1</v>
      </c>
      <c r="BA183" s="18">
        <v>0</v>
      </c>
      <c r="BB183" s="18">
        <v>56.06</v>
      </c>
      <c r="BC183" s="18" t="s">
        <v>979</v>
      </c>
      <c r="BD183" s="18" t="s">
        <v>180</v>
      </c>
      <c r="BE183" s="18" t="s">
        <v>113</v>
      </c>
      <c r="BF183" s="18" t="s">
        <v>77</v>
      </c>
      <c r="BG183" s="18">
        <v>163</v>
      </c>
      <c r="BH183" s="18">
        <v>59</v>
      </c>
      <c r="BI183" s="18">
        <v>0.7342</v>
      </c>
      <c r="BJ183" s="18">
        <v>0</v>
      </c>
      <c r="BK183" s="18">
        <v>2</v>
      </c>
      <c r="BL183" s="18">
        <v>99.5</v>
      </c>
      <c r="BM183" s="13">
        <f t="shared" si="0"/>
        <v>866.21</v>
      </c>
    </row>
    <row r="184" customHeight="1" spans="1:65">
      <c r="A184" s="18" t="s">
        <v>980</v>
      </c>
      <c r="B184" s="18" t="s">
        <v>293</v>
      </c>
      <c r="C184" s="13"/>
      <c r="D184" s="13"/>
      <c r="E184" s="18" t="s">
        <v>294</v>
      </c>
      <c r="F184" s="18" t="s">
        <v>198</v>
      </c>
      <c r="G184" s="18" t="s">
        <v>83</v>
      </c>
      <c r="H184" s="18" t="s">
        <v>84</v>
      </c>
      <c r="I184" s="18" t="s">
        <v>85</v>
      </c>
      <c r="J184" s="18">
        <v>5</v>
      </c>
      <c r="K184" s="16">
        <v>25.99</v>
      </c>
      <c r="L184" s="10"/>
      <c r="M184" s="16">
        <v>0</v>
      </c>
      <c r="N184" s="16">
        <v>0</v>
      </c>
      <c r="O184" s="18">
        <v>0</v>
      </c>
      <c r="P184" s="18" t="s">
        <v>86</v>
      </c>
      <c r="Q184" s="18">
        <v>3.295466</v>
      </c>
      <c r="R184" s="10"/>
      <c r="S184" s="16">
        <v>361</v>
      </c>
      <c r="T184" s="16">
        <v>2</v>
      </c>
      <c r="U184" s="18" t="s">
        <v>980</v>
      </c>
      <c r="V184" s="18" t="s">
        <v>293</v>
      </c>
      <c r="W184" s="13"/>
      <c r="X184" s="13"/>
      <c r="Y184" s="18" t="s">
        <v>294</v>
      </c>
      <c r="Z184" s="18" t="s">
        <v>198</v>
      </c>
      <c r="AA184" s="18" t="s">
        <v>83</v>
      </c>
      <c r="AB184" s="18" t="s">
        <v>84</v>
      </c>
      <c r="AC184" s="18" t="s">
        <v>85</v>
      </c>
      <c r="AD184" s="18">
        <v>46.98</v>
      </c>
      <c r="AE184" s="18">
        <v>0</v>
      </c>
      <c r="AF184" s="18">
        <v>0</v>
      </c>
      <c r="AG184" s="18">
        <v>0</v>
      </c>
      <c r="AH184" s="18">
        <v>1</v>
      </c>
      <c r="AI184" s="18">
        <v>0</v>
      </c>
      <c r="AJ184" s="18">
        <v>0</v>
      </c>
      <c r="AK184" s="18">
        <v>0</v>
      </c>
      <c r="AL184" s="18">
        <v>0</v>
      </c>
      <c r="AM184" s="18">
        <v>0</v>
      </c>
      <c r="AN184" s="18">
        <v>0</v>
      </c>
      <c r="AO184" s="18">
        <v>0</v>
      </c>
      <c r="AP184" s="18">
        <v>0</v>
      </c>
      <c r="AQ184" s="18">
        <v>0</v>
      </c>
      <c r="AR184" s="18">
        <v>0</v>
      </c>
      <c r="AS184" s="18">
        <v>0</v>
      </c>
      <c r="AT184" s="18">
        <v>1</v>
      </c>
      <c r="AU184" s="18">
        <v>0</v>
      </c>
      <c r="AV184" s="18">
        <v>0</v>
      </c>
      <c r="AW184" s="18">
        <v>0</v>
      </c>
      <c r="AX184" s="18">
        <v>0</v>
      </c>
      <c r="AY184" s="13"/>
      <c r="AZ184" s="18">
        <v>1</v>
      </c>
      <c r="BA184" s="18">
        <v>1</v>
      </c>
      <c r="BB184" s="18">
        <v>69.36</v>
      </c>
      <c r="BC184" s="18" t="s">
        <v>981</v>
      </c>
      <c r="BD184" s="18" t="s">
        <v>97</v>
      </c>
      <c r="BE184" s="18" t="s">
        <v>76</v>
      </c>
      <c r="BF184" s="18" t="s">
        <v>77</v>
      </c>
      <c r="BG184" s="18">
        <v>163</v>
      </c>
      <c r="BH184" s="18">
        <v>58</v>
      </c>
      <c r="BI184" s="18">
        <v>0.7376</v>
      </c>
      <c r="BJ184" s="18">
        <v>0</v>
      </c>
      <c r="BK184" s="18">
        <v>5</v>
      </c>
      <c r="BL184" s="18">
        <v>98.6</v>
      </c>
      <c r="BM184" s="13">
        <f t="shared" si="0"/>
        <v>9382.39</v>
      </c>
    </row>
    <row r="185" customHeight="1" spans="1:65">
      <c r="A185" s="18" t="s">
        <v>982</v>
      </c>
      <c r="B185" s="18" t="s">
        <v>125</v>
      </c>
      <c r="C185" s="13"/>
      <c r="D185" s="13"/>
      <c r="E185" s="18" t="s">
        <v>81</v>
      </c>
      <c r="F185" s="18" t="s">
        <v>82</v>
      </c>
      <c r="G185" s="18" t="s">
        <v>83</v>
      </c>
      <c r="H185" s="18" t="s">
        <v>138</v>
      </c>
      <c r="I185" s="18" t="s">
        <v>85</v>
      </c>
      <c r="J185" s="18">
        <v>5</v>
      </c>
      <c r="K185" s="16">
        <v>228.99</v>
      </c>
      <c r="L185" s="10"/>
      <c r="M185" s="16">
        <v>0</v>
      </c>
      <c r="N185" s="16">
        <v>0</v>
      </c>
      <c r="O185" s="18">
        <v>0</v>
      </c>
      <c r="P185" s="18" t="s">
        <v>71</v>
      </c>
      <c r="Q185" s="18">
        <v>5.438036</v>
      </c>
      <c r="R185" s="10"/>
      <c r="S185" s="16">
        <v>6</v>
      </c>
      <c r="T185" s="16">
        <v>10</v>
      </c>
      <c r="U185" s="18" t="s">
        <v>982</v>
      </c>
      <c r="V185" s="18" t="s">
        <v>125</v>
      </c>
      <c r="W185" s="13"/>
      <c r="X185" s="13"/>
      <c r="Y185" s="18" t="s">
        <v>81</v>
      </c>
      <c r="Z185" s="18" t="s">
        <v>82</v>
      </c>
      <c r="AA185" s="18" t="s">
        <v>83</v>
      </c>
      <c r="AB185" s="18" t="s">
        <v>138</v>
      </c>
      <c r="AC185" s="18" t="s">
        <v>85</v>
      </c>
      <c r="AD185" s="18">
        <v>452.98</v>
      </c>
      <c r="AE185" s="18">
        <v>1</v>
      </c>
      <c r="AF185" s="18">
        <v>0</v>
      </c>
      <c r="AG185" s="18">
        <v>0</v>
      </c>
      <c r="AH185" s="18">
        <v>0</v>
      </c>
      <c r="AI185" s="18">
        <v>0</v>
      </c>
      <c r="AJ185" s="18">
        <v>0</v>
      </c>
      <c r="AK185" s="18">
        <v>0</v>
      </c>
      <c r="AL185" s="18">
        <v>0</v>
      </c>
      <c r="AM185" s="18">
        <v>0</v>
      </c>
      <c r="AN185" s="18">
        <v>0</v>
      </c>
      <c r="AO185" s="18">
        <v>0</v>
      </c>
      <c r="AP185" s="18">
        <v>0</v>
      </c>
      <c r="AQ185" s="18">
        <v>0</v>
      </c>
      <c r="AR185" s="18">
        <v>0</v>
      </c>
      <c r="AS185" s="18">
        <v>0</v>
      </c>
      <c r="AT185" s="18">
        <v>1</v>
      </c>
      <c r="AU185" s="18">
        <v>0</v>
      </c>
      <c r="AV185" s="18">
        <v>0</v>
      </c>
      <c r="AW185" s="18">
        <v>0</v>
      </c>
      <c r="AX185" s="18">
        <v>0</v>
      </c>
      <c r="AY185" s="13"/>
      <c r="AZ185" s="18">
        <v>1</v>
      </c>
      <c r="BA185" s="18">
        <v>1</v>
      </c>
      <c r="BB185" s="18">
        <v>41.31</v>
      </c>
      <c r="BC185" s="18" t="s">
        <v>983</v>
      </c>
      <c r="BD185" s="18" t="s">
        <v>180</v>
      </c>
      <c r="BE185" s="18" t="s">
        <v>128</v>
      </c>
      <c r="BF185" s="18" t="s">
        <v>77</v>
      </c>
      <c r="BG185" s="18">
        <v>2</v>
      </c>
      <c r="BH185" s="18">
        <v>220</v>
      </c>
      <c r="BI185" s="18">
        <v>0.009</v>
      </c>
      <c r="BJ185" s="18">
        <v>0</v>
      </c>
      <c r="BK185" s="18">
        <v>45</v>
      </c>
      <c r="BL185" s="18">
        <v>87.7</v>
      </c>
      <c r="BM185" s="13">
        <f t="shared" si="0"/>
        <v>1373.94</v>
      </c>
    </row>
    <row r="186" customHeight="1" spans="1:65">
      <c r="A186" s="18" t="s">
        <v>1621</v>
      </c>
      <c r="B186" s="18" t="s">
        <v>65</v>
      </c>
      <c r="C186" s="18" t="s">
        <v>1622</v>
      </c>
      <c r="D186" s="13"/>
      <c r="E186" s="18" t="s">
        <v>250</v>
      </c>
      <c r="F186" s="18" t="s">
        <v>68</v>
      </c>
      <c r="G186" s="18" t="s">
        <v>65</v>
      </c>
      <c r="H186" s="18" t="s">
        <v>69</v>
      </c>
      <c r="I186" s="18" t="s">
        <v>153</v>
      </c>
      <c r="J186" s="18">
        <v>2</v>
      </c>
      <c r="K186" s="16">
        <v>54.99</v>
      </c>
      <c r="L186" s="10"/>
      <c r="M186" s="16">
        <v>0</v>
      </c>
      <c r="N186" s="16">
        <v>0</v>
      </c>
      <c r="O186" s="18">
        <v>0</v>
      </c>
      <c r="P186" s="18" t="s">
        <v>86</v>
      </c>
      <c r="Q186" s="18">
        <v>4.025173</v>
      </c>
      <c r="R186" s="10"/>
      <c r="S186" s="16">
        <v>44</v>
      </c>
      <c r="T186" s="16">
        <v>1</v>
      </c>
      <c r="U186" s="18" t="s">
        <v>1621</v>
      </c>
      <c r="V186" s="18" t="s">
        <v>65</v>
      </c>
      <c r="W186" s="18" t="s">
        <v>1622</v>
      </c>
      <c r="X186" s="13"/>
      <c r="Y186" s="18" t="s">
        <v>250</v>
      </c>
      <c r="Z186" s="18" t="s">
        <v>68</v>
      </c>
      <c r="AA186" s="18" t="s">
        <v>65</v>
      </c>
      <c r="AB186" s="18" t="s">
        <v>69</v>
      </c>
      <c r="AC186" s="18" t="s">
        <v>153</v>
      </c>
      <c r="AD186" s="18">
        <v>107.98</v>
      </c>
      <c r="AE186" s="18">
        <v>0</v>
      </c>
      <c r="AF186" s="18">
        <v>0</v>
      </c>
      <c r="AG186" s="18">
        <v>1</v>
      </c>
      <c r="AH186" s="18">
        <v>0</v>
      </c>
      <c r="AI186" s="18">
        <v>1</v>
      </c>
      <c r="AJ186" s="18">
        <v>0</v>
      </c>
      <c r="AK186" s="18">
        <v>0</v>
      </c>
      <c r="AL186" s="18">
        <v>0</v>
      </c>
      <c r="AM186" s="18">
        <v>0</v>
      </c>
      <c r="AN186" s="18">
        <v>0</v>
      </c>
      <c r="AO186" s="18">
        <v>0</v>
      </c>
      <c r="AP186" s="18">
        <v>0</v>
      </c>
      <c r="AQ186" s="18">
        <v>0</v>
      </c>
      <c r="AR186" s="18">
        <v>0</v>
      </c>
      <c r="AS186" s="18">
        <v>0</v>
      </c>
      <c r="AT186" s="18">
        <v>0</v>
      </c>
      <c r="AU186" s="18">
        <v>0</v>
      </c>
      <c r="AV186" s="18">
        <v>0</v>
      </c>
      <c r="AW186" s="18">
        <v>0</v>
      </c>
      <c r="AX186" s="18">
        <v>0</v>
      </c>
      <c r="AY186" s="13"/>
      <c r="AZ186" s="18">
        <v>1</v>
      </c>
      <c r="BA186" s="18">
        <v>0</v>
      </c>
      <c r="BB186" s="18">
        <v>68.78</v>
      </c>
      <c r="BC186" s="18" t="s">
        <v>985</v>
      </c>
      <c r="BD186" s="18" t="s">
        <v>986</v>
      </c>
      <c r="BE186" s="18" t="s">
        <v>987</v>
      </c>
      <c r="BF186" s="18" t="s">
        <v>77</v>
      </c>
      <c r="BG186" s="18">
        <v>162</v>
      </c>
      <c r="BH186" s="18">
        <v>19</v>
      </c>
      <c r="BI186" s="18">
        <v>0.895</v>
      </c>
      <c r="BJ186" s="18">
        <v>0</v>
      </c>
      <c r="BK186" s="18">
        <v>4</v>
      </c>
      <c r="BL186" s="18">
        <v>98.9</v>
      </c>
      <c r="BM186" s="13">
        <f t="shared" si="0"/>
        <v>2419.56</v>
      </c>
    </row>
    <row r="187" customHeight="1" spans="1:65">
      <c r="A187" s="18" t="s">
        <v>984</v>
      </c>
      <c r="B187" s="18" t="s">
        <v>65</v>
      </c>
      <c r="C187" s="13"/>
      <c r="D187" s="13"/>
      <c r="E187" s="18" t="s">
        <v>81</v>
      </c>
      <c r="F187" s="18" t="s">
        <v>82</v>
      </c>
      <c r="G187" s="18" t="s">
        <v>65</v>
      </c>
      <c r="H187" s="18" t="s">
        <v>69</v>
      </c>
      <c r="I187" s="18" t="s">
        <v>153</v>
      </c>
      <c r="J187" s="18">
        <v>2</v>
      </c>
      <c r="K187" s="16">
        <v>149</v>
      </c>
      <c r="L187" s="10"/>
      <c r="M187" s="16">
        <v>0</v>
      </c>
      <c r="N187" s="16">
        <v>0</v>
      </c>
      <c r="O187" s="18">
        <v>0</v>
      </c>
      <c r="P187" s="18" t="s">
        <v>95</v>
      </c>
      <c r="Q187" s="18">
        <v>5.010635</v>
      </c>
      <c r="R187" s="10"/>
      <c r="S187" s="16">
        <v>4</v>
      </c>
      <c r="T187" s="16">
        <v>1</v>
      </c>
      <c r="U187" s="18" t="s">
        <v>984</v>
      </c>
      <c r="V187" s="18" t="s">
        <v>65</v>
      </c>
      <c r="W187" s="13"/>
      <c r="X187" s="13"/>
      <c r="Y187" s="18" t="s">
        <v>81</v>
      </c>
      <c r="Z187" s="18" t="s">
        <v>82</v>
      </c>
      <c r="AA187" s="18" t="s">
        <v>65</v>
      </c>
      <c r="AB187" s="18" t="s">
        <v>69</v>
      </c>
      <c r="AC187" s="18" t="s">
        <v>153</v>
      </c>
      <c r="AD187" s="18">
        <v>296</v>
      </c>
      <c r="AE187" s="18">
        <v>0</v>
      </c>
      <c r="AF187" s="18">
        <v>0</v>
      </c>
      <c r="AG187" s="18">
        <v>0</v>
      </c>
      <c r="AH187" s="18">
        <v>0</v>
      </c>
      <c r="AI187" s="18">
        <v>0</v>
      </c>
      <c r="AJ187" s="18">
        <v>0</v>
      </c>
      <c r="AK187" s="18">
        <v>0</v>
      </c>
      <c r="AL187" s="18">
        <v>0</v>
      </c>
      <c r="AM187" s="18">
        <v>0</v>
      </c>
      <c r="AN187" s="18">
        <v>0</v>
      </c>
      <c r="AO187" s="18">
        <v>0</v>
      </c>
      <c r="AP187" s="18">
        <v>0</v>
      </c>
      <c r="AQ187" s="18">
        <v>0</v>
      </c>
      <c r="AR187" s="18">
        <v>0</v>
      </c>
      <c r="AS187" s="18">
        <v>0</v>
      </c>
      <c r="AT187" s="18">
        <v>0</v>
      </c>
      <c r="AU187" s="18">
        <v>0</v>
      </c>
      <c r="AV187" s="18">
        <v>0</v>
      </c>
      <c r="AW187" s="18">
        <v>0</v>
      </c>
      <c r="AX187" s="18">
        <v>0</v>
      </c>
      <c r="AY187" s="13"/>
      <c r="AZ187" s="18">
        <v>1</v>
      </c>
      <c r="BA187" s="18">
        <v>0</v>
      </c>
      <c r="BB187" s="18">
        <v>59.69</v>
      </c>
      <c r="BC187" s="18" t="s">
        <v>985</v>
      </c>
      <c r="BD187" s="18" t="s">
        <v>986</v>
      </c>
      <c r="BE187" s="18" t="s">
        <v>987</v>
      </c>
      <c r="BF187" s="18" t="s">
        <v>77</v>
      </c>
      <c r="BG187" s="18">
        <v>161</v>
      </c>
      <c r="BH187" s="18">
        <v>19</v>
      </c>
      <c r="BI187" s="18">
        <v>0.8944</v>
      </c>
      <c r="BJ187" s="18">
        <v>0</v>
      </c>
      <c r="BK187" s="18">
        <v>28</v>
      </c>
      <c r="BL187" s="18">
        <v>92.3</v>
      </c>
      <c r="BM187" s="13">
        <f t="shared" si="0"/>
        <v>596</v>
      </c>
    </row>
    <row r="188" customHeight="1" spans="1:65">
      <c r="A188" s="18" t="s">
        <v>988</v>
      </c>
      <c r="B188" s="18" t="s">
        <v>989</v>
      </c>
      <c r="C188" s="18" t="s">
        <v>990</v>
      </c>
      <c r="D188" s="18">
        <v>6935085302272</v>
      </c>
      <c r="E188" s="18" t="s">
        <v>449</v>
      </c>
      <c r="F188" s="18" t="s">
        <v>82</v>
      </c>
      <c r="G188" s="18" t="s">
        <v>83</v>
      </c>
      <c r="H188" s="18" t="s">
        <v>84</v>
      </c>
      <c r="I188" s="18" t="s">
        <v>85</v>
      </c>
      <c r="J188" s="18">
        <v>5</v>
      </c>
      <c r="K188" s="16">
        <v>52.49</v>
      </c>
      <c r="L188" s="16">
        <v>69.99</v>
      </c>
      <c r="M188" s="16">
        <v>25</v>
      </c>
      <c r="N188" s="16">
        <v>17.5</v>
      </c>
      <c r="O188" s="18">
        <v>1</v>
      </c>
      <c r="P188" s="18" t="s">
        <v>86</v>
      </c>
      <c r="Q188" s="18">
        <v>3.979495</v>
      </c>
      <c r="R188" s="10"/>
      <c r="S188" s="16">
        <v>3</v>
      </c>
      <c r="T188" s="16">
        <v>10</v>
      </c>
      <c r="U188" s="18" t="s">
        <v>988</v>
      </c>
      <c r="V188" s="18" t="s">
        <v>989</v>
      </c>
      <c r="W188" s="18" t="s">
        <v>2575</v>
      </c>
      <c r="X188" s="18">
        <v>6935085302273</v>
      </c>
      <c r="Y188" s="18" t="s">
        <v>449</v>
      </c>
      <c r="Z188" s="18" t="s">
        <v>82</v>
      </c>
      <c r="AA188" s="18" t="s">
        <v>83</v>
      </c>
      <c r="AB188" s="18" t="s">
        <v>84</v>
      </c>
      <c r="AC188" s="18" t="s">
        <v>85</v>
      </c>
      <c r="AD188" s="18">
        <v>11.5006666666667</v>
      </c>
      <c r="AE188" s="18">
        <v>0</v>
      </c>
      <c r="AF188" s="18">
        <v>0</v>
      </c>
      <c r="AG188" s="18">
        <v>0</v>
      </c>
      <c r="AH188" s="18">
        <v>0</v>
      </c>
      <c r="AI188" s="18">
        <v>0</v>
      </c>
      <c r="AJ188" s="18">
        <v>0</v>
      </c>
      <c r="AK188" s="18">
        <v>1</v>
      </c>
      <c r="AL188" s="18">
        <v>0</v>
      </c>
      <c r="AM188" s="18">
        <v>0</v>
      </c>
      <c r="AN188" s="18">
        <v>0</v>
      </c>
      <c r="AO188" s="18">
        <v>0</v>
      </c>
      <c r="AP188" s="18">
        <v>0</v>
      </c>
      <c r="AQ188" s="18">
        <v>0</v>
      </c>
      <c r="AR188" s="18">
        <v>0</v>
      </c>
      <c r="AS188" s="18">
        <v>0</v>
      </c>
      <c r="AT188" s="18">
        <v>0</v>
      </c>
      <c r="AU188" s="18">
        <v>1</v>
      </c>
      <c r="AV188" s="18">
        <v>0</v>
      </c>
      <c r="AW188" s="18">
        <v>0</v>
      </c>
      <c r="AX188" s="18">
        <v>0</v>
      </c>
      <c r="AY188" s="13"/>
      <c r="AZ188" s="18">
        <v>1</v>
      </c>
      <c r="BA188" s="18">
        <v>1</v>
      </c>
      <c r="BB188" s="18">
        <v>43.19</v>
      </c>
      <c r="BC188" s="18" t="s">
        <v>991</v>
      </c>
      <c r="BD188" s="18" t="s">
        <v>916</v>
      </c>
      <c r="BE188" s="18" t="s">
        <v>128</v>
      </c>
      <c r="BF188" s="18" t="s">
        <v>77</v>
      </c>
      <c r="BG188" s="18">
        <v>1</v>
      </c>
      <c r="BH188" s="18">
        <v>11</v>
      </c>
      <c r="BI188" s="18">
        <v>0.0833</v>
      </c>
      <c r="BJ188" s="18">
        <v>1</v>
      </c>
      <c r="BK188" s="18">
        <v>43</v>
      </c>
      <c r="BL188" s="18">
        <v>88.2</v>
      </c>
      <c r="BM188" s="13">
        <f t="shared" si="0"/>
        <v>157.47</v>
      </c>
    </row>
    <row r="189" customHeight="1" spans="1:65">
      <c r="A189" s="18" t="s">
        <v>188</v>
      </c>
      <c r="B189" s="18" t="s">
        <v>115</v>
      </c>
      <c r="C189" s="18" t="s">
        <v>121</v>
      </c>
      <c r="D189" s="18">
        <v>840414665354</v>
      </c>
      <c r="E189" s="18" t="s">
        <v>122</v>
      </c>
      <c r="F189" s="18" t="s">
        <v>82</v>
      </c>
      <c r="G189" s="18" t="s">
        <v>117</v>
      </c>
      <c r="H189" s="18" t="s">
        <v>107</v>
      </c>
      <c r="I189" s="18" t="s">
        <v>85</v>
      </c>
      <c r="J189" s="18">
        <v>5</v>
      </c>
      <c r="K189" s="16">
        <v>149.95</v>
      </c>
      <c r="L189" s="10"/>
      <c r="M189" s="16">
        <v>0</v>
      </c>
      <c r="N189" s="16">
        <v>0</v>
      </c>
      <c r="O189" s="18">
        <v>0</v>
      </c>
      <c r="P189" s="18" t="s">
        <v>95</v>
      </c>
      <c r="Q189" s="18">
        <v>5.016949</v>
      </c>
      <c r="R189" s="10"/>
      <c r="S189" s="16">
        <v>9</v>
      </c>
      <c r="T189" s="16">
        <v>1</v>
      </c>
      <c r="U189" s="18" t="s">
        <v>188</v>
      </c>
      <c r="V189" s="18" t="s">
        <v>115</v>
      </c>
      <c r="W189" s="18" t="s">
        <v>121</v>
      </c>
      <c r="X189" s="18">
        <v>840414665355</v>
      </c>
      <c r="Y189" s="18" t="s">
        <v>122</v>
      </c>
      <c r="Z189" s="18" t="s">
        <v>82</v>
      </c>
      <c r="AA189" s="18" t="s">
        <v>117</v>
      </c>
      <c r="AB189" s="18" t="s">
        <v>107</v>
      </c>
      <c r="AC189" s="18" t="s">
        <v>85</v>
      </c>
      <c r="AD189" s="18">
        <v>294.9</v>
      </c>
      <c r="AE189" s="18">
        <v>0</v>
      </c>
      <c r="AF189" s="18">
        <v>0</v>
      </c>
      <c r="AG189" s="18">
        <v>1</v>
      </c>
      <c r="AH189" s="18">
        <v>0</v>
      </c>
      <c r="AI189" s="18">
        <v>0</v>
      </c>
      <c r="AJ189" s="18">
        <v>0</v>
      </c>
      <c r="AK189" s="18">
        <v>0</v>
      </c>
      <c r="AL189" s="18">
        <v>0</v>
      </c>
      <c r="AM189" s="18">
        <v>0</v>
      </c>
      <c r="AN189" s="18">
        <v>0</v>
      </c>
      <c r="AO189" s="18">
        <v>0</v>
      </c>
      <c r="AP189" s="18">
        <v>0</v>
      </c>
      <c r="AQ189" s="18">
        <v>0</v>
      </c>
      <c r="AR189" s="18">
        <v>0</v>
      </c>
      <c r="AS189" s="18">
        <v>1</v>
      </c>
      <c r="AT189" s="18">
        <v>0</v>
      </c>
      <c r="AU189" s="18">
        <v>0</v>
      </c>
      <c r="AV189" s="18">
        <v>0</v>
      </c>
      <c r="AW189" s="18">
        <v>0</v>
      </c>
      <c r="AX189" s="18">
        <v>0</v>
      </c>
      <c r="AY189" s="13"/>
      <c r="AZ189" s="18">
        <v>1</v>
      </c>
      <c r="BA189" s="18">
        <v>0</v>
      </c>
      <c r="BB189" s="18">
        <v>36</v>
      </c>
      <c r="BC189" s="18" t="s">
        <v>189</v>
      </c>
      <c r="BD189" s="18" t="s">
        <v>190</v>
      </c>
      <c r="BE189" s="18" t="s">
        <v>91</v>
      </c>
      <c r="BF189" s="18" t="s">
        <v>77</v>
      </c>
      <c r="BG189" s="18">
        <v>162</v>
      </c>
      <c r="BH189" s="18">
        <v>22</v>
      </c>
      <c r="BI189" s="18">
        <v>0.8804</v>
      </c>
      <c r="BJ189" s="18">
        <v>0</v>
      </c>
      <c r="BK189" s="13"/>
      <c r="BL189" s="13"/>
      <c r="BM189" s="13">
        <f t="shared" si="0"/>
        <v>1349.55</v>
      </c>
    </row>
    <row r="190" customHeight="1" spans="1:65">
      <c r="A190" s="18" t="s">
        <v>992</v>
      </c>
      <c r="B190" s="18" t="s">
        <v>370</v>
      </c>
      <c r="C190" s="18" t="s">
        <v>993</v>
      </c>
      <c r="D190" s="32" t="s">
        <v>994</v>
      </c>
      <c r="E190" s="18" t="s">
        <v>559</v>
      </c>
      <c r="F190" s="18" t="s">
        <v>240</v>
      </c>
      <c r="G190" s="18" t="s">
        <v>83</v>
      </c>
      <c r="H190" s="18" t="s">
        <v>84</v>
      </c>
      <c r="I190" s="18" t="s">
        <v>153</v>
      </c>
      <c r="J190" s="18">
        <v>2</v>
      </c>
      <c r="K190" s="16">
        <v>370</v>
      </c>
      <c r="L190" s="16">
        <v>500</v>
      </c>
      <c r="M190" s="16">
        <v>26</v>
      </c>
      <c r="N190" s="16">
        <v>130</v>
      </c>
      <c r="O190" s="18">
        <v>1</v>
      </c>
      <c r="P190" s="18" t="s">
        <v>71</v>
      </c>
      <c r="Q190" s="18">
        <v>5.916202</v>
      </c>
      <c r="R190" s="10"/>
      <c r="S190" s="10"/>
      <c r="T190" s="10"/>
      <c r="U190" s="18" t="s">
        <v>992</v>
      </c>
      <c r="V190" s="18" t="s">
        <v>370</v>
      </c>
      <c r="W190" s="18" t="s">
        <v>993</v>
      </c>
      <c r="X190" s="18" t="s">
        <v>994</v>
      </c>
      <c r="Y190" s="18" t="s">
        <v>559</v>
      </c>
      <c r="Z190" s="18" t="s">
        <v>240</v>
      </c>
      <c r="AA190" s="18" t="s">
        <v>83</v>
      </c>
      <c r="AB190" s="18" t="s">
        <v>84</v>
      </c>
      <c r="AC190" s="18" t="s">
        <v>153</v>
      </c>
      <c r="AD190" s="18">
        <v>51.5999999999996</v>
      </c>
      <c r="AE190" s="18">
        <v>0</v>
      </c>
      <c r="AF190" s="18">
        <v>0</v>
      </c>
      <c r="AG190" s="18">
        <v>0</v>
      </c>
      <c r="AH190" s="18">
        <v>0</v>
      </c>
      <c r="AI190" s="18">
        <v>0</v>
      </c>
      <c r="AJ190" s="18">
        <v>0</v>
      </c>
      <c r="AK190" s="18">
        <v>0</v>
      </c>
      <c r="AL190" s="18">
        <v>0</v>
      </c>
      <c r="AM190" s="18">
        <v>0</v>
      </c>
      <c r="AN190" s="18">
        <v>0</v>
      </c>
      <c r="AO190" s="18">
        <v>0</v>
      </c>
      <c r="AP190" s="18">
        <v>0</v>
      </c>
      <c r="AQ190" s="18">
        <v>1</v>
      </c>
      <c r="AR190" s="18">
        <v>0</v>
      </c>
      <c r="AS190" s="18">
        <v>0</v>
      </c>
      <c r="AT190" s="18">
        <v>0</v>
      </c>
      <c r="AU190" s="18">
        <v>0</v>
      </c>
      <c r="AV190" s="18">
        <v>1</v>
      </c>
      <c r="AW190" s="18">
        <v>0</v>
      </c>
      <c r="AX190" s="18">
        <v>0</v>
      </c>
      <c r="AY190" s="13"/>
      <c r="AZ190" s="18">
        <v>1</v>
      </c>
      <c r="BA190" s="18">
        <v>1</v>
      </c>
      <c r="BB190" s="18">
        <v>34.77</v>
      </c>
      <c r="BC190" s="18" t="s">
        <v>995</v>
      </c>
      <c r="BD190" s="18" t="s">
        <v>996</v>
      </c>
      <c r="BE190" s="18" t="s">
        <v>997</v>
      </c>
      <c r="BF190" s="18" t="s">
        <v>77</v>
      </c>
      <c r="BG190" s="18">
        <v>1</v>
      </c>
      <c r="BH190" s="18">
        <v>26</v>
      </c>
      <c r="BI190" s="18">
        <v>0.037</v>
      </c>
      <c r="BJ190" s="18">
        <v>1</v>
      </c>
      <c r="BK190" s="18">
        <v>37</v>
      </c>
      <c r="BL190" s="18">
        <v>89.9</v>
      </c>
      <c r="BM190" s="13">
        <f t="shared" si="0"/>
        <v>0</v>
      </c>
    </row>
    <row r="191" customHeight="1" spans="1:65">
      <c r="A191" s="18" t="s">
        <v>1000</v>
      </c>
      <c r="B191" s="18" t="s">
        <v>553</v>
      </c>
      <c r="C191" s="18" t="s">
        <v>1001</v>
      </c>
      <c r="D191" s="18">
        <v>850007530198</v>
      </c>
      <c r="E191" s="18" t="s">
        <v>250</v>
      </c>
      <c r="F191" s="18" t="s">
        <v>68</v>
      </c>
      <c r="G191" s="18" t="s">
        <v>553</v>
      </c>
      <c r="H191" s="18" t="s">
        <v>69</v>
      </c>
      <c r="I191" s="18" t="s">
        <v>153</v>
      </c>
      <c r="J191" s="18">
        <v>2</v>
      </c>
      <c r="K191" s="16">
        <v>96.99</v>
      </c>
      <c r="L191" s="10"/>
      <c r="M191" s="16">
        <v>0</v>
      </c>
      <c r="N191" s="16">
        <v>0</v>
      </c>
      <c r="O191" s="18">
        <v>0</v>
      </c>
      <c r="P191" s="18" t="s">
        <v>95</v>
      </c>
      <c r="Q191" s="18">
        <v>4.584865</v>
      </c>
      <c r="R191" s="10"/>
      <c r="S191" s="16">
        <v>1</v>
      </c>
      <c r="T191" s="16">
        <v>10</v>
      </c>
      <c r="U191" s="18" t="s">
        <v>1000</v>
      </c>
      <c r="V191" s="18" t="s">
        <v>553</v>
      </c>
      <c r="W191" s="18" t="s">
        <v>2576</v>
      </c>
      <c r="X191" s="18">
        <v>850007530199</v>
      </c>
      <c r="Y191" s="18" t="s">
        <v>250</v>
      </c>
      <c r="Z191" s="18" t="s">
        <v>68</v>
      </c>
      <c r="AA191" s="18" t="s">
        <v>553</v>
      </c>
      <c r="AB191" s="18" t="s">
        <v>69</v>
      </c>
      <c r="AC191" s="18" t="s">
        <v>153</v>
      </c>
      <c r="AD191" s="18">
        <v>191.98</v>
      </c>
      <c r="AE191" s="18">
        <v>0</v>
      </c>
      <c r="AF191" s="18">
        <v>0</v>
      </c>
      <c r="AG191" s="18">
        <v>1</v>
      </c>
      <c r="AH191" s="18">
        <v>0</v>
      </c>
      <c r="AI191" s="18">
        <v>1</v>
      </c>
      <c r="AJ191" s="18">
        <v>0</v>
      </c>
      <c r="AK191" s="18">
        <v>0</v>
      </c>
      <c r="AL191" s="18">
        <v>0</v>
      </c>
      <c r="AM191" s="18">
        <v>0</v>
      </c>
      <c r="AN191" s="18">
        <v>0</v>
      </c>
      <c r="AO191" s="18">
        <v>0</v>
      </c>
      <c r="AP191" s="18">
        <v>0</v>
      </c>
      <c r="AQ191" s="18">
        <v>0</v>
      </c>
      <c r="AR191" s="18">
        <v>0</v>
      </c>
      <c r="AS191" s="18">
        <v>0</v>
      </c>
      <c r="AT191" s="18">
        <v>1</v>
      </c>
      <c r="AU191" s="18">
        <v>0</v>
      </c>
      <c r="AV191" s="18">
        <v>0</v>
      </c>
      <c r="AW191" s="18">
        <v>0</v>
      </c>
      <c r="AX191" s="18">
        <v>0</v>
      </c>
      <c r="AY191" s="13"/>
      <c r="AZ191" s="18">
        <v>1</v>
      </c>
      <c r="BA191" s="18">
        <v>0</v>
      </c>
      <c r="BB191" s="18">
        <v>32.98</v>
      </c>
      <c r="BC191" s="18" t="s">
        <v>1002</v>
      </c>
      <c r="BD191" s="18" t="s">
        <v>97</v>
      </c>
      <c r="BE191" s="18" t="s">
        <v>76</v>
      </c>
      <c r="BF191" s="18" t="s">
        <v>77</v>
      </c>
      <c r="BG191" s="18">
        <v>162</v>
      </c>
      <c r="BH191" s="18">
        <v>21</v>
      </c>
      <c r="BI191" s="18">
        <v>0.8852</v>
      </c>
      <c r="BJ191" s="18">
        <v>0</v>
      </c>
      <c r="BK191" s="18">
        <v>8</v>
      </c>
      <c r="BL191" s="18">
        <v>97.8</v>
      </c>
      <c r="BM191" s="13">
        <f t="shared" si="0"/>
        <v>96.99</v>
      </c>
    </row>
    <row r="192" customHeight="1" spans="1:65">
      <c r="A192" s="18" t="s">
        <v>2020</v>
      </c>
      <c r="B192" s="18" t="s">
        <v>553</v>
      </c>
      <c r="C192" s="18" t="s">
        <v>2021</v>
      </c>
      <c r="D192" s="18">
        <v>850005687719</v>
      </c>
      <c r="E192" s="18" t="s">
        <v>255</v>
      </c>
      <c r="F192" s="18" t="s">
        <v>68</v>
      </c>
      <c r="G192" s="18" t="s">
        <v>553</v>
      </c>
      <c r="H192" s="18" t="s">
        <v>69</v>
      </c>
      <c r="I192" s="18" t="s">
        <v>153</v>
      </c>
      <c r="J192" s="18">
        <v>2</v>
      </c>
      <c r="K192" s="16">
        <v>179.69</v>
      </c>
      <c r="L192" s="10"/>
      <c r="M192" s="16">
        <v>0</v>
      </c>
      <c r="N192" s="16">
        <v>0</v>
      </c>
      <c r="O192" s="18">
        <v>0</v>
      </c>
      <c r="P192" s="18" t="s">
        <v>95</v>
      </c>
      <c r="Q192" s="18">
        <v>5.196783</v>
      </c>
      <c r="R192" s="10"/>
      <c r="S192" s="16">
        <v>20</v>
      </c>
      <c r="T192" s="16">
        <v>10</v>
      </c>
      <c r="U192" s="18" t="s">
        <v>2020</v>
      </c>
      <c r="V192" s="18" t="s">
        <v>553</v>
      </c>
      <c r="W192" s="18" t="s">
        <v>2021</v>
      </c>
      <c r="X192" s="18">
        <v>850005687720</v>
      </c>
      <c r="Y192" s="18" t="s">
        <v>255</v>
      </c>
      <c r="Z192" s="18" t="s">
        <v>68</v>
      </c>
      <c r="AA192" s="18" t="s">
        <v>553</v>
      </c>
      <c r="AB192" s="18" t="s">
        <v>69</v>
      </c>
      <c r="AC192" s="18" t="s">
        <v>153</v>
      </c>
      <c r="AD192" s="18">
        <v>357.38</v>
      </c>
      <c r="AE192" s="18">
        <v>0</v>
      </c>
      <c r="AF192" s="18">
        <v>0</v>
      </c>
      <c r="AG192" s="18">
        <v>1</v>
      </c>
      <c r="AH192" s="18">
        <v>0</v>
      </c>
      <c r="AI192" s="18">
        <v>1</v>
      </c>
      <c r="AJ192" s="18">
        <v>0</v>
      </c>
      <c r="AK192" s="18">
        <v>1</v>
      </c>
      <c r="AL192" s="18">
        <v>0</v>
      </c>
      <c r="AM192" s="18">
        <v>0</v>
      </c>
      <c r="AN192" s="18">
        <v>0</v>
      </c>
      <c r="AO192" s="18">
        <v>0</v>
      </c>
      <c r="AP192" s="18">
        <v>0</v>
      </c>
      <c r="AQ192" s="18">
        <v>0</v>
      </c>
      <c r="AR192" s="18">
        <v>0</v>
      </c>
      <c r="AS192" s="18">
        <v>0</v>
      </c>
      <c r="AT192" s="18">
        <v>0</v>
      </c>
      <c r="AU192" s="18">
        <v>1</v>
      </c>
      <c r="AV192" s="18">
        <v>0</v>
      </c>
      <c r="AW192" s="18">
        <v>0</v>
      </c>
      <c r="AX192" s="18">
        <v>0</v>
      </c>
      <c r="AY192" s="13"/>
      <c r="AZ192" s="18">
        <v>1</v>
      </c>
      <c r="BA192" s="18">
        <v>1</v>
      </c>
      <c r="BB192" s="18">
        <v>56.01</v>
      </c>
      <c r="BC192" s="18" t="s">
        <v>1002</v>
      </c>
      <c r="BD192" s="18" t="s">
        <v>97</v>
      </c>
      <c r="BE192" s="18" t="s">
        <v>76</v>
      </c>
      <c r="BF192" s="18" t="s">
        <v>77</v>
      </c>
      <c r="BG192" s="18">
        <v>162</v>
      </c>
      <c r="BH192" s="18">
        <v>21</v>
      </c>
      <c r="BI192" s="18">
        <v>0.8852</v>
      </c>
      <c r="BJ192" s="18">
        <v>0</v>
      </c>
      <c r="BK192" s="18">
        <v>8</v>
      </c>
      <c r="BL192" s="18">
        <v>97.8</v>
      </c>
      <c r="BM192" s="13">
        <f t="shared" si="0"/>
        <v>3593.8</v>
      </c>
    </row>
    <row r="193" customHeight="1" spans="1:65">
      <c r="A193" s="18" t="s">
        <v>1162</v>
      </c>
      <c r="B193" s="18" t="s">
        <v>553</v>
      </c>
      <c r="C193" s="18" t="s">
        <v>1163</v>
      </c>
      <c r="D193" s="13"/>
      <c r="E193" s="18" t="s">
        <v>1164</v>
      </c>
      <c r="F193" s="18" t="s">
        <v>68</v>
      </c>
      <c r="G193" s="18" t="s">
        <v>553</v>
      </c>
      <c r="H193" s="18" t="s">
        <v>69</v>
      </c>
      <c r="I193" s="18" t="s">
        <v>153</v>
      </c>
      <c r="J193" s="18">
        <v>2</v>
      </c>
      <c r="K193" s="16">
        <v>179.99</v>
      </c>
      <c r="L193" s="10"/>
      <c r="M193" s="16">
        <v>0</v>
      </c>
      <c r="N193" s="16">
        <v>0</v>
      </c>
      <c r="O193" s="18">
        <v>0</v>
      </c>
      <c r="P193" s="18" t="s">
        <v>95</v>
      </c>
      <c r="Q193" s="18">
        <v>5.198442</v>
      </c>
      <c r="R193" s="10"/>
      <c r="S193" s="16">
        <v>14</v>
      </c>
      <c r="T193" s="16">
        <v>10</v>
      </c>
      <c r="U193" s="18" t="s">
        <v>1162</v>
      </c>
      <c r="V193" s="18" t="s">
        <v>553</v>
      </c>
      <c r="W193" s="18" t="s">
        <v>1163</v>
      </c>
      <c r="X193" s="13"/>
      <c r="Y193" s="18" t="s">
        <v>1164</v>
      </c>
      <c r="Z193" s="18" t="s">
        <v>68</v>
      </c>
      <c r="AA193" s="18" t="s">
        <v>553</v>
      </c>
      <c r="AB193" s="18" t="s">
        <v>69</v>
      </c>
      <c r="AC193" s="18" t="s">
        <v>153</v>
      </c>
      <c r="AD193" s="18">
        <v>357.98</v>
      </c>
      <c r="AE193" s="18">
        <v>0</v>
      </c>
      <c r="AF193" s="18">
        <v>0</v>
      </c>
      <c r="AG193" s="18">
        <v>0</v>
      </c>
      <c r="AH193" s="18">
        <v>0</v>
      </c>
      <c r="AI193" s="18">
        <v>0</v>
      </c>
      <c r="AJ193" s="18">
        <v>0</v>
      </c>
      <c r="AK193" s="18">
        <v>0</v>
      </c>
      <c r="AL193" s="18">
        <v>0</v>
      </c>
      <c r="AM193" s="18">
        <v>0</v>
      </c>
      <c r="AN193" s="18">
        <v>0</v>
      </c>
      <c r="AO193" s="18">
        <v>0</v>
      </c>
      <c r="AP193" s="18">
        <v>0</v>
      </c>
      <c r="AQ193" s="18">
        <v>1</v>
      </c>
      <c r="AR193" s="18">
        <v>0</v>
      </c>
      <c r="AS193" s="18">
        <v>0</v>
      </c>
      <c r="AT193" s="18">
        <v>0</v>
      </c>
      <c r="AU193" s="18">
        <v>0</v>
      </c>
      <c r="AV193" s="18">
        <v>1</v>
      </c>
      <c r="AW193" s="18">
        <v>0</v>
      </c>
      <c r="AX193" s="18">
        <v>0</v>
      </c>
      <c r="AY193" s="13"/>
      <c r="AZ193" s="18">
        <v>1</v>
      </c>
      <c r="BA193" s="18">
        <v>1</v>
      </c>
      <c r="BB193" s="18">
        <v>44.96</v>
      </c>
      <c r="BC193" s="18" t="s">
        <v>1002</v>
      </c>
      <c r="BD193" s="18" t="s">
        <v>97</v>
      </c>
      <c r="BE193" s="18" t="s">
        <v>76</v>
      </c>
      <c r="BF193" s="18" t="s">
        <v>77</v>
      </c>
      <c r="BG193" s="18">
        <v>162</v>
      </c>
      <c r="BH193" s="18">
        <v>21</v>
      </c>
      <c r="BI193" s="18">
        <v>0.8852</v>
      </c>
      <c r="BJ193" s="18">
        <v>0</v>
      </c>
      <c r="BK193" s="18">
        <v>102</v>
      </c>
      <c r="BL193" s="18">
        <v>72.1</v>
      </c>
      <c r="BM193" s="13">
        <f t="shared" si="0"/>
        <v>2519.86</v>
      </c>
    </row>
    <row r="194" customHeight="1" spans="1:65">
      <c r="A194" s="18" t="s">
        <v>1298</v>
      </c>
      <c r="B194" s="18" t="s">
        <v>125</v>
      </c>
      <c r="C194" s="13"/>
      <c r="D194" s="13"/>
      <c r="E194" s="18" t="s">
        <v>438</v>
      </c>
      <c r="F194" s="18" t="s">
        <v>240</v>
      </c>
      <c r="G194" s="18" t="s">
        <v>83</v>
      </c>
      <c r="H194" s="18" t="s">
        <v>138</v>
      </c>
      <c r="I194" s="18" t="s">
        <v>85</v>
      </c>
      <c r="J194" s="18">
        <v>5</v>
      </c>
      <c r="K194" s="16">
        <v>455</v>
      </c>
      <c r="L194" s="10"/>
      <c r="M194" s="16">
        <v>0</v>
      </c>
      <c r="N194" s="16">
        <v>0</v>
      </c>
      <c r="O194" s="18">
        <v>0</v>
      </c>
      <c r="P194" s="18" t="s">
        <v>71</v>
      </c>
      <c r="Q194" s="18">
        <v>6.122493</v>
      </c>
      <c r="R194" s="16">
        <v>28.44</v>
      </c>
      <c r="S194" s="16">
        <v>3</v>
      </c>
      <c r="T194" s="16">
        <v>2</v>
      </c>
      <c r="U194" s="18" t="s">
        <v>1298</v>
      </c>
      <c r="V194" s="18" t="s">
        <v>125</v>
      </c>
      <c r="W194" s="13"/>
      <c r="X194" s="13"/>
      <c r="Y194" s="18" t="s">
        <v>438</v>
      </c>
      <c r="Z194" s="18" t="s">
        <v>240</v>
      </c>
      <c r="AA194" s="18" t="s">
        <v>83</v>
      </c>
      <c r="AB194" s="18" t="s">
        <v>138</v>
      </c>
      <c r="AC194" s="18" t="s">
        <v>85</v>
      </c>
      <c r="AD194" s="18">
        <v>905</v>
      </c>
      <c r="AE194" s="18">
        <v>0</v>
      </c>
      <c r="AF194" s="18">
        <v>0</v>
      </c>
      <c r="AG194" s="18">
        <v>1</v>
      </c>
      <c r="AH194" s="18">
        <v>0</v>
      </c>
      <c r="AI194" s="18">
        <v>0</v>
      </c>
      <c r="AJ194" s="18">
        <v>0</v>
      </c>
      <c r="AK194" s="18">
        <v>0</v>
      </c>
      <c r="AL194" s="18">
        <v>0</v>
      </c>
      <c r="AM194" s="18">
        <v>0</v>
      </c>
      <c r="AN194" s="18">
        <v>0</v>
      </c>
      <c r="AO194" s="18">
        <v>0</v>
      </c>
      <c r="AP194" s="18">
        <v>0</v>
      </c>
      <c r="AQ194" s="18">
        <v>1</v>
      </c>
      <c r="AR194" s="18">
        <v>0</v>
      </c>
      <c r="AS194" s="18">
        <v>0</v>
      </c>
      <c r="AT194" s="18">
        <v>0</v>
      </c>
      <c r="AU194" s="18">
        <v>0</v>
      </c>
      <c r="AV194" s="18">
        <v>1</v>
      </c>
      <c r="AW194" s="18">
        <v>0</v>
      </c>
      <c r="AX194" s="18">
        <v>0</v>
      </c>
      <c r="AY194" s="18">
        <v>16</v>
      </c>
      <c r="AZ194" s="18">
        <v>1</v>
      </c>
      <c r="BA194" s="18">
        <v>1</v>
      </c>
      <c r="BB194" s="18">
        <v>51.54</v>
      </c>
      <c r="BC194" s="18" t="s">
        <v>1004</v>
      </c>
      <c r="BD194" s="18" t="s">
        <v>1005</v>
      </c>
      <c r="BE194" s="18" t="s">
        <v>113</v>
      </c>
      <c r="BF194" s="18" t="s">
        <v>77</v>
      </c>
      <c r="BG194" s="18">
        <v>168</v>
      </c>
      <c r="BH194" s="18">
        <v>11</v>
      </c>
      <c r="BI194" s="18">
        <v>0.9385</v>
      </c>
      <c r="BJ194" s="18">
        <v>0</v>
      </c>
      <c r="BK194" s="18">
        <v>30</v>
      </c>
      <c r="BL194" s="18">
        <v>91.8</v>
      </c>
      <c r="BM194" s="13">
        <f t="shared" si="0"/>
        <v>1365</v>
      </c>
    </row>
    <row r="195" customHeight="1" spans="1:65">
      <c r="A195" s="18" t="s">
        <v>2026</v>
      </c>
      <c r="B195" s="18" t="s">
        <v>125</v>
      </c>
      <c r="C195" s="13"/>
      <c r="D195" s="13"/>
      <c r="E195" s="18" t="s">
        <v>438</v>
      </c>
      <c r="F195" s="18" t="s">
        <v>240</v>
      </c>
      <c r="G195" s="18" t="s">
        <v>83</v>
      </c>
      <c r="H195" s="18" t="s">
        <v>138</v>
      </c>
      <c r="I195" s="18" t="s">
        <v>85</v>
      </c>
      <c r="J195" s="18">
        <v>5</v>
      </c>
      <c r="K195" s="16">
        <v>149.99</v>
      </c>
      <c r="L195" s="10"/>
      <c r="M195" s="16">
        <v>0</v>
      </c>
      <c r="N195" s="16">
        <v>0</v>
      </c>
      <c r="O195" s="18">
        <v>0</v>
      </c>
      <c r="P195" s="18" t="s">
        <v>95</v>
      </c>
      <c r="Q195" s="18">
        <v>5.017214</v>
      </c>
      <c r="R195" s="16">
        <v>9.37</v>
      </c>
      <c r="S195" s="16">
        <v>6</v>
      </c>
      <c r="T195" s="16">
        <v>10</v>
      </c>
      <c r="U195" s="18" t="s">
        <v>2026</v>
      </c>
      <c r="V195" s="18" t="s">
        <v>125</v>
      </c>
      <c r="W195" s="13"/>
      <c r="X195" s="13"/>
      <c r="Y195" s="18" t="s">
        <v>438</v>
      </c>
      <c r="Z195" s="18" t="s">
        <v>240</v>
      </c>
      <c r="AA195" s="18" t="s">
        <v>83</v>
      </c>
      <c r="AB195" s="18" t="s">
        <v>138</v>
      </c>
      <c r="AC195" s="18" t="s">
        <v>85</v>
      </c>
      <c r="AD195" s="18">
        <v>294.98</v>
      </c>
      <c r="AE195" s="18">
        <v>0</v>
      </c>
      <c r="AF195" s="18">
        <v>0</v>
      </c>
      <c r="AG195" s="18">
        <v>0</v>
      </c>
      <c r="AH195" s="18">
        <v>0</v>
      </c>
      <c r="AI195" s="18">
        <v>0</v>
      </c>
      <c r="AJ195" s="18">
        <v>0</v>
      </c>
      <c r="AK195" s="18">
        <v>0</v>
      </c>
      <c r="AL195" s="18">
        <v>0</v>
      </c>
      <c r="AM195" s="18">
        <v>0</v>
      </c>
      <c r="AN195" s="18">
        <v>0</v>
      </c>
      <c r="AO195" s="18">
        <v>0</v>
      </c>
      <c r="AP195" s="18">
        <v>0</v>
      </c>
      <c r="AQ195" s="18">
        <v>1</v>
      </c>
      <c r="AR195" s="18">
        <v>0</v>
      </c>
      <c r="AS195" s="18">
        <v>0</v>
      </c>
      <c r="AT195" s="18">
        <v>0</v>
      </c>
      <c r="AU195" s="18">
        <v>0</v>
      </c>
      <c r="AV195" s="18">
        <v>1</v>
      </c>
      <c r="AW195" s="18">
        <v>0</v>
      </c>
      <c r="AX195" s="18">
        <v>0</v>
      </c>
      <c r="AY195" s="18">
        <v>16</v>
      </c>
      <c r="AZ195" s="18">
        <v>1</v>
      </c>
      <c r="BA195" s="18">
        <v>1</v>
      </c>
      <c r="BB195" s="18">
        <v>40.89</v>
      </c>
      <c r="BC195" s="18" t="s">
        <v>1004</v>
      </c>
      <c r="BD195" s="18" t="s">
        <v>1005</v>
      </c>
      <c r="BE195" s="18" t="s">
        <v>113</v>
      </c>
      <c r="BF195" s="18" t="s">
        <v>77</v>
      </c>
      <c r="BG195" s="18">
        <v>168</v>
      </c>
      <c r="BH195" s="18">
        <v>11</v>
      </c>
      <c r="BI195" s="18">
        <v>0.9385</v>
      </c>
      <c r="BJ195" s="18">
        <v>0</v>
      </c>
      <c r="BK195" s="18">
        <v>50</v>
      </c>
      <c r="BL195" s="18">
        <v>86.3</v>
      </c>
      <c r="BM195" s="13">
        <f t="shared" si="0"/>
        <v>899.94</v>
      </c>
    </row>
    <row r="196" customHeight="1" spans="1:65">
      <c r="A196" s="18" t="s">
        <v>1003</v>
      </c>
      <c r="B196" s="18" t="s">
        <v>125</v>
      </c>
      <c r="C196" s="13"/>
      <c r="D196" s="13"/>
      <c r="E196" s="18" t="s">
        <v>275</v>
      </c>
      <c r="F196" s="19" t="s">
        <v>276</v>
      </c>
      <c r="G196" s="18" t="s">
        <v>83</v>
      </c>
      <c r="H196" s="18" t="s">
        <v>138</v>
      </c>
      <c r="I196" s="18" t="s">
        <v>85</v>
      </c>
      <c r="J196" s="18">
        <v>5</v>
      </c>
      <c r="K196" s="16">
        <v>13.99</v>
      </c>
      <c r="L196" s="10"/>
      <c r="M196" s="16">
        <v>0</v>
      </c>
      <c r="N196" s="16">
        <v>0</v>
      </c>
      <c r="O196" s="18">
        <v>0</v>
      </c>
      <c r="P196" s="18" t="s">
        <v>133</v>
      </c>
      <c r="Q196" s="18">
        <v>2.707383</v>
      </c>
      <c r="R196" s="10"/>
      <c r="S196" s="16">
        <v>415</v>
      </c>
      <c r="T196" s="16">
        <v>10</v>
      </c>
      <c r="U196" s="18" t="s">
        <v>1003</v>
      </c>
      <c r="V196" s="18" t="s">
        <v>125</v>
      </c>
      <c r="W196" s="13"/>
      <c r="X196" s="13"/>
      <c r="Y196" s="18" t="s">
        <v>275</v>
      </c>
      <c r="Z196" s="19" t="s">
        <v>276</v>
      </c>
      <c r="AA196" s="18" t="s">
        <v>83</v>
      </c>
      <c r="AB196" s="18" t="s">
        <v>138</v>
      </c>
      <c r="AC196" s="18" t="s">
        <v>85</v>
      </c>
      <c r="AD196" s="18">
        <v>22.98</v>
      </c>
      <c r="AE196" s="18">
        <v>0</v>
      </c>
      <c r="AF196" s="18">
        <v>0</v>
      </c>
      <c r="AG196" s="18">
        <v>0</v>
      </c>
      <c r="AH196" s="18">
        <v>0</v>
      </c>
      <c r="AI196" s="18">
        <v>0</v>
      </c>
      <c r="AJ196" s="18">
        <v>0</v>
      </c>
      <c r="AK196" s="18">
        <v>0</v>
      </c>
      <c r="AL196" s="18">
        <v>0</v>
      </c>
      <c r="AM196" s="18">
        <v>0</v>
      </c>
      <c r="AN196" s="18">
        <v>0</v>
      </c>
      <c r="AO196" s="18">
        <v>0</v>
      </c>
      <c r="AP196" s="18">
        <v>0</v>
      </c>
      <c r="AQ196" s="18">
        <v>0</v>
      </c>
      <c r="AR196" s="18">
        <v>0</v>
      </c>
      <c r="AS196" s="18">
        <v>0</v>
      </c>
      <c r="AT196" s="18">
        <v>1</v>
      </c>
      <c r="AU196" s="18">
        <v>0</v>
      </c>
      <c r="AV196" s="18">
        <v>0</v>
      </c>
      <c r="AW196" s="18">
        <v>0</v>
      </c>
      <c r="AX196" s="18">
        <v>0</v>
      </c>
      <c r="AY196" s="13"/>
      <c r="AZ196" s="18">
        <v>1</v>
      </c>
      <c r="BA196" s="18">
        <v>0</v>
      </c>
      <c r="BB196" s="18">
        <v>66.6</v>
      </c>
      <c r="BC196" s="18" t="s">
        <v>1004</v>
      </c>
      <c r="BD196" s="18" t="s">
        <v>1005</v>
      </c>
      <c r="BE196" s="18" t="s">
        <v>113</v>
      </c>
      <c r="BF196" s="18" t="s">
        <v>77</v>
      </c>
      <c r="BG196" s="18">
        <v>170</v>
      </c>
      <c r="BH196" s="18">
        <v>11</v>
      </c>
      <c r="BI196" s="18">
        <v>0.9392</v>
      </c>
      <c r="BJ196" s="18">
        <v>0</v>
      </c>
      <c r="BK196" s="18">
        <v>30</v>
      </c>
      <c r="BL196" s="18">
        <v>91.8</v>
      </c>
      <c r="BM196" s="13">
        <f t="shared" si="0"/>
        <v>5805.85</v>
      </c>
    </row>
    <row r="197" customHeight="1" spans="1:65">
      <c r="A197" s="18" t="s">
        <v>2100</v>
      </c>
      <c r="B197" s="18" t="s">
        <v>125</v>
      </c>
      <c r="C197" s="13"/>
      <c r="D197" s="13"/>
      <c r="E197" s="18" t="s">
        <v>438</v>
      </c>
      <c r="F197" s="18" t="s">
        <v>240</v>
      </c>
      <c r="G197" s="18" t="s">
        <v>83</v>
      </c>
      <c r="H197" s="18" t="s">
        <v>138</v>
      </c>
      <c r="I197" s="18" t="s">
        <v>85</v>
      </c>
      <c r="J197" s="18">
        <v>5</v>
      </c>
      <c r="K197" s="16">
        <v>669</v>
      </c>
      <c r="L197" s="10"/>
      <c r="M197" s="16">
        <v>0</v>
      </c>
      <c r="N197" s="16">
        <v>0</v>
      </c>
      <c r="O197" s="18">
        <v>0</v>
      </c>
      <c r="P197" s="18" t="s">
        <v>147</v>
      </c>
      <c r="Q197" s="18">
        <v>6.507278</v>
      </c>
      <c r="R197" s="16">
        <v>10.45</v>
      </c>
      <c r="S197" s="10"/>
      <c r="T197" s="16">
        <v>2</v>
      </c>
      <c r="U197" s="18" t="s">
        <v>2100</v>
      </c>
      <c r="V197" s="18" t="s">
        <v>125</v>
      </c>
      <c r="W197" s="13"/>
      <c r="X197" s="13"/>
      <c r="Y197" s="18" t="s">
        <v>438</v>
      </c>
      <c r="Z197" s="18" t="s">
        <v>240</v>
      </c>
      <c r="AA197" s="18" t="s">
        <v>83</v>
      </c>
      <c r="AB197" s="18" t="s">
        <v>138</v>
      </c>
      <c r="AC197" s="18" t="s">
        <v>85</v>
      </c>
      <c r="AD197" s="18">
        <v>1333</v>
      </c>
      <c r="AE197" s="18">
        <v>0</v>
      </c>
      <c r="AF197" s="18">
        <v>0</v>
      </c>
      <c r="AG197" s="18">
        <v>0</v>
      </c>
      <c r="AH197" s="18">
        <v>0</v>
      </c>
      <c r="AI197" s="18">
        <v>0</v>
      </c>
      <c r="AJ197" s="18">
        <v>0</v>
      </c>
      <c r="AK197" s="18">
        <v>0</v>
      </c>
      <c r="AL197" s="18">
        <v>0</v>
      </c>
      <c r="AM197" s="18">
        <v>0</v>
      </c>
      <c r="AN197" s="18">
        <v>0</v>
      </c>
      <c r="AO197" s="18">
        <v>0</v>
      </c>
      <c r="AP197" s="18">
        <v>0</v>
      </c>
      <c r="AQ197" s="18">
        <v>1</v>
      </c>
      <c r="AR197" s="18">
        <v>0</v>
      </c>
      <c r="AS197" s="18">
        <v>0</v>
      </c>
      <c r="AT197" s="18">
        <v>0</v>
      </c>
      <c r="AU197" s="18">
        <v>0</v>
      </c>
      <c r="AV197" s="18">
        <v>1</v>
      </c>
      <c r="AW197" s="18">
        <v>0</v>
      </c>
      <c r="AX197" s="18">
        <v>0</v>
      </c>
      <c r="AY197" s="18">
        <v>64</v>
      </c>
      <c r="AZ197" s="18">
        <v>1</v>
      </c>
      <c r="BA197" s="18">
        <v>1</v>
      </c>
      <c r="BB197" s="18">
        <v>0</v>
      </c>
      <c r="BC197" s="18" t="s">
        <v>1004</v>
      </c>
      <c r="BD197" s="13"/>
      <c r="BE197" s="13"/>
      <c r="BF197" s="13"/>
      <c r="BG197" s="18">
        <v>0</v>
      </c>
      <c r="BH197" s="18">
        <v>0</v>
      </c>
      <c r="BI197" s="13"/>
      <c r="BJ197" s="18">
        <v>0</v>
      </c>
      <c r="BK197" s="13"/>
      <c r="BL197" s="13"/>
      <c r="BM197" s="13">
        <f t="shared" si="0"/>
        <v>0</v>
      </c>
    </row>
    <row r="198" customHeight="1" spans="1:65">
      <c r="A198" s="18" t="s">
        <v>1006</v>
      </c>
      <c r="B198" s="18" t="s">
        <v>1007</v>
      </c>
      <c r="C198" s="13"/>
      <c r="D198" s="13"/>
      <c r="E198" s="18" t="s">
        <v>1008</v>
      </c>
      <c r="F198" s="18" t="s">
        <v>82</v>
      </c>
      <c r="G198" s="18" t="s">
        <v>83</v>
      </c>
      <c r="H198" s="18" t="s">
        <v>84</v>
      </c>
      <c r="I198" s="18" t="s">
        <v>85</v>
      </c>
      <c r="J198" s="18">
        <v>5</v>
      </c>
      <c r="K198" s="16">
        <v>8.99</v>
      </c>
      <c r="L198" s="10"/>
      <c r="M198" s="16">
        <v>0</v>
      </c>
      <c r="N198" s="16">
        <v>0</v>
      </c>
      <c r="O198" s="18">
        <v>0</v>
      </c>
      <c r="P198" s="18" t="s">
        <v>133</v>
      </c>
      <c r="Q198" s="18">
        <v>2.301585</v>
      </c>
      <c r="R198" s="10"/>
      <c r="S198" s="16">
        <v>76</v>
      </c>
      <c r="T198" s="16">
        <v>10</v>
      </c>
      <c r="U198" s="18" t="s">
        <v>1006</v>
      </c>
      <c r="V198" s="18" t="s">
        <v>1007</v>
      </c>
      <c r="W198" s="13"/>
      <c r="X198" s="13"/>
      <c r="Y198" s="18" t="s">
        <v>1008</v>
      </c>
      <c r="Z198" s="18" t="s">
        <v>82</v>
      </c>
      <c r="AA198" s="18" t="s">
        <v>83</v>
      </c>
      <c r="AB198" s="18" t="s">
        <v>84</v>
      </c>
      <c r="AC198" s="18" t="s">
        <v>85</v>
      </c>
      <c r="AD198" s="18">
        <v>12.98</v>
      </c>
      <c r="AE198" s="18">
        <v>0</v>
      </c>
      <c r="AF198" s="18">
        <v>0</v>
      </c>
      <c r="AG198" s="18">
        <v>1</v>
      </c>
      <c r="AH198" s="18">
        <v>1</v>
      </c>
      <c r="AI198" s="18">
        <v>0</v>
      </c>
      <c r="AJ198" s="18">
        <v>0</v>
      </c>
      <c r="AK198" s="18">
        <v>0</v>
      </c>
      <c r="AL198" s="18">
        <v>0</v>
      </c>
      <c r="AM198" s="18">
        <v>0</v>
      </c>
      <c r="AN198" s="18">
        <v>0</v>
      </c>
      <c r="AO198" s="18">
        <v>0</v>
      </c>
      <c r="AP198" s="18">
        <v>0</v>
      </c>
      <c r="AQ198" s="18">
        <v>0</v>
      </c>
      <c r="AR198" s="18">
        <v>0</v>
      </c>
      <c r="AS198" s="18">
        <v>1</v>
      </c>
      <c r="AT198" s="18">
        <v>1</v>
      </c>
      <c r="AU198" s="18">
        <v>0</v>
      </c>
      <c r="AV198" s="18">
        <v>0</v>
      </c>
      <c r="AW198" s="18">
        <v>1</v>
      </c>
      <c r="AX198" s="18">
        <v>0</v>
      </c>
      <c r="AY198" s="13"/>
      <c r="AZ198" s="18">
        <v>1</v>
      </c>
      <c r="BA198" s="18">
        <v>1</v>
      </c>
      <c r="BB198" s="18">
        <v>64.6</v>
      </c>
      <c r="BC198" s="18" t="s">
        <v>1009</v>
      </c>
      <c r="BD198" s="18" t="s">
        <v>537</v>
      </c>
      <c r="BE198" s="18" t="s">
        <v>91</v>
      </c>
      <c r="BF198" s="18" t="s">
        <v>77</v>
      </c>
      <c r="BG198" s="18">
        <v>162</v>
      </c>
      <c r="BH198" s="18">
        <v>59</v>
      </c>
      <c r="BI198" s="18">
        <v>0.733</v>
      </c>
      <c r="BJ198" s="18">
        <v>0</v>
      </c>
      <c r="BK198" s="18">
        <v>9</v>
      </c>
      <c r="BL198" s="18">
        <v>97.5</v>
      </c>
      <c r="BM198" s="13">
        <f t="shared" si="0"/>
        <v>683.24</v>
      </c>
    </row>
    <row r="199" customHeight="1" spans="1:65">
      <c r="A199" s="18" t="s">
        <v>1010</v>
      </c>
      <c r="B199" s="18" t="s">
        <v>1011</v>
      </c>
      <c r="C199" s="13"/>
      <c r="D199" s="13"/>
      <c r="E199" s="18" t="s">
        <v>275</v>
      </c>
      <c r="F199" s="18" t="s">
        <v>132</v>
      </c>
      <c r="G199" s="18" t="s">
        <v>427</v>
      </c>
      <c r="H199" s="18" t="s">
        <v>84</v>
      </c>
      <c r="I199" s="18" t="s">
        <v>85</v>
      </c>
      <c r="J199" s="18">
        <v>5</v>
      </c>
      <c r="K199" s="16">
        <v>10.95</v>
      </c>
      <c r="L199" s="10"/>
      <c r="M199" s="16">
        <v>0</v>
      </c>
      <c r="N199" s="16">
        <v>0</v>
      </c>
      <c r="O199" s="18">
        <v>0</v>
      </c>
      <c r="P199" s="18" t="s">
        <v>133</v>
      </c>
      <c r="Q199" s="18">
        <v>2.480731</v>
      </c>
      <c r="R199" s="10"/>
      <c r="S199" s="16">
        <v>119</v>
      </c>
      <c r="T199" s="16">
        <v>10</v>
      </c>
      <c r="U199" s="18" t="s">
        <v>2577</v>
      </c>
      <c r="V199" s="18" t="s">
        <v>1011</v>
      </c>
      <c r="W199" s="13"/>
      <c r="X199" s="13"/>
      <c r="Y199" s="18" t="s">
        <v>275</v>
      </c>
      <c r="Z199" s="18" t="s">
        <v>132</v>
      </c>
      <c r="AA199" s="18" t="s">
        <v>427</v>
      </c>
      <c r="AB199" s="18" t="s">
        <v>84</v>
      </c>
      <c r="AC199" s="18" t="s">
        <v>85</v>
      </c>
      <c r="AD199" s="18">
        <v>16.9</v>
      </c>
      <c r="AE199" s="18">
        <v>0</v>
      </c>
      <c r="AF199" s="18">
        <v>0</v>
      </c>
      <c r="AG199" s="18">
        <v>0</v>
      </c>
      <c r="AH199" s="18">
        <v>0</v>
      </c>
      <c r="AI199" s="18">
        <v>0</v>
      </c>
      <c r="AJ199" s="18">
        <v>0</v>
      </c>
      <c r="AK199" s="18">
        <v>0</v>
      </c>
      <c r="AL199" s="18">
        <v>0</v>
      </c>
      <c r="AM199" s="18">
        <v>0</v>
      </c>
      <c r="AN199" s="18">
        <v>0</v>
      </c>
      <c r="AO199" s="18">
        <v>0</v>
      </c>
      <c r="AP199" s="18">
        <v>0</v>
      </c>
      <c r="AQ199" s="18">
        <v>0</v>
      </c>
      <c r="AR199" s="18">
        <v>0</v>
      </c>
      <c r="AS199" s="18">
        <v>0</v>
      </c>
      <c r="AT199" s="18">
        <v>1</v>
      </c>
      <c r="AU199" s="18">
        <v>1</v>
      </c>
      <c r="AV199" s="18">
        <v>0</v>
      </c>
      <c r="AW199" s="18">
        <v>1</v>
      </c>
      <c r="AX199" s="18">
        <v>0</v>
      </c>
      <c r="AY199" s="13"/>
      <c r="AZ199" s="18">
        <v>4</v>
      </c>
      <c r="BA199" s="18">
        <v>0</v>
      </c>
      <c r="BB199" s="18">
        <v>66.66</v>
      </c>
      <c r="BC199" s="18" t="s">
        <v>1012</v>
      </c>
      <c r="BD199" s="18" t="s">
        <v>1013</v>
      </c>
      <c r="BE199" s="18" t="s">
        <v>91</v>
      </c>
      <c r="BF199" s="18" t="s">
        <v>77</v>
      </c>
      <c r="BG199" s="18">
        <v>163</v>
      </c>
      <c r="BH199" s="18">
        <v>59</v>
      </c>
      <c r="BI199" s="18">
        <v>0.7342</v>
      </c>
      <c r="BJ199" s="18">
        <v>0</v>
      </c>
      <c r="BK199" s="18">
        <v>3</v>
      </c>
      <c r="BL199" s="18">
        <v>99.2</v>
      </c>
      <c r="BM199" s="13">
        <f t="shared" si="0"/>
        <v>1303.05</v>
      </c>
    </row>
    <row r="200" customHeight="1" spans="1:65">
      <c r="A200" s="18" t="s">
        <v>1014</v>
      </c>
      <c r="B200" s="18" t="s">
        <v>115</v>
      </c>
      <c r="C200" s="18" t="s">
        <v>1015</v>
      </c>
      <c r="D200" s="18">
        <v>840080598574</v>
      </c>
      <c r="E200" s="18" t="s">
        <v>81</v>
      </c>
      <c r="F200" s="18" t="s">
        <v>82</v>
      </c>
      <c r="G200" s="18" t="s">
        <v>117</v>
      </c>
      <c r="H200" s="18" t="s">
        <v>107</v>
      </c>
      <c r="I200" s="18" t="s">
        <v>85</v>
      </c>
      <c r="J200" s="18">
        <v>5</v>
      </c>
      <c r="K200" s="16">
        <v>105</v>
      </c>
      <c r="L200" s="10"/>
      <c r="M200" s="16">
        <v>0</v>
      </c>
      <c r="N200" s="16">
        <v>0</v>
      </c>
      <c r="O200" s="18">
        <v>0</v>
      </c>
      <c r="P200" s="18" t="s">
        <v>95</v>
      </c>
      <c r="Q200" s="18">
        <v>4.663439</v>
      </c>
      <c r="R200" s="10"/>
      <c r="S200" s="16">
        <v>1</v>
      </c>
      <c r="T200" s="16">
        <v>1</v>
      </c>
      <c r="U200" s="18" t="s">
        <v>1014</v>
      </c>
      <c r="V200" s="18" t="s">
        <v>115</v>
      </c>
      <c r="W200" s="18" t="s">
        <v>2578</v>
      </c>
      <c r="X200" s="18">
        <v>840080598575</v>
      </c>
      <c r="Y200" s="18" t="s">
        <v>81</v>
      </c>
      <c r="Z200" s="18" t="s">
        <v>82</v>
      </c>
      <c r="AA200" s="18" t="s">
        <v>117</v>
      </c>
      <c r="AB200" s="18" t="s">
        <v>107</v>
      </c>
      <c r="AC200" s="18" t="s">
        <v>85</v>
      </c>
      <c r="AD200" s="18">
        <v>205</v>
      </c>
      <c r="AE200" s="18">
        <v>0</v>
      </c>
      <c r="AF200" s="18">
        <v>0</v>
      </c>
      <c r="AG200" s="18">
        <v>1</v>
      </c>
      <c r="AH200" s="18">
        <v>0</v>
      </c>
      <c r="AI200" s="18">
        <v>0</v>
      </c>
      <c r="AJ200" s="18">
        <v>0</v>
      </c>
      <c r="AK200" s="18">
        <v>0</v>
      </c>
      <c r="AL200" s="18">
        <v>0</v>
      </c>
      <c r="AM200" s="18">
        <v>0</v>
      </c>
      <c r="AN200" s="18">
        <v>0</v>
      </c>
      <c r="AO200" s="18">
        <v>0</v>
      </c>
      <c r="AP200" s="18">
        <v>1</v>
      </c>
      <c r="AQ200" s="18">
        <v>0</v>
      </c>
      <c r="AR200" s="18">
        <v>0</v>
      </c>
      <c r="AS200" s="18">
        <v>0</v>
      </c>
      <c r="AT200" s="18">
        <v>1</v>
      </c>
      <c r="AU200" s="18">
        <v>0</v>
      </c>
      <c r="AV200" s="18">
        <v>0</v>
      </c>
      <c r="AW200" s="18">
        <v>0</v>
      </c>
      <c r="AX200" s="18">
        <v>0</v>
      </c>
      <c r="AY200" s="13"/>
      <c r="AZ200" s="18">
        <v>1</v>
      </c>
      <c r="BA200" s="18">
        <v>0</v>
      </c>
      <c r="BB200" s="18">
        <v>20</v>
      </c>
      <c r="BC200" s="18" t="s">
        <v>1016</v>
      </c>
      <c r="BD200" s="18" t="s">
        <v>1017</v>
      </c>
      <c r="BE200" s="18" t="s">
        <v>220</v>
      </c>
      <c r="BF200" s="18" t="s">
        <v>77</v>
      </c>
      <c r="BG200" s="18">
        <v>2</v>
      </c>
      <c r="BH200" s="18">
        <v>219</v>
      </c>
      <c r="BI200" s="18">
        <v>0.009</v>
      </c>
      <c r="BJ200" s="18">
        <v>0</v>
      </c>
      <c r="BK200" s="13"/>
      <c r="BL200" s="13"/>
      <c r="BM200" s="13">
        <f t="shared" si="0"/>
        <v>105</v>
      </c>
    </row>
    <row r="201" customHeight="1" spans="1:65">
      <c r="A201" s="18" t="s">
        <v>1024</v>
      </c>
      <c r="B201" s="18" t="s">
        <v>1025</v>
      </c>
      <c r="C201" s="13"/>
      <c r="D201" s="13"/>
      <c r="E201" s="18" t="s">
        <v>239</v>
      </c>
      <c r="F201" s="18" t="s">
        <v>240</v>
      </c>
      <c r="G201" s="18" t="s">
        <v>83</v>
      </c>
      <c r="H201" s="18" t="s">
        <v>84</v>
      </c>
      <c r="I201" s="18" t="s">
        <v>203</v>
      </c>
      <c r="J201" s="18">
        <v>4</v>
      </c>
      <c r="K201" s="16">
        <v>123.5</v>
      </c>
      <c r="L201" s="10"/>
      <c r="M201" s="16">
        <v>0</v>
      </c>
      <c r="N201" s="16">
        <v>0</v>
      </c>
      <c r="O201" s="18">
        <v>0</v>
      </c>
      <c r="P201" s="18" t="s">
        <v>95</v>
      </c>
      <c r="Q201" s="18">
        <v>4.824306</v>
      </c>
      <c r="R201" s="16">
        <v>3.86</v>
      </c>
      <c r="S201" s="10"/>
      <c r="T201" s="10"/>
      <c r="U201" s="18" t="s">
        <v>1024</v>
      </c>
      <c r="V201" s="18" t="s">
        <v>1025</v>
      </c>
      <c r="W201" s="13"/>
      <c r="X201" s="13"/>
      <c r="Y201" s="18" t="s">
        <v>239</v>
      </c>
      <c r="Z201" s="18" t="s">
        <v>240</v>
      </c>
      <c r="AA201" s="18" t="s">
        <v>83</v>
      </c>
      <c r="AB201" s="18" t="s">
        <v>84</v>
      </c>
      <c r="AC201" s="18" t="s">
        <v>203</v>
      </c>
      <c r="AD201" s="18">
        <v>243</v>
      </c>
      <c r="AE201" s="18">
        <v>0</v>
      </c>
      <c r="AF201" s="18">
        <v>0</v>
      </c>
      <c r="AG201" s="18">
        <v>0</v>
      </c>
      <c r="AH201" s="18">
        <v>0</v>
      </c>
      <c r="AI201" s="18">
        <v>0</v>
      </c>
      <c r="AJ201" s="18">
        <v>0</v>
      </c>
      <c r="AK201" s="18">
        <v>0</v>
      </c>
      <c r="AL201" s="18">
        <v>0</v>
      </c>
      <c r="AM201" s="18">
        <v>0</v>
      </c>
      <c r="AN201" s="18">
        <v>0</v>
      </c>
      <c r="AO201" s="18">
        <v>0</v>
      </c>
      <c r="AP201" s="18">
        <v>0</v>
      </c>
      <c r="AQ201" s="18">
        <v>1</v>
      </c>
      <c r="AR201" s="18">
        <v>0</v>
      </c>
      <c r="AS201" s="18">
        <v>0</v>
      </c>
      <c r="AT201" s="18">
        <v>0</v>
      </c>
      <c r="AU201" s="18">
        <v>0</v>
      </c>
      <c r="AV201" s="18">
        <v>1</v>
      </c>
      <c r="AW201" s="18">
        <v>1</v>
      </c>
      <c r="AX201" s="18">
        <v>0</v>
      </c>
      <c r="AY201" s="18">
        <v>32</v>
      </c>
      <c r="AZ201" s="18">
        <v>1</v>
      </c>
      <c r="BA201" s="18">
        <v>1</v>
      </c>
      <c r="BB201" s="18">
        <v>0</v>
      </c>
      <c r="BC201" s="18" t="s">
        <v>1026</v>
      </c>
      <c r="BD201" s="18" t="s">
        <v>1027</v>
      </c>
      <c r="BE201" s="18" t="s">
        <v>226</v>
      </c>
      <c r="BF201" s="18" t="s">
        <v>77</v>
      </c>
      <c r="BG201" s="18">
        <v>1</v>
      </c>
      <c r="BH201" s="18">
        <v>11</v>
      </c>
      <c r="BI201" s="18">
        <v>0.0833</v>
      </c>
      <c r="BJ201" s="18">
        <v>1</v>
      </c>
      <c r="BK201" s="13"/>
      <c r="BL201" s="13"/>
      <c r="BM201" s="13">
        <f t="shared" si="0"/>
        <v>0</v>
      </c>
    </row>
    <row r="202" customHeight="1" spans="1:65">
      <c r="A202" s="18" t="s">
        <v>1028</v>
      </c>
      <c r="B202" s="18" t="s">
        <v>1029</v>
      </c>
      <c r="C202" s="18" t="s">
        <v>1030</v>
      </c>
      <c r="D202" s="18">
        <v>800549669511</v>
      </c>
      <c r="E202" s="18" t="s">
        <v>1031</v>
      </c>
      <c r="F202" s="18" t="s">
        <v>68</v>
      </c>
      <c r="G202" s="18" t="s">
        <v>83</v>
      </c>
      <c r="H202" s="18" t="s">
        <v>450</v>
      </c>
      <c r="I202" s="18" t="s">
        <v>85</v>
      </c>
      <c r="J202" s="18">
        <v>5</v>
      </c>
      <c r="K202" s="16">
        <v>60</v>
      </c>
      <c r="L202" s="10"/>
      <c r="M202" s="16">
        <v>0</v>
      </c>
      <c r="N202" s="16">
        <v>0</v>
      </c>
      <c r="O202" s="18">
        <v>0</v>
      </c>
      <c r="P202" s="18" t="s">
        <v>86</v>
      </c>
      <c r="Q202" s="18">
        <v>4.110874</v>
      </c>
      <c r="R202" s="10"/>
      <c r="S202" s="16">
        <v>2</v>
      </c>
      <c r="T202" s="16">
        <v>8</v>
      </c>
      <c r="U202" s="18" t="s">
        <v>1028</v>
      </c>
      <c r="V202" s="18" t="s">
        <v>1029</v>
      </c>
      <c r="W202" s="18" t="s">
        <v>2579</v>
      </c>
      <c r="X202" s="18">
        <v>800549669512</v>
      </c>
      <c r="Y202" s="18" t="s">
        <v>1031</v>
      </c>
      <c r="Z202" s="18" t="s">
        <v>68</v>
      </c>
      <c r="AA202" s="18" t="s">
        <v>83</v>
      </c>
      <c r="AB202" s="18" t="s">
        <v>450</v>
      </c>
      <c r="AC202" s="18" t="s">
        <v>85</v>
      </c>
      <c r="AD202" s="18">
        <v>115</v>
      </c>
      <c r="AE202" s="18">
        <v>0</v>
      </c>
      <c r="AF202" s="18">
        <v>0</v>
      </c>
      <c r="AG202" s="18">
        <v>0</v>
      </c>
      <c r="AH202" s="18">
        <v>0</v>
      </c>
      <c r="AI202" s="18">
        <v>0</v>
      </c>
      <c r="AJ202" s="18">
        <v>0</v>
      </c>
      <c r="AK202" s="18">
        <v>0</v>
      </c>
      <c r="AL202" s="18">
        <v>0</v>
      </c>
      <c r="AM202" s="18">
        <v>0</v>
      </c>
      <c r="AN202" s="18">
        <v>0</v>
      </c>
      <c r="AO202" s="18">
        <v>0</v>
      </c>
      <c r="AP202" s="18">
        <v>0</v>
      </c>
      <c r="AQ202" s="18">
        <v>0</v>
      </c>
      <c r="AR202" s="18">
        <v>0</v>
      </c>
      <c r="AS202" s="18">
        <v>0</v>
      </c>
      <c r="AT202" s="18">
        <v>0</v>
      </c>
      <c r="AU202" s="18">
        <v>0</v>
      </c>
      <c r="AV202" s="18">
        <v>0</v>
      </c>
      <c r="AW202" s="18">
        <v>0</v>
      </c>
      <c r="AX202" s="18">
        <v>0</v>
      </c>
      <c r="AY202" s="13"/>
      <c r="AZ202" s="18">
        <v>1</v>
      </c>
      <c r="BA202" s="18">
        <v>0</v>
      </c>
      <c r="BB202" s="18">
        <v>34.79</v>
      </c>
      <c r="BC202" s="18" t="s">
        <v>1032</v>
      </c>
      <c r="BD202" s="18" t="s">
        <v>97</v>
      </c>
      <c r="BE202" s="18" t="s">
        <v>76</v>
      </c>
      <c r="BF202" s="18" t="s">
        <v>77</v>
      </c>
      <c r="BG202" s="18">
        <v>167</v>
      </c>
      <c r="BH202" s="18">
        <v>11</v>
      </c>
      <c r="BI202" s="18">
        <v>0.9382</v>
      </c>
      <c r="BJ202" s="18">
        <v>0</v>
      </c>
      <c r="BK202" s="18">
        <v>39</v>
      </c>
      <c r="BL202" s="18">
        <v>89.3</v>
      </c>
      <c r="BM202" s="13">
        <f t="shared" si="0"/>
        <v>120</v>
      </c>
    </row>
    <row r="203" customHeight="1" spans="1:65">
      <c r="A203" s="18" t="s">
        <v>1574</v>
      </c>
      <c r="B203" s="18" t="s">
        <v>739</v>
      </c>
      <c r="C203" s="18" t="s">
        <v>1575</v>
      </c>
      <c r="D203" s="13"/>
      <c r="E203" s="18" t="s">
        <v>122</v>
      </c>
      <c r="F203" s="18" t="s">
        <v>82</v>
      </c>
      <c r="G203" s="18" t="s">
        <v>83</v>
      </c>
      <c r="H203" s="18" t="s">
        <v>84</v>
      </c>
      <c r="I203" s="18" t="s">
        <v>203</v>
      </c>
      <c r="J203" s="18">
        <v>4</v>
      </c>
      <c r="K203" s="16">
        <v>39.9</v>
      </c>
      <c r="L203" s="10"/>
      <c r="M203" s="16">
        <v>0</v>
      </c>
      <c r="N203" s="16">
        <v>0</v>
      </c>
      <c r="O203" s="18">
        <v>0</v>
      </c>
      <c r="P203" s="18" t="s">
        <v>86</v>
      </c>
      <c r="Q203" s="18">
        <v>3.71113</v>
      </c>
      <c r="R203" s="10"/>
      <c r="S203" s="16">
        <v>33</v>
      </c>
      <c r="T203" s="16">
        <v>10</v>
      </c>
      <c r="U203" s="18" t="s">
        <v>1574</v>
      </c>
      <c r="V203" s="18" t="s">
        <v>739</v>
      </c>
      <c r="W203" s="18" t="s">
        <v>2580</v>
      </c>
      <c r="X203" s="13"/>
      <c r="Y203" s="18" t="s">
        <v>122</v>
      </c>
      <c r="Z203" s="18" t="s">
        <v>82</v>
      </c>
      <c r="AA203" s="18" t="s">
        <v>83</v>
      </c>
      <c r="AB203" s="18" t="s">
        <v>84</v>
      </c>
      <c r="AC203" s="18" t="s">
        <v>203</v>
      </c>
      <c r="AD203" s="18">
        <v>75.8</v>
      </c>
      <c r="AE203" s="18">
        <v>0</v>
      </c>
      <c r="AF203" s="18">
        <v>0</v>
      </c>
      <c r="AG203" s="18">
        <v>0</v>
      </c>
      <c r="AH203" s="18">
        <v>1</v>
      </c>
      <c r="AI203" s="18">
        <v>0</v>
      </c>
      <c r="AJ203" s="18">
        <v>0</v>
      </c>
      <c r="AK203" s="18">
        <v>0</v>
      </c>
      <c r="AL203" s="18">
        <v>0</v>
      </c>
      <c r="AM203" s="18">
        <v>0</v>
      </c>
      <c r="AN203" s="18">
        <v>0</v>
      </c>
      <c r="AO203" s="18">
        <v>0</v>
      </c>
      <c r="AP203" s="18">
        <v>0</v>
      </c>
      <c r="AQ203" s="18">
        <v>0</v>
      </c>
      <c r="AR203" s="18">
        <v>0</v>
      </c>
      <c r="AS203" s="18">
        <v>1</v>
      </c>
      <c r="AT203" s="18">
        <v>0</v>
      </c>
      <c r="AU203" s="18">
        <v>0</v>
      </c>
      <c r="AV203" s="18">
        <v>0</v>
      </c>
      <c r="AW203" s="18">
        <v>0</v>
      </c>
      <c r="AX203" s="18">
        <v>1</v>
      </c>
      <c r="AY203" s="13"/>
      <c r="AZ203" s="18">
        <v>1</v>
      </c>
      <c r="BA203" s="18">
        <v>1</v>
      </c>
      <c r="BB203" s="18">
        <v>59.14</v>
      </c>
      <c r="BC203" s="18" t="s">
        <v>1037</v>
      </c>
      <c r="BD203" s="18" t="s">
        <v>1038</v>
      </c>
      <c r="BE203" s="18" t="s">
        <v>1576</v>
      </c>
      <c r="BF203" s="18" t="s">
        <v>77</v>
      </c>
      <c r="BG203" s="18">
        <v>168</v>
      </c>
      <c r="BH203" s="18">
        <v>11</v>
      </c>
      <c r="BI203" s="18">
        <v>0.9385</v>
      </c>
      <c r="BJ203" s="18">
        <v>0</v>
      </c>
      <c r="BK203" s="18">
        <v>19</v>
      </c>
      <c r="BL203" s="18">
        <v>94.8</v>
      </c>
      <c r="BM203" s="13">
        <f t="shared" si="0"/>
        <v>1316.7</v>
      </c>
    </row>
    <row r="204" customHeight="1" spans="1:65">
      <c r="A204" s="18" t="s">
        <v>1035</v>
      </c>
      <c r="B204" s="18" t="s">
        <v>739</v>
      </c>
      <c r="C204" s="18" t="s">
        <v>1036</v>
      </c>
      <c r="D204" s="13"/>
      <c r="E204" s="18" t="s">
        <v>81</v>
      </c>
      <c r="F204" s="18" t="s">
        <v>82</v>
      </c>
      <c r="G204" s="18" t="s">
        <v>83</v>
      </c>
      <c r="H204" s="18" t="s">
        <v>84</v>
      </c>
      <c r="I204" s="18" t="s">
        <v>203</v>
      </c>
      <c r="J204" s="18">
        <v>4</v>
      </c>
      <c r="K204" s="16">
        <v>29.9</v>
      </c>
      <c r="L204" s="10"/>
      <c r="M204" s="16">
        <v>0</v>
      </c>
      <c r="N204" s="16">
        <v>0</v>
      </c>
      <c r="O204" s="18">
        <v>0</v>
      </c>
      <c r="P204" s="18" t="s">
        <v>86</v>
      </c>
      <c r="Q204" s="18">
        <v>3.430756</v>
      </c>
      <c r="R204" s="10"/>
      <c r="S204" s="16">
        <v>11</v>
      </c>
      <c r="T204" s="16">
        <v>10</v>
      </c>
      <c r="U204" s="18" t="s">
        <v>1035</v>
      </c>
      <c r="V204" s="18" t="s">
        <v>739</v>
      </c>
      <c r="W204" s="18" t="s">
        <v>2581</v>
      </c>
      <c r="X204" s="13"/>
      <c r="Y204" s="18" t="s">
        <v>81</v>
      </c>
      <c r="Z204" s="18" t="s">
        <v>82</v>
      </c>
      <c r="AA204" s="18" t="s">
        <v>83</v>
      </c>
      <c r="AB204" s="18" t="s">
        <v>84</v>
      </c>
      <c r="AC204" s="18" t="s">
        <v>203</v>
      </c>
      <c r="AD204" s="18">
        <v>55.8</v>
      </c>
      <c r="AE204" s="18">
        <v>0</v>
      </c>
      <c r="AF204" s="18">
        <v>0</v>
      </c>
      <c r="AG204" s="18">
        <v>0</v>
      </c>
      <c r="AH204" s="18">
        <v>1</v>
      </c>
      <c r="AI204" s="18">
        <v>0</v>
      </c>
      <c r="AJ204" s="18">
        <v>0</v>
      </c>
      <c r="AK204" s="18">
        <v>0</v>
      </c>
      <c r="AL204" s="18">
        <v>0</v>
      </c>
      <c r="AM204" s="18">
        <v>0</v>
      </c>
      <c r="AN204" s="18">
        <v>0</v>
      </c>
      <c r="AO204" s="18">
        <v>0</v>
      </c>
      <c r="AP204" s="18">
        <v>0</v>
      </c>
      <c r="AQ204" s="18">
        <v>0</v>
      </c>
      <c r="AR204" s="18">
        <v>0</v>
      </c>
      <c r="AS204" s="18">
        <v>0</v>
      </c>
      <c r="AT204" s="18">
        <v>0</v>
      </c>
      <c r="AU204" s="18">
        <v>0</v>
      </c>
      <c r="AV204" s="18">
        <v>0</v>
      </c>
      <c r="AW204" s="18">
        <v>0</v>
      </c>
      <c r="AX204" s="18">
        <v>1</v>
      </c>
      <c r="AY204" s="13"/>
      <c r="AZ204" s="18">
        <v>1</v>
      </c>
      <c r="BA204" s="18">
        <v>1</v>
      </c>
      <c r="BB204" s="18">
        <v>49.54</v>
      </c>
      <c r="BC204" s="18" t="s">
        <v>1037</v>
      </c>
      <c r="BD204" s="18" t="s">
        <v>1038</v>
      </c>
      <c r="BE204" s="18" t="s">
        <v>1039</v>
      </c>
      <c r="BF204" s="18" t="s">
        <v>77</v>
      </c>
      <c r="BG204" s="18">
        <v>168</v>
      </c>
      <c r="BH204" s="18">
        <v>11</v>
      </c>
      <c r="BI204" s="18">
        <v>0.9385</v>
      </c>
      <c r="BJ204" s="18">
        <v>0</v>
      </c>
      <c r="BK204" s="18">
        <v>17</v>
      </c>
      <c r="BL204" s="18">
        <v>95.3</v>
      </c>
      <c r="BM204" s="13">
        <f t="shared" si="0"/>
        <v>328.9</v>
      </c>
    </row>
    <row r="205" customHeight="1" spans="1:65">
      <c r="A205" s="18" t="s">
        <v>1929</v>
      </c>
      <c r="B205" s="18" t="s">
        <v>739</v>
      </c>
      <c r="C205" s="13"/>
      <c r="D205" s="13"/>
      <c r="E205" s="18" t="s">
        <v>81</v>
      </c>
      <c r="F205" s="18" t="s">
        <v>82</v>
      </c>
      <c r="G205" s="18" t="s">
        <v>83</v>
      </c>
      <c r="H205" s="18" t="s">
        <v>84</v>
      </c>
      <c r="I205" s="18" t="s">
        <v>203</v>
      </c>
      <c r="J205" s="18">
        <v>4</v>
      </c>
      <c r="K205" s="16">
        <v>54.99</v>
      </c>
      <c r="L205" s="10"/>
      <c r="M205" s="16">
        <v>0</v>
      </c>
      <c r="N205" s="16">
        <v>0</v>
      </c>
      <c r="O205" s="18">
        <v>0</v>
      </c>
      <c r="P205" s="18" t="s">
        <v>86</v>
      </c>
      <c r="Q205" s="18">
        <v>4.025173</v>
      </c>
      <c r="R205" s="10"/>
      <c r="S205" s="16">
        <v>39</v>
      </c>
      <c r="T205" s="16">
        <v>10</v>
      </c>
      <c r="U205" s="18" t="s">
        <v>1929</v>
      </c>
      <c r="V205" s="18" t="s">
        <v>739</v>
      </c>
      <c r="W205" s="13"/>
      <c r="X205" s="13"/>
      <c r="Y205" s="18" t="s">
        <v>81</v>
      </c>
      <c r="Z205" s="18" t="s">
        <v>82</v>
      </c>
      <c r="AA205" s="18" t="s">
        <v>83</v>
      </c>
      <c r="AB205" s="18" t="s">
        <v>84</v>
      </c>
      <c r="AC205" s="18" t="s">
        <v>203</v>
      </c>
      <c r="AD205" s="18">
        <v>105.98</v>
      </c>
      <c r="AE205" s="18">
        <v>1</v>
      </c>
      <c r="AF205" s="18">
        <v>0</v>
      </c>
      <c r="AG205" s="18">
        <v>0</v>
      </c>
      <c r="AH205" s="18">
        <v>1</v>
      </c>
      <c r="AI205" s="18">
        <v>0</v>
      </c>
      <c r="AJ205" s="18">
        <v>0</v>
      </c>
      <c r="AK205" s="18">
        <v>0</v>
      </c>
      <c r="AL205" s="18">
        <v>0</v>
      </c>
      <c r="AM205" s="18">
        <v>0</v>
      </c>
      <c r="AN205" s="18">
        <v>0</v>
      </c>
      <c r="AO205" s="18">
        <v>0</v>
      </c>
      <c r="AP205" s="18">
        <v>0</v>
      </c>
      <c r="AQ205" s="18">
        <v>0</v>
      </c>
      <c r="AR205" s="18">
        <v>0</v>
      </c>
      <c r="AS205" s="18">
        <v>0</v>
      </c>
      <c r="AT205" s="18">
        <v>0</v>
      </c>
      <c r="AU205" s="18">
        <v>0</v>
      </c>
      <c r="AV205" s="18">
        <v>0</v>
      </c>
      <c r="AW205" s="18">
        <v>0</v>
      </c>
      <c r="AX205" s="18">
        <v>0</v>
      </c>
      <c r="AY205" s="13"/>
      <c r="AZ205" s="18">
        <v>1</v>
      </c>
      <c r="BA205" s="18">
        <v>2</v>
      </c>
      <c r="BB205" s="18">
        <v>60.85</v>
      </c>
      <c r="BC205" s="18" t="s">
        <v>1037</v>
      </c>
      <c r="BD205" s="18" t="s">
        <v>1038</v>
      </c>
      <c r="BE205" s="18" t="s">
        <v>1039</v>
      </c>
      <c r="BF205" s="18" t="s">
        <v>77</v>
      </c>
      <c r="BG205" s="18">
        <v>168</v>
      </c>
      <c r="BH205" s="18">
        <v>11</v>
      </c>
      <c r="BI205" s="18">
        <v>0.9385</v>
      </c>
      <c r="BJ205" s="18">
        <v>0</v>
      </c>
      <c r="BK205" s="18">
        <v>12</v>
      </c>
      <c r="BL205" s="18">
        <v>96.7</v>
      </c>
      <c r="BM205" s="13">
        <f t="shared" si="0"/>
        <v>2144.61</v>
      </c>
    </row>
    <row r="206" customHeight="1" spans="1:65">
      <c r="A206" s="18" t="s">
        <v>1040</v>
      </c>
      <c r="B206" s="18" t="s">
        <v>125</v>
      </c>
      <c r="C206" s="13"/>
      <c r="D206" s="13"/>
      <c r="E206" s="18" t="s">
        <v>1041</v>
      </c>
      <c r="F206" s="18" t="s">
        <v>198</v>
      </c>
      <c r="G206" s="18" t="s">
        <v>83</v>
      </c>
      <c r="H206" s="18" t="s">
        <v>138</v>
      </c>
      <c r="I206" s="18" t="s">
        <v>85</v>
      </c>
      <c r="J206" s="18">
        <v>5</v>
      </c>
      <c r="K206" s="16">
        <v>21.99</v>
      </c>
      <c r="L206" s="10"/>
      <c r="M206" s="16">
        <v>0</v>
      </c>
      <c r="N206" s="16">
        <v>0</v>
      </c>
      <c r="O206" s="18">
        <v>0</v>
      </c>
      <c r="P206" s="18" t="s">
        <v>133</v>
      </c>
      <c r="Q206" s="18">
        <v>3.135059</v>
      </c>
      <c r="R206" s="10"/>
      <c r="S206" s="16">
        <v>117</v>
      </c>
      <c r="T206" s="16">
        <v>10</v>
      </c>
      <c r="U206" s="18" t="s">
        <v>1040</v>
      </c>
      <c r="V206" s="18" t="s">
        <v>125</v>
      </c>
      <c r="W206" s="13"/>
      <c r="X206" s="13"/>
      <c r="Y206" s="18" t="s">
        <v>1041</v>
      </c>
      <c r="Z206" s="18" t="s">
        <v>198</v>
      </c>
      <c r="AA206" s="18" t="s">
        <v>83</v>
      </c>
      <c r="AB206" s="18" t="s">
        <v>138</v>
      </c>
      <c r="AC206" s="18" t="s">
        <v>85</v>
      </c>
      <c r="AD206" s="18">
        <v>38.98</v>
      </c>
      <c r="AE206" s="18">
        <v>1</v>
      </c>
      <c r="AF206" s="18">
        <v>0</v>
      </c>
      <c r="AG206" s="18">
        <v>0</v>
      </c>
      <c r="AH206" s="18">
        <v>1</v>
      </c>
      <c r="AI206" s="18">
        <v>0</v>
      </c>
      <c r="AJ206" s="18">
        <v>0</v>
      </c>
      <c r="AK206" s="18">
        <v>0</v>
      </c>
      <c r="AL206" s="18">
        <v>0</v>
      </c>
      <c r="AM206" s="18">
        <v>0</v>
      </c>
      <c r="AN206" s="18">
        <v>0</v>
      </c>
      <c r="AO206" s="18">
        <v>0</v>
      </c>
      <c r="AP206" s="18">
        <v>0</v>
      </c>
      <c r="AQ206" s="18">
        <v>0</v>
      </c>
      <c r="AR206" s="18">
        <v>0</v>
      </c>
      <c r="AS206" s="18">
        <v>0</v>
      </c>
      <c r="AT206" s="18">
        <v>1</v>
      </c>
      <c r="AU206" s="18">
        <v>0</v>
      </c>
      <c r="AV206" s="18">
        <v>0</v>
      </c>
      <c r="AW206" s="18">
        <v>0</v>
      </c>
      <c r="AX206" s="18">
        <v>0</v>
      </c>
      <c r="AY206" s="13"/>
      <c r="AZ206" s="18">
        <v>1</v>
      </c>
      <c r="BA206" s="18">
        <v>2</v>
      </c>
      <c r="BB206" s="18">
        <v>66.61</v>
      </c>
      <c r="BC206" s="18" t="s">
        <v>1042</v>
      </c>
      <c r="BD206" s="18" t="s">
        <v>1043</v>
      </c>
      <c r="BE206" s="18" t="s">
        <v>113</v>
      </c>
      <c r="BF206" s="18" t="s">
        <v>77</v>
      </c>
      <c r="BG206" s="18">
        <v>168</v>
      </c>
      <c r="BH206" s="18">
        <v>12</v>
      </c>
      <c r="BI206" s="18">
        <v>0.9333</v>
      </c>
      <c r="BJ206" s="18">
        <v>0</v>
      </c>
      <c r="BK206" s="18">
        <v>3</v>
      </c>
      <c r="BL206" s="18">
        <v>99.2</v>
      </c>
      <c r="BM206" s="13">
        <f t="shared" si="0"/>
        <v>2572.83</v>
      </c>
    </row>
    <row r="207" customHeight="1" spans="1:65">
      <c r="A207" s="18" t="s">
        <v>191</v>
      </c>
      <c r="B207" s="18" t="s">
        <v>192</v>
      </c>
      <c r="C207" s="13"/>
      <c r="D207" s="13"/>
      <c r="E207" s="18" t="s">
        <v>131</v>
      </c>
      <c r="F207" s="18" t="s">
        <v>132</v>
      </c>
      <c r="G207" s="18" t="s">
        <v>83</v>
      </c>
      <c r="H207" s="18" t="s">
        <v>84</v>
      </c>
      <c r="I207" s="18" t="s">
        <v>85</v>
      </c>
      <c r="J207" s="18">
        <v>5</v>
      </c>
      <c r="K207" s="16">
        <v>10.55</v>
      </c>
      <c r="L207" s="10"/>
      <c r="M207" s="16">
        <v>0</v>
      </c>
      <c r="N207" s="16">
        <v>0</v>
      </c>
      <c r="O207" s="18">
        <v>0</v>
      </c>
      <c r="P207" s="18" t="s">
        <v>133</v>
      </c>
      <c r="Q207" s="18">
        <v>2.446685</v>
      </c>
      <c r="R207" s="10"/>
      <c r="S207" s="16">
        <v>69</v>
      </c>
      <c r="T207" s="16">
        <v>10</v>
      </c>
      <c r="U207" s="18" t="s">
        <v>191</v>
      </c>
      <c r="V207" s="18" t="s">
        <v>192</v>
      </c>
      <c r="W207" s="13"/>
      <c r="X207" s="13"/>
      <c r="Y207" s="18" t="s">
        <v>131</v>
      </c>
      <c r="Z207" s="18" t="s">
        <v>132</v>
      </c>
      <c r="AA207" s="18" t="s">
        <v>83</v>
      </c>
      <c r="AB207" s="18" t="s">
        <v>84</v>
      </c>
      <c r="AC207" s="18" t="s">
        <v>85</v>
      </c>
      <c r="AD207" s="18">
        <v>16.1</v>
      </c>
      <c r="AE207" s="18">
        <v>0</v>
      </c>
      <c r="AF207" s="18">
        <v>0</v>
      </c>
      <c r="AG207" s="18">
        <v>0</v>
      </c>
      <c r="AH207" s="18">
        <v>0</v>
      </c>
      <c r="AI207" s="18">
        <v>0</v>
      </c>
      <c r="AJ207" s="18">
        <v>0</v>
      </c>
      <c r="AK207" s="18">
        <v>0</v>
      </c>
      <c r="AL207" s="18">
        <v>0</v>
      </c>
      <c r="AM207" s="18">
        <v>0</v>
      </c>
      <c r="AN207" s="18">
        <v>0</v>
      </c>
      <c r="AO207" s="18">
        <v>0</v>
      </c>
      <c r="AP207" s="18">
        <v>0</v>
      </c>
      <c r="AQ207" s="18">
        <v>0</v>
      </c>
      <c r="AR207" s="18">
        <v>0</v>
      </c>
      <c r="AS207" s="18">
        <v>0</v>
      </c>
      <c r="AT207" s="18">
        <v>0</v>
      </c>
      <c r="AU207" s="18">
        <v>0</v>
      </c>
      <c r="AV207" s="18">
        <v>0</v>
      </c>
      <c r="AW207" s="18">
        <v>1</v>
      </c>
      <c r="AX207" s="18">
        <v>0</v>
      </c>
      <c r="AY207" s="13"/>
      <c r="AZ207" s="18">
        <v>1</v>
      </c>
      <c r="BA207" s="18">
        <v>0</v>
      </c>
      <c r="BB207" s="18">
        <v>58.94</v>
      </c>
      <c r="BC207" s="18" t="s">
        <v>193</v>
      </c>
      <c r="BD207" s="18" t="s">
        <v>135</v>
      </c>
      <c r="BE207" s="18" t="s">
        <v>150</v>
      </c>
      <c r="BF207" s="18" t="s">
        <v>77</v>
      </c>
      <c r="BG207" s="18">
        <v>191</v>
      </c>
      <c r="BH207" s="18">
        <v>14</v>
      </c>
      <c r="BI207" s="18">
        <v>0.9317</v>
      </c>
      <c r="BJ207" s="18">
        <v>0</v>
      </c>
      <c r="BK207" s="18">
        <v>73</v>
      </c>
      <c r="BL207" s="18">
        <v>80</v>
      </c>
      <c r="BM207" s="13">
        <f t="shared" si="0"/>
        <v>727.95</v>
      </c>
    </row>
    <row r="208" customHeight="1" spans="1:65">
      <c r="A208" s="18" t="s">
        <v>1047</v>
      </c>
      <c r="B208" s="18" t="s">
        <v>144</v>
      </c>
      <c r="C208" s="31">
        <v>503444</v>
      </c>
      <c r="D208" s="18">
        <v>636391130097</v>
      </c>
      <c r="E208" s="18" t="s">
        <v>1048</v>
      </c>
      <c r="F208" s="18" t="s">
        <v>132</v>
      </c>
      <c r="G208" s="18" t="s">
        <v>83</v>
      </c>
      <c r="H208" s="18" t="s">
        <v>84</v>
      </c>
      <c r="I208" s="18" t="s">
        <v>85</v>
      </c>
      <c r="J208" s="18">
        <v>5</v>
      </c>
      <c r="K208" s="16">
        <v>5.99</v>
      </c>
      <c r="L208" s="10"/>
      <c r="M208" s="16">
        <v>0</v>
      </c>
      <c r="N208" s="16">
        <v>0</v>
      </c>
      <c r="O208" s="18">
        <v>0</v>
      </c>
      <c r="P208" s="18" t="s">
        <v>133</v>
      </c>
      <c r="Q208" s="18">
        <v>1.944481</v>
      </c>
      <c r="R208" s="10"/>
      <c r="S208" s="16">
        <v>31</v>
      </c>
      <c r="T208" s="16">
        <v>10</v>
      </c>
      <c r="U208" s="18" t="s">
        <v>2582</v>
      </c>
      <c r="V208" s="18" t="s">
        <v>144</v>
      </c>
      <c r="W208" s="31">
        <v>1272781756750</v>
      </c>
      <c r="X208" s="18">
        <v>1909172383403</v>
      </c>
      <c r="Y208" s="18" t="s">
        <v>1048</v>
      </c>
      <c r="Z208" s="18" t="s">
        <v>132</v>
      </c>
      <c r="AA208" s="18" t="s">
        <v>83</v>
      </c>
      <c r="AB208" s="18" t="s">
        <v>84</v>
      </c>
      <c r="AC208" s="18" t="s">
        <v>85</v>
      </c>
      <c r="AD208" s="18">
        <v>6.98</v>
      </c>
      <c r="AE208" s="18">
        <v>0</v>
      </c>
      <c r="AF208" s="18">
        <v>0</v>
      </c>
      <c r="AG208" s="18">
        <v>0</v>
      </c>
      <c r="AH208" s="18">
        <v>0</v>
      </c>
      <c r="AI208" s="18">
        <v>0</v>
      </c>
      <c r="AJ208" s="18">
        <v>0</v>
      </c>
      <c r="AK208" s="18">
        <v>0</v>
      </c>
      <c r="AL208" s="18">
        <v>0</v>
      </c>
      <c r="AM208" s="18">
        <v>0</v>
      </c>
      <c r="AN208" s="18">
        <v>0</v>
      </c>
      <c r="AO208" s="18">
        <v>0</v>
      </c>
      <c r="AP208" s="18">
        <v>0</v>
      </c>
      <c r="AQ208" s="18">
        <v>0</v>
      </c>
      <c r="AR208" s="18">
        <v>0</v>
      </c>
      <c r="AS208" s="18">
        <v>0</v>
      </c>
      <c r="AT208" s="18">
        <v>0</v>
      </c>
      <c r="AU208" s="18">
        <v>0</v>
      </c>
      <c r="AV208" s="18">
        <v>0</v>
      </c>
      <c r="AW208" s="18">
        <v>1</v>
      </c>
      <c r="AX208" s="18">
        <v>0</v>
      </c>
      <c r="AY208" s="13"/>
      <c r="AZ208" s="18">
        <v>2</v>
      </c>
      <c r="BA208" s="18">
        <v>0</v>
      </c>
      <c r="BB208" s="18">
        <v>30.24</v>
      </c>
      <c r="BC208" s="18" t="s">
        <v>1049</v>
      </c>
      <c r="BD208" s="18" t="s">
        <v>1050</v>
      </c>
      <c r="BE208" s="18" t="s">
        <v>1051</v>
      </c>
      <c r="BF208" s="18" t="s">
        <v>77</v>
      </c>
      <c r="BG208" s="18">
        <v>163</v>
      </c>
      <c r="BH208" s="18">
        <v>45</v>
      </c>
      <c r="BI208" s="18">
        <v>0.7837</v>
      </c>
      <c r="BJ208" s="18">
        <v>0</v>
      </c>
      <c r="BK208" s="18">
        <v>810</v>
      </c>
      <c r="BL208" s="18">
        <v>0</v>
      </c>
      <c r="BM208" s="13">
        <f t="shared" si="0"/>
        <v>185.69</v>
      </c>
    </row>
    <row r="209" customHeight="1" spans="1:65">
      <c r="A209" s="18" t="s">
        <v>1903</v>
      </c>
      <c r="B209" s="18" t="s">
        <v>144</v>
      </c>
      <c r="C209" s="31">
        <v>503421</v>
      </c>
      <c r="D209" s="18">
        <v>636391130066</v>
      </c>
      <c r="E209" s="18" t="s">
        <v>131</v>
      </c>
      <c r="F209" s="18" t="s">
        <v>132</v>
      </c>
      <c r="G209" s="18" t="s">
        <v>83</v>
      </c>
      <c r="H209" s="18" t="s">
        <v>84</v>
      </c>
      <c r="I209" s="18" t="s">
        <v>85</v>
      </c>
      <c r="J209" s="18">
        <v>5</v>
      </c>
      <c r="K209" s="16">
        <v>5.99</v>
      </c>
      <c r="L209" s="10"/>
      <c r="M209" s="16">
        <v>0</v>
      </c>
      <c r="N209" s="16">
        <v>0</v>
      </c>
      <c r="O209" s="18">
        <v>0</v>
      </c>
      <c r="P209" s="18" t="s">
        <v>133</v>
      </c>
      <c r="Q209" s="18">
        <v>1.944481</v>
      </c>
      <c r="R209" s="10"/>
      <c r="S209" s="16">
        <v>28</v>
      </c>
      <c r="T209" s="16">
        <v>10</v>
      </c>
      <c r="U209" s="18" t="s">
        <v>2583</v>
      </c>
      <c r="V209" s="18" t="s">
        <v>144</v>
      </c>
      <c r="W209" s="33">
        <v>1272781756711</v>
      </c>
      <c r="X209" s="18">
        <v>1909172383356</v>
      </c>
      <c r="Y209" s="18" t="s">
        <v>131</v>
      </c>
      <c r="Z209" s="18" t="s">
        <v>132</v>
      </c>
      <c r="AA209" s="18" t="s">
        <v>83</v>
      </c>
      <c r="AB209" s="18" t="s">
        <v>84</v>
      </c>
      <c r="AC209" s="18" t="s">
        <v>85</v>
      </c>
      <c r="AD209" s="18">
        <v>6.98</v>
      </c>
      <c r="AE209" s="18">
        <v>0</v>
      </c>
      <c r="AF209" s="18">
        <v>0</v>
      </c>
      <c r="AG209" s="18">
        <v>0</v>
      </c>
      <c r="AH209" s="18">
        <v>0</v>
      </c>
      <c r="AI209" s="18">
        <v>0</v>
      </c>
      <c r="AJ209" s="18">
        <v>0</v>
      </c>
      <c r="AK209" s="18">
        <v>0</v>
      </c>
      <c r="AL209" s="18">
        <v>0</v>
      </c>
      <c r="AM209" s="18">
        <v>0</v>
      </c>
      <c r="AN209" s="18">
        <v>0</v>
      </c>
      <c r="AO209" s="18">
        <v>0</v>
      </c>
      <c r="AP209" s="18">
        <v>0</v>
      </c>
      <c r="AQ209" s="18">
        <v>0</v>
      </c>
      <c r="AR209" s="18">
        <v>0</v>
      </c>
      <c r="AS209" s="18">
        <v>0</v>
      </c>
      <c r="AT209" s="18">
        <v>0</v>
      </c>
      <c r="AU209" s="18">
        <v>0</v>
      </c>
      <c r="AV209" s="18">
        <v>0</v>
      </c>
      <c r="AW209" s="18">
        <v>1</v>
      </c>
      <c r="AX209" s="18">
        <v>0</v>
      </c>
      <c r="AY209" s="13"/>
      <c r="AZ209" s="18">
        <v>3</v>
      </c>
      <c r="BA209" s="18">
        <v>0</v>
      </c>
      <c r="BB209" s="18">
        <v>29.47</v>
      </c>
      <c r="BC209" s="18" t="s">
        <v>1049</v>
      </c>
      <c r="BD209" s="18" t="s">
        <v>1050</v>
      </c>
      <c r="BE209" s="18" t="s">
        <v>1051</v>
      </c>
      <c r="BF209" s="18" t="s">
        <v>77</v>
      </c>
      <c r="BG209" s="18">
        <v>163</v>
      </c>
      <c r="BH209" s="18">
        <v>43</v>
      </c>
      <c r="BI209" s="18">
        <v>0.7913</v>
      </c>
      <c r="BJ209" s="18">
        <v>0</v>
      </c>
      <c r="BK209" s="18">
        <v>374</v>
      </c>
      <c r="BL209" s="18">
        <v>0</v>
      </c>
      <c r="BM209" s="13">
        <f t="shared" si="0"/>
        <v>167.72</v>
      </c>
    </row>
    <row r="210" customHeight="1" spans="1:65">
      <c r="A210" s="18" t="s">
        <v>1842</v>
      </c>
      <c r="B210" s="18" t="s">
        <v>144</v>
      </c>
      <c r="C210" s="18" t="s">
        <v>1843</v>
      </c>
      <c r="D210" s="18">
        <v>636391137584</v>
      </c>
      <c r="E210" s="18" t="s">
        <v>1844</v>
      </c>
      <c r="F210" s="18" t="s">
        <v>68</v>
      </c>
      <c r="G210" s="18" t="s">
        <v>83</v>
      </c>
      <c r="H210" s="18" t="s">
        <v>84</v>
      </c>
      <c r="I210" s="18" t="s">
        <v>85</v>
      </c>
      <c r="J210" s="18">
        <v>5</v>
      </c>
      <c r="K210" s="16">
        <v>280.2</v>
      </c>
      <c r="L210" s="16">
        <v>294.95</v>
      </c>
      <c r="M210" s="16">
        <v>5</v>
      </c>
      <c r="N210" s="16">
        <v>14.75</v>
      </c>
      <c r="O210" s="18">
        <v>1</v>
      </c>
      <c r="P210" s="18" t="s">
        <v>71</v>
      </c>
      <c r="Q210" s="18">
        <v>5.639066</v>
      </c>
      <c r="R210" s="10"/>
      <c r="S210" s="16">
        <v>160</v>
      </c>
      <c r="T210" s="16">
        <v>10</v>
      </c>
      <c r="U210" s="18" t="s">
        <v>1842</v>
      </c>
      <c r="V210" s="18" t="s">
        <v>144</v>
      </c>
      <c r="W210" s="18" t="s">
        <v>1843</v>
      </c>
      <c r="X210" s="18">
        <v>636391137585</v>
      </c>
      <c r="Y210" s="18" t="s">
        <v>1844</v>
      </c>
      <c r="Z210" s="18" t="s">
        <v>68</v>
      </c>
      <c r="AA210" s="18" t="s">
        <v>83</v>
      </c>
      <c r="AB210" s="18" t="s">
        <v>84</v>
      </c>
      <c r="AC210" s="18" t="s">
        <v>85</v>
      </c>
      <c r="AD210" s="18">
        <v>-10.4799999999994</v>
      </c>
      <c r="AE210" s="18">
        <v>0</v>
      </c>
      <c r="AF210" s="18">
        <v>0</v>
      </c>
      <c r="AG210" s="18">
        <v>0</v>
      </c>
      <c r="AH210" s="18">
        <v>0</v>
      </c>
      <c r="AI210" s="18">
        <v>0</v>
      </c>
      <c r="AJ210" s="18">
        <v>0</v>
      </c>
      <c r="AK210" s="18">
        <v>0</v>
      </c>
      <c r="AL210" s="18">
        <v>0</v>
      </c>
      <c r="AM210" s="18">
        <v>0</v>
      </c>
      <c r="AN210" s="18">
        <v>0</v>
      </c>
      <c r="AO210" s="18">
        <v>0</v>
      </c>
      <c r="AP210" s="18">
        <v>0</v>
      </c>
      <c r="AQ210" s="18">
        <v>0</v>
      </c>
      <c r="AR210" s="18">
        <v>0</v>
      </c>
      <c r="AS210" s="18">
        <v>0</v>
      </c>
      <c r="AT210" s="18">
        <v>0</v>
      </c>
      <c r="AU210" s="18">
        <v>0</v>
      </c>
      <c r="AV210" s="18">
        <v>0</v>
      </c>
      <c r="AW210" s="18">
        <v>0</v>
      </c>
      <c r="AX210" s="18">
        <v>0</v>
      </c>
      <c r="AY210" s="13"/>
      <c r="AZ210" s="18">
        <v>1</v>
      </c>
      <c r="BA210" s="18">
        <v>0</v>
      </c>
      <c r="BB210" s="18">
        <v>39.15</v>
      </c>
      <c r="BC210" s="18" t="s">
        <v>1049</v>
      </c>
      <c r="BD210" s="18" t="s">
        <v>1050</v>
      </c>
      <c r="BE210" s="18" t="s">
        <v>1051</v>
      </c>
      <c r="BF210" s="18" t="s">
        <v>77</v>
      </c>
      <c r="BG210" s="18">
        <v>162</v>
      </c>
      <c r="BH210" s="18">
        <v>47</v>
      </c>
      <c r="BI210" s="18">
        <v>0.7751</v>
      </c>
      <c r="BJ210" s="18">
        <v>0</v>
      </c>
      <c r="BK210" s="18">
        <v>1572</v>
      </c>
      <c r="BL210" s="18">
        <v>0</v>
      </c>
      <c r="BM210" s="13">
        <f t="shared" si="0"/>
        <v>44832</v>
      </c>
    </row>
    <row r="211" customHeight="1" spans="1:65">
      <c r="A211" s="18" t="s">
        <v>2208</v>
      </c>
      <c r="B211" s="18" t="s">
        <v>144</v>
      </c>
      <c r="C211" s="18" t="s">
        <v>2209</v>
      </c>
      <c r="D211" s="18">
        <v>649722501763</v>
      </c>
      <c r="E211" s="18" t="s">
        <v>2210</v>
      </c>
      <c r="F211" s="18" t="s">
        <v>132</v>
      </c>
      <c r="G211" s="18" t="s">
        <v>83</v>
      </c>
      <c r="H211" s="18" t="s">
        <v>84</v>
      </c>
      <c r="I211" s="18" t="s">
        <v>85</v>
      </c>
      <c r="J211" s="18">
        <v>5</v>
      </c>
      <c r="K211" s="16">
        <v>6.99</v>
      </c>
      <c r="L211" s="10"/>
      <c r="M211" s="16">
        <v>0</v>
      </c>
      <c r="N211" s="16">
        <v>0</v>
      </c>
      <c r="O211" s="18">
        <v>0</v>
      </c>
      <c r="P211" s="18" t="s">
        <v>133</v>
      </c>
      <c r="Q211" s="18">
        <v>2.078191</v>
      </c>
      <c r="R211" s="10"/>
      <c r="S211" s="16">
        <v>144</v>
      </c>
      <c r="T211" s="16">
        <v>10</v>
      </c>
      <c r="U211" s="18" t="s">
        <v>2584</v>
      </c>
      <c r="V211" s="18" t="s">
        <v>144</v>
      </c>
      <c r="W211" s="18" t="s">
        <v>2209</v>
      </c>
      <c r="X211" s="18">
        <v>649722501764</v>
      </c>
      <c r="Y211" s="18" t="s">
        <v>2210</v>
      </c>
      <c r="Z211" s="18" t="s">
        <v>132</v>
      </c>
      <c r="AA211" s="18" t="s">
        <v>83</v>
      </c>
      <c r="AB211" s="18" t="s">
        <v>84</v>
      </c>
      <c r="AC211" s="18" t="s">
        <v>85</v>
      </c>
      <c r="AD211" s="18">
        <v>8.98</v>
      </c>
      <c r="AE211" s="18">
        <v>0</v>
      </c>
      <c r="AF211" s="18">
        <v>0</v>
      </c>
      <c r="AG211" s="18">
        <v>0</v>
      </c>
      <c r="AH211" s="18">
        <v>0</v>
      </c>
      <c r="AI211" s="18">
        <v>0</v>
      </c>
      <c r="AJ211" s="18">
        <v>0</v>
      </c>
      <c r="AK211" s="18">
        <v>0</v>
      </c>
      <c r="AL211" s="18">
        <v>0</v>
      </c>
      <c r="AM211" s="18">
        <v>0</v>
      </c>
      <c r="AN211" s="18">
        <v>0</v>
      </c>
      <c r="AO211" s="18">
        <v>0</v>
      </c>
      <c r="AP211" s="18">
        <v>0</v>
      </c>
      <c r="AQ211" s="18">
        <v>0</v>
      </c>
      <c r="AR211" s="18">
        <v>0</v>
      </c>
      <c r="AS211" s="18">
        <v>0</v>
      </c>
      <c r="AT211" s="18">
        <v>0</v>
      </c>
      <c r="AU211" s="18">
        <v>0</v>
      </c>
      <c r="AV211" s="18">
        <v>0</v>
      </c>
      <c r="AW211" s="18">
        <v>1</v>
      </c>
      <c r="AX211" s="18">
        <v>0</v>
      </c>
      <c r="AY211" s="13"/>
      <c r="AZ211" s="18">
        <v>1</v>
      </c>
      <c r="BA211" s="18">
        <v>0</v>
      </c>
      <c r="BB211" s="18">
        <v>37.4</v>
      </c>
      <c r="BC211" s="18" t="s">
        <v>1049</v>
      </c>
      <c r="BD211" s="18" t="s">
        <v>1050</v>
      </c>
      <c r="BE211" s="18" t="s">
        <v>2211</v>
      </c>
      <c r="BF211" s="18" t="s">
        <v>77</v>
      </c>
      <c r="BG211" s="18">
        <v>163</v>
      </c>
      <c r="BH211" s="18">
        <v>45</v>
      </c>
      <c r="BI211" s="18">
        <v>0.7837</v>
      </c>
      <c r="BJ211" s="18">
        <v>0</v>
      </c>
      <c r="BK211" s="18">
        <v>814</v>
      </c>
      <c r="BL211" s="18">
        <v>0</v>
      </c>
      <c r="BM211" s="13">
        <f t="shared" si="0"/>
        <v>1006.56</v>
      </c>
    </row>
    <row r="212" customHeight="1" spans="1:65">
      <c r="A212" s="18" t="s">
        <v>1052</v>
      </c>
      <c r="B212" s="18" t="s">
        <v>125</v>
      </c>
      <c r="C212" s="13"/>
      <c r="D212" s="13"/>
      <c r="E212" s="18" t="s">
        <v>505</v>
      </c>
      <c r="F212" s="18" t="s">
        <v>160</v>
      </c>
      <c r="G212" s="18" t="s">
        <v>83</v>
      </c>
      <c r="H212" s="18" t="s">
        <v>138</v>
      </c>
      <c r="I212" s="18" t="s">
        <v>85</v>
      </c>
      <c r="J212" s="18">
        <v>5</v>
      </c>
      <c r="K212" s="16">
        <v>3.89</v>
      </c>
      <c r="L212" s="16">
        <v>4.86</v>
      </c>
      <c r="M212" s="16">
        <v>19.96</v>
      </c>
      <c r="N212" s="16">
        <v>0.97</v>
      </c>
      <c r="O212" s="18">
        <v>1</v>
      </c>
      <c r="P212" s="18" t="s">
        <v>133</v>
      </c>
      <c r="Q212" s="18">
        <v>1.587192</v>
      </c>
      <c r="R212" s="10"/>
      <c r="S212" s="16">
        <v>113</v>
      </c>
      <c r="T212" s="16">
        <v>5</v>
      </c>
      <c r="U212" s="18" t="s">
        <v>1052</v>
      </c>
      <c r="V212" s="18" t="s">
        <v>125</v>
      </c>
      <c r="W212" s="13"/>
      <c r="X212" s="13"/>
      <c r="Y212" s="18" t="s">
        <v>505</v>
      </c>
      <c r="Z212" s="18" t="s">
        <v>160</v>
      </c>
      <c r="AA212" s="18" t="s">
        <v>83</v>
      </c>
      <c r="AB212" s="18" t="s">
        <v>138</v>
      </c>
      <c r="AC212" s="18" t="s">
        <v>85</v>
      </c>
      <c r="AD212" s="18">
        <v>4.58066666666667</v>
      </c>
      <c r="AE212" s="18">
        <v>0</v>
      </c>
      <c r="AF212" s="18">
        <v>0</v>
      </c>
      <c r="AG212" s="18">
        <v>0</v>
      </c>
      <c r="AH212" s="18">
        <v>1</v>
      </c>
      <c r="AI212" s="18">
        <v>0</v>
      </c>
      <c r="AJ212" s="18">
        <v>0</v>
      </c>
      <c r="AK212" s="18">
        <v>0</v>
      </c>
      <c r="AL212" s="18">
        <v>0</v>
      </c>
      <c r="AM212" s="18">
        <v>0</v>
      </c>
      <c r="AN212" s="18">
        <v>0</v>
      </c>
      <c r="AO212" s="18">
        <v>0</v>
      </c>
      <c r="AP212" s="18">
        <v>0</v>
      </c>
      <c r="AQ212" s="18">
        <v>0</v>
      </c>
      <c r="AR212" s="18">
        <v>0</v>
      </c>
      <c r="AS212" s="18">
        <v>0</v>
      </c>
      <c r="AT212" s="18">
        <v>0</v>
      </c>
      <c r="AU212" s="18">
        <v>0</v>
      </c>
      <c r="AV212" s="18">
        <v>0</v>
      </c>
      <c r="AW212" s="18">
        <v>1</v>
      </c>
      <c r="AX212" s="18">
        <v>0</v>
      </c>
      <c r="AY212" s="13"/>
      <c r="AZ212" s="18">
        <v>1</v>
      </c>
      <c r="BA212" s="18">
        <v>1</v>
      </c>
      <c r="BB212" s="18">
        <v>74.14</v>
      </c>
      <c r="BC212" s="18" t="s">
        <v>1053</v>
      </c>
      <c r="BD212" s="18" t="s">
        <v>1054</v>
      </c>
      <c r="BE212" s="18" t="s">
        <v>673</v>
      </c>
      <c r="BF212" s="18" t="s">
        <v>77</v>
      </c>
      <c r="BG212" s="18">
        <v>168</v>
      </c>
      <c r="BH212" s="18">
        <v>11</v>
      </c>
      <c r="BI212" s="18">
        <v>0.9385</v>
      </c>
      <c r="BJ212" s="18">
        <v>0</v>
      </c>
      <c r="BK212" s="18">
        <v>2</v>
      </c>
      <c r="BL212" s="18">
        <v>99.5</v>
      </c>
      <c r="BM212" s="13">
        <f t="shared" si="0"/>
        <v>439.57</v>
      </c>
    </row>
    <row r="213" customHeight="1" spans="1:65">
      <c r="A213" s="18" t="s">
        <v>1057</v>
      </c>
      <c r="B213" s="18" t="s">
        <v>1058</v>
      </c>
      <c r="C213" s="18" t="s">
        <v>1059</v>
      </c>
      <c r="D213" s="18">
        <v>840030705861</v>
      </c>
      <c r="E213" s="18" t="s">
        <v>163</v>
      </c>
      <c r="F213" s="18" t="s">
        <v>82</v>
      </c>
      <c r="G213" s="18" t="s">
        <v>83</v>
      </c>
      <c r="H213" s="18" t="s">
        <v>84</v>
      </c>
      <c r="I213" s="18" t="s">
        <v>85</v>
      </c>
      <c r="J213" s="18">
        <v>5</v>
      </c>
      <c r="K213" s="16">
        <v>34.99</v>
      </c>
      <c r="L213" s="10"/>
      <c r="M213" s="16">
        <v>0</v>
      </c>
      <c r="N213" s="16">
        <v>0</v>
      </c>
      <c r="O213" s="18">
        <v>0</v>
      </c>
      <c r="P213" s="18" t="s">
        <v>86</v>
      </c>
      <c r="Q213" s="18">
        <v>3.583241</v>
      </c>
      <c r="R213" s="10"/>
      <c r="S213" s="16">
        <v>4</v>
      </c>
      <c r="T213" s="16">
        <v>2</v>
      </c>
      <c r="U213" s="18" t="s">
        <v>2585</v>
      </c>
      <c r="V213" s="18" t="s">
        <v>1058</v>
      </c>
      <c r="W213" s="18" t="s">
        <v>2586</v>
      </c>
      <c r="X213" s="18">
        <v>840030705862</v>
      </c>
      <c r="Y213" s="18" t="s">
        <v>163</v>
      </c>
      <c r="Z213" s="18" t="s">
        <v>82</v>
      </c>
      <c r="AA213" s="18" t="s">
        <v>83</v>
      </c>
      <c r="AB213" s="18" t="s">
        <v>84</v>
      </c>
      <c r="AC213" s="18" t="s">
        <v>85</v>
      </c>
      <c r="AD213" s="18">
        <v>64.98</v>
      </c>
      <c r="AE213" s="18">
        <v>0</v>
      </c>
      <c r="AF213" s="18">
        <v>0</v>
      </c>
      <c r="AG213" s="18">
        <v>1</v>
      </c>
      <c r="AH213" s="18">
        <v>1</v>
      </c>
      <c r="AI213" s="18">
        <v>0</v>
      </c>
      <c r="AJ213" s="18">
        <v>0</v>
      </c>
      <c r="AK213" s="18">
        <v>1</v>
      </c>
      <c r="AL213" s="18">
        <v>0</v>
      </c>
      <c r="AM213" s="18">
        <v>0</v>
      </c>
      <c r="AN213" s="18">
        <v>0</v>
      </c>
      <c r="AO213" s="18">
        <v>0</v>
      </c>
      <c r="AP213" s="18">
        <v>0</v>
      </c>
      <c r="AQ213" s="18">
        <v>0</v>
      </c>
      <c r="AR213" s="18">
        <v>0</v>
      </c>
      <c r="AS213" s="18">
        <v>0</v>
      </c>
      <c r="AT213" s="18">
        <v>1</v>
      </c>
      <c r="AU213" s="18">
        <v>0</v>
      </c>
      <c r="AV213" s="18">
        <v>0</v>
      </c>
      <c r="AW213" s="18">
        <v>0</v>
      </c>
      <c r="AX213" s="18">
        <v>0</v>
      </c>
      <c r="AY213" s="13"/>
      <c r="AZ213" s="18">
        <v>1</v>
      </c>
      <c r="BA213" s="18">
        <v>2</v>
      </c>
      <c r="BB213" s="18">
        <v>56.52</v>
      </c>
      <c r="BC213" s="18" t="s">
        <v>1060</v>
      </c>
      <c r="BD213" s="18" t="s">
        <v>1061</v>
      </c>
      <c r="BE213" s="18" t="s">
        <v>1062</v>
      </c>
      <c r="BF213" s="18" t="s">
        <v>77</v>
      </c>
      <c r="BG213" s="18">
        <v>168</v>
      </c>
      <c r="BH213" s="18">
        <v>11</v>
      </c>
      <c r="BI213" s="18">
        <v>0.9385</v>
      </c>
      <c r="BJ213" s="18">
        <v>0</v>
      </c>
      <c r="BK213" s="18">
        <v>2</v>
      </c>
      <c r="BL213" s="18">
        <v>99.5</v>
      </c>
      <c r="BM213" s="13">
        <f t="shared" si="0"/>
        <v>139.96</v>
      </c>
    </row>
    <row r="214" customHeight="1" spans="1:65">
      <c r="A214" s="18" t="s">
        <v>1065</v>
      </c>
      <c r="B214" s="18" t="s">
        <v>238</v>
      </c>
      <c r="C214" s="18" t="s">
        <v>1066</v>
      </c>
      <c r="D214" s="18">
        <v>885170361201</v>
      </c>
      <c r="E214" s="18" t="s">
        <v>81</v>
      </c>
      <c r="F214" s="18" t="s">
        <v>82</v>
      </c>
      <c r="G214" s="18" t="s">
        <v>83</v>
      </c>
      <c r="H214" s="18" t="s">
        <v>84</v>
      </c>
      <c r="I214" s="18" t="s">
        <v>85</v>
      </c>
      <c r="J214" s="18">
        <v>5</v>
      </c>
      <c r="K214" s="16">
        <v>149.95</v>
      </c>
      <c r="L214" s="10"/>
      <c r="M214" s="16">
        <v>0</v>
      </c>
      <c r="N214" s="16">
        <v>0</v>
      </c>
      <c r="O214" s="18">
        <v>0</v>
      </c>
      <c r="P214" s="18" t="s">
        <v>95</v>
      </c>
      <c r="Q214" s="18">
        <v>5.016949</v>
      </c>
      <c r="R214" s="10"/>
      <c r="S214" s="16">
        <v>2</v>
      </c>
      <c r="T214" s="16">
        <v>1</v>
      </c>
      <c r="U214" s="18" t="s">
        <v>1065</v>
      </c>
      <c r="V214" s="18" t="s">
        <v>238</v>
      </c>
      <c r="W214" s="18" t="s">
        <v>1066</v>
      </c>
      <c r="X214" s="18">
        <v>885170361202</v>
      </c>
      <c r="Y214" s="18" t="s">
        <v>81</v>
      </c>
      <c r="Z214" s="18" t="s">
        <v>82</v>
      </c>
      <c r="AA214" s="18" t="s">
        <v>83</v>
      </c>
      <c r="AB214" s="18" t="s">
        <v>84</v>
      </c>
      <c r="AC214" s="18" t="s">
        <v>85</v>
      </c>
      <c r="AD214" s="18">
        <v>294.9</v>
      </c>
      <c r="AE214" s="18">
        <v>0</v>
      </c>
      <c r="AF214" s="18">
        <v>0</v>
      </c>
      <c r="AG214" s="18">
        <v>0</v>
      </c>
      <c r="AH214" s="18">
        <v>0</v>
      </c>
      <c r="AI214" s="18">
        <v>0</v>
      </c>
      <c r="AJ214" s="18">
        <v>0</v>
      </c>
      <c r="AK214" s="18">
        <v>0</v>
      </c>
      <c r="AL214" s="18">
        <v>0</v>
      </c>
      <c r="AM214" s="18">
        <v>0</v>
      </c>
      <c r="AN214" s="18">
        <v>0</v>
      </c>
      <c r="AO214" s="18">
        <v>0</v>
      </c>
      <c r="AP214" s="18">
        <v>0</v>
      </c>
      <c r="AQ214" s="18">
        <v>0</v>
      </c>
      <c r="AR214" s="18">
        <v>0</v>
      </c>
      <c r="AS214" s="18">
        <v>0</v>
      </c>
      <c r="AT214" s="18">
        <v>0</v>
      </c>
      <c r="AU214" s="18">
        <v>0</v>
      </c>
      <c r="AV214" s="18">
        <v>0</v>
      </c>
      <c r="AW214" s="18">
        <v>0</v>
      </c>
      <c r="AX214" s="18">
        <v>0</v>
      </c>
      <c r="AY214" s="13"/>
      <c r="AZ214" s="18">
        <v>1</v>
      </c>
      <c r="BA214" s="18">
        <v>2</v>
      </c>
      <c r="BB214" s="18">
        <v>50.82</v>
      </c>
      <c r="BC214" s="18" t="s">
        <v>1067</v>
      </c>
      <c r="BD214" s="18" t="s">
        <v>1068</v>
      </c>
      <c r="BE214" s="18" t="s">
        <v>1069</v>
      </c>
      <c r="BF214" s="18" t="s">
        <v>77</v>
      </c>
      <c r="BG214" s="18">
        <v>202</v>
      </c>
      <c r="BH214" s="18">
        <v>11</v>
      </c>
      <c r="BI214" s="18">
        <v>0.9484</v>
      </c>
      <c r="BJ214" s="18">
        <v>0</v>
      </c>
      <c r="BK214" s="18">
        <v>71</v>
      </c>
      <c r="BL214" s="18">
        <v>80.5</v>
      </c>
      <c r="BM214" s="13">
        <f t="shared" si="0"/>
        <v>299.9</v>
      </c>
    </row>
    <row r="215" customHeight="1" spans="1:65">
      <c r="A215" s="18" t="s">
        <v>1072</v>
      </c>
      <c r="B215" s="18" t="s">
        <v>1073</v>
      </c>
      <c r="C215" s="13"/>
      <c r="D215" s="13"/>
      <c r="E215" s="18" t="s">
        <v>239</v>
      </c>
      <c r="F215" s="18" t="s">
        <v>240</v>
      </c>
      <c r="G215" s="18" t="s">
        <v>83</v>
      </c>
      <c r="H215" s="18" t="s">
        <v>84</v>
      </c>
      <c r="I215" s="18" t="s">
        <v>85</v>
      </c>
      <c r="J215" s="18">
        <v>5</v>
      </c>
      <c r="K215" s="16">
        <v>63.99</v>
      </c>
      <c r="L215" s="10"/>
      <c r="M215" s="16">
        <v>0</v>
      </c>
      <c r="N215" s="16">
        <v>0</v>
      </c>
      <c r="O215" s="18">
        <v>0</v>
      </c>
      <c r="P215" s="18" t="s">
        <v>86</v>
      </c>
      <c r="Q215" s="18">
        <v>4.174233</v>
      </c>
      <c r="R215" s="16">
        <v>8</v>
      </c>
      <c r="S215" s="16">
        <v>19</v>
      </c>
      <c r="T215" s="16">
        <v>10</v>
      </c>
      <c r="U215" s="18" t="s">
        <v>1072</v>
      </c>
      <c r="V215" s="18" t="s">
        <v>1073</v>
      </c>
      <c r="W215" s="13"/>
      <c r="X215" s="13"/>
      <c r="Y215" s="18" t="s">
        <v>239</v>
      </c>
      <c r="Z215" s="18" t="s">
        <v>240</v>
      </c>
      <c r="AA215" s="18" t="s">
        <v>83</v>
      </c>
      <c r="AB215" s="18" t="s">
        <v>84</v>
      </c>
      <c r="AC215" s="18" t="s">
        <v>85</v>
      </c>
      <c r="AD215" s="18">
        <v>122.98</v>
      </c>
      <c r="AE215" s="18">
        <v>0</v>
      </c>
      <c r="AF215" s="18">
        <v>0</v>
      </c>
      <c r="AG215" s="18">
        <v>0</v>
      </c>
      <c r="AH215" s="18">
        <v>0</v>
      </c>
      <c r="AI215" s="18">
        <v>0</v>
      </c>
      <c r="AJ215" s="18">
        <v>0</v>
      </c>
      <c r="AK215" s="18">
        <v>0</v>
      </c>
      <c r="AL215" s="18">
        <v>0</v>
      </c>
      <c r="AM215" s="18">
        <v>0</v>
      </c>
      <c r="AN215" s="18">
        <v>0</v>
      </c>
      <c r="AO215" s="18">
        <v>0</v>
      </c>
      <c r="AP215" s="18">
        <v>0</v>
      </c>
      <c r="AQ215" s="18">
        <v>1</v>
      </c>
      <c r="AR215" s="18">
        <v>0</v>
      </c>
      <c r="AS215" s="18">
        <v>0</v>
      </c>
      <c r="AT215" s="18">
        <v>0</v>
      </c>
      <c r="AU215" s="18">
        <v>0</v>
      </c>
      <c r="AV215" s="18">
        <v>1</v>
      </c>
      <c r="AW215" s="18">
        <v>1</v>
      </c>
      <c r="AX215" s="18">
        <v>0</v>
      </c>
      <c r="AY215" s="18">
        <v>8</v>
      </c>
      <c r="AZ215" s="18">
        <v>1</v>
      </c>
      <c r="BA215" s="18">
        <v>1</v>
      </c>
      <c r="BB215" s="18">
        <v>55.97</v>
      </c>
      <c r="BC215" s="18" t="s">
        <v>1074</v>
      </c>
      <c r="BD215" s="18" t="s">
        <v>180</v>
      </c>
      <c r="BE215" s="18" t="s">
        <v>128</v>
      </c>
      <c r="BF215" s="18" t="s">
        <v>77</v>
      </c>
      <c r="BG215" s="18">
        <v>1</v>
      </c>
      <c r="BH215" s="18">
        <v>15</v>
      </c>
      <c r="BI215" s="18">
        <v>0.0625</v>
      </c>
      <c r="BJ215" s="18">
        <v>1</v>
      </c>
      <c r="BK215" s="18">
        <v>3</v>
      </c>
      <c r="BL215" s="18">
        <v>99.2</v>
      </c>
      <c r="BM215" s="13">
        <f t="shared" si="0"/>
        <v>1215.81</v>
      </c>
    </row>
    <row r="216" customHeight="1" spans="1:65">
      <c r="A216" s="18" t="s">
        <v>1433</v>
      </c>
      <c r="B216" s="18" t="s">
        <v>1073</v>
      </c>
      <c r="C216" s="13"/>
      <c r="D216" s="13"/>
      <c r="E216" s="18" t="s">
        <v>239</v>
      </c>
      <c r="F216" s="18" t="s">
        <v>240</v>
      </c>
      <c r="G216" s="18" t="s">
        <v>83</v>
      </c>
      <c r="H216" s="18" t="s">
        <v>84</v>
      </c>
      <c r="I216" s="18" t="s">
        <v>85</v>
      </c>
      <c r="J216" s="18">
        <v>5</v>
      </c>
      <c r="K216" s="16">
        <v>109.99</v>
      </c>
      <c r="L216" s="10"/>
      <c r="M216" s="16">
        <v>0</v>
      </c>
      <c r="N216" s="16">
        <v>0</v>
      </c>
      <c r="O216" s="18">
        <v>0</v>
      </c>
      <c r="P216" s="18" t="s">
        <v>95</v>
      </c>
      <c r="Q216" s="18">
        <v>4.70944</v>
      </c>
      <c r="R216" s="16">
        <v>13.75</v>
      </c>
      <c r="S216" s="16">
        <v>10</v>
      </c>
      <c r="T216" s="16">
        <v>10</v>
      </c>
      <c r="U216" s="18" t="s">
        <v>2587</v>
      </c>
      <c r="V216" s="18" t="s">
        <v>1073</v>
      </c>
      <c r="W216" s="13"/>
      <c r="X216" s="13"/>
      <c r="Y216" s="18" t="s">
        <v>239</v>
      </c>
      <c r="Z216" s="18" t="s">
        <v>240</v>
      </c>
      <c r="AA216" s="18" t="s">
        <v>83</v>
      </c>
      <c r="AB216" s="18" t="s">
        <v>84</v>
      </c>
      <c r="AC216" s="18" t="s">
        <v>85</v>
      </c>
      <c r="AD216" s="18">
        <v>214.98</v>
      </c>
      <c r="AE216" s="18">
        <v>0</v>
      </c>
      <c r="AF216" s="18">
        <v>0</v>
      </c>
      <c r="AG216" s="18">
        <v>0</v>
      </c>
      <c r="AH216" s="18">
        <v>0</v>
      </c>
      <c r="AI216" s="18">
        <v>0</v>
      </c>
      <c r="AJ216" s="18">
        <v>0</v>
      </c>
      <c r="AK216" s="18">
        <v>0</v>
      </c>
      <c r="AL216" s="18">
        <v>0</v>
      </c>
      <c r="AM216" s="18">
        <v>0</v>
      </c>
      <c r="AN216" s="18">
        <v>0</v>
      </c>
      <c r="AO216" s="18">
        <v>0</v>
      </c>
      <c r="AP216" s="18">
        <v>0</v>
      </c>
      <c r="AQ216" s="18">
        <v>1</v>
      </c>
      <c r="AR216" s="18">
        <v>0</v>
      </c>
      <c r="AS216" s="18">
        <v>0</v>
      </c>
      <c r="AT216" s="18">
        <v>0</v>
      </c>
      <c r="AU216" s="18">
        <v>0</v>
      </c>
      <c r="AV216" s="18">
        <v>1</v>
      </c>
      <c r="AW216" s="18">
        <v>1</v>
      </c>
      <c r="AX216" s="18">
        <v>0</v>
      </c>
      <c r="AY216" s="18">
        <v>8</v>
      </c>
      <c r="AZ216" s="18">
        <v>1</v>
      </c>
      <c r="BA216" s="18">
        <v>1</v>
      </c>
      <c r="BB216" s="18">
        <v>49.76</v>
      </c>
      <c r="BC216" s="18" t="s">
        <v>1074</v>
      </c>
      <c r="BD216" s="18" t="s">
        <v>180</v>
      </c>
      <c r="BE216" s="18" t="s">
        <v>128</v>
      </c>
      <c r="BF216" s="18" t="s">
        <v>77</v>
      </c>
      <c r="BG216" s="18">
        <v>1</v>
      </c>
      <c r="BH216" s="18">
        <v>13</v>
      </c>
      <c r="BI216" s="18">
        <v>0.0714</v>
      </c>
      <c r="BJ216" s="18">
        <v>1</v>
      </c>
      <c r="BK216" s="18">
        <v>3</v>
      </c>
      <c r="BL216" s="18">
        <v>99.2</v>
      </c>
      <c r="BM216" s="13">
        <f t="shared" si="0"/>
        <v>1099.9</v>
      </c>
    </row>
    <row r="217" customHeight="1" spans="1:65">
      <c r="A217" s="18" t="s">
        <v>1075</v>
      </c>
      <c r="B217" s="18" t="s">
        <v>1076</v>
      </c>
      <c r="C217" s="18" t="s">
        <v>1077</v>
      </c>
      <c r="D217" s="13"/>
      <c r="E217" s="18" t="s">
        <v>163</v>
      </c>
      <c r="F217" s="18" t="s">
        <v>82</v>
      </c>
      <c r="G217" s="18" t="s">
        <v>83</v>
      </c>
      <c r="H217" s="18" t="s">
        <v>84</v>
      </c>
      <c r="I217" s="18" t="s">
        <v>85</v>
      </c>
      <c r="J217" s="18">
        <v>5</v>
      </c>
      <c r="K217" s="16">
        <v>8.76</v>
      </c>
      <c r="L217" s="10"/>
      <c r="M217" s="16">
        <v>0</v>
      </c>
      <c r="N217" s="16">
        <v>0</v>
      </c>
      <c r="O217" s="18">
        <v>0</v>
      </c>
      <c r="P217" s="18" t="s">
        <v>133</v>
      </c>
      <c r="Q217" s="18">
        <v>2.278292</v>
      </c>
      <c r="R217" s="10"/>
      <c r="S217" s="16">
        <v>3</v>
      </c>
      <c r="T217" s="16">
        <v>1</v>
      </c>
      <c r="U217" s="18" t="s">
        <v>1075</v>
      </c>
      <c r="V217" s="18" t="s">
        <v>1076</v>
      </c>
      <c r="W217" s="18" t="s">
        <v>2588</v>
      </c>
      <c r="X217" s="13"/>
      <c r="Y217" s="18" t="s">
        <v>163</v>
      </c>
      <c r="Z217" s="18" t="s">
        <v>82</v>
      </c>
      <c r="AA217" s="18" t="s">
        <v>83</v>
      </c>
      <c r="AB217" s="18" t="s">
        <v>84</v>
      </c>
      <c r="AC217" s="18" t="s">
        <v>85</v>
      </c>
      <c r="AD217" s="18">
        <v>12.52</v>
      </c>
      <c r="AE217" s="18">
        <v>0</v>
      </c>
      <c r="AF217" s="18">
        <v>0</v>
      </c>
      <c r="AG217" s="18">
        <v>0</v>
      </c>
      <c r="AH217" s="18">
        <v>0</v>
      </c>
      <c r="AI217" s="18">
        <v>0</v>
      </c>
      <c r="AJ217" s="18">
        <v>0</v>
      </c>
      <c r="AK217" s="18">
        <v>0</v>
      </c>
      <c r="AL217" s="18">
        <v>0</v>
      </c>
      <c r="AM217" s="18">
        <v>0</v>
      </c>
      <c r="AN217" s="18">
        <v>0</v>
      </c>
      <c r="AO217" s="18">
        <v>0</v>
      </c>
      <c r="AP217" s="18">
        <v>0</v>
      </c>
      <c r="AQ217" s="18">
        <v>0</v>
      </c>
      <c r="AR217" s="18">
        <v>0</v>
      </c>
      <c r="AS217" s="18">
        <v>0</v>
      </c>
      <c r="AT217" s="18">
        <v>0</v>
      </c>
      <c r="AU217" s="18">
        <v>0</v>
      </c>
      <c r="AV217" s="18">
        <v>0</v>
      </c>
      <c r="AW217" s="18">
        <v>1</v>
      </c>
      <c r="AX217" s="18">
        <v>0</v>
      </c>
      <c r="AY217" s="13"/>
      <c r="AZ217" s="18">
        <v>1</v>
      </c>
      <c r="BA217" s="18">
        <v>0</v>
      </c>
      <c r="BB217" s="18">
        <v>59.76</v>
      </c>
      <c r="BC217" s="18" t="s">
        <v>1078</v>
      </c>
      <c r="BD217" s="18" t="s">
        <v>97</v>
      </c>
      <c r="BE217" s="18" t="s">
        <v>98</v>
      </c>
      <c r="BF217" s="18" t="s">
        <v>77</v>
      </c>
      <c r="BG217" s="18">
        <v>1</v>
      </c>
      <c r="BH217" s="18">
        <v>17</v>
      </c>
      <c r="BI217" s="18">
        <v>0.0556</v>
      </c>
      <c r="BJ217" s="18">
        <v>1</v>
      </c>
      <c r="BK217" s="18">
        <v>3</v>
      </c>
      <c r="BL217" s="18">
        <v>99.2</v>
      </c>
      <c r="BM217" s="13">
        <f t="shared" si="0"/>
        <v>26.28</v>
      </c>
    </row>
    <row r="218" customHeight="1" spans="1:65">
      <c r="A218" s="18" t="s">
        <v>1746</v>
      </c>
      <c r="B218" s="18" t="s">
        <v>1082</v>
      </c>
      <c r="C218" s="13"/>
      <c r="D218" s="13"/>
      <c r="E218" s="18" t="s">
        <v>81</v>
      </c>
      <c r="F218" s="18" t="s">
        <v>240</v>
      </c>
      <c r="G218" s="18" t="s">
        <v>83</v>
      </c>
      <c r="H218" s="18" t="s">
        <v>84</v>
      </c>
      <c r="I218" s="18" t="s">
        <v>85</v>
      </c>
      <c r="J218" s="18">
        <v>5</v>
      </c>
      <c r="K218" s="16">
        <v>19.33</v>
      </c>
      <c r="L218" s="16">
        <v>23.86</v>
      </c>
      <c r="M218" s="16">
        <v>18.99</v>
      </c>
      <c r="N218" s="16">
        <v>4.53</v>
      </c>
      <c r="O218" s="18">
        <v>1</v>
      </c>
      <c r="P218" s="18" t="s">
        <v>133</v>
      </c>
      <c r="Q218" s="18">
        <v>3.012098</v>
      </c>
      <c r="R218" s="10"/>
      <c r="S218" s="16">
        <v>1024</v>
      </c>
      <c r="T218" s="16">
        <v>10</v>
      </c>
      <c r="U218" s="18" t="s">
        <v>1193</v>
      </c>
      <c r="V218" s="18" t="s">
        <v>1082</v>
      </c>
      <c r="W218" s="13"/>
      <c r="X218" s="13"/>
      <c r="Y218" s="18" t="s">
        <v>81</v>
      </c>
      <c r="Z218" s="18" t="s">
        <v>240</v>
      </c>
      <c r="AA218" s="18" t="s">
        <v>83</v>
      </c>
      <c r="AB218" s="18" t="s">
        <v>84</v>
      </c>
      <c r="AC218" s="18" t="s">
        <v>85</v>
      </c>
      <c r="AD218" s="18">
        <v>5.19133333333334</v>
      </c>
      <c r="AE218" s="18">
        <v>0</v>
      </c>
      <c r="AF218" s="18">
        <v>1</v>
      </c>
      <c r="AG218" s="18">
        <v>0</v>
      </c>
      <c r="AH218" s="18">
        <v>1</v>
      </c>
      <c r="AI218" s="18">
        <v>0</v>
      </c>
      <c r="AJ218" s="18">
        <v>0</v>
      </c>
      <c r="AK218" s="18">
        <v>0</v>
      </c>
      <c r="AL218" s="18">
        <v>0</v>
      </c>
      <c r="AM218" s="18">
        <v>0</v>
      </c>
      <c r="AN218" s="18">
        <v>0</v>
      </c>
      <c r="AO218" s="18">
        <v>0</v>
      </c>
      <c r="AP218" s="18">
        <v>0</v>
      </c>
      <c r="AQ218" s="18">
        <v>0</v>
      </c>
      <c r="AR218" s="18">
        <v>0</v>
      </c>
      <c r="AS218" s="18">
        <v>0</v>
      </c>
      <c r="AT218" s="18">
        <v>0</v>
      </c>
      <c r="AU218" s="18">
        <v>0</v>
      </c>
      <c r="AV218" s="18">
        <v>0</v>
      </c>
      <c r="AW218" s="18">
        <v>0</v>
      </c>
      <c r="AX218" s="18">
        <v>0</v>
      </c>
      <c r="AY218" s="13"/>
      <c r="AZ218" s="18">
        <v>1</v>
      </c>
      <c r="BA218" s="18">
        <v>1</v>
      </c>
      <c r="BB218" s="18">
        <v>74.56</v>
      </c>
      <c r="BC218" s="18" t="s">
        <v>1084</v>
      </c>
      <c r="BD218" s="18" t="s">
        <v>1085</v>
      </c>
      <c r="BE218" s="18" t="s">
        <v>128</v>
      </c>
      <c r="BF218" s="18" t="s">
        <v>77</v>
      </c>
      <c r="BG218" s="18">
        <v>1</v>
      </c>
      <c r="BH218" s="18">
        <v>48</v>
      </c>
      <c r="BI218" s="18">
        <v>0.0204</v>
      </c>
      <c r="BJ218" s="18">
        <v>1</v>
      </c>
      <c r="BK218" s="18">
        <v>9</v>
      </c>
      <c r="BL218" s="18">
        <v>97.5</v>
      </c>
      <c r="BM218" s="13">
        <f t="shared" si="0"/>
        <v>19793.92</v>
      </c>
    </row>
    <row r="219" customHeight="1" spans="1:65">
      <c r="A219" s="18" t="s">
        <v>2472</v>
      </c>
      <c r="B219" s="18" t="s">
        <v>1082</v>
      </c>
      <c r="C219" s="13"/>
      <c r="D219" s="13"/>
      <c r="E219" s="18" t="s">
        <v>81</v>
      </c>
      <c r="F219" s="18" t="s">
        <v>160</v>
      </c>
      <c r="G219" s="18" t="s">
        <v>83</v>
      </c>
      <c r="H219" s="18" t="s">
        <v>84</v>
      </c>
      <c r="I219" s="18" t="s">
        <v>85</v>
      </c>
      <c r="J219" s="18">
        <v>5</v>
      </c>
      <c r="K219" s="16">
        <v>59.82</v>
      </c>
      <c r="L219" s="16">
        <v>73.85</v>
      </c>
      <c r="M219" s="16">
        <v>19</v>
      </c>
      <c r="N219" s="16">
        <v>14.03</v>
      </c>
      <c r="O219" s="18">
        <v>1</v>
      </c>
      <c r="P219" s="18" t="s">
        <v>86</v>
      </c>
      <c r="Q219" s="18">
        <v>4.107919</v>
      </c>
      <c r="R219" s="10"/>
      <c r="S219" s="16">
        <v>437</v>
      </c>
      <c r="T219" s="16">
        <v>10</v>
      </c>
      <c r="U219" s="18" t="s">
        <v>2472</v>
      </c>
      <c r="V219" s="18" t="s">
        <v>1082</v>
      </c>
      <c r="W219" s="13"/>
      <c r="X219" s="13"/>
      <c r="Y219" s="18" t="s">
        <v>81</v>
      </c>
      <c r="Z219" s="18" t="s">
        <v>160</v>
      </c>
      <c r="AA219" s="18" t="s">
        <v>83</v>
      </c>
      <c r="AB219" s="18" t="s">
        <v>84</v>
      </c>
      <c r="AC219" s="18" t="s">
        <v>85</v>
      </c>
      <c r="AD219" s="18">
        <v>7.56133333333338</v>
      </c>
      <c r="AE219" s="18">
        <v>0</v>
      </c>
      <c r="AF219" s="18">
        <v>0</v>
      </c>
      <c r="AG219" s="18">
        <v>0</v>
      </c>
      <c r="AH219" s="18">
        <v>1</v>
      </c>
      <c r="AI219" s="18">
        <v>0</v>
      </c>
      <c r="AJ219" s="18">
        <v>1</v>
      </c>
      <c r="AK219" s="18">
        <v>0</v>
      </c>
      <c r="AL219" s="18">
        <v>0</v>
      </c>
      <c r="AM219" s="18">
        <v>0</v>
      </c>
      <c r="AN219" s="18">
        <v>0</v>
      </c>
      <c r="AO219" s="18">
        <v>0</v>
      </c>
      <c r="AP219" s="18">
        <v>0</v>
      </c>
      <c r="AQ219" s="18">
        <v>0</v>
      </c>
      <c r="AR219" s="18">
        <v>0</v>
      </c>
      <c r="AS219" s="18">
        <v>0</v>
      </c>
      <c r="AT219" s="18">
        <v>1</v>
      </c>
      <c r="AU219" s="18">
        <v>0</v>
      </c>
      <c r="AV219" s="18">
        <v>0</v>
      </c>
      <c r="AW219" s="18">
        <v>1</v>
      </c>
      <c r="AX219" s="18">
        <v>0</v>
      </c>
      <c r="AY219" s="13"/>
      <c r="AZ219" s="18">
        <v>4</v>
      </c>
      <c r="BA219" s="18">
        <v>2</v>
      </c>
      <c r="BB219" s="18">
        <v>74.05</v>
      </c>
      <c r="BC219" s="18" t="s">
        <v>1084</v>
      </c>
      <c r="BD219" s="18" t="s">
        <v>1085</v>
      </c>
      <c r="BE219" s="18" t="s">
        <v>128</v>
      </c>
      <c r="BF219" s="18" t="s">
        <v>77</v>
      </c>
      <c r="BG219" s="18">
        <v>1</v>
      </c>
      <c r="BH219" s="18">
        <v>48</v>
      </c>
      <c r="BI219" s="18">
        <v>0.0204</v>
      </c>
      <c r="BJ219" s="18">
        <v>1</v>
      </c>
      <c r="BK219" s="18">
        <v>9</v>
      </c>
      <c r="BL219" s="18">
        <v>97.5</v>
      </c>
      <c r="BM219" s="13">
        <f t="shared" si="0"/>
        <v>26141.34</v>
      </c>
    </row>
    <row r="220" customHeight="1" spans="1:65">
      <c r="A220" s="18" t="s">
        <v>1081</v>
      </c>
      <c r="B220" s="18" t="s">
        <v>1082</v>
      </c>
      <c r="C220" s="13"/>
      <c r="D220" s="13"/>
      <c r="E220" s="18" t="s">
        <v>1083</v>
      </c>
      <c r="F220" s="18" t="s">
        <v>240</v>
      </c>
      <c r="G220" s="18" t="s">
        <v>83</v>
      </c>
      <c r="H220" s="18" t="s">
        <v>84</v>
      </c>
      <c r="I220" s="18" t="s">
        <v>85</v>
      </c>
      <c r="J220" s="18">
        <v>5</v>
      </c>
      <c r="K220" s="16">
        <v>23.37</v>
      </c>
      <c r="L220" s="16">
        <v>28.85</v>
      </c>
      <c r="M220" s="16">
        <v>18.99</v>
      </c>
      <c r="N220" s="16">
        <v>5.48</v>
      </c>
      <c r="O220" s="18">
        <v>1</v>
      </c>
      <c r="P220" s="18" t="s">
        <v>133</v>
      </c>
      <c r="Q220" s="18">
        <v>3.193353</v>
      </c>
      <c r="R220" s="10"/>
      <c r="S220" s="16">
        <v>1521</v>
      </c>
      <c r="T220" s="16">
        <v>10</v>
      </c>
      <c r="U220" s="18" t="s">
        <v>1081</v>
      </c>
      <c r="V220" s="18" t="s">
        <v>1082</v>
      </c>
      <c r="W220" s="13"/>
      <c r="X220" s="13"/>
      <c r="Y220" s="18" t="s">
        <v>1083</v>
      </c>
      <c r="Z220" s="18" t="s">
        <v>240</v>
      </c>
      <c r="AA220" s="18" t="s">
        <v>83</v>
      </c>
      <c r="AB220" s="18" t="s">
        <v>84</v>
      </c>
      <c r="AC220" s="18" t="s">
        <v>85</v>
      </c>
      <c r="AD220" s="18">
        <v>5.42866666666662</v>
      </c>
      <c r="AE220" s="18">
        <v>0</v>
      </c>
      <c r="AF220" s="18">
        <v>0</v>
      </c>
      <c r="AG220" s="18">
        <v>0</v>
      </c>
      <c r="AH220" s="18">
        <v>0</v>
      </c>
      <c r="AI220" s="18">
        <v>0</v>
      </c>
      <c r="AJ220" s="18">
        <v>0</v>
      </c>
      <c r="AK220" s="18">
        <v>0</v>
      </c>
      <c r="AL220" s="18">
        <v>0</v>
      </c>
      <c r="AM220" s="18">
        <v>0</v>
      </c>
      <c r="AN220" s="18">
        <v>0</v>
      </c>
      <c r="AO220" s="18">
        <v>0</v>
      </c>
      <c r="AP220" s="18">
        <v>0</v>
      </c>
      <c r="AQ220" s="18">
        <v>1</v>
      </c>
      <c r="AR220" s="18">
        <v>0</v>
      </c>
      <c r="AS220" s="18">
        <v>0</v>
      </c>
      <c r="AT220" s="18">
        <v>0</v>
      </c>
      <c r="AU220" s="18">
        <v>0</v>
      </c>
      <c r="AV220" s="18">
        <v>1</v>
      </c>
      <c r="AW220" s="18">
        <v>0</v>
      </c>
      <c r="AX220" s="18">
        <v>0</v>
      </c>
      <c r="AY220" s="13"/>
      <c r="AZ220" s="18">
        <v>1</v>
      </c>
      <c r="BA220" s="18">
        <v>1</v>
      </c>
      <c r="BB220" s="18">
        <v>74.69</v>
      </c>
      <c r="BC220" s="18" t="s">
        <v>1084</v>
      </c>
      <c r="BD220" s="18" t="s">
        <v>1085</v>
      </c>
      <c r="BE220" s="18" t="s">
        <v>128</v>
      </c>
      <c r="BF220" s="18" t="s">
        <v>77</v>
      </c>
      <c r="BG220" s="18">
        <v>1</v>
      </c>
      <c r="BH220" s="18">
        <v>44</v>
      </c>
      <c r="BI220" s="18">
        <v>0.0222</v>
      </c>
      <c r="BJ220" s="18">
        <v>1</v>
      </c>
      <c r="BK220" s="18">
        <v>9</v>
      </c>
      <c r="BL220" s="18">
        <v>97.5</v>
      </c>
      <c r="BM220" s="13">
        <f t="shared" si="0"/>
        <v>35545.77</v>
      </c>
    </row>
    <row r="221" customHeight="1" spans="1:65">
      <c r="A221" s="18" t="s">
        <v>2442</v>
      </c>
      <c r="B221" s="18" t="s">
        <v>1082</v>
      </c>
      <c r="C221" s="13"/>
      <c r="D221" s="13"/>
      <c r="E221" s="19" t="s">
        <v>1247</v>
      </c>
      <c r="F221" s="18" t="s">
        <v>198</v>
      </c>
      <c r="G221" s="18" t="s">
        <v>83</v>
      </c>
      <c r="H221" s="18" t="s">
        <v>84</v>
      </c>
      <c r="I221" s="18" t="s">
        <v>85</v>
      </c>
      <c r="J221" s="18">
        <v>5</v>
      </c>
      <c r="K221" s="16">
        <v>22.18</v>
      </c>
      <c r="L221" s="16">
        <v>27.38</v>
      </c>
      <c r="M221" s="16">
        <v>18.99</v>
      </c>
      <c r="N221" s="16">
        <v>5.2</v>
      </c>
      <c r="O221" s="18">
        <v>1</v>
      </c>
      <c r="P221" s="18" t="s">
        <v>133</v>
      </c>
      <c r="Q221" s="18">
        <v>3.14329</v>
      </c>
      <c r="R221" s="10"/>
      <c r="S221" s="16">
        <v>246</v>
      </c>
      <c r="T221" s="16">
        <v>10</v>
      </c>
      <c r="U221" s="18" t="s">
        <v>2442</v>
      </c>
      <c r="V221" s="18" t="s">
        <v>1082</v>
      </c>
      <c r="W221" s="13"/>
      <c r="X221" s="13"/>
      <c r="Y221" s="19" t="s">
        <v>1247</v>
      </c>
      <c r="Z221" s="18" t="s">
        <v>198</v>
      </c>
      <c r="AA221" s="18" t="s">
        <v>83</v>
      </c>
      <c r="AB221" s="18" t="s">
        <v>84</v>
      </c>
      <c r="AC221" s="18" t="s">
        <v>85</v>
      </c>
      <c r="AD221" s="18">
        <v>5.35866666666662</v>
      </c>
      <c r="AE221" s="18">
        <v>0</v>
      </c>
      <c r="AF221" s="18">
        <v>0</v>
      </c>
      <c r="AG221" s="18">
        <v>0</v>
      </c>
      <c r="AH221" s="18">
        <v>1</v>
      </c>
      <c r="AI221" s="18">
        <v>0</v>
      </c>
      <c r="AJ221" s="18">
        <v>0</v>
      </c>
      <c r="AK221" s="18">
        <v>0</v>
      </c>
      <c r="AL221" s="18">
        <v>0</v>
      </c>
      <c r="AM221" s="18">
        <v>0</v>
      </c>
      <c r="AN221" s="18">
        <v>0</v>
      </c>
      <c r="AO221" s="18">
        <v>0</v>
      </c>
      <c r="AP221" s="18">
        <v>0</v>
      </c>
      <c r="AQ221" s="18">
        <v>0</v>
      </c>
      <c r="AR221" s="18">
        <v>0</v>
      </c>
      <c r="AS221" s="18">
        <v>0</v>
      </c>
      <c r="AT221" s="18">
        <v>1</v>
      </c>
      <c r="AU221" s="18">
        <v>1</v>
      </c>
      <c r="AV221" s="18">
        <v>0</v>
      </c>
      <c r="AW221" s="18">
        <v>0</v>
      </c>
      <c r="AX221" s="18">
        <v>0</v>
      </c>
      <c r="AY221" s="13"/>
      <c r="AZ221" s="18">
        <v>1</v>
      </c>
      <c r="BA221" s="18">
        <v>1</v>
      </c>
      <c r="BB221" s="18">
        <v>73.38</v>
      </c>
      <c r="BC221" s="18" t="s">
        <v>1084</v>
      </c>
      <c r="BD221" s="18" t="s">
        <v>1085</v>
      </c>
      <c r="BE221" s="18" t="s">
        <v>128</v>
      </c>
      <c r="BF221" s="18" t="s">
        <v>77</v>
      </c>
      <c r="BG221" s="18">
        <v>1</v>
      </c>
      <c r="BH221" s="18">
        <v>48</v>
      </c>
      <c r="BI221" s="18">
        <v>0.0204</v>
      </c>
      <c r="BJ221" s="18">
        <v>1</v>
      </c>
      <c r="BK221" s="18">
        <v>9</v>
      </c>
      <c r="BL221" s="18">
        <v>97.5</v>
      </c>
      <c r="BM221" s="13">
        <f t="shared" si="0"/>
        <v>5456.28</v>
      </c>
    </row>
    <row r="222" customHeight="1" spans="1:65">
      <c r="A222" s="18" t="s">
        <v>486</v>
      </c>
      <c r="B222" s="18" t="s">
        <v>144</v>
      </c>
      <c r="C222" s="13"/>
      <c r="D222" s="13"/>
      <c r="E222" s="18" t="s">
        <v>488</v>
      </c>
      <c r="F222" s="18" t="s">
        <v>198</v>
      </c>
      <c r="G222" s="18" t="s">
        <v>83</v>
      </c>
      <c r="H222" s="18" t="s">
        <v>84</v>
      </c>
      <c r="I222" s="18" t="s">
        <v>85</v>
      </c>
      <c r="J222" s="18">
        <v>5</v>
      </c>
      <c r="K222" s="16">
        <v>13.8</v>
      </c>
      <c r="L222" s="16">
        <v>17.04</v>
      </c>
      <c r="M222" s="16">
        <v>19.01</v>
      </c>
      <c r="N222" s="16">
        <v>3.24</v>
      </c>
      <c r="O222" s="18">
        <v>1</v>
      </c>
      <c r="P222" s="18" t="s">
        <v>133</v>
      </c>
      <c r="Q222" s="18">
        <v>2.694627</v>
      </c>
      <c r="R222" s="10"/>
      <c r="S222" s="16">
        <v>1812</v>
      </c>
      <c r="T222" s="16">
        <v>10</v>
      </c>
      <c r="U222" s="18" t="s">
        <v>486</v>
      </c>
      <c r="V222" s="18" t="s">
        <v>144</v>
      </c>
      <c r="W222" s="13"/>
      <c r="X222" s="13"/>
      <c r="Y222" s="18" t="s">
        <v>488</v>
      </c>
      <c r="Z222" s="18" t="s">
        <v>198</v>
      </c>
      <c r="AA222" s="18" t="s">
        <v>83</v>
      </c>
      <c r="AB222" s="18" t="s">
        <v>84</v>
      </c>
      <c r="AC222" s="18" t="s">
        <v>85</v>
      </c>
      <c r="AD222" s="18">
        <v>4.87733333333328</v>
      </c>
      <c r="AE222" s="18">
        <v>1</v>
      </c>
      <c r="AF222" s="18">
        <v>0</v>
      </c>
      <c r="AG222" s="18">
        <v>0</v>
      </c>
      <c r="AH222" s="18">
        <v>1</v>
      </c>
      <c r="AI222" s="18">
        <v>0</v>
      </c>
      <c r="AJ222" s="18">
        <v>0</v>
      </c>
      <c r="AK222" s="18">
        <v>0</v>
      </c>
      <c r="AL222" s="18">
        <v>0</v>
      </c>
      <c r="AM222" s="18">
        <v>0</v>
      </c>
      <c r="AN222" s="18">
        <v>0</v>
      </c>
      <c r="AO222" s="18">
        <v>0</v>
      </c>
      <c r="AP222" s="18">
        <v>0</v>
      </c>
      <c r="AQ222" s="18">
        <v>0</v>
      </c>
      <c r="AR222" s="18">
        <v>0</v>
      </c>
      <c r="AS222" s="18">
        <v>0</v>
      </c>
      <c r="AT222" s="18">
        <v>1</v>
      </c>
      <c r="AU222" s="18">
        <v>0</v>
      </c>
      <c r="AV222" s="18">
        <v>0</v>
      </c>
      <c r="AW222" s="18">
        <v>0</v>
      </c>
      <c r="AX222" s="18">
        <v>0</v>
      </c>
      <c r="AY222" s="13"/>
      <c r="AZ222" s="18">
        <v>1</v>
      </c>
      <c r="BA222" s="18">
        <v>2</v>
      </c>
      <c r="BB222" s="18">
        <v>74.73</v>
      </c>
      <c r="BC222" s="18" t="s">
        <v>1084</v>
      </c>
      <c r="BD222" s="18" t="s">
        <v>1085</v>
      </c>
      <c r="BE222" s="18" t="s">
        <v>128</v>
      </c>
      <c r="BF222" s="18" t="s">
        <v>77</v>
      </c>
      <c r="BG222" s="18">
        <v>1</v>
      </c>
      <c r="BH222" s="18">
        <v>48</v>
      </c>
      <c r="BI222" s="18">
        <v>0.0204</v>
      </c>
      <c r="BJ222" s="18">
        <v>1</v>
      </c>
      <c r="BK222" s="18">
        <v>9</v>
      </c>
      <c r="BL222" s="18">
        <v>97.5</v>
      </c>
      <c r="BM222" s="13">
        <f t="shared" si="0"/>
        <v>25005.6</v>
      </c>
    </row>
    <row r="223" customHeight="1" spans="1:65">
      <c r="A223" s="18" t="s">
        <v>1090</v>
      </c>
      <c r="B223" s="18" t="s">
        <v>1091</v>
      </c>
      <c r="C223" s="13"/>
      <c r="D223" s="13"/>
      <c r="E223" s="18" t="s">
        <v>1092</v>
      </c>
      <c r="F223" s="18" t="s">
        <v>240</v>
      </c>
      <c r="G223" s="18" t="s">
        <v>83</v>
      </c>
      <c r="H223" s="18" t="s">
        <v>84</v>
      </c>
      <c r="I223" s="18" t="s">
        <v>85</v>
      </c>
      <c r="J223" s="18">
        <v>5</v>
      </c>
      <c r="K223" s="16">
        <v>250</v>
      </c>
      <c r="L223" s="10"/>
      <c r="M223" s="16">
        <v>0</v>
      </c>
      <c r="N223" s="16">
        <v>0</v>
      </c>
      <c r="O223" s="18">
        <v>0</v>
      </c>
      <c r="P223" s="18" t="s">
        <v>71</v>
      </c>
      <c r="Q223" s="18">
        <v>5.525453</v>
      </c>
      <c r="R223" s="16">
        <v>15.62</v>
      </c>
      <c r="S223" s="16">
        <v>42</v>
      </c>
      <c r="T223" s="16">
        <v>41</v>
      </c>
      <c r="U223" s="18" t="s">
        <v>1090</v>
      </c>
      <c r="V223" s="18" t="s">
        <v>1091</v>
      </c>
      <c r="W223" s="13"/>
      <c r="X223" s="13"/>
      <c r="Y223" s="18" t="s">
        <v>1092</v>
      </c>
      <c r="Z223" s="18" t="s">
        <v>240</v>
      </c>
      <c r="AA223" s="18" t="s">
        <v>83</v>
      </c>
      <c r="AB223" s="18" t="s">
        <v>84</v>
      </c>
      <c r="AC223" s="18" t="s">
        <v>85</v>
      </c>
      <c r="AD223" s="18">
        <v>495</v>
      </c>
      <c r="AE223" s="18">
        <v>0</v>
      </c>
      <c r="AF223" s="18">
        <v>0</v>
      </c>
      <c r="AG223" s="18">
        <v>0</v>
      </c>
      <c r="AH223" s="18">
        <v>0</v>
      </c>
      <c r="AI223" s="18">
        <v>0</v>
      </c>
      <c r="AJ223" s="18">
        <v>0</v>
      </c>
      <c r="AK223" s="18">
        <v>0</v>
      </c>
      <c r="AL223" s="18">
        <v>0</v>
      </c>
      <c r="AM223" s="18">
        <v>0</v>
      </c>
      <c r="AN223" s="18">
        <v>0</v>
      </c>
      <c r="AO223" s="18">
        <v>0</v>
      </c>
      <c r="AP223" s="18">
        <v>0</v>
      </c>
      <c r="AQ223" s="18">
        <v>0</v>
      </c>
      <c r="AR223" s="18">
        <v>0</v>
      </c>
      <c r="AS223" s="18">
        <v>0</v>
      </c>
      <c r="AT223" s="18">
        <v>0</v>
      </c>
      <c r="AU223" s="18">
        <v>0</v>
      </c>
      <c r="AV223" s="18">
        <v>0</v>
      </c>
      <c r="AW223" s="18">
        <v>1</v>
      </c>
      <c r="AX223" s="18">
        <v>0</v>
      </c>
      <c r="AY223" s="18">
        <v>16</v>
      </c>
      <c r="AZ223" s="18">
        <v>1</v>
      </c>
      <c r="BA223" s="18">
        <v>0</v>
      </c>
      <c r="BB223" s="18">
        <v>48.77</v>
      </c>
      <c r="BC223" s="18" t="s">
        <v>1093</v>
      </c>
      <c r="BD223" s="18" t="s">
        <v>1094</v>
      </c>
      <c r="BE223" s="18" t="s">
        <v>1095</v>
      </c>
      <c r="BF223" s="18" t="s">
        <v>77</v>
      </c>
      <c r="BG223" s="18">
        <v>208</v>
      </c>
      <c r="BH223" s="18">
        <v>11</v>
      </c>
      <c r="BI223" s="18">
        <v>0.9498</v>
      </c>
      <c r="BJ223" s="18">
        <v>0</v>
      </c>
      <c r="BK223" s="18">
        <v>18</v>
      </c>
      <c r="BL223" s="18">
        <v>95.1</v>
      </c>
      <c r="BM223" s="13">
        <f t="shared" si="0"/>
        <v>10500</v>
      </c>
    </row>
    <row r="224" customHeight="1" spans="1:65">
      <c r="A224" s="18" t="s">
        <v>1096</v>
      </c>
      <c r="B224" s="18" t="s">
        <v>1097</v>
      </c>
      <c r="C224" s="13"/>
      <c r="D224" s="13"/>
      <c r="E224" s="18" t="s">
        <v>1098</v>
      </c>
      <c r="F224" s="18" t="s">
        <v>198</v>
      </c>
      <c r="G224" s="18" t="s">
        <v>83</v>
      </c>
      <c r="H224" s="18" t="s">
        <v>84</v>
      </c>
      <c r="I224" s="18" t="s">
        <v>85</v>
      </c>
      <c r="J224" s="18">
        <v>5</v>
      </c>
      <c r="K224" s="16">
        <v>26.64</v>
      </c>
      <c r="L224" s="10"/>
      <c r="M224" s="16">
        <v>0</v>
      </c>
      <c r="N224" s="16">
        <v>0</v>
      </c>
      <c r="O224" s="18">
        <v>0</v>
      </c>
      <c r="P224" s="18" t="s">
        <v>86</v>
      </c>
      <c r="Q224" s="18">
        <v>3.319264</v>
      </c>
      <c r="R224" s="10"/>
      <c r="S224" s="16">
        <v>26</v>
      </c>
      <c r="T224" s="16">
        <v>3</v>
      </c>
      <c r="U224" s="18" t="s">
        <v>1096</v>
      </c>
      <c r="V224" s="18" t="s">
        <v>1097</v>
      </c>
      <c r="W224" s="13"/>
      <c r="X224" s="13"/>
      <c r="Y224" s="18" t="s">
        <v>1098</v>
      </c>
      <c r="Z224" s="18" t="s">
        <v>198</v>
      </c>
      <c r="AA224" s="18" t="s">
        <v>83</v>
      </c>
      <c r="AB224" s="18" t="s">
        <v>84</v>
      </c>
      <c r="AC224" s="18" t="s">
        <v>85</v>
      </c>
      <c r="AD224" s="18">
        <v>48.28</v>
      </c>
      <c r="AE224" s="18">
        <v>0</v>
      </c>
      <c r="AF224" s="18">
        <v>0</v>
      </c>
      <c r="AG224" s="18">
        <v>0</v>
      </c>
      <c r="AH224" s="18">
        <v>1</v>
      </c>
      <c r="AI224" s="18">
        <v>0</v>
      </c>
      <c r="AJ224" s="18">
        <v>0</v>
      </c>
      <c r="AK224" s="18">
        <v>0</v>
      </c>
      <c r="AL224" s="18">
        <v>0</v>
      </c>
      <c r="AM224" s="18">
        <v>0</v>
      </c>
      <c r="AN224" s="18">
        <v>0</v>
      </c>
      <c r="AO224" s="18">
        <v>0</v>
      </c>
      <c r="AP224" s="18">
        <v>0</v>
      </c>
      <c r="AQ224" s="18">
        <v>0</v>
      </c>
      <c r="AR224" s="18">
        <v>0</v>
      </c>
      <c r="AS224" s="18">
        <v>0</v>
      </c>
      <c r="AT224" s="18">
        <v>0</v>
      </c>
      <c r="AU224" s="18">
        <v>0</v>
      </c>
      <c r="AV224" s="18">
        <v>0</v>
      </c>
      <c r="AW224" s="18">
        <v>1</v>
      </c>
      <c r="AX224" s="18">
        <v>0</v>
      </c>
      <c r="AY224" s="13"/>
      <c r="AZ224" s="18">
        <v>1</v>
      </c>
      <c r="BA224" s="18">
        <v>1</v>
      </c>
      <c r="BB224" s="18">
        <v>64.45</v>
      </c>
      <c r="BC224" s="18" t="s">
        <v>1099</v>
      </c>
      <c r="BD224" s="18" t="s">
        <v>1100</v>
      </c>
      <c r="BE224" s="18" t="s">
        <v>76</v>
      </c>
      <c r="BF224" s="18" t="s">
        <v>77</v>
      </c>
      <c r="BG224" s="18">
        <v>162</v>
      </c>
      <c r="BH224" s="18">
        <v>18</v>
      </c>
      <c r="BI224" s="18">
        <v>0.9</v>
      </c>
      <c r="BJ224" s="18">
        <v>0</v>
      </c>
      <c r="BK224" s="18">
        <v>17</v>
      </c>
      <c r="BL224" s="18">
        <v>95.3</v>
      </c>
      <c r="BM224" s="13">
        <f t="shared" si="0"/>
        <v>692.64</v>
      </c>
    </row>
    <row r="225" customHeight="1" spans="1:65">
      <c r="A225" s="18" t="s">
        <v>1102</v>
      </c>
      <c r="B225" s="18" t="s">
        <v>1103</v>
      </c>
      <c r="C225" s="13"/>
      <c r="D225" s="13"/>
      <c r="E225" s="18" t="s">
        <v>559</v>
      </c>
      <c r="F225" s="18" t="s">
        <v>240</v>
      </c>
      <c r="G225" s="18" t="s">
        <v>83</v>
      </c>
      <c r="H225" s="18" t="s">
        <v>84</v>
      </c>
      <c r="I225" s="18" t="s">
        <v>508</v>
      </c>
      <c r="J225" s="18">
        <v>1</v>
      </c>
      <c r="K225" s="16">
        <v>29</v>
      </c>
      <c r="L225" s="10"/>
      <c r="M225" s="16">
        <v>0</v>
      </c>
      <c r="N225" s="16">
        <v>0</v>
      </c>
      <c r="O225" s="18">
        <v>0</v>
      </c>
      <c r="P225" s="18" t="s">
        <v>86</v>
      </c>
      <c r="Q225" s="18">
        <v>3.401197</v>
      </c>
      <c r="R225" s="10"/>
      <c r="S225" s="10"/>
      <c r="T225" s="10"/>
      <c r="U225" s="18" t="s">
        <v>1102</v>
      </c>
      <c r="V225" s="18" t="s">
        <v>1103</v>
      </c>
      <c r="W225" s="13"/>
      <c r="X225" s="13"/>
      <c r="Y225" s="18" t="s">
        <v>559</v>
      </c>
      <c r="Z225" s="18" t="s">
        <v>240</v>
      </c>
      <c r="AA225" s="18" t="s">
        <v>83</v>
      </c>
      <c r="AB225" s="18" t="s">
        <v>84</v>
      </c>
      <c r="AC225" s="18" t="s">
        <v>508</v>
      </c>
      <c r="AD225" s="18">
        <v>57</v>
      </c>
      <c r="AE225" s="18">
        <v>0</v>
      </c>
      <c r="AF225" s="18">
        <v>0</v>
      </c>
      <c r="AG225" s="18">
        <v>1</v>
      </c>
      <c r="AH225" s="18">
        <v>0</v>
      </c>
      <c r="AI225" s="18">
        <v>0</v>
      </c>
      <c r="AJ225" s="18">
        <v>0</v>
      </c>
      <c r="AK225" s="18">
        <v>0</v>
      </c>
      <c r="AL225" s="18">
        <v>0</v>
      </c>
      <c r="AM225" s="18">
        <v>0</v>
      </c>
      <c r="AN225" s="18">
        <v>0</v>
      </c>
      <c r="AO225" s="18">
        <v>0</v>
      </c>
      <c r="AP225" s="18">
        <v>0</v>
      </c>
      <c r="AQ225" s="18">
        <v>1</v>
      </c>
      <c r="AR225" s="18">
        <v>0</v>
      </c>
      <c r="AS225" s="18">
        <v>0</v>
      </c>
      <c r="AT225" s="18">
        <v>0</v>
      </c>
      <c r="AU225" s="18">
        <v>0</v>
      </c>
      <c r="AV225" s="18">
        <v>1</v>
      </c>
      <c r="AW225" s="18">
        <v>0</v>
      </c>
      <c r="AX225" s="18">
        <v>0</v>
      </c>
      <c r="AY225" s="13"/>
      <c r="AZ225" s="18">
        <v>1</v>
      </c>
      <c r="BA225" s="18">
        <v>1</v>
      </c>
      <c r="BB225" s="18">
        <v>26.37</v>
      </c>
      <c r="BC225" s="18" t="s">
        <v>1104</v>
      </c>
      <c r="BD225" s="18" t="s">
        <v>1105</v>
      </c>
      <c r="BE225" s="18" t="s">
        <v>673</v>
      </c>
      <c r="BF225" s="18" t="s">
        <v>77</v>
      </c>
      <c r="BG225" s="18">
        <v>168</v>
      </c>
      <c r="BH225" s="18">
        <v>11</v>
      </c>
      <c r="BI225" s="18">
        <v>0.9385</v>
      </c>
      <c r="BJ225" s="18">
        <v>0</v>
      </c>
      <c r="BK225" s="18">
        <v>44</v>
      </c>
      <c r="BL225" s="18">
        <v>87.9</v>
      </c>
      <c r="BM225" s="13">
        <f t="shared" si="0"/>
        <v>0</v>
      </c>
    </row>
    <row r="226" customHeight="1" spans="1:65">
      <c r="A226" s="18" t="s">
        <v>2096</v>
      </c>
      <c r="B226" s="18" t="s">
        <v>901</v>
      </c>
      <c r="C226" s="13"/>
      <c r="D226" s="13"/>
      <c r="E226" s="18" t="s">
        <v>275</v>
      </c>
      <c r="F226" s="19" t="s">
        <v>276</v>
      </c>
      <c r="G226" s="18" t="s">
        <v>901</v>
      </c>
      <c r="H226" s="18" t="s">
        <v>107</v>
      </c>
      <c r="I226" s="18" t="s">
        <v>203</v>
      </c>
      <c r="J226" s="18">
        <v>4</v>
      </c>
      <c r="K226" s="16">
        <v>27.99</v>
      </c>
      <c r="L226" s="10"/>
      <c r="M226" s="16">
        <v>0</v>
      </c>
      <c r="N226" s="16">
        <v>0</v>
      </c>
      <c r="O226" s="18">
        <v>0</v>
      </c>
      <c r="P226" s="18" t="s">
        <v>86</v>
      </c>
      <c r="Q226" s="18">
        <v>3.366951</v>
      </c>
      <c r="R226" s="10"/>
      <c r="S226" s="16">
        <v>194</v>
      </c>
      <c r="T226" s="16">
        <v>10</v>
      </c>
      <c r="U226" s="18" t="s">
        <v>2096</v>
      </c>
      <c r="V226" s="18" t="s">
        <v>901</v>
      </c>
      <c r="W226" s="13"/>
      <c r="X226" s="13"/>
      <c r="Y226" s="18" t="s">
        <v>275</v>
      </c>
      <c r="Z226" s="18" t="s">
        <v>276</v>
      </c>
      <c r="AA226" s="18" t="s">
        <v>901</v>
      </c>
      <c r="AB226" s="18" t="s">
        <v>107</v>
      </c>
      <c r="AC226" s="18" t="s">
        <v>203</v>
      </c>
      <c r="AD226" s="18">
        <v>51.98</v>
      </c>
      <c r="AE226" s="18">
        <v>0</v>
      </c>
      <c r="AF226" s="18">
        <v>0</v>
      </c>
      <c r="AG226" s="18">
        <v>0</v>
      </c>
      <c r="AH226" s="18">
        <v>0</v>
      </c>
      <c r="AI226" s="18">
        <v>0</v>
      </c>
      <c r="AJ226" s="18">
        <v>0</v>
      </c>
      <c r="AK226" s="18">
        <v>0</v>
      </c>
      <c r="AL226" s="18">
        <v>0</v>
      </c>
      <c r="AM226" s="18">
        <v>0</v>
      </c>
      <c r="AN226" s="18">
        <v>0</v>
      </c>
      <c r="AO226" s="18">
        <v>0</v>
      </c>
      <c r="AP226" s="18">
        <v>0</v>
      </c>
      <c r="AQ226" s="18">
        <v>0</v>
      </c>
      <c r="AR226" s="18">
        <v>0</v>
      </c>
      <c r="AS226" s="18">
        <v>0</v>
      </c>
      <c r="AT226" s="18">
        <v>1</v>
      </c>
      <c r="AU226" s="18">
        <v>0</v>
      </c>
      <c r="AV226" s="18">
        <v>0</v>
      </c>
      <c r="AW226" s="18">
        <v>0</v>
      </c>
      <c r="AX226" s="18">
        <v>0</v>
      </c>
      <c r="AY226" s="13"/>
      <c r="AZ226" s="18">
        <v>1</v>
      </c>
      <c r="BA226" s="18">
        <v>0</v>
      </c>
      <c r="BB226" s="18">
        <v>65.49</v>
      </c>
      <c r="BC226" s="18" t="s">
        <v>199</v>
      </c>
      <c r="BD226" s="18" t="s">
        <v>2097</v>
      </c>
      <c r="BE226" s="18" t="s">
        <v>113</v>
      </c>
      <c r="BF226" s="18" t="s">
        <v>77</v>
      </c>
      <c r="BG226" s="18">
        <v>182</v>
      </c>
      <c r="BH226" s="18">
        <v>28</v>
      </c>
      <c r="BI226" s="18">
        <v>0.8667</v>
      </c>
      <c r="BJ226" s="18">
        <v>0</v>
      </c>
      <c r="BK226" s="18">
        <v>31</v>
      </c>
      <c r="BL226" s="18">
        <v>91.5</v>
      </c>
      <c r="BM226" s="13">
        <f t="shared" si="0"/>
        <v>5430.06</v>
      </c>
    </row>
    <row r="227" customHeight="1" spans="1:65">
      <c r="A227" s="18" t="s">
        <v>194</v>
      </c>
      <c r="B227" s="18" t="s">
        <v>195</v>
      </c>
      <c r="C227" s="18" t="s">
        <v>196</v>
      </c>
      <c r="D227" s="18">
        <v>843261112149</v>
      </c>
      <c r="E227" s="18" t="s">
        <v>197</v>
      </c>
      <c r="F227" s="18" t="s">
        <v>198</v>
      </c>
      <c r="G227" s="18" t="s">
        <v>83</v>
      </c>
      <c r="H227" s="18" t="s">
        <v>84</v>
      </c>
      <c r="I227" s="18" t="s">
        <v>85</v>
      </c>
      <c r="J227" s="18">
        <v>5</v>
      </c>
      <c r="K227" s="16">
        <v>19.99</v>
      </c>
      <c r="L227" s="10"/>
      <c r="M227" s="16">
        <v>0</v>
      </c>
      <c r="N227" s="16">
        <v>0</v>
      </c>
      <c r="O227" s="18">
        <v>0</v>
      </c>
      <c r="P227" s="18" t="s">
        <v>133</v>
      </c>
      <c r="Q227" s="18">
        <v>3.044046</v>
      </c>
      <c r="R227" s="10"/>
      <c r="S227" s="16">
        <v>9</v>
      </c>
      <c r="T227" s="16">
        <v>10</v>
      </c>
      <c r="U227" s="18" t="s">
        <v>194</v>
      </c>
      <c r="V227" s="18" t="s">
        <v>195</v>
      </c>
      <c r="W227" s="18" t="s">
        <v>2589</v>
      </c>
      <c r="X227" s="18">
        <v>843261112150</v>
      </c>
      <c r="Y227" s="18" t="s">
        <v>197</v>
      </c>
      <c r="Z227" s="18" t="s">
        <v>198</v>
      </c>
      <c r="AA227" s="18" t="s">
        <v>83</v>
      </c>
      <c r="AB227" s="18" t="s">
        <v>84</v>
      </c>
      <c r="AC227" s="18" t="s">
        <v>85</v>
      </c>
      <c r="AD227" s="18">
        <v>34.98</v>
      </c>
      <c r="AE227" s="18">
        <v>0</v>
      </c>
      <c r="AF227" s="18">
        <v>0</v>
      </c>
      <c r="AG227" s="18">
        <v>0</v>
      </c>
      <c r="AH227" s="18">
        <v>0</v>
      </c>
      <c r="AI227" s="18">
        <v>0</v>
      </c>
      <c r="AJ227" s="18">
        <v>0</v>
      </c>
      <c r="AK227" s="18">
        <v>0</v>
      </c>
      <c r="AL227" s="18">
        <v>0</v>
      </c>
      <c r="AM227" s="18">
        <v>0</v>
      </c>
      <c r="AN227" s="18">
        <v>0</v>
      </c>
      <c r="AO227" s="18">
        <v>0</v>
      </c>
      <c r="AP227" s="18">
        <v>0</v>
      </c>
      <c r="AQ227" s="18">
        <v>0</v>
      </c>
      <c r="AR227" s="18">
        <v>0</v>
      </c>
      <c r="AS227" s="18">
        <v>0</v>
      </c>
      <c r="AT227" s="18">
        <v>0</v>
      </c>
      <c r="AU227" s="18">
        <v>0</v>
      </c>
      <c r="AV227" s="18">
        <v>0</v>
      </c>
      <c r="AW227" s="18">
        <v>0</v>
      </c>
      <c r="AX227" s="18">
        <v>0</v>
      </c>
      <c r="AY227" s="13"/>
      <c r="AZ227" s="18">
        <v>1</v>
      </c>
      <c r="BA227" s="18">
        <v>0</v>
      </c>
      <c r="BB227" s="18">
        <v>18.95</v>
      </c>
      <c r="BC227" s="18" t="s">
        <v>199</v>
      </c>
      <c r="BD227" s="18" t="s">
        <v>127</v>
      </c>
      <c r="BE227" s="18" t="s">
        <v>113</v>
      </c>
      <c r="BF227" s="18" t="s">
        <v>77</v>
      </c>
      <c r="BG227" s="18">
        <v>182</v>
      </c>
      <c r="BH227" s="18">
        <v>28</v>
      </c>
      <c r="BI227" s="18">
        <v>0.8667</v>
      </c>
      <c r="BJ227" s="18">
        <v>0</v>
      </c>
      <c r="BK227" s="13"/>
      <c r="BL227" s="13"/>
      <c r="BM227" s="13">
        <f t="shared" si="0"/>
        <v>179.91</v>
      </c>
    </row>
    <row r="228" customHeight="1" spans="1:65">
      <c r="A228" s="18" t="s">
        <v>1633</v>
      </c>
      <c r="B228" s="18" t="s">
        <v>901</v>
      </c>
      <c r="C228" s="13"/>
      <c r="D228" s="13"/>
      <c r="E228" s="18" t="s">
        <v>81</v>
      </c>
      <c r="F228" s="18" t="s">
        <v>82</v>
      </c>
      <c r="G228" s="18" t="s">
        <v>901</v>
      </c>
      <c r="H228" s="18" t="s">
        <v>107</v>
      </c>
      <c r="I228" s="18" t="s">
        <v>203</v>
      </c>
      <c r="J228" s="18">
        <v>4</v>
      </c>
      <c r="K228" s="16">
        <v>147.99</v>
      </c>
      <c r="L228" s="10"/>
      <c r="M228" s="16">
        <v>0</v>
      </c>
      <c r="N228" s="16">
        <v>0</v>
      </c>
      <c r="O228" s="18">
        <v>0</v>
      </c>
      <c r="P228" s="18" t="s">
        <v>95</v>
      </c>
      <c r="Q228" s="18">
        <v>5.003879</v>
      </c>
      <c r="R228" s="10"/>
      <c r="S228" s="16">
        <v>264</v>
      </c>
      <c r="T228" s="16">
        <v>10</v>
      </c>
      <c r="U228" s="18" t="s">
        <v>1633</v>
      </c>
      <c r="V228" s="18" t="s">
        <v>901</v>
      </c>
      <c r="W228" s="13"/>
      <c r="X228" s="13"/>
      <c r="Y228" s="18" t="s">
        <v>81</v>
      </c>
      <c r="Z228" s="18" t="s">
        <v>82</v>
      </c>
      <c r="AA228" s="18" t="s">
        <v>901</v>
      </c>
      <c r="AB228" s="18" t="s">
        <v>107</v>
      </c>
      <c r="AC228" s="18" t="s">
        <v>203</v>
      </c>
      <c r="AD228" s="18">
        <v>291.98</v>
      </c>
      <c r="AE228" s="18">
        <v>0</v>
      </c>
      <c r="AF228" s="18">
        <v>0</v>
      </c>
      <c r="AG228" s="18">
        <v>1</v>
      </c>
      <c r="AH228" s="18">
        <v>0</v>
      </c>
      <c r="AI228" s="18">
        <v>0</v>
      </c>
      <c r="AJ228" s="18">
        <v>0</v>
      </c>
      <c r="AK228" s="18">
        <v>0</v>
      </c>
      <c r="AL228" s="18">
        <v>0</v>
      </c>
      <c r="AM228" s="18">
        <v>0</v>
      </c>
      <c r="AN228" s="18">
        <v>0</v>
      </c>
      <c r="AO228" s="18">
        <v>0</v>
      </c>
      <c r="AP228" s="18">
        <v>0</v>
      </c>
      <c r="AQ228" s="18">
        <v>0</v>
      </c>
      <c r="AR228" s="18">
        <v>0</v>
      </c>
      <c r="AS228" s="18">
        <v>0</v>
      </c>
      <c r="AT228" s="18">
        <v>1</v>
      </c>
      <c r="AU228" s="18">
        <v>0</v>
      </c>
      <c r="AV228" s="18">
        <v>0</v>
      </c>
      <c r="AW228" s="18">
        <v>0</v>
      </c>
      <c r="AX228" s="18">
        <v>1</v>
      </c>
      <c r="AY228" s="13"/>
      <c r="AZ228" s="18">
        <v>1</v>
      </c>
      <c r="BA228" s="18">
        <v>0</v>
      </c>
      <c r="BB228" s="18">
        <v>68.3</v>
      </c>
      <c r="BC228" s="18" t="s">
        <v>199</v>
      </c>
      <c r="BD228" s="18" t="s">
        <v>1634</v>
      </c>
      <c r="BE228" s="18" t="s">
        <v>128</v>
      </c>
      <c r="BF228" s="18" t="s">
        <v>77</v>
      </c>
      <c r="BG228" s="18">
        <v>182</v>
      </c>
      <c r="BH228" s="18">
        <v>28</v>
      </c>
      <c r="BI228" s="18">
        <v>0.8667</v>
      </c>
      <c r="BJ228" s="18">
        <v>0</v>
      </c>
      <c r="BK228" s="18">
        <v>3</v>
      </c>
      <c r="BL228" s="18">
        <v>99.2</v>
      </c>
      <c r="BM228" s="13">
        <f t="shared" si="0"/>
        <v>39069.36</v>
      </c>
    </row>
    <row r="229" customHeight="1" spans="1:65">
      <c r="A229" s="18" t="s">
        <v>1106</v>
      </c>
      <c r="B229" s="18" t="s">
        <v>1107</v>
      </c>
      <c r="C229" s="13"/>
      <c r="D229" s="13"/>
      <c r="E229" s="18" t="s">
        <v>81</v>
      </c>
      <c r="F229" s="18" t="s">
        <v>82</v>
      </c>
      <c r="G229" s="18" t="s">
        <v>83</v>
      </c>
      <c r="H229" s="18" t="s">
        <v>84</v>
      </c>
      <c r="I229" s="18" t="s">
        <v>85</v>
      </c>
      <c r="J229" s="18">
        <v>5</v>
      </c>
      <c r="K229" s="16">
        <v>29.99</v>
      </c>
      <c r="L229" s="10"/>
      <c r="M229" s="16">
        <v>0</v>
      </c>
      <c r="N229" s="16">
        <v>0</v>
      </c>
      <c r="O229" s="18">
        <v>0</v>
      </c>
      <c r="P229" s="18" t="s">
        <v>86</v>
      </c>
      <c r="Q229" s="18">
        <v>3.433665</v>
      </c>
      <c r="R229" s="10"/>
      <c r="S229" s="16">
        <v>4</v>
      </c>
      <c r="T229" s="16">
        <v>10</v>
      </c>
      <c r="U229" s="18" t="s">
        <v>1106</v>
      </c>
      <c r="V229" s="18" t="s">
        <v>1107</v>
      </c>
      <c r="W229" s="13"/>
      <c r="X229" s="13"/>
      <c r="Y229" s="18" t="s">
        <v>81</v>
      </c>
      <c r="Z229" s="18" t="s">
        <v>82</v>
      </c>
      <c r="AA229" s="18" t="s">
        <v>83</v>
      </c>
      <c r="AB229" s="18" t="s">
        <v>84</v>
      </c>
      <c r="AC229" s="18" t="s">
        <v>85</v>
      </c>
      <c r="AD229" s="18">
        <v>54.98</v>
      </c>
      <c r="AE229" s="18">
        <v>0</v>
      </c>
      <c r="AF229" s="18">
        <v>1</v>
      </c>
      <c r="AG229" s="18">
        <v>0</v>
      </c>
      <c r="AH229" s="18">
        <v>1</v>
      </c>
      <c r="AI229" s="18">
        <v>0</v>
      </c>
      <c r="AJ229" s="18">
        <v>0</v>
      </c>
      <c r="AK229" s="18">
        <v>0</v>
      </c>
      <c r="AL229" s="18">
        <v>0</v>
      </c>
      <c r="AM229" s="18">
        <v>0</v>
      </c>
      <c r="AN229" s="18">
        <v>0</v>
      </c>
      <c r="AO229" s="18">
        <v>0</v>
      </c>
      <c r="AP229" s="18">
        <v>0</v>
      </c>
      <c r="AQ229" s="18">
        <v>0</v>
      </c>
      <c r="AR229" s="18">
        <v>0</v>
      </c>
      <c r="AS229" s="18">
        <v>0</v>
      </c>
      <c r="AT229" s="18">
        <v>0</v>
      </c>
      <c r="AU229" s="18">
        <v>0</v>
      </c>
      <c r="AV229" s="18">
        <v>0</v>
      </c>
      <c r="AW229" s="18">
        <v>0</v>
      </c>
      <c r="AX229" s="18">
        <v>0</v>
      </c>
      <c r="AY229" s="13"/>
      <c r="AZ229" s="18">
        <v>1</v>
      </c>
      <c r="BA229" s="18">
        <v>1</v>
      </c>
      <c r="BB229" s="18">
        <v>30</v>
      </c>
      <c r="BC229" s="18" t="s">
        <v>1108</v>
      </c>
      <c r="BD229" s="18" t="s">
        <v>1109</v>
      </c>
      <c r="BE229" s="18" t="s">
        <v>1110</v>
      </c>
      <c r="BF229" s="18" t="s">
        <v>77</v>
      </c>
      <c r="BG229" s="18">
        <v>162</v>
      </c>
      <c r="BH229" s="18">
        <v>17</v>
      </c>
      <c r="BI229" s="18">
        <v>0.905</v>
      </c>
      <c r="BJ229" s="18">
        <v>0</v>
      </c>
      <c r="BK229" s="18">
        <v>139</v>
      </c>
      <c r="BL229" s="18">
        <v>61.9</v>
      </c>
      <c r="BM229" s="13">
        <f t="shared" si="0"/>
        <v>119.96</v>
      </c>
    </row>
    <row r="230" customHeight="1" spans="1:65">
      <c r="A230" s="18" t="s">
        <v>1113</v>
      </c>
      <c r="B230" s="18" t="s">
        <v>1114</v>
      </c>
      <c r="C230" s="18" t="s">
        <v>1115</v>
      </c>
      <c r="D230" s="13"/>
      <c r="E230" s="18" t="s">
        <v>81</v>
      </c>
      <c r="F230" s="18" t="s">
        <v>82</v>
      </c>
      <c r="G230" s="18" t="s">
        <v>83</v>
      </c>
      <c r="H230" s="18" t="s">
        <v>84</v>
      </c>
      <c r="I230" s="18" t="s">
        <v>85</v>
      </c>
      <c r="J230" s="18">
        <v>5</v>
      </c>
      <c r="K230" s="16">
        <v>49.95</v>
      </c>
      <c r="L230" s="10"/>
      <c r="M230" s="16">
        <v>0</v>
      </c>
      <c r="N230" s="16">
        <v>0</v>
      </c>
      <c r="O230" s="18">
        <v>0</v>
      </c>
      <c r="P230" s="18" t="s">
        <v>86</v>
      </c>
      <c r="Q230" s="18">
        <v>3.930845</v>
      </c>
      <c r="R230" s="10"/>
      <c r="S230" s="16">
        <v>35</v>
      </c>
      <c r="T230" s="16">
        <v>10</v>
      </c>
      <c r="U230" s="18" t="s">
        <v>1113</v>
      </c>
      <c r="V230" s="18" t="s">
        <v>1114</v>
      </c>
      <c r="W230" s="18" t="s">
        <v>2590</v>
      </c>
      <c r="X230" s="13"/>
      <c r="Y230" s="18" t="s">
        <v>81</v>
      </c>
      <c r="Z230" s="18" t="s">
        <v>82</v>
      </c>
      <c r="AA230" s="18" t="s">
        <v>83</v>
      </c>
      <c r="AB230" s="18" t="s">
        <v>84</v>
      </c>
      <c r="AC230" s="18" t="s">
        <v>85</v>
      </c>
      <c r="AD230" s="18">
        <v>94.9</v>
      </c>
      <c r="AE230" s="18">
        <v>1</v>
      </c>
      <c r="AF230" s="18">
        <v>1</v>
      </c>
      <c r="AG230" s="18">
        <v>0</v>
      </c>
      <c r="AH230" s="18">
        <v>1</v>
      </c>
      <c r="AI230" s="18">
        <v>0</v>
      </c>
      <c r="AJ230" s="18">
        <v>1</v>
      </c>
      <c r="AK230" s="18">
        <v>0</v>
      </c>
      <c r="AL230" s="18">
        <v>0</v>
      </c>
      <c r="AM230" s="18">
        <v>0</v>
      </c>
      <c r="AN230" s="18">
        <v>0</v>
      </c>
      <c r="AO230" s="18">
        <v>0</v>
      </c>
      <c r="AP230" s="18">
        <v>0</v>
      </c>
      <c r="AQ230" s="18">
        <v>0</v>
      </c>
      <c r="AR230" s="18">
        <v>0</v>
      </c>
      <c r="AS230" s="18">
        <v>0</v>
      </c>
      <c r="AT230" s="18">
        <v>1</v>
      </c>
      <c r="AU230" s="18">
        <v>0</v>
      </c>
      <c r="AV230" s="18">
        <v>0</v>
      </c>
      <c r="AW230" s="18">
        <v>1</v>
      </c>
      <c r="AX230" s="18">
        <v>0</v>
      </c>
      <c r="AY230" s="13"/>
      <c r="AZ230" s="18">
        <v>2</v>
      </c>
      <c r="BA230" s="18">
        <v>2</v>
      </c>
      <c r="BB230" s="18">
        <v>31.11</v>
      </c>
      <c r="BC230" s="18" t="s">
        <v>1116</v>
      </c>
      <c r="BD230" s="18" t="s">
        <v>1117</v>
      </c>
      <c r="BE230" s="18" t="s">
        <v>128</v>
      </c>
      <c r="BF230" s="18" t="s">
        <v>77</v>
      </c>
      <c r="BG230" s="18">
        <v>1</v>
      </c>
      <c r="BH230" s="18">
        <v>11</v>
      </c>
      <c r="BI230" s="18">
        <v>0.0833</v>
      </c>
      <c r="BJ230" s="18">
        <v>1</v>
      </c>
      <c r="BK230" s="13"/>
      <c r="BL230" s="13"/>
      <c r="BM230" s="13">
        <f t="shared" si="0"/>
        <v>1748.25</v>
      </c>
    </row>
    <row r="231" customHeight="1" spans="1:65">
      <c r="A231" s="18" t="s">
        <v>1121</v>
      </c>
      <c r="B231" s="18" t="s">
        <v>125</v>
      </c>
      <c r="C231" s="13"/>
      <c r="D231" s="13"/>
      <c r="E231" s="18" t="s">
        <v>735</v>
      </c>
      <c r="F231" s="18" t="s">
        <v>352</v>
      </c>
      <c r="G231" s="18" t="s">
        <v>83</v>
      </c>
      <c r="H231" s="18" t="s">
        <v>138</v>
      </c>
      <c r="I231" s="18" t="s">
        <v>85</v>
      </c>
      <c r="J231" s="18">
        <v>5</v>
      </c>
      <c r="K231" s="16">
        <v>7.88</v>
      </c>
      <c r="L231" s="10"/>
      <c r="M231" s="16">
        <v>0</v>
      </c>
      <c r="N231" s="16">
        <v>0</v>
      </c>
      <c r="O231" s="18">
        <v>0</v>
      </c>
      <c r="P231" s="18" t="s">
        <v>133</v>
      </c>
      <c r="Q231" s="18">
        <v>2.183802</v>
      </c>
      <c r="R231" s="10"/>
      <c r="S231" s="16">
        <v>1970</v>
      </c>
      <c r="T231" s="16">
        <v>10</v>
      </c>
      <c r="U231" s="18" t="s">
        <v>1121</v>
      </c>
      <c r="V231" s="18" t="s">
        <v>125</v>
      </c>
      <c r="W231" s="13"/>
      <c r="X231" s="13"/>
      <c r="Y231" s="18" t="s">
        <v>735</v>
      </c>
      <c r="Z231" s="18" t="s">
        <v>352</v>
      </c>
      <c r="AA231" s="18" t="s">
        <v>83</v>
      </c>
      <c r="AB231" s="18" t="s">
        <v>138</v>
      </c>
      <c r="AC231" s="18" t="s">
        <v>85</v>
      </c>
      <c r="AD231" s="18">
        <v>10.76</v>
      </c>
      <c r="AE231" s="18">
        <v>0</v>
      </c>
      <c r="AF231" s="18">
        <v>0</v>
      </c>
      <c r="AG231" s="18">
        <v>0</v>
      </c>
      <c r="AH231" s="18">
        <v>0</v>
      </c>
      <c r="AI231" s="18">
        <v>0</v>
      </c>
      <c r="AJ231" s="18">
        <v>0</v>
      </c>
      <c r="AK231" s="18">
        <v>0</v>
      </c>
      <c r="AL231" s="18">
        <v>0</v>
      </c>
      <c r="AM231" s="18">
        <v>0</v>
      </c>
      <c r="AN231" s="18">
        <v>0</v>
      </c>
      <c r="AO231" s="18">
        <v>0</v>
      </c>
      <c r="AP231" s="18">
        <v>0</v>
      </c>
      <c r="AQ231" s="18">
        <v>0</v>
      </c>
      <c r="AR231" s="18">
        <v>0</v>
      </c>
      <c r="AS231" s="18">
        <v>0</v>
      </c>
      <c r="AT231" s="18">
        <v>0</v>
      </c>
      <c r="AU231" s="18">
        <v>0</v>
      </c>
      <c r="AV231" s="18">
        <v>0</v>
      </c>
      <c r="AW231" s="18">
        <v>1</v>
      </c>
      <c r="AX231" s="18">
        <v>0</v>
      </c>
      <c r="AY231" s="13"/>
      <c r="AZ231" s="18">
        <v>8</v>
      </c>
      <c r="BA231" s="18">
        <v>0</v>
      </c>
      <c r="BB231" s="18">
        <v>53.03</v>
      </c>
      <c r="BC231" s="18" t="s">
        <v>1122</v>
      </c>
      <c r="BD231" s="18" t="s">
        <v>1123</v>
      </c>
      <c r="BE231" s="18" t="s">
        <v>113</v>
      </c>
      <c r="BF231" s="18" t="s">
        <v>77</v>
      </c>
      <c r="BG231" s="18">
        <v>162</v>
      </c>
      <c r="BH231" s="18">
        <v>19</v>
      </c>
      <c r="BI231" s="18">
        <v>0.895</v>
      </c>
      <c r="BJ231" s="18">
        <v>0</v>
      </c>
      <c r="BK231" s="18">
        <v>204</v>
      </c>
      <c r="BL231" s="18">
        <v>44.1</v>
      </c>
      <c r="BM231" s="13">
        <f t="shared" si="0"/>
        <v>15523.6</v>
      </c>
    </row>
    <row r="232" customHeight="1" spans="1:65">
      <c r="A232" s="18" t="s">
        <v>1124</v>
      </c>
      <c r="B232" s="18" t="s">
        <v>195</v>
      </c>
      <c r="C232" s="13"/>
      <c r="D232" s="13"/>
      <c r="E232" s="19" t="s">
        <v>1125</v>
      </c>
      <c r="F232" s="18" t="s">
        <v>160</v>
      </c>
      <c r="G232" s="18" t="s">
        <v>83</v>
      </c>
      <c r="H232" s="18" t="s">
        <v>84</v>
      </c>
      <c r="I232" s="18" t="s">
        <v>85</v>
      </c>
      <c r="J232" s="18">
        <v>5</v>
      </c>
      <c r="K232" s="16">
        <v>74.99</v>
      </c>
      <c r="L232" s="16">
        <v>149.99</v>
      </c>
      <c r="M232" s="16">
        <v>50</v>
      </c>
      <c r="N232" s="16">
        <v>75</v>
      </c>
      <c r="O232" s="18">
        <v>1</v>
      </c>
      <c r="P232" s="18" t="s">
        <v>86</v>
      </c>
      <c r="Q232" s="18">
        <v>4.330602</v>
      </c>
      <c r="R232" s="10"/>
      <c r="S232" s="16">
        <v>6</v>
      </c>
      <c r="T232" s="16">
        <v>4</v>
      </c>
      <c r="U232" s="18" t="s">
        <v>1124</v>
      </c>
      <c r="V232" s="18" t="s">
        <v>195</v>
      </c>
      <c r="W232" s="13"/>
      <c r="X232" s="13"/>
      <c r="Y232" s="19" t="s">
        <v>1125</v>
      </c>
      <c r="Z232" s="18" t="s">
        <v>160</v>
      </c>
      <c r="AA232" s="18" t="s">
        <v>83</v>
      </c>
      <c r="AB232" s="18" t="s">
        <v>84</v>
      </c>
      <c r="AC232" s="18" t="s">
        <v>85</v>
      </c>
      <c r="AD232" s="18">
        <v>47.334</v>
      </c>
      <c r="AE232" s="18">
        <v>0</v>
      </c>
      <c r="AF232" s="18">
        <v>0</v>
      </c>
      <c r="AG232" s="18">
        <v>0</v>
      </c>
      <c r="AH232" s="18">
        <v>0</v>
      </c>
      <c r="AI232" s="18">
        <v>0</v>
      </c>
      <c r="AJ232" s="18">
        <v>0</v>
      </c>
      <c r="AK232" s="18">
        <v>0</v>
      </c>
      <c r="AL232" s="18">
        <v>0</v>
      </c>
      <c r="AM232" s="18">
        <v>0</v>
      </c>
      <c r="AN232" s="18">
        <v>0</v>
      </c>
      <c r="AO232" s="18">
        <v>0</v>
      </c>
      <c r="AP232" s="18">
        <v>0</v>
      </c>
      <c r="AQ232" s="18">
        <v>0</v>
      </c>
      <c r="AR232" s="18">
        <v>0</v>
      </c>
      <c r="AS232" s="18">
        <v>0</v>
      </c>
      <c r="AT232" s="18">
        <v>0</v>
      </c>
      <c r="AU232" s="18">
        <v>0</v>
      </c>
      <c r="AV232" s="18">
        <v>0</v>
      </c>
      <c r="AW232" s="18">
        <v>1</v>
      </c>
      <c r="AX232" s="18">
        <v>0</v>
      </c>
      <c r="AY232" s="13"/>
      <c r="AZ232" s="18">
        <v>1</v>
      </c>
      <c r="BA232" s="18">
        <v>0</v>
      </c>
      <c r="BB232" s="18">
        <v>53.79</v>
      </c>
      <c r="BC232" s="18" t="s">
        <v>1126</v>
      </c>
      <c r="BD232" s="18" t="s">
        <v>75</v>
      </c>
      <c r="BE232" s="18" t="s">
        <v>76</v>
      </c>
      <c r="BF232" s="18" t="s">
        <v>77</v>
      </c>
      <c r="BG232" s="18">
        <v>168</v>
      </c>
      <c r="BH232" s="18">
        <v>11</v>
      </c>
      <c r="BI232" s="18">
        <v>0.9385</v>
      </c>
      <c r="BJ232" s="18">
        <v>0</v>
      </c>
      <c r="BK232" s="18">
        <v>185</v>
      </c>
      <c r="BL232" s="18">
        <v>49.3</v>
      </c>
      <c r="BM232" s="13">
        <f t="shared" si="0"/>
        <v>449.94</v>
      </c>
    </row>
    <row r="233" customHeight="1" spans="1:65">
      <c r="A233" s="18" t="s">
        <v>623</v>
      </c>
      <c r="B233" s="18" t="s">
        <v>624</v>
      </c>
      <c r="C233" s="13"/>
      <c r="D233" s="18">
        <v>698596310384</v>
      </c>
      <c r="E233" s="18" t="s">
        <v>505</v>
      </c>
      <c r="F233" s="18" t="s">
        <v>160</v>
      </c>
      <c r="G233" s="18" t="s">
        <v>83</v>
      </c>
      <c r="H233" s="18" t="s">
        <v>84</v>
      </c>
      <c r="I233" s="18" t="s">
        <v>85</v>
      </c>
      <c r="J233" s="18">
        <v>5</v>
      </c>
      <c r="K233" s="16">
        <v>9.98</v>
      </c>
      <c r="L233" s="10"/>
      <c r="M233" s="16">
        <v>0</v>
      </c>
      <c r="N233" s="16">
        <v>0</v>
      </c>
      <c r="O233" s="18">
        <v>0</v>
      </c>
      <c r="P233" s="18" t="s">
        <v>133</v>
      </c>
      <c r="Q233" s="18">
        <v>2.396075</v>
      </c>
      <c r="R233" s="10"/>
      <c r="S233" s="16">
        <v>1026</v>
      </c>
      <c r="T233" s="16">
        <v>10</v>
      </c>
      <c r="U233" s="18" t="s">
        <v>2591</v>
      </c>
      <c r="V233" s="18" t="s">
        <v>624</v>
      </c>
      <c r="W233" s="13"/>
      <c r="X233" s="18">
        <v>698596310385</v>
      </c>
      <c r="Y233" s="18" t="s">
        <v>505</v>
      </c>
      <c r="Z233" s="18" t="s">
        <v>160</v>
      </c>
      <c r="AA233" s="18" t="s">
        <v>83</v>
      </c>
      <c r="AB233" s="18" t="s">
        <v>84</v>
      </c>
      <c r="AC233" s="18" t="s">
        <v>85</v>
      </c>
      <c r="AD233" s="18">
        <v>14.96</v>
      </c>
      <c r="AE233" s="18">
        <v>0</v>
      </c>
      <c r="AF233" s="18">
        <v>0</v>
      </c>
      <c r="AG233" s="18">
        <v>0</v>
      </c>
      <c r="AH233" s="18">
        <v>1</v>
      </c>
      <c r="AI233" s="18">
        <v>0</v>
      </c>
      <c r="AJ233" s="18">
        <v>0</v>
      </c>
      <c r="AK233" s="18">
        <v>0</v>
      </c>
      <c r="AL233" s="18">
        <v>0</v>
      </c>
      <c r="AM233" s="18">
        <v>0</v>
      </c>
      <c r="AN233" s="18">
        <v>0</v>
      </c>
      <c r="AO233" s="18">
        <v>0</v>
      </c>
      <c r="AP233" s="18">
        <v>0</v>
      </c>
      <c r="AQ233" s="18">
        <v>0</v>
      </c>
      <c r="AR233" s="18">
        <v>0</v>
      </c>
      <c r="AS233" s="18">
        <v>0</v>
      </c>
      <c r="AT233" s="18">
        <v>0</v>
      </c>
      <c r="AU233" s="18">
        <v>0</v>
      </c>
      <c r="AV233" s="18">
        <v>0</v>
      </c>
      <c r="AW233" s="18">
        <v>1</v>
      </c>
      <c r="AX233" s="18">
        <v>0</v>
      </c>
      <c r="AY233" s="13"/>
      <c r="AZ233" s="18">
        <v>6</v>
      </c>
      <c r="BA233" s="18">
        <v>1</v>
      </c>
      <c r="BB233" s="18">
        <v>69.46</v>
      </c>
      <c r="BC233" s="18" t="s">
        <v>1127</v>
      </c>
      <c r="BD233" s="18" t="s">
        <v>626</v>
      </c>
      <c r="BE233" s="18" t="s">
        <v>627</v>
      </c>
      <c r="BF233" s="18" t="s">
        <v>77</v>
      </c>
      <c r="BG233" s="18">
        <v>1</v>
      </c>
      <c r="BH233" s="18">
        <v>107</v>
      </c>
      <c r="BI233" s="18">
        <v>0.0093</v>
      </c>
      <c r="BJ233" s="18">
        <v>1</v>
      </c>
      <c r="BK233" s="18">
        <v>2</v>
      </c>
      <c r="BL233" s="18">
        <v>99.5</v>
      </c>
      <c r="BM233" s="13">
        <f t="shared" si="0"/>
        <v>10239.48</v>
      </c>
    </row>
    <row r="234" customHeight="1" spans="1:65">
      <c r="A234" s="18" t="s">
        <v>1550</v>
      </c>
      <c r="B234" s="18" t="s">
        <v>624</v>
      </c>
      <c r="C234" s="13"/>
      <c r="D234" s="18">
        <v>698596305991</v>
      </c>
      <c r="E234" s="18" t="s">
        <v>81</v>
      </c>
      <c r="F234" s="18" t="s">
        <v>82</v>
      </c>
      <c r="G234" s="18" t="s">
        <v>83</v>
      </c>
      <c r="H234" s="18" t="s">
        <v>84</v>
      </c>
      <c r="I234" s="18" t="s">
        <v>85</v>
      </c>
      <c r="J234" s="18">
        <v>5</v>
      </c>
      <c r="K234" s="16">
        <v>16.99</v>
      </c>
      <c r="L234" s="10"/>
      <c r="M234" s="16">
        <v>0</v>
      </c>
      <c r="N234" s="16">
        <v>0</v>
      </c>
      <c r="O234" s="18">
        <v>0</v>
      </c>
      <c r="P234" s="18" t="s">
        <v>133</v>
      </c>
      <c r="Q234" s="18">
        <v>2.889816</v>
      </c>
      <c r="R234" s="10"/>
      <c r="S234" s="16">
        <v>5304</v>
      </c>
      <c r="T234" s="16">
        <v>10</v>
      </c>
      <c r="U234" s="18" t="s">
        <v>1550</v>
      </c>
      <c r="V234" s="18" t="s">
        <v>624</v>
      </c>
      <c r="W234" s="13"/>
      <c r="X234" s="18">
        <v>698596305992</v>
      </c>
      <c r="Y234" s="18" t="s">
        <v>81</v>
      </c>
      <c r="Z234" s="18" t="s">
        <v>82</v>
      </c>
      <c r="AA234" s="18" t="s">
        <v>83</v>
      </c>
      <c r="AB234" s="18" t="s">
        <v>84</v>
      </c>
      <c r="AC234" s="18" t="s">
        <v>85</v>
      </c>
      <c r="AD234" s="18">
        <v>28.98</v>
      </c>
      <c r="AE234" s="18">
        <v>0</v>
      </c>
      <c r="AF234" s="18">
        <v>0</v>
      </c>
      <c r="AG234" s="18">
        <v>0</v>
      </c>
      <c r="AH234" s="18">
        <v>1</v>
      </c>
      <c r="AI234" s="18">
        <v>0</v>
      </c>
      <c r="AJ234" s="18">
        <v>0</v>
      </c>
      <c r="AK234" s="18">
        <v>1</v>
      </c>
      <c r="AL234" s="18">
        <v>0</v>
      </c>
      <c r="AM234" s="18">
        <v>0</v>
      </c>
      <c r="AN234" s="18">
        <v>0</v>
      </c>
      <c r="AO234" s="18">
        <v>0</v>
      </c>
      <c r="AP234" s="18">
        <v>0</v>
      </c>
      <c r="AQ234" s="18">
        <v>0</v>
      </c>
      <c r="AR234" s="18">
        <v>0</v>
      </c>
      <c r="AS234" s="18">
        <v>0</v>
      </c>
      <c r="AT234" s="18">
        <v>0</v>
      </c>
      <c r="AU234" s="18">
        <v>0</v>
      </c>
      <c r="AV234" s="18">
        <v>0</v>
      </c>
      <c r="AW234" s="18">
        <v>0</v>
      </c>
      <c r="AX234" s="18">
        <v>0</v>
      </c>
      <c r="AY234" s="13"/>
      <c r="AZ234" s="18">
        <v>1</v>
      </c>
      <c r="BA234" s="18">
        <v>3</v>
      </c>
      <c r="BB234" s="18">
        <v>69.77</v>
      </c>
      <c r="BC234" s="18" t="s">
        <v>1127</v>
      </c>
      <c r="BD234" s="18" t="s">
        <v>626</v>
      </c>
      <c r="BE234" s="18" t="s">
        <v>627</v>
      </c>
      <c r="BF234" s="18" t="s">
        <v>77</v>
      </c>
      <c r="BG234" s="18">
        <v>1</v>
      </c>
      <c r="BH234" s="18">
        <v>107</v>
      </c>
      <c r="BI234" s="18">
        <v>0.0093</v>
      </c>
      <c r="BJ234" s="18">
        <v>1</v>
      </c>
      <c r="BK234" s="18">
        <v>2</v>
      </c>
      <c r="BL234" s="18">
        <v>99.5</v>
      </c>
      <c r="BM234" s="13">
        <f t="shared" si="0"/>
        <v>90114.96</v>
      </c>
    </row>
    <row r="235" customHeight="1" spans="1:65">
      <c r="A235" s="18" t="s">
        <v>2401</v>
      </c>
      <c r="B235" s="18" t="s">
        <v>125</v>
      </c>
      <c r="C235" s="13"/>
      <c r="D235" s="13"/>
      <c r="E235" s="18" t="s">
        <v>239</v>
      </c>
      <c r="F235" s="18" t="s">
        <v>2402</v>
      </c>
      <c r="G235" s="18" t="s">
        <v>83</v>
      </c>
      <c r="H235" s="18" t="s">
        <v>138</v>
      </c>
      <c r="I235" s="18" t="s">
        <v>85</v>
      </c>
      <c r="J235" s="18">
        <v>5</v>
      </c>
      <c r="K235" s="16">
        <v>25.79</v>
      </c>
      <c r="L235" s="10"/>
      <c r="M235" s="16">
        <v>0</v>
      </c>
      <c r="N235" s="16">
        <v>0</v>
      </c>
      <c r="O235" s="18">
        <v>0</v>
      </c>
      <c r="P235" s="18" t="s">
        <v>86</v>
      </c>
      <c r="Q235" s="18">
        <v>3.288029</v>
      </c>
      <c r="R235" s="10"/>
      <c r="S235" s="16">
        <v>728</v>
      </c>
      <c r="T235" s="16">
        <v>10</v>
      </c>
      <c r="U235" s="18" t="s">
        <v>2401</v>
      </c>
      <c r="V235" s="18" t="s">
        <v>125</v>
      </c>
      <c r="W235" s="13"/>
      <c r="X235" s="13"/>
      <c r="Y235" s="18" t="s">
        <v>239</v>
      </c>
      <c r="Z235" s="18" t="s">
        <v>2402</v>
      </c>
      <c r="AA235" s="18" t="s">
        <v>83</v>
      </c>
      <c r="AB235" s="18" t="s">
        <v>138</v>
      </c>
      <c r="AC235" s="18" t="s">
        <v>85</v>
      </c>
      <c r="AD235" s="18">
        <v>46.58</v>
      </c>
      <c r="AE235" s="18">
        <v>0</v>
      </c>
      <c r="AF235" s="18">
        <v>0</v>
      </c>
      <c r="AG235" s="18">
        <v>0</v>
      </c>
      <c r="AH235" s="18">
        <v>0</v>
      </c>
      <c r="AI235" s="18">
        <v>0</v>
      </c>
      <c r="AJ235" s="18">
        <v>0</v>
      </c>
      <c r="AK235" s="18">
        <v>0</v>
      </c>
      <c r="AL235" s="18">
        <v>0</v>
      </c>
      <c r="AM235" s="18">
        <v>0</v>
      </c>
      <c r="AN235" s="18">
        <v>0</v>
      </c>
      <c r="AO235" s="18">
        <v>0</v>
      </c>
      <c r="AP235" s="18">
        <v>0</v>
      </c>
      <c r="AQ235" s="18">
        <v>1</v>
      </c>
      <c r="AR235" s="18">
        <v>0</v>
      </c>
      <c r="AS235" s="18">
        <v>0</v>
      </c>
      <c r="AT235" s="18">
        <v>0</v>
      </c>
      <c r="AU235" s="18">
        <v>0</v>
      </c>
      <c r="AV235" s="18">
        <v>1</v>
      </c>
      <c r="AW235" s="18">
        <v>0</v>
      </c>
      <c r="AX235" s="18">
        <v>0</v>
      </c>
      <c r="AY235" s="13"/>
      <c r="AZ235" s="18">
        <v>1</v>
      </c>
      <c r="BA235" s="18">
        <v>1</v>
      </c>
      <c r="BB235" s="18">
        <v>69.22</v>
      </c>
      <c r="BC235" s="18" t="s">
        <v>1127</v>
      </c>
      <c r="BD235" s="18" t="s">
        <v>626</v>
      </c>
      <c r="BE235" s="18" t="s">
        <v>627</v>
      </c>
      <c r="BF235" s="18" t="s">
        <v>77</v>
      </c>
      <c r="BG235" s="18">
        <v>1</v>
      </c>
      <c r="BH235" s="18">
        <v>107</v>
      </c>
      <c r="BI235" s="18">
        <v>0.0093</v>
      </c>
      <c r="BJ235" s="18">
        <v>1</v>
      </c>
      <c r="BK235" s="18">
        <v>3</v>
      </c>
      <c r="BL235" s="18">
        <v>99.2</v>
      </c>
      <c r="BM235" s="13">
        <f t="shared" si="0"/>
        <v>18775.12</v>
      </c>
    </row>
    <row r="236" customHeight="1" spans="1:65">
      <c r="A236" s="18" t="s">
        <v>1128</v>
      </c>
      <c r="B236" s="18" t="s">
        <v>104</v>
      </c>
      <c r="C236" s="18" t="s">
        <v>499</v>
      </c>
      <c r="D236" s="18">
        <v>194644245757</v>
      </c>
      <c r="E236" s="18" t="s">
        <v>81</v>
      </c>
      <c r="F236" s="18" t="s">
        <v>82</v>
      </c>
      <c r="G236" s="18" t="s">
        <v>106</v>
      </c>
      <c r="H236" s="18" t="s">
        <v>107</v>
      </c>
      <c r="I236" s="18" t="s">
        <v>85</v>
      </c>
      <c r="J236" s="18">
        <v>5</v>
      </c>
      <c r="K236" s="16">
        <v>320</v>
      </c>
      <c r="L236" s="10"/>
      <c r="M236" s="16">
        <v>0</v>
      </c>
      <c r="N236" s="16">
        <v>0</v>
      </c>
      <c r="O236" s="18">
        <v>0</v>
      </c>
      <c r="P236" s="18" t="s">
        <v>71</v>
      </c>
      <c r="Q236" s="18">
        <v>5.771441</v>
      </c>
      <c r="R236" s="10"/>
      <c r="S236" s="16">
        <v>1</v>
      </c>
      <c r="T236" s="16">
        <v>2</v>
      </c>
      <c r="U236" s="18" t="s">
        <v>1128</v>
      </c>
      <c r="V236" s="18" t="s">
        <v>104</v>
      </c>
      <c r="W236" s="18" t="s">
        <v>640</v>
      </c>
      <c r="X236" s="18">
        <v>194644245758</v>
      </c>
      <c r="Y236" s="18" t="s">
        <v>81</v>
      </c>
      <c r="Z236" s="18" t="s">
        <v>82</v>
      </c>
      <c r="AA236" s="18" t="s">
        <v>106</v>
      </c>
      <c r="AB236" s="18" t="s">
        <v>107</v>
      </c>
      <c r="AC236" s="18" t="s">
        <v>85</v>
      </c>
      <c r="AD236" s="18">
        <v>635</v>
      </c>
      <c r="AE236" s="18">
        <v>1</v>
      </c>
      <c r="AF236" s="18">
        <v>0</v>
      </c>
      <c r="AG236" s="18">
        <v>0</v>
      </c>
      <c r="AH236" s="18">
        <v>1</v>
      </c>
      <c r="AI236" s="18">
        <v>0</v>
      </c>
      <c r="AJ236" s="18">
        <v>0</v>
      </c>
      <c r="AK236" s="18">
        <v>0</v>
      </c>
      <c r="AL236" s="18">
        <v>0</v>
      </c>
      <c r="AM236" s="18">
        <v>0</v>
      </c>
      <c r="AN236" s="18">
        <v>0</v>
      </c>
      <c r="AO236" s="18">
        <v>0</v>
      </c>
      <c r="AP236" s="18">
        <v>0</v>
      </c>
      <c r="AQ236" s="18">
        <v>0</v>
      </c>
      <c r="AR236" s="18">
        <v>0</v>
      </c>
      <c r="AS236" s="18">
        <v>0</v>
      </c>
      <c r="AT236" s="18">
        <v>1</v>
      </c>
      <c r="AU236" s="18">
        <v>0</v>
      </c>
      <c r="AV236" s="18">
        <v>0</v>
      </c>
      <c r="AW236" s="18">
        <v>0</v>
      </c>
      <c r="AX236" s="18">
        <v>0</v>
      </c>
      <c r="AY236" s="13"/>
      <c r="AZ236" s="18">
        <v>1</v>
      </c>
      <c r="BA236" s="18">
        <v>2</v>
      </c>
      <c r="BB236" s="18">
        <v>13.33</v>
      </c>
      <c r="BC236" s="18" t="s">
        <v>1129</v>
      </c>
      <c r="BD236" s="18" t="s">
        <v>856</v>
      </c>
      <c r="BE236" s="18" t="s">
        <v>423</v>
      </c>
      <c r="BF236" s="18" t="s">
        <v>77</v>
      </c>
      <c r="BG236" s="18">
        <v>162</v>
      </c>
      <c r="BH236" s="18">
        <v>17</v>
      </c>
      <c r="BI236" s="18">
        <v>0.905</v>
      </c>
      <c r="BJ236" s="18">
        <v>0</v>
      </c>
      <c r="BK236" s="13"/>
      <c r="BL236" s="13"/>
      <c r="BM236" s="13">
        <f t="shared" si="0"/>
        <v>320</v>
      </c>
    </row>
    <row r="237" customHeight="1" spans="1:65">
      <c r="A237" s="18" t="s">
        <v>1134</v>
      </c>
      <c r="B237" s="18" t="s">
        <v>1135</v>
      </c>
      <c r="C237" s="18" t="s">
        <v>1136</v>
      </c>
      <c r="D237" s="13"/>
      <c r="E237" s="18" t="s">
        <v>209</v>
      </c>
      <c r="F237" s="18" t="s">
        <v>160</v>
      </c>
      <c r="G237" s="18" t="s">
        <v>83</v>
      </c>
      <c r="H237" s="18" t="s">
        <v>84</v>
      </c>
      <c r="I237" s="18" t="s">
        <v>85</v>
      </c>
      <c r="J237" s="18">
        <v>5</v>
      </c>
      <c r="K237" s="16">
        <v>47.99</v>
      </c>
      <c r="L237" s="10"/>
      <c r="M237" s="16">
        <v>0</v>
      </c>
      <c r="N237" s="16">
        <v>0</v>
      </c>
      <c r="O237" s="18">
        <v>0</v>
      </c>
      <c r="P237" s="18" t="s">
        <v>86</v>
      </c>
      <c r="Q237" s="18">
        <v>3.891616</v>
      </c>
      <c r="R237" s="10"/>
      <c r="S237" s="16">
        <v>1</v>
      </c>
      <c r="T237" s="16">
        <v>10</v>
      </c>
      <c r="U237" s="18" t="s">
        <v>1134</v>
      </c>
      <c r="V237" s="18" t="s">
        <v>1135</v>
      </c>
      <c r="W237" s="18" t="s">
        <v>1136</v>
      </c>
      <c r="X237" s="13"/>
      <c r="Y237" s="18" t="s">
        <v>209</v>
      </c>
      <c r="Z237" s="18" t="s">
        <v>160</v>
      </c>
      <c r="AA237" s="18" t="s">
        <v>83</v>
      </c>
      <c r="AB237" s="18" t="s">
        <v>84</v>
      </c>
      <c r="AC237" s="18" t="s">
        <v>85</v>
      </c>
      <c r="AD237" s="18">
        <v>90.98</v>
      </c>
      <c r="AE237" s="18">
        <v>1</v>
      </c>
      <c r="AF237" s="18">
        <v>1</v>
      </c>
      <c r="AG237" s="18">
        <v>0</v>
      </c>
      <c r="AH237" s="18">
        <v>1</v>
      </c>
      <c r="AI237" s="18">
        <v>0</v>
      </c>
      <c r="AJ237" s="18">
        <v>0</v>
      </c>
      <c r="AK237" s="18">
        <v>0</v>
      </c>
      <c r="AL237" s="18">
        <v>0</v>
      </c>
      <c r="AM237" s="18">
        <v>0</v>
      </c>
      <c r="AN237" s="18">
        <v>0</v>
      </c>
      <c r="AO237" s="18">
        <v>0</v>
      </c>
      <c r="AP237" s="18">
        <v>0</v>
      </c>
      <c r="AQ237" s="18">
        <v>0</v>
      </c>
      <c r="AR237" s="18">
        <v>0</v>
      </c>
      <c r="AS237" s="18">
        <v>0</v>
      </c>
      <c r="AT237" s="18">
        <v>0</v>
      </c>
      <c r="AU237" s="18">
        <v>0</v>
      </c>
      <c r="AV237" s="18">
        <v>0</v>
      </c>
      <c r="AW237" s="18">
        <v>1</v>
      </c>
      <c r="AX237" s="18">
        <v>0</v>
      </c>
      <c r="AY237" s="13"/>
      <c r="AZ237" s="18">
        <v>1</v>
      </c>
      <c r="BA237" s="18">
        <v>3</v>
      </c>
      <c r="BB237" s="18">
        <v>26.23</v>
      </c>
      <c r="BC237" s="18" t="s">
        <v>1137</v>
      </c>
      <c r="BD237" s="18" t="s">
        <v>286</v>
      </c>
      <c r="BE237" s="18" t="s">
        <v>287</v>
      </c>
      <c r="BF237" s="18" t="s">
        <v>77</v>
      </c>
      <c r="BG237" s="18">
        <v>1</v>
      </c>
      <c r="BH237" s="18">
        <v>15</v>
      </c>
      <c r="BI237" s="18">
        <v>0.0625</v>
      </c>
      <c r="BJ237" s="18">
        <v>1</v>
      </c>
      <c r="BK237" s="18">
        <v>90</v>
      </c>
      <c r="BL237" s="18">
        <v>75.3</v>
      </c>
      <c r="BM237" s="13">
        <f t="shared" si="0"/>
        <v>47.99</v>
      </c>
    </row>
    <row r="238" customHeight="1" spans="1:65">
      <c r="A238" s="18" t="s">
        <v>2123</v>
      </c>
      <c r="B238" s="18" t="s">
        <v>1135</v>
      </c>
      <c r="C238" s="18" t="s">
        <v>1765</v>
      </c>
      <c r="D238" s="13"/>
      <c r="E238" s="18" t="s">
        <v>255</v>
      </c>
      <c r="F238" s="18" t="s">
        <v>82</v>
      </c>
      <c r="G238" s="18" t="s">
        <v>83</v>
      </c>
      <c r="H238" s="18" t="s">
        <v>84</v>
      </c>
      <c r="I238" s="18" t="s">
        <v>85</v>
      </c>
      <c r="J238" s="18">
        <v>5</v>
      </c>
      <c r="K238" s="16">
        <v>219.99</v>
      </c>
      <c r="L238" s="10"/>
      <c r="M238" s="16">
        <v>0</v>
      </c>
      <c r="N238" s="16">
        <v>0</v>
      </c>
      <c r="O238" s="18">
        <v>0</v>
      </c>
      <c r="P238" s="18" t="s">
        <v>71</v>
      </c>
      <c r="Q238" s="18">
        <v>5.398117</v>
      </c>
      <c r="R238" s="10"/>
      <c r="S238" s="16">
        <v>59</v>
      </c>
      <c r="T238" s="16">
        <v>10</v>
      </c>
      <c r="U238" s="18" t="s">
        <v>2123</v>
      </c>
      <c r="V238" s="18" t="s">
        <v>1135</v>
      </c>
      <c r="W238" s="18" t="s">
        <v>2592</v>
      </c>
      <c r="X238" s="13"/>
      <c r="Y238" s="18" t="s">
        <v>255</v>
      </c>
      <c r="Z238" s="18" t="s">
        <v>82</v>
      </c>
      <c r="AA238" s="18" t="s">
        <v>83</v>
      </c>
      <c r="AB238" s="18" t="s">
        <v>84</v>
      </c>
      <c r="AC238" s="18" t="s">
        <v>85</v>
      </c>
      <c r="AD238" s="18">
        <v>434.98</v>
      </c>
      <c r="AE238" s="18">
        <v>1</v>
      </c>
      <c r="AF238" s="18">
        <v>1</v>
      </c>
      <c r="AG238" s="18">
        <v>0</v>
      </c>
      <c r="AH238" s="18">
        <v>1</v>
      </c>
      <c r="AI238" s="18">
        <v>0</v>
      </c>
      <c r="AJ238" s="18">
        <v>0</v>
      </c>
      <c r="AK238" s="18">
        <v>0</v>
      </c>
      <c r="AL238" s="18">
        <v>0</v>
      </c>
      <c r="AM238" s="18">
        <v>0</v>
      </c>
      <c r="AN238" s="18">
        <v>0</v>
      </c>
      <c r="AO238" s="18">
        <v>0</v>
      </c>
      <c r="AP238" s="18">
        <v>0</v>
      </c>
      <c r="AQ238" s="18">
        <v>0</v>
      </c>
      <c r="AR238" s="18">
        <v>0</v>
      </c>
      <c r="AS238" s="18">
        <v>0</v>
      </c>
      <c r="AT238" s="18">
        <v>1</v>
      </c>
      <c r="AU238" s="18">
        <v>0</v>
      </c>
      <c r="AV238" s="18">
        <v>0</v>
      </c>
      <c r="AW238" s="18">
        <v>1</v>
      </c>
      <c r="AX238" s="18">
        <v>0</v>
      </c>
      <c r="AY238" s="13"/>
      <c r="AZ238" s="18">
        <v>1</v>
      </c>
      <c r="BA238" s="18">
        <v>2</v>
      </c>
      <c r="BB238" s="18">
        <v>49.5</v>
      </c>
      <c r="BC238" s="18" t="s">
        <v>1137</v>
      </c>
      <c r="BD238" s="18" t="s">
        <v>286</v>
      </c>
      <c r="BE238" s="18" t="s">
        <v>287</v>
      </c>
      <c r="BF238" s="18" t="s">
        <v>77</v>
      </c>
      <c r="BG238" s="18">
        <v>1</v>
      </c>
      <c r="BH238" s="18">
        <v>20</v>
      </c>
      <c r="BI238" s="18">
        <v>0.0476</v>
      </c>
      <c r="BJ238" s="18">
        <v>1</v>
      </c>
      <c r="BK238" s="18">
        <v>179</v>
      </c>
      <c r="BL238" s="18">
        <v>51</v>
      </c>
      <c r="BM238" s="13">
        <f t="shared" si="0"/>
        <v>12979.41</v>
      </c>
    </row>
    <row r="239" customHeight="1" spans="1:65">
      <c r="A239" s="18" t="s">
        <v>1143</v>
      </c>
      <c r="B239" s="18" t="s">
        <v>1144</v>
      </c>
      <c r="C239" s="13"/>
      <c r="D239" s="13"/>
      <c r="E239" s="18" t="s">
        <v>1145</v>
      </c>
      <c r="F239" s="18" t="s">
        <v>240</v>
      </c>
      <c r="G239" s="18" t="s">
        <v>83</v>
      </c>
      <c r="H239" s="18" t="s">
        <v>84</v>
      </c>
      <c r="I239" s="18" t="s">
        <v>153</v>
      </c>
      <c r="J239" s="18">
        <v>2</v>
      </c>
      <c r="K239" s="16">
        <v>159</v>
      </c>
      <c r="L239" s="10"/>
      <c r="M239" s="16">
        <v>0</v>
      </c>
      <c r="N239" s="16">
        <v>0</v>
      </c>
      <c r="O239" s="18">
        <v>0</v>
      </c>
      <c r="P239" s="18" t="s">
        <v>95</v>
      </c>
      <c r="Q239" s="18">
        <v>5.075174</v>
      </c>
      <c r="R239" s="16">
        <v>9.94</v>
      </c>
      <c r="S239" s="10"/>
      <c r="T239" s="10"/>
      <c r="U239" s="18" t="s">
        <v>1143</v>
      </c>
      <c r="V239" s="18" t="s">
        <v>1144</v>
      </c>
      <c r="W239" s="13"/>
      <c r="X239" s="13"/>
      <c r="Y239" s="18" t="s">
        <v>2593</v>
      </c>
      <c r="Z239" s="18" t="s">
        <v>240</v>
      </c>
      <c r="AA239" s="18" t="s">
        <v>83</v>
      </c>
      <c r="AB239" s="18" t="s">
        <v>84</v>
      </c>
      <c r="AC239" s="18" t="s">
        <v>153</v>
      </c>
      <c r="AD239" s="18">
        <v>316</v>
      </c>
      <c r="AE239" s="18">
        <v>0</v>
      </c>
      <c r="AF239" s="18">
        <v>0</v>
      </c>
      <c r="AG239" s="18">
        <v>0</v>
      </c>
      <c r="AH239" s="18">
        <v>0</v>
      </c>
      <c r="AI239" s="18">
        <v>0</v>
      </c>
      <c r="AJ239" s="18">
        <v>0</v>
      </c>
      <c r="AK239" s="18">
        <v>0</v>
      </c>
      <c r="AL239" s="18">
        <v>0</v>
      </c>
      <c r="AM239" s="18">
        <v>0</v>
      </c>
      <c r="AN239" s="18">
        <v>0</v>
      </c>
      <c r="AO239" s="18">
        <v>0</v>
      </c>
      <c r="AP239" s="18">
        <v>0</v>
      </c>
      <c r="AQ239" s="18">
        <v>0</v>
      </c>
      <c r="AR239" s="18">
        <v>0</v>
      </c>
      <c r="AS239" s="18">
        <v>0</v>
      </c>
      <c r="AT239" s="18">
        <v>0</v>
      </c>
      <c r="AU239" s="18">
        <v>0</v>
      </c>
      <c r="AV239" s="18">
        <v>0</v>
      </c>
      <c r="AW239" s="18">
        <v>1</v>
      </c>
      <c r="AX239" s="18">
        <v>0</v>
      </c>
      <c r="AY239" s="18">
        <v>16</v>
      </c>
      <c r="AZ239" s="18">
        <v>1</v>
      </c>
      <c r="BA239" s="18">
        <v>0</v>
      </c>
      <c r="BB239" s="18">
        <v>0</v>
      </c>
      <c r="BC239" s="18" t="s">
        <v>1146</v>
      </c>
      <c r="BD239" s="18" t="s">
        <v>1147</v>
      </c>
      <c r="BE239" s="18" t="s">
        <v>1148</v>
      </c>
      <c r="BF239" s="18" t="s">
        <v>77</v>
      </c>
      <c r="BG239" s="18">
        <v>168</v>
      </c>
      <c r="BH239" s="18">
        <v>11</v>
      </c>
      <c r="BI239" s="18">
        <v>0.9385</v>
      </c>
      <c r="BJ239" s="18">
        <v>0</v>
      </c>
      <c r="BK239" s="13"/>
      <c r="BL239" s="13"/>
      <c r="BM239" s="13">
        <f t="shared" si="0"/>
        <v>0</v>
      </c>
    </row>
    <row r="240" customHeight="1" spans="1:65">
      <c r="A240" s="18" t="s">
        <v>1151</v>
      </c>
      <c r="B240" s="18" t="s">
        <v>125</v>
      </c>
      <c r="C240" s="13"/>
      <c r="D240" s="13"/>
      <c r="E240" s="18" t="s">
        <v>1152</v>
      </c>
      <c r="F240" s="18" t="s">
        <v>276</v>
      </c>
      <c r="G240" s="18" t="s">
        <v>117</v>
      </c>
      <c r="H240" s="18" t="s">
        <v>138</v>
      </c>
      <c r="I240" s="18" t="s">
        <v>85</v>
      </c>
      <c r="J240" s="18">
        <v>5</v>
      </c>
      <c r="K240" s="16">
        <v>8.99</v>
      </c>
      <c r="L240" s="10"/>
      <c r="M240" s="16">
        <v>0</v>
      </c>
      <c r="N240" s="16">
        <v>0</v>
      </c>
      <c r="O240" s="18">
        <v>0</v>
      </c>
      <c r="P240" s="18" t="s">
        <v>133</v>
      </c>
      <c r="Q240" s="18">
        <v>2.301585</v>
      </c>
      <c r="R240" s="10"/>
      <c r="S240" s="16">
        <v>163</v>
      </c>
      <c r="T240" s="16">
        <v>10</v>
      </c>
      <c r="U240" s="18" t="s">
        <v>2594</v>
      </c>
      <c r="V240" s="18" t="s">
        <v>125</v>
      </c>
      <c r="W240" s="13"/>
      <c r="X240" s="13"/>
      <c r="Y240" s="18" t="s">
        <v>1152</v>
      </c>
      <c r="Z240" s="19" t="s">
        <v>276</v>
      </c>
      <c r="AA240" s="18" t="s">
        <v>117</v>
      </c>
      <c r="AB240" s="18" t="s">
        <v>138</v>
      </c>
      <c r="AC240" s="18" t="s">
        <v>85</v>
      </c>
      <c r="AD240" s="18">
        <v>12.98</v>
      </c>
      <c r="AE240" s="18">
        <v>1</v>
      </c>
      <c r="AF240" s="18">
        <v>1</v>
      </c>
      <c r="AG240" s="18">
        <v>1</v>
      </c>
      <c r="AH240" s="18">
        <v>0</v>
      </c>
      <c r="AI240" s="18">
        <v>0</v>
      </c>
      <c r="AJ240" s="18">
        <v>0</v>
      </c>
      <c r="AK240" s="18">
        <v>0</v>
      </c>
      <c r="AL240" s="18">
        <v>0</v>
      </c>
      <c r="AM240" s="18">
        <v>0</v>
      </c>
      <c r="AN240" s="18">
        <v>0</v>
      </c>
      <c r="AO240" s="18">
        <v>0</v>
      </c>
      <c r="AP240" s="18">
        <v>0</v>
      </c>
      <c r="AQ240" s="18">
        <v>0</v>
      </c>
      <c r="AR240" s="18">
        <v>0</v>
      </c>
      <c r="AS240" s="18">
        <v>0</v>
      </c>
      <c r="AT240" s="18">
        <v>0</v>
      </c>
      <c r="AU240" s="18">
        <v>0</v>
      </c>
      <c r="AV240" s="18">
        <v>0</v>
      </c>
      <c r="AW240" s="18">
        <v>0</v>
      </c>
      <c r="AX240" s="18">
        <v>0</v>
      </c>
      <c r="AY240" s="13"/>
      <c r="AZ240" s="18">
        <v>1</v>
      </c>
      <c r="BA240" s="18">
        <v>1</v>
      </c>
      <c r="BB240" s="18">
        <v>65.47</v>
      </c>
      <c r="BC240" s="18" t="s">
        <v>1153</v>
      </c>
      <c r="BD240" s="18" t="s">
        <v>97</v>
      </c>
      <c r="BE240" s="18" t="s">
        <v>98</v>
      </c>
      <c r="BF240" s="18" t="s">
        <v>77</v>
      </c>
      <c r="BG240" s="18">
        <v>1</v>
      </c>
      <c r="BH240" s="18">
        <v>28</v>
      </c>
      <c r="BI240" s="18">
        <v>0.0345</v>
      </c>
      <c r="BJ240" s="18">
        <v>1</v>
      </c>
      <c r="BK240" s="18">
        <v>27</v>
      </c>
      <c r="BL240" s="18">
        <v>92.6</v>
      </c>
      <c r="BM240" s="13">
        <f t="shared" si="0"/>
        <v>1465.37</v>
      </c>
    </row>
    <row r="241" customHeight="1" spans="1:65">
      <c r="A241" s="18" t="s">
        <v>1155</v>
      </c>
      <c r="B241" s="18" t="s">
        <v>901</v>
      </c>
      <c r="C241" s="13"/>
      <c r="D241" s="13"/>
      <c r="E241" s="18" t="s">
        <v>81</v>
      </c>
      <c r="F241" s="18" t="s">
        <v>82</v>
      </c>
      <c r="G241" s="18" t="s">
        <v>901</v>
      </c>
      <c r="H241" s="18" t="s">
        <v>107</v>
      </c>
      <c r="I241" s="18" t="s">
        <v>203</v>
      </c>
      <c r="J241" s="18">
        <v>4</v>
      </c>
      <c r="K241" s="16">
        <v>159.42</v>
      </c>
      <c r="L241" s="16">
        <v>370.85</v>
      </c>
      <c r="M241" s="16">
        <v>57.01</v>
      </c>
      <c r="N241" s="16">
        <v>211.43</v>
      </c>
      <c r="O241" s="18">
        <v>1</v>
      </c>
      <c r="P241" s="18" t="s">
        <v>95</v>
      </c>
      <c r="Q241" s="18">
        <v>5.077795</v>
      </c>
      <c r="R241" s="10"/>
      <c r="S241" s="16">
        <v>136</v>
      </c>
      <c r="T241" s="16">
        <v>8</v>
      </c>
      <c r="U241" s="18" t="s">
        <v>2595</v>
      </c>
      <c r="V241" s="18" t="s">
        <v>901</v>
      </c>
      <c r="W241" s="13"/>
      <c r="X241" s="13"/>
      <c r="Y241" s="18" t="s">
        <v>81</v>
      </c>
      <c r="Z241" s="18" t="s">
        <v>82</v>
      </c>
      <c r="AA241" s="18" t="s">
        <v>901</v>
      </c>
      <c r="AB241" s="18" t="s">
        <v>107</v>
      </c>
      <c r="AC241" s="18" t="s">
        <v>203</v>
      </c>
      <c r="AD241" s="18">
        <v>116.670666666667</v>
      </c>
      <c r="AE241" s="18">
        <v>0</v>
      </c>
      <c r="AF241" s="18">
        <v>0</v>
      </c>
      <c r="AG241" s="18">
        <v>1</v>
      </c>
      <c r="AH241" s="18">
        <v>1</v>
      </c>
      <c r="AI241" s="18">
        <v>0</v>
      </c>
      <c r="AJ241" s="18">
        <v>0</v>
      </c>
      <c r="AK241" s="18">
        <v>0</v>
      </c>
      <c r="AL241" s="18">
        <v>0</v>
      </c>
      <c r="AM241" s="18">
        <v>0</v>
      </c>
      <c r="AN241" s="18">
        <v>0</v>
      </c>
      <c r="AO241" s="18">
        <v>0</v>
      </c>
      <c r="AP241" s="18">
        <v>0</v>
      </c>
      <c r="AQ241" s="18">
        <v>0</v>
      </c>
      <c r="AR241" s="18">
        <v>0</v>
      </c>
      <c r="AS241" s="18">
        <v>0</v>
      </c>
      <c r="AT241" s="18">
        <v>1</v>
      </c>
      <c r="AU241" s="18">
        <v>0</v>
      </c>
      <c r="AV241" s="18">
        <v>0</v>
      </c>
      <c r="AW241" s="18">
        <v>0</v>
      </c>
      <c r="AX241" s="18">
        <v>0</v>
      </c>
      <c r="AY241" s="13"/>
      <c r="AZ241" s="18">
        <v>1</v>
      </c>
      <c r="BA241" s="18">
        <v>1</v>
      </c>
      <c r="BB241" s="18">
        <v>84.55</v>
      </c>
      <c r="BC241" s="18" t="s">
        <v>1156</v>
      </c>
      <c r="BD241" s="18" t="s">
        <v>169</v>
      </c>
      <c r="BE241" s="18" t="s">
        <v>113</v>
      </c>
      <c r="BF241" s="18" t="s">
        <v>77</v>
      </c>
      <c r="BG241" s="18">
        <v>168</v>
      </c>
      <c r="BH241" s="18">
        <v>13</v>
      </c>
      <c r="BI241" s="18">
        <v>0.9282</v>
      </c>
      <c r="BJ241" s="18">
        <v>0</v>
      </c>
      <c r="BK241" s="18">
        <v>4</v>
      </c>
      <c r="BL241" s="18">
        <v>98.9</v>
      </c>
      <c r="BM241" s="13">
        <f t="shared" si="0"/>
        <v>21681.12</v>
      </c>
    </row>
    <row r="242" customHeight="1" spans="1:65">
      <c r="A242" s="18" t="s">
        <v>2121</v>
      </c>
      <c r="B242" s="18" t="s">
        <v>195</v>
      </c>
      <c r="C242" s="13"/>
      <c r="D242" s="13"/>
      <c r="E242" s="18" t="s">
        <v>122</v>
      </c>
      <c r="F242" s="18" t="s">
        <v>82</v>
      </c>
      <c r="G242" s="18" t="s">
        <v>83</v>
      </c>
      <c r="H242" s="18" t="s">
        <v>84</v>
      </c>
      <c r="I242" s="18" t="s">
        <v>203</v>
      </c>
      <c r="J242" s="18">
        <v>4</v>
      </c>
      <c r="K242" s="16">
        <v>67.68</v>
      </c>
      <c r="L242" s="16">
        <v>139.35</v>
      </c>
      <c r="M242" s="16">
        <v>51.43</v>
      </c>
      <c r="N242" s="16">
        <v>71.67</v>
      </c>
      <c r="O242" s="18">
        <v>1</v>
      </c>
      <c r="P242" s="18" t="s">
        <v>86</v>
      </c>
      <c r="Q242" s="18">
        <v>4.229458</v>
      </c>
      <c r="R242" s="10"/>
      <c r="S242" s="16">
        <v>80</v>
      </c>
      <c r="T242" s="16">
        <v>8</v>
      </c>
      <c r="U242" s="18" t="s">
        <v>2121</v>
      </c>
      <c r="V242" s="18" t="s">
        <v>195</v>
      </c>
      <c r="W242" s="13"/>
      <c r="X242" s="13"/>
      <c r="Y242" s="18" t="s">
        <v>122</v>
      </c>
      <c r="Z242" s="18" t="s">
        <v>82</v>
      </c>
      <c r="AA242" s="18" t="s">
        <v>83</v>
      </c>
      <c r="AB242" s="18" t="s">
        <v>84</v>
      </c>
      <c r="AC242" s="18" t="s">
        <v>203</v>
      </c>
      <c r="AD242" s="18">
        <v>46.76</v>
      </c>
      <c r="AE242" s="18">
        <v>0</v>
      </c>
      <c r="AF242" s="18">
        <v>0</v>
      </c>
      <c r="AG242" s="18">
        <v>1</v>
      </c>
      <c r="AH242" s="18">
        <v>1</v>
      </c>
      <c r="AI242" s="18">
        <v>0</v>
      </c>
      <c r="AJ242" s="18">
        <v>0</v>
      </c>
      <c r="AK242" s="18">
        <v>0</v>
      </c>
      <c r="AL242" s="18">
        <v>0</v>
      </c>
      <c r="AM242" s="18">
        <v>0</v>
      </c>
      <c r="AN242" s="18">
        <v>0</v>
      </c>
      <c r="AO242" s="18">
        <v>0</v>
      </c>
      <c r="AP242" s="18">
        <v>0</v>
      </c>
      <c r="AQ242" s="18">
        <v>0</v>
      </c>
      <c r="AR242" s="18">
        <v>0</v>
      </c>
      <c r="AS242" s="18">
        <v>1</v>
      </c>
      <c r="AT242" s="18">
        <v>0</v>
      </c>
      <c r="AU242" s="18">
        <v>0</v>
      </c>
      <c r="AV242" s="18">
        <v>0</v>
      </c>
      <c r="AW242" s="18">
        <v>0</v>
      </c>
      <c r="AX242" s="18">
        <v>0</v>
      </c>
      <c r="AY242" s="13"/>
      <c r="AZ242" s="18">
        <v>1</v>
      </c>
      <c r="BA242" s="18">
        <v>1</v>
      </c>
      <c r="BB242" s="18">
        <v>81.64</v>
      </c>
      <c r="BC242" s="18" t="s">
        <v>1156</v>
      </c>
      <c r="BD242" s="18" t="s">
        <v>169</v>
      </c>
      <c r="BE242" s="18" t="s">
        <v>113</v>
      </c>
      <c r="BF242" s="18" t="s">
        <v>77</v>
      </c>
      <c r="BG242" s="18">
        <v>168</v>
      </c>
      <c r="BH242" s="18">
        <v>13</v>
      </c>
      <c r="BI242" s="18">
        <v>0.9282</v>
      </c>
      <c r="BJ242" s="18">
        <v>0</v>
      </c>
      <c r="BK242" s="18">
        <v>2</v>
      </c>
      <c r="BL242" s="18">
        <v>99.5</v>
      </c>
      <c r="BM242" s="13">
        <f t="shared" si="0"/>
        <v>5414.4</v>
      </c>
    </row>
    <row r="243" customHeight="1" spans="1:65">
      <c r="A243" s="18" t="s">
        <v>2176</v>
      </c>
      <c r="B243" s="18" t="s">
        <v>195</v>
      </c>
      <c r="C243" s="13"/>
      <c r="D243" s="13"/>
      <c r="E243" s="18" t="s">
        <v>81</v>
      </c>
      <c r="F243" s="18" t="s">
        <v>82</v>
      </c>
      <c r="G243" s="18" t="s">
        <v>83</v>
      </c>
      <c r="H243" s="18" t="s">
        <v>84</v>
      </c>
      <c r="I243" s="18" t="s">
        <v>203</v>
      </c>
      <c r="J243" s="18">
        <v>4</v>
      </c>
      <c r="K243" s="16">
        <v>109.77</v>
      </c>
      <c r="L243" s="16">
        <v>229.55</v>
      </c>
      <c r="M243" s="16">
        <v>52.18</v>
      </c>
      <c r="N243" s="16">
        <v>119.78</v>
      </c>
      <c r="O243" s="18">
        <v>1</v>
      </c>
      <c r="P243" s="18" t="s">
        <v>95</v>
      </c>
      <c r="Q243" s="18">
        <v>4.707456</v>
      </c>
      <c r="R243" s="10"/>
      <c r="S243" s="16">
        <v>13</v>
      </c>
      <c r="T243" s="16">
        <v>8</v>
      </c>
      <c r="U243" s="18" t="s">
        <v>2176</v>
      </c>
      <c r="V243" s="18" t="s">
        <v>195</v>
      </c>
      <c r="W243" s="13"/>
      <c r="X243" s="13"/>
      <c r="Y243" s="18" t="s">
        <v>81</v>
      </c>
      <c r="Z243" s="18" t="s">
        <v>82</v>
      </c>
      <c r="AA243" s="18" t="s">
        <v>83</v>
      </c>
      <c r="AB243" s="18" t="s">
        <v>84</v>
      </c>
      <c r="AC243" s="18" t="s">
        <v>203</v>
      </c>
      <c r="AD243" s="18">
        <v>69.8126666666667</v>
      </c>
      <c r="AE243" s="18">
        <v>0</v>
      </c>
      <c r="AF243" s="18">
        <v>0</v>
      </c>
      <c r="AG243" s="18">
        <v>0</v>
      </c>
      <c r="AH243" s="18">
        <v>1</v>
      </c>
      <c r="AI243" s="18">
        <v>0</v>
      </c>
      <c r="AJ243" s="18">
        <v>0</v>
      </c>
      <c r="AK243" s="18">
        <v>0</v>
      </c>
      <c r="AL243" s="18">
        <v>0</v>
      </c>
      <c r="AM243" s="18">
        <v>0</v>
      </c>
      <c r="AN243" s="18">
        <v>0</v>
      </c>
      <c r="AO243" s="18">
        <v>0</v>
      </c>
      <c r="AP243" s="18">
        <v>0</v>
      </c>
      <c r="AQ243" s="18">
        <v>0</v>
      </c>
      <c r="AR243" s="18">
        <v>0</v>
      </c>
      <c r="AS243" s="18">
        <v>0</v>
      </c>
      <c r="AT243" s="18">
        <v>1</v>
      </c>
      <c r="AU243" s="18">
        <v>0</v>
      </c>
      <c r="AV243" s="18">
        <v>0</v>
      </c>
      <c r="AW243" s="18">
        <v>0</v>
      </c>
      <c r="AX243" s="18">
        <v>0</v>
      </c>
      <c r="AY243" s="13"/>
      <c r="AZ243" s="18">
        <v>1</v>
      </c>
      <c r="BA243" s="18">
        <v>1</v>
      </c>
      <c r="BB243" s="18">
        <v>70.26</v>
      </c>
      <c r="BC243" s="18" t="s">
        <v>1156</v>
      </c>
      <c r="BD243" s="18" t="s">
        <v>916</v>
      </c>
      <c r="BE243" s="18" t="s">
        <v>128</v>
      </c>
      <c r="BF243" s="18" t="s">
        <v>77</v>
      </c>
      <c r="BG243" s="18">
        <v>168</v>
      </c>
      <c r="BH243" s="18">
        <v>13</v>
      </c>
      <c r="BI243" s="18">
        <v>0.9282</v>
      </c>
      <c r="BJ243" s="18">
        <v>0</v>
      </c>
      <c r="BK243" s="18">
        <v>2</v>
      </c>
      <c r="BL243" s="18">
        <v>99.5</v>
      </c>
      <c r="BM243" s="13">
        <f t="shared" si="0"/>
        <v>1427.01</v>
      </c>
    </row>
    <row r="244" customHeight="1" spans="1:65">
      <c r="A244" s="18" t="s">
        <v>1171</v>
      </c>
      <c r="B244" s="18" t="s">
        <v>548</v>
      </c>
      <c r="C244" s="13"/>
      <c r="D244" s="13"/>
      <c r="E244" s="18" t="s">
        <v>81</v>
      </c>
      <c r="F244" s="18" t="s">
        <v>160</v>
      </c>
      <c r="G244" s="18" t="s">
        <v>83</v>
      </c>
      <c r="H244" s="18" t="s">
        <v>84</v>
      </c>
      <c r="I244" s="18" t="s">
        <v>85</v>
      </c>
      <c r="J244" s="18">
        <v>5</v>
      </c>
      <c r="K244" s="16">
        <v>26.59</v>
      </c>
      <c r="L244" s="16">
        <v>27.99</v>
      </c>
      <c r="M244" s="16">
        <v>5</v>
      </c>
      <c r="N244" s="16">
        <v>1.4</v>
      </c>
      <c r="O244" s="18">
        <v>1</v>
      </c>
      <c r="P244" s="18" t="s">
        <v>86</v>
      </c>
      <c r="Q244" s="18">
        <v>3.317453</v>
      </c>
      <c r="R244" s="10"/>
      <c r="S244" s="16">
        <v>1</v>
      </c>
      <c r="T244" s="16">
        <v>10</v>
      </c>
      <c r="U244" s="18" t="s">
        <v>1171</v>
      </c>
      <c r="V244" s="18" t="s">
        <v>548</v>
      </c>
      <c r="W244" s="13"/>
      <c r="X244" s="13"/>
      <c r="Y244" s="18" t="s">
        <v>81</v>
      </c>
      <c r="Z244" s="18" t="s">
        <v>160</v>
      </c>
      <c r="AA244" s="18" t="s">
        <v>83</v>
      </c>
      <c r="AB244" s="18" t="s">
        <v>84</v>
      </c>
      <c r="AC244" s="18" t="s">
        <v>85</v>
      </c>
      <c r="AD244" s="18">
        <v>-0.692666666666621</v>
      </c>
      <c r="AE244" s="18">
        <v>1</v>
      </c>
      <c r="AF244" s="18">
        <v>0</v>
      </c>
      <c r="AG244" s="18">
        <v>0</v>
      </c>
      <c r="AH244" s="18">
        <v>1</v>
      </c>
      <c r="AI244" s="18">
        <v>0</v>
      </c>
      <c r="AJ244" s="18">
        <v>0</v>
      </c>
      <c r="AK244" s="18">
        <v>0</v>
      </c>
      <c r="AL244" s="18">
        <v>0</v>
      </c>
      <c r="AM244" s="18">
        <v>0</v>
      </c>
      <c r="AN244" s="18">
        <v>0</v>
      </c>
      <c r="AO244" s="18">
        <v>0</v>
      </c>
      <c r="AP244" s="18">
        <v>0</v>
      </c>
      <c r="AQ244" s="18">
        <v>0</v>
      </c>
      <c r="AR244" s="18">
        <v>0</v>
      </c>
      <c r="AS244" s="18">
        <v>0</v>
      </c>
      <c r="AT244" s="18">
        <v>1</v>
      </c>
      <c r="AU244" s="18">
        <v>0</v>
      </c>
      <c r="AV244" s="18">
        <v>0</v>
      </c>
      <c r="AW244" s="18">
        <v>1</v>
      </c>
      <c r="AX244" s="18">
        <v>0</v>
      </c>
      <c r="AY244" s="13"/>
      <c r="AZ244" s="18">
        <v>1</v>
      </c>
      <c r="BA244" s="18">
        <v>2</v>
      </c>
      <c r="BB244" s="18">
        <v>34.48</v>
      </c>
      <c r="BC244" s="18" t="s">
        <v>89</v>
      </c>
      <c r="BD244" s="18" t="s">
        <v>112</v>
      </c>
      <c r="BE244" s="18" t="s">
        <v>113</v>
      </c>
      <c r="BF244" s="18" t="s">
        <v>77</v>
      </c>
      <c r="BG244" s="18">
        <v>162</v>
      </c>
      <c r="BH244" s="18">
        <v>59</v>
      </c>
      <c r="BI244" s="18">
        <v>0.733</v>
      </c>
      <c r="BJ244" s="18">
        <v>0</v>
      </c>
      <c r="BK244" s="18">
        <v>8</v>
      </c>
      <c r="BL244" s="18">
        <v>97.8</v>
      </c>
      <c r="BM244" s="13">
        <f t="shared" si="0"/>
        <v>26.59</v>
      </c>
    </row>
    <row r="245" customHeight="1" spans="1:65">
      <c r="A245" s="18" t="s">
        <v>419</v>
      </c>
      <c r="B245" s="18" t="s">
        <v>100</v>
      </c>
      <c r="C245" s="13"/>
      <c r="D245" s="18">
        <v>769230880102</v>
      </c>
      <c r="E245" s="18" t="s">
        <v>209</v>
      </c>
      <c r="F245" s="18" t="s">
        <v>160</v>
      </c>
      <c r="G245" s="18" t="s">
        <v>83</v>
      </c>
      <c r="H245" s="18" t="s">
        <v>102</v>
      </c>
      <c r="I245" s="18" t="s">
        <v>85</v>
      </c>
      <c r="J245" s="18">
        <v>5</v>
      </c>
      <c r="K245" s="16">
        <v>128.99</v>
      </c>
      <c r="L245" s="10"/>
      <c r="M245" s="16">
        <v>0</v>
      </c>
      <c r="N245" s="16">
        <v>0</v>
      </c>
      <c r="O245" s="18">
        <v>0</v>
      </c>
      <c r="P245" s="18" t="s">
        <v>95</v>
      </c>
      <c r="Q245" s="18">
        <v>4.867458</v>
      </c>
      <c r="R245" s="10"/>
      <c r="S245" s="16">
        <v>66</v>
      </c>
      <c r="T245" s="16">
        <v>10</v>
      </c>
      <c r="U245" s="18" t="s">
        <v>419</v>
      </c>
      <c r="V245" s="18" t="s">
        <v>100</v>
      </c>
      <c r="W245" s="13"/>
      <c r="X245" s="18">
        <v>769230880103</v>
      </c>
      <c r="Y245" s="18" t="s">
        <v>209</v>
      </c>
      <c r="Z245" s="18" t="s">
        <v>160</v>
      </c>
      <c r="AA245" s="18" t="s">
        <v>83</v>
      </c>
      <c r="AB245" s="18" t="s">
        <v>102</v>
      </c>
      <c r="AC245" s="18" t="s">
        <v>85</v>
      </c>
      <c r="AD245" s="18">
        <v>252.98</v>
      </c>
      <c r="AE245" s="18">
        <v>1</v>
      </c>
      <c r="AF245" s="18">
        <v>1</v>
      </c>
      <c r="AG245" s="18">
        <v>0</v>
      </c>
      <c r="AH245" s="18">
        <v>1</v>
      </c>
      <c r="AI245" s="18">
        <v>0</v>
      </c>
      <c r="AJ245" s="18">
        <v>0</v>
      </c>
      <c r="AK245" s="18">
        <v>0</v>
      </c>
      <c r="AL245" s="18">
        <v>0</v>
      </c>
      <c r="AM245" s="18">
        <v>0</v>
      </c>
      <c r="AN245" s="18">
        <v>0</v>
      </c>
      <c r="AO245" s="18">
        <v>0</v>
      </c>
      <c r="AP245" s="18">
        <v>0</v>
      </c>
      <c r="AQ245" s="18">
        <v>0</v>
      </c>
      <c r="AR245" s="18">
        <v>0</v>
      </c>
      <c r="AS245" s="18">
        <v>0</v>
      </c>
      <c r="AT245" s="18">
        <v>1</v>
      </c>
      <c r="AU245" s="18">
        <v>0</v>
      </c>
      <c r="AV245" s="18">
        <v>0</v>
      </c>
      <c r="AW245" s="18">
        <v>1</v>
      </c>
      <c r="AX245" s="18">
        <v>0</v>
      </c>
      <c r="AY245" s="13"/>
      <c r="AZ245" s="18">
        <v>4</v>
      </c>
      <c r="BA245" s="18">
        <v>2</v>
      </c>
      <c r="BB245" s="18">
        <v>64.59</v>
      </c>
      <c r="BC245" s="18" t="s">
        <v>89</v>
      </c>
      <c r="BD245" s="18" t="s">
        <v>420</v>
      </c>
      <c r="BE245" s="18" t="s">
        <v>113</v>
      </c>
      <c r="BF245" s="18" t="s">
        <v>77</v>
      </c>
      <c r="BG245" s="18">
        <v>162</v>
      </c>
      <c r="BH245" s="18">
        <v>59</v>
      </c>
      <c r="BI245" s="18">
        <v>0.733</v>
      </c>
      <c r="BJ245" s="18">
        <v>0</v>
      </c>
      <c r="BK245" s="18">
        <v>2</v>
      </c>
      <c r="BL245" s="18">
        <v>99.5</v>
      </c>
      <c r="BM245" s="13">
        <f t="shared" si="0"/>
        <v>8513.34</v>
      </c>
    </row>
    <row r="246" customHeight="1" spans="1:65">
      <c r="A246" s="18" t="s">
        <v>547</v>
      </c>
      <c r="B246" s="18" t="s">
        <v>548</v>
      </c>
      <c r="C246" s="18" t="s">
        <v>549</v>
      </c>
      <c r="D246" s="18">
        <v>769230879731</v>
      </c>
      <c r="E246" s="18" t="s">
        <v>81</v>
      </c>
      <c r="F246" s="18" t="s">
        <v>160</v>
      </c>
      <c r="G246" s="18" t="s">
        <v>83</v>
      </c>
      <c r="H246" s="18" t="s">
        <v>84</v>
      </c>
      <c r="I246" s="18" t="s">
        <v>85</v>
      </c>
      <c r="J246" s="18">
        <v>5</v>
      </c>
      <c r="K246" s="16">
        <v>109.99</v>
      </c>
      <c r="L246" s="10"/>
      <c r="M246" s="16">
        <v>0</v>
      </c>
      <c r="N246" s="16">
        <v>0</v>
      </c>
      <c r="O246" s="18">
        <v>0</v>
      </c>
      <c r="P246" s="18" t="s">
        <v>95</v>
      </c>
      <c r="Q246" s="18">
        <v>4.70944</v>
      </c>
      <c r="R246" s="10"/>
      <c r="S246" s="16">
        <v>3</v>
      </c>
      <c r="T246" s="16">
        <v>10</v>
      </c>
      <c r="U246" s="18" t="s">
        <v>547</v>
      </c>
      <c r="V246" s="18" t="s">
        <v>548</v>
      </c>
      <c r="W246" s="18" t="s">
        <v>549</v>
      </c>
      <c r="X246" s="18">
        <v>769230879732</v>
      </c>
      <c r="Y246" s="18" t="s">
        <v>81</v>
      </c>
      <c r="Z246" s="18" t="s">
        <v>160</v>
      </c>
      <c r="AA246" s="18" t="s">
        <v>83</v>
      </c>
      <c r="AB246" s="18" t="s">
        <v>84</v>
      </c>
      <c r="AC246" s="18" t="s">
        <v>85</v>
      </c>
      <c r="AD246" s="18">
        <v>214.98</v>
      </c>
      <c r="AE246" s="18">
        <v>1</v>
      </c>
      <c r="AF246" s="18">
        <v>1</v>
      </c>
      <c r="AG246" s="18">
        <v>0</v>
      </c>
      <c r="AH246" s="18">
        <v>1</v>
      </c>
      <c r="AI246" s="18">
        <v>0</v>
      </c>
      <c r="AJ246" s="18">
        <v>0</v>
      </c>
      <c r="AK246" s="18">
        <v>0</v>
      </c>
      <c r="AL246" s="18">
        <v>0</v>
      </c>
      <c r="AM246" s="18">
        <v>0</v>
      </c>
      <c r="AN246" s="18">
        <v>0</v>
      </c>
      <c r="AO246" s="18">
        <v>0</v>
      </c>
      <c r="AP246" s="18">
        <v>0</v>
      </c>
      <c r="AQ246" s="18">
        <v>0</v>
      </c>
      <c r="AR246" s="18">
        <v>0</v>
      </c>
      <c r="AS246" s="18">
        <v>0</v>
      </c>
      <c r="AT246" s="18">
        <v>0</v>
      </c>
      <c r="AU246" s="18">
        <v>0</v>
      </c>
      <c r="AV246" s="18">
        <v>0</v>
      </c>
      <c r="AW246" s="18">
        <v>1</v>
      </c>
      <c r="AX246" s="18">
        <v>0</v>
      </c>
      <c r="AY246" s="13"/>
      <c r="AZ246" s="18">
        <v>4</v>
      </c>
      <c r="BA246" s="18">
        <v>2</v>
      </c>
      <c r="BB246" s="18">
        <v>38.81</v>
      </c>
      <c r="BC246" s="18" t="s">
        <v>89</v>
      </c>
      <c r="BD246" s="18" t="s">
        <v>420</v>
      </c>
      <c r="BE246" s="18" t="s">
        <v>113</v>
      </c>
      <c r="BF246" s="18" t="s">
        <v>77</v>
      </c>
      <c r="BG246" s="18">
        <v>162</v>
      </c>
      <c r="BH246" s="18">
        <v>59</v>
      </c>
      <c r="BI246" s="18">
        <v>0.733</v>
      </c>
      <c r="BJ246" s="18">
        <v>0</v>
      </c>
      <c r="BK246" s="18">
        <v>5</v>
      </c>
      <c r="BL246" s="18">
        <v>98.6</v>
      </c>
      <c r="BM246" s="13">
        <f t="shared" si="0"/>
        <v>329.97</v>
      </c>
    </row>
    <row r="247" customHeight="1" spans="1:65">
      <c r="A247" s="18" t="s">
        <v>99</v>
      </c>
      <c r="B247" s="18" t="s">
        <v>100</v>
      </c>
      <c r="C247" s="18" t="s">
        <v>101</v>
      </c>
      <c r="D247" s="13"/>
      <c r="E247" s="18" t="s">
        <v>81</v>
      </c>
      <c r="F247" s="18" t="s">
        <v>82</v>
      </c>
      <c r="G247" s="18" t="s">
        <v>83</v>
      </c>
      <c r="H247" s="18" t="s">
        <v>102</v>
      </c>
      <c r="I247" s="18" t="s">
        <v>85</v>
      </c>
      <c r="J247" s="18">
        <v>5</v>
      </c>
      <c r="K247" s="16">
        <v>139.99</v>
      </c>
      <c r="L247" s="10"/>
      <c r="M247" s="16">
        <v>0</v>
      </c>
      <c r="N247" s="16">
        <v>0</v>
      </c>
      <c r="O247" s="18">
        <v>0</v>
      </c>
      <c r="P247" s="18" t="s">
        <v>95</v>
      </c>
      <c r="Q247" s="18">
        <v>4.948689</v>
      </c>
      <c r="R247" s="10"/>
      <c r="S247" s="16">
        <v>9</v>
      </c>
      <c r="T247" s="16">
        <v>10</v>
      </c>
      <c r="U247" s="18" t="s">
        <v>99</v>
      </c>
      <c r="V247" s="18" t="s">
        <v>100</v>
      </c>
      <c r="W247" s="18" t="s">
        <v>101</v>
      </c>
      <c r="X247" s="13"/>
      <c r="Y247" s="18" t="s">
        <v>81</v>
      </c>
      <c r="Z247" s="18" t="s">
        <v>82</v>
      </c>
      <c r="AA247" s="18" t="s">
        <v>83</v>
      </c>
      <c r="AB247" s="18" t="s">
        <v>102</v>
      </c>
      <c r="AC247" s="18" t="s">
        <v>85</v>
      </c>
      <c r="AD247" s="18">
        <v>274.98</v>
      </c>
      <c r="AE247" s="18">
        <v>1</v>
      </c>
      <c r="AF247" s="18">
        <v>1</v>
      </c>
      <c r="AG247" s="18">
        <v>0</v>
      </c>
      <c r="AH247" s="18">
        <v>1</v>
      </c>
      <c r="AI247" s="18">
        <v>0</v>
      </c>
      <c r="AJ247" s="18">
        <v>0</v>
      </c>
      <c r="AK247" s="18">
        <v>1</v>
      </c>
      <c r="AL247" s="18">
        <v>0</v>
      </c>
      <c r="AM247" s="18">
        <v>0</v>
      </c>
      <c r="AN247" s="18">
        <v>0</v>
      </c>
      <c r="AO247" s="18">
        <v>0</v>
      </c>
      <c r="AP247" s="18">
        <v>0</v>
      </c>
      <c r="AQ247" s="18">
        <v>0</v>
      </c>
      <c r="AR247" s="18">
        <v>0</v>
      </c>
      <c r="AS247" s="18">
        <v>0</v>
      </c>
      <c r="AT247" s="18">
        <v>1</v>
      </c>
      <c r="AU247" s="18">
        <v>0</v>
      </c>
      <c r="AV247" s="18">
        <v>0</v>
      </c>
      <c r="AW247" s="18">
        <v>0</v>
      </c>
      <c r="AX247" s="18">
        <v>0</v>
      </c>
      <c r="AY247" s="13"/>
      <c r="AZ247" s="18">
        <v>1</v>
      </c>
      <c r="BA247" s="18">
        <v>3</v>
      </c>
      <c r="BB247" s="18">
        <v>48.8</v>
      </c>
      <c r="BC247" s="18" t="s">
        <v>89</v>
      </c>
      <c r="BD247" s="18" t="s">
        <v>90</v>
      </c>
      <c r="BE247" s="18" t="s">
        <v>91</v>
      </c>
      <c r="BF247" s="18" t="s">
        <v>77</v>
      </c>
      <c r="BG247" s="18">
        <v>162</v>
      </c>
      <c r="BH247" s="18">
        <v>59</v>
      </c>
      <c r="BI247" s="18">
        <v>0.733</v>
      </c>
      <c r="BJ247" s="18">
        <v>0</v>
      </c>
      <c r="BK247" s="18">
        <v>2</v>
      </c>
      <c r="BL247" s="18">
        <v>99.5</v>
      </c>
      <c r="BM247" s="13">
        <f t="shared" si="0"/>
        <v>1259.91</v>
      </c>
    </row>
    <row r="248" customHeight="1" spans="1:65">
      <c r="A248" s="18" t="s">
        <v>78</v>
      </c>
      <c r="B248" s="18" t="s">
        <v>79</v>
      </c>
      <c r="C248" s="18" t="s">
        <v>80</v>
      </c>
      <c r="D248" s="13"/>
      <c r="E248" s="18" t="s">
        <v>81</v>
      </c>
      <c r="F248" s="18" t="s">
        <v>82</v>
      </c>
      <c r="G248" s="18" t="s">
        <v>83</v>
      </c>
      <c r="H248" s="18" t="s">
        <v>84</v>
      </c>
      <c r="I248" s="18" t="s">
        <v>85</v>
      </c>
      <c r="J248" s="18">
        <v>5</v>
      </c>
      <c r="K248" s="16">
        <v>69.99</v>
      </c>
      <c r="L248" s="10"/>
      <c r="M248" s="16">
        <v>0</v>
      </c>
      <c r="N248" s="16">
        <v>0</v>
      </c>
      <c r="O248" s="18">
        <v>0</v>
      </c>
      <c r="P248" s="18" t="s">
        <v>86</v>
      </c>
      <c r="Q248" s="18">
        <v>4.262539</v>
      </c>
      <c r="R248" s="10"/>
      <c r="S248" s="16">
        <v>10</v>
      </c>
      <c r="T248" s="16">
        <v>10</v>
      </c>
      <c r="U248" s="18" t="s">
        <v>78</v>
      </c>
      <c r="V248" s="18" t="s">
        <v>79</v>
      </c>
      <c r="W248" s="18" t="s">
        <v>2596</v>
      </c>
      <c r="X248" s="13"/>
      <c r="Y248" s="18" t="s">
        <v>81</v>
      </c>
      <c r="Z248" s="18" t="s">
        <v>82</v>
      </c>
      <c r="AA248" s="18" t="s">
        <v>83</v>
      </c>
      <c r="AB248" s="18" t="s">
        <v>84</v>
      </c>
      <c r="AC248" s="18" t="s">
        <v>85</v>
      </c>
      <c r="AD248" s="18">
        <v>134.98</v>
      </c>
      <c r="AE248" s="18">
        <v>1</v>
      </c>
      <c r="AF248" s="18">
        <v>0</v>
      </c>
      <c r="AG248" s="18">
        <v>0</v>
      </c>
      <c r="AH248" s="18">
        <v>1</v>
      </c>
      <c r="AI248" s="18">
        <v>0</v>
      </c>
      <c r="AJ248" s="18">
        <v>0</v>
      </c>
      <c r="AK248" s="18">
        <v>0</v>
      </c>
      <c r="AL248" s="18">
        <v>0</v>
      </c>
      <c r="AM248" s="18">
        <v>0</v>
      </c>
      <c r="AN248" s="18">
        <v>0</v>
      </c>
      <c r="AO248" s="18">
        <v>0</v>
      </c>
      <c r="AP248" s="18">
        <v>0</v>
      </c>
      <c r="AQ248" s="18">
        <v>0</v>
      </c>
      <c r="AR248" s="18">
        <v>0</v>
      </c>
      <c r="AS248" s="18">
        <v>0</v>
      </c>
      <c r="AT248" s="18">
        <v>1</v>
      </c>
      <c r="AU248" s="18">
        <v>0</v>
      </c>
      <c r="AV248" s="18">
        <v>0</v>
      </c>
      <c r="AW248" s="18">
        <v>1</v>
      </c>
      <c r="AX248" s="18">
        <v>0</v>
      </c>
      <c r="AY248" s="13"/>
      <c r="AZ248" s="18">
        <v>4</v>
      </c>
      <c r="BA248" s="18">
        <v>2</v>
      </c>
      <c r="BB248" s="18">
        <v>49.1</v>
      </c>
      <c r="BC248" s="18" t="s">
        <v>89</v>
      </c>
      <c r="BD248" s="18" t="s">
        <v>90</v>
      </c>
      <c r="BE248" s="18" t="s">
        <v>91</v>
      </c>
      <c r="BF248" s="18" t="s">
        <v>77</v>
      </c>
      <c r="BG248" s="18">
        <v>162</v>
      </c>
      <c r="BH248" s="18">
        <v>59</v>
      </c>
      <c r="BI248" s="18">
        <v>0.733</v>
      </c>
      <c r="BJ248" s="18">
        <v>0</v>
      </c>
      <c r="BK248" s="18">
        <v>11</v>
      </c>
      <c r="BL248" s="18">
        <v>97</v>
      </c>
      <c r="BM248" s="13">
        <f t="shared" si="0"/>
        <v>699.9</v>
      </c>
    </row>
    <row r="249" customHeight="1" spans="1:65">
      <c r="A249" s="18" t="s">
        <v>1312</v>
      </c>
      <c r="B249" s="18" t="s">
        <v>548</v>
      </c>
      <c r="C249" s="13"/>
      <c r="D249" s="18">
        <v>755113382788</v>
      </c>
      <c r="E249" s="18" t="s">
        <v>1313</v>
      </c>
      <c r="F249" s="18" t="s">
        <v>82</v>
      </c>
      <c r="G249" s="18" t="s">
        <v>83</v>
      </c>
      <c r="H249" s="18" t="s">
        <v>84</v>
      </c>
      <c r="I249" s="18" t="s">
        <v>85</v>
      </c>
      <c r="J249" s="18">
        <v>5</v>
      </c>
      <c r="K249" s="16">
        <v>79.99</v>
      </c>
      <c r="L249" s="10"/>
      <c r="M249" s="16">
        <v>0</v>
      </c>
      <c r="N249" s="16">
        <v>0</v>
      </c>
      <c r="O249" s="18">
        <v>0</v>
      </c>
      <c r="P249" s="18" t="s">
        <v>95</v>
      </c>
      <c r="Q249" s="18">
        <v>4.394326</v>
      </c>
      <c r="R249" s="10"/>
      <c r="S249" s="16">
        <v>23</v>
      </c>
      <c r="T249" s="16">
        <v>10</v>
      </c>
      <c r="U249" s="18" t="s">
        <v>1312</v>
      </c>
      <c r="V249" s="18" t="s">
        <v>548</v>
      </c>
      <c r="W249" s="13"/>
      <c r="X249" s="18">
        <v>755113382789</v>
      </c>
      <c r="Y249" s="18" t="s">
        <v>1313</v>
      </c>
      <c r="Z249" s="18" t="s">
        <v>82</v>
      </c>
      <c r="AA249" s="18" t="s">
        <v>83</v>
      </c>
      <c r="AB249" s="18" t="s">
        <v>84</v>
      </c>
      <c r="AC249" s="18" t="s">
        <v>85</v>
      </c>
      <c r="AD249" s="18">
        <v>154.98</v>
      </c>
      <c r="AE249" s="18">
        <v>1</v>
      </c>
      <c r="AF249" s="18">
        <v>1</v>
      </c>
      <c r="AG249" s="18">
        <v>0</v>
      </c>
      <c r="AH249" s="18">
        <v>1</v>
      </c>
      <c r="AI249" s="18">
        <v>0</v>
      </c>
      <c r="AJ249" s="18">
        <v>0</v>
      </c>
      <c r="AK249" s="18">
        <v>0</v>
      </c>
      <c r="AL249" s="18">
        <v>0</v>
      </c>
      <c r="AM249" s="18">
        <v>0</v>
      </c>
      <c r="AN249" s="18">
        <v>0</v>
      </c>
      <c r="AO249" s="18">
        <v>0</v>
      </c>
      <c r="AP249" s="18">
        <v>0</v>
      </c>
      <c r="AQ249" s="18">
        <v>0</v>
      </c>
      <c r="AR249" s="18">
        <v>0</v>
      </c>
      <c r="AS249" s="18">
        <v>0</v>
      </c>
      <c r="AT249" s="18">
        <v>1</v>
      </c>
      <c r="AU249" s="18">
        <v>0</v>
      </c>
      <c r="AV249" s="18">
        <v>0</v>
      </c>
      <c r="AW249" s="18">
        <v>1</v>
      </c>
      <c r="AX249" s="18">
        <v>0</v>
      </c>
      <c r="AY249" s="13"/>
      <c r="AZ249" s="18">
        <v>3</v>
      </c>
      <c r="BA249" s="18">
        <v>2</v>
      </c>
      <c r="BB249" s="18">
        <v>56.8</v>
      </c>
      <c r="BC249" s="18" t="s">
        <v>89</v>
      </c>
      <c r="BD249" s="18" t="s">
        <v>286</v>
      </c>
      <c r="BE249" s="18" t="s">
        <v>423</v>
      </c>
      <c r="BF249" s="18" t="s">
        <v>77</v>
      </c>
      <c r="BG249" s="18">
        <v>162</v>
      </c>
      <c r="BH249" s="18">
        <v>59</v>
      </c>
      <c r="BI249" s="18">
        <v>0.733</v>
      </c>
      <c r="BJ249" s="18">
        <v>0</v>
      </c>
      <c r="BK249" s="18">
        <v>13</v>
      </c>
      <c r="BL249" s="18">
        <v>96.4</v>
      </c>
      <c r="BM249" s="13">
        <f t="shared" si="0"/>
        <v>1839.77</v>
      </c>
    </row>
    <row r="250" customHeight="1" spans="1:65">
      <c r="A250" s="18" t="s">
        <v>201</v>
      </c>
      <c r="B250" s="18" t="s">
        <v>202</v>
      </c>
      <c r="C250" s="13"/>
      <c r="D250" s="13"/>
      <c r="E250" s="18" t="s">
        <v>81</v>
      </c>
      <c r="F250" s="18" t="s">
        <v>82</v>
      </c>
      <c r="G250" s="18" t="s">
        <v>83</v>
      </c>
      <c r="H250" s="18" t="s">
        <v>84</v>
      </c>
      <c r="I250" s="18" t="s">
        <v>203</v>
      </c>
      <c r="J250" s="18">
        <v>4</v>
      </c>
      <c r="K250" s="16">
        <v>39.95</v>
      </c>
      <c r="L250" s="10"/>
      <c r="M250" s="16">
        <v>0</v>
      </c>
      <c r="N250" s="16">
        <v>0</v>
      </c>
      <c r="O250" s="18">
        <v>0</v>
      </c>
      <c r="P250" s="18" t="s">
        <v>86</v>
      </c>
      <c r="Q250" s="18">
        <v>3.712352</v>
      </c>
      <c r="R250" s="10"/>
      <c r="S250" s="16">
        <v>20</v>
      </c>
      <c r="T250" s="16">
        <v>6</v>
      </c>
      <c r="U250" s="18" t="s">
        <v>201</v>
      </c>
      <c r="V250" s="18" t="s">
        <v>202</v>
      </c>
      <c r="W250" s="13"/>
      <c r="X250" s="13"/>
      <c r="Y250" s="18" t="s">
        <v>81</v>
      </c>
      <c r="Z250" s="18" t="s">
        <v>82</v>
      </c>
      <c r="AA250" s="18" t="s">
        <v>83</v>
      </c>
      <c r="AB250" s="18" t="s">
        <v>84</v>
      </c>
      <c r="AC250" s="18" t="s">
        <v>203</v>
      </c>
      <c r="AD250" s="18">
        <v>75.9</v>
      </c>
      <c r="AE250" s="18">
        <v>0</v>
      </c>
      <c r="AF250" s="18">
        <v>0</v>
      </c>
      <c r="AG250" s="18">
        <v>1</v>
      </c>
      <c r="AH250" s="18">
        <v>0</v>
      </c>
      <c r="AI250" s="18">
        <v>0</v>
      </c>
      <c r="AJ250" s="18">
        <v>0</v>
      </c>
      <c r="AK250" s="18">
        <v>0</v>
      </c>
      <c r="AL250" s="18">
        <v>0</v>
      </c>
      <c r="AM250" s="18">
        <v>0</v>
      </c>
      <c r="AN250" s="18">
        <v>0</v>
      </c>
      <c r="AO250" s="18">
        <v>0</v>
      </c>
      <c r="AP250" s="18">
        <v>1</v>
      </c>
      <c r="AQ250" s="18">
        <v>0</v>
      </c>
      <c r="AR250" s="18">
        <v>0</v>
      </c>
      <c r="AS250" s="18">
        <v>0</v>
      </c>
      <c r="AT250" s="18">
        <v>0</v>
      </c>
      <c r="AU250" s="18">
        <v>0</v>
      </c>
      <c r="AV250" s="18">
        <v>0</v>
      </c>
      <c r="AW250" s="18">
        <v>0</v>
      </c>
      <c r="AX250" s="18">
        <v>0</v>
      </c>
      <c r="AY250" s="13"/>
      <c r="AZ250" s="18">
        <v>1</v>
      </c>
      <c r="BA250" s="18">
        <v>0</v>
      </c>
      <c r="BB250" s="18">
        <v>57.08</v>
      </c>
      <c r="BC250" s="18" t="s">
        <v>204</v>
      </c>
      <c r="BD250" s="18" t="s">
        <v>205</v>
      </c>
      <c r="BE250" s="18" t="s">
        <v>206</v>
      </c>
      <c r="BF250" s="18" t="s">
        <v>77</v>
      </c>
      <c r="BG250" s="18">
        <v>162</v>
      </c>
      <c r="BH250" s="18">
        <v>53</v>
      </c>
      <c r="BI250" s="18">
        <v>0.7535</v>
      </c>
      <c r="BJ250" s="18">
        <v>0</v>
      </c>
      <c r="BK250" s="18">
        <v>45</v>
      </c>
      <c r="BL250" s="18">
        <v>87.7</v>
      </c>
      <c r="BM250" s="13">
        <f t="shared" si="0"/>
        <v>799</v>
      </c>
    </row>
    <row r="251" customHeight="1" spans="1:65">
      <c r="A251" s="18" t="s">
        <v>1601</v>
      </c>
      <c r="B251" s="18" t="s">
        <v>202</v>
      </c>
      <c r="C251" s="13"/>
      <c r="D251" s="13"/>
      <c r="E251" s="18" t="s">
        <v>81</v>
      </c>
      <c r="F251" s="18" t="s">
        <v>82</v>
      </c>
      <c r="G251" s="18" t="s">
        <v>83</v>
      </c>
      <c r="H251" s="18" t="s">
        <v>84</v>
      </c>
      <c r="I251" s="18" t="s">
        <v>153</v>
      </c>
      <c r="J251" s="18">
        <v>2</v>
      </c>
      <c r="K251" s="16">
        <v>29.95</v>
      </c>
      <c r="L251" s="10"/>
      <c r="M251" s="16">
        <v>0</v>
      </c>
      <c r="N251" s="16">
        <v>0</v>
      </c>
      <c r="O251" s="18">
        <v>0</v>
      </c>
      <c r="P251" s="18" t="s">
        <v>86</v>
      </c>
      <c r="Q251" s="18">
        <v>3.432373</v>
      </c>
      <c r="R251" s="10"/>
      <c r="S251" s="16">
        <v>17</v>
      </c>
      <c r="T251" s="16">
        <v>2</v>
      </c>
      <c r="U251" s="18" t="s">
        <v>2597</v>
      </c>
      <c r="V251" s="18" t="s">
        <v>202</v>
      </c>
      <c r="W251" s="13"/>
      <c r="X251" s="13"/>
      <c r="Y251" s="18" t="s">
        <v>81</v>
      </c>
      <c r="Z251" s="18" t="s">
        <v>82</v>
      </c>
      <c r="AA251" s="18" t="s">
        <v>83</v>
      </c>
      <c r="AB251" s="18" t="s">
        <v>84</v>
      </c>
      <c r="AC251" s="18" t="s">
        <v>153</v>
      </c>
      <c r="AD251" s="18">
        <v>57.9</v>
      </c>
      <c r="AE251" s="18">
        <v>0</v>
      </c>
      <c r="AF251" s="18">
        <v>1</v>
      </c>
      <c r="AG251" s="18">
        <v>0</v>
      </c>
      <c r="AH251" s="18">
        <v>1</v>
      </c>
      <c r="AI251" s="18">
        <v>0</v>
      </c>
      <c r="AJ251" s="18">
        <v>0</v>
      </c>
      <c r="AK251" s="18">
        <v>0</v>
      </c>
      <c r="AL251" s="18">
        <v>0</v>
      </c>
      <c r="AM251" s="18">
        <v>0</v>
      </c>
      <c r="AN251" s="18">
        <v>0</v>
      </c>
      <c r="AO251" s="18">
        <v>0</v>
      </c>
      <c r="AP251" s="18">
        <v>0</v>
      </c>
      <c r="AQ251" s="18">
        <v>0</v>
      </c>
      <c r="AR251" s="18">
        <v>0</v>
      </c>
      <c r="AS251" s="18">
        <v>0</v>
      </c>
      <c r="AT251" s="18">
        <v>0</v>
      </c>
      <c r="AU251" s="18">
        <v>0</v>
      </c>
      <c r="AV251" s="18">
        <v>0</v>
      </c>
      <c r="AW251" s="18">
        <v>0</v>
      </c>
      <c r="AX251" s="18">
        <v>0</v>
      </c>
      <c r="AY251" s="13"/>
      <c r="AZ251" s="18">
        <v>1</v>
      </c>
      <c r="BA251" s="18">
        <v>1</v>
      </c>
      <c r="BB251" s="18">
        <v>62.1</v>
      </c>
      <c r="BC251" s="18" t="s">
        <v>204</v>
      </c>
      <c r="BD251" s="18" t="s">
        <v>205</v>
      </c>
      <c r="BE251" s="18" t="s">
        <v>206</v>
      </c>
      <c r="BF251" s="18" t="s">
        <v>77</v>
      </c>
      <c r="BG251" s="18">
        <v>162</v>
      </c>
      <c r="BH251" s="18">
        <v>53</v>
      </c>
      <c r="BI251" s="18">
        <v>0.7535</v>
      </c>
      <c r="BJ251" s="18">
        <v>0</v>
      </c>
      <c r="BK251" s="18">
        <v>45</v>
      </c>
      <c r="BL251" s="18">
        <v>87.7</v>
      </c>
      <c r="BM251" s="13">
        <f t="shared" si="0"/>
        <v>509.15</v>
      </c>
    </row>
    <row r="252" customHeight="1" spans="1:65">
      <c r="A252" s="18" t="s">
        <v>591</v>
      </c>
      <c r="B252" s="18" t="s">
        <v>125</v>
      </c>
      <c r="C252" s="13"/>
      <c r="D252" s="13"/>
      <c r="E252" s="18" t="s">
        <v>163</v>
      </c>
      <c r="F252" s="18" t="s">
        <v>68</v>
      </c>
      <c r="G252" s="18" t="s">
        <v>83</v>
      </c>
      <c r="H252" s="18" t="s">
        <v>138</v>
      </c>
      <c r="I252" s="18" t="s">
        <v>203</v>
      </c>
      <c r="J252" s="18">
        <v>4</v>
      </c>
      <c r="K252" s="16">
        <v>149.95</v>
      </c>
      <c r="L252" s="10"/>
      <c r="M252" s="16">
        <v>0</v>
      </c>
      <c r="N252" s="16">
        <v>0</v>
      </c>
      <c r="O252" s="18">
        <v>0</v>
      </c>
      <c r="P252" s="18" t="s">
        <v>95</v>
      </c>
      <c r="Q252" s="18">
        <v>5.016949</v>
      </c>
      <c r="R252" s="10"/>
      <c r="S252" s="16">
        <v>1</v>
      </c>
      <c r="T252" s="16">
        <v>1</v>
      </c>
      <c r="U252" s="18" t="s">
        <v>591</v>
      </c>
      <c r="V252" s="18" t="s">
        <v>125</v>
      </c>
      <c r="W252" s="13"/>
      <c r="X252" s="13"/>
      <c r="Y252" s="18" t="s">
        <v>163</v>
      </c>
      <c r="Z252" s="18" t="s">
        <v>68</v>
      </c>
      <c r="AA252" s="18" t="s">
        <v>83</v>
      </c>
      <c r="AB252" s="18" t="s">
        <v>138</v>
      </c>
      <c r="AC252" s="18" t="s">
        <v>203</v>
      </c>
      <c r="AD252" s="18">
        <v>295.9</v>
      </c>
      <c r="AE252" s="18">
        <v>0</v>
      </c>
      <c r="AF252" s="18">
        <v>0</v>
      </c>
      <c r="AG252" s="18">
        <v>1</v>
      </c>
      <c r="AH252" s="18">
        <v>0</v>
      </c>
      <c r="AI252" s="18">
        <v>0</v>
      </c>
      <c r="AJ252" s="18">
        <v>0</v>
      </c>
      <c r="AK252" s="18">
        <v>0</v>
      </c>
      <c r="AL252" s="18">
        <v>0</v>
      </c>
      <c r="AM252" s="18">
        <v>0</v>
      </c>
      <c r="AN252" s="18">
        <v>0</v>
      </c>
      <c r="AO252" s="18">
        <v>0</v>
      </c>
      <c r="AP252" s="18">
        <v>0</v>
      </c>
      <c r="AQ252" s="18">
        <v>0</v>
      </c>
      <c r="AR252" s="18">
        <v>0</v>
      </c>
      <c r="AS252" s="18">
        <v>0</v>
      </c>
      <c r="AT252" s="18">
        <v>0</v>
      </c>
      <c r="AU252" s="18">
        <v>0</v>
      </c>
      <c r="AV252" s="18">
        <v>0</v>
      </c>
      <c r="AW252" s="18">
        <v>1</v>
      </c>
      <c r="AX252" s="18">
        <v>0</v>
      </c>
      <c r="AY252" s="13"/>
      <c r="AZ252" s="18">
        <v>1</v>
      </c>
      <c r="BA252" s="18">
        <v>0</v>
      </c>
      <c r="BB252" s="18">
        <v>46.31</v>
      </c>
      <c r="BC252" s="18" t="s">
        <v>204</v>
      </c>
      <c r="BD252" s="13"/>
      <c r="BE252" s="13"/>
      <c r="BF252" s="13"/>
      <c r="BG252" s="18">
        <v>0</v>
      </c>
      <c r="BH252" s="18">
        <v>0</v>
      </c>
      <c r="BI252" s="13"/>
      <c r="BJ252" s="18">
        <v>0</v>
      </c>
      <c r="BK252" s="18">
        <v>45</v>
      </c>
      <c r="BL252" s="18">
        <v>87.7</v>
      </c>
      <c r="BM252" s="13">
        <f t="shared" si="0"/>
        <v>149.95</v>
      </c>
    </row>
    <row r="253" customHeight="1" spans="1:65">
      <c r="A253" s="18" t="s">
        <v>1158</v>
      </c>
      <c r="B253" s="18" t="s">
        <v>928</v>
      </c>
      <c r="C253" s="13"/>
      <c r="D253" s="13"/>
      <c r="E253" s="18" t="s">
        <v>1159</v>
      </c>
      <c r="F253" s="18" t="s">
        <v>240</v>
      </c>
      <c r="G253" s="18" t="s">
        <v>83</v>
      </c>
      <c r="H253" s="18" t="s">
        <v>84</v>
      </c>
      <c r="I253" s="18" t="s">
        <v>153</v>
      </c>
      <c r="J253" s="18">
        <v>2</v>
      </c>
      <c r="K253" s="16">
        <v>183.88</v>
      </c>
      <c r="L253" s="16">
        <v>208.95</v>
      </c>
      <c r="M253" s="16">
        <v>12</v>
      </c>
      <c r="N253" s="16">
        <v>25.07</v>
      </c>
      <c r="O253" s="18">
        <v>1</v>
      </c>
      <c r="P253" s="18" t="s">
        <v>95</v>
      </c>
      <c r="Q253" s="18">
        <v>5.219707</v>
      </c>
      <c r="R253" s="16">
        <v>15.32</v>
      </c>
      <c r="S253" s="10"/>
      <c r="T253" s="10"/>
      <c r="U253" s="18" t="s">
        <v>2598</v>
      </c>
      <c r="V253" s="18" t="s">
        <v>928</v>
      </c>
      <c r="W253" s="13"/>
      <c r="X253" s="13"/>
      <c r="Y253" s="18" t="s">
        <v>1159</v>
      </c>
      <c r="Z253" s="18" t="s">
        <v>240</v>
      </c>
      <c r="AA253" s="18" t="s">
        <v>83</v>
      </c>
      <c r="AB253" s="18" t="s">
        <v>84</v>
      </c>
      <c r="AC253" s="18" t="s">
        <v>153</v>
      </c>
      <c r="AD253" s="18">
        <v>4.3119999999998</v>
      </c>
      <c r="AE253" s="18">
        <v>0</v>
      </c>
      <c r="AF253" s="18">
        <v>0</v>
      </c>
      <c r="AG253" s="18">
        <v>0</v>
      </c>
      <c r="AH253" s="18">
        <v>0</v>
      </c>
      <c r="AI253" s="18">
        <v>0</v>
      </c>
      <c r="AJ253" s="18">
        <v>0</v>
      </c>
      <c r="AK253" s="18">
        <v>0</v>
      </c>
      <c r="AL253" s="18">
        <v>0</v>
      </c>
      <c r="AM253" s="18">
        <v>0</v>
      </c>
      <c r="AN253" s="18">
        <v>0</v>
      </c>
      <c r="AO253" s="18">
        <v>0</v>
      </c>
      <c r="AP253" s="18">
        <v>0</v>
      </c>
      <c r="AQ253" s="18">
        <v>0</v>
      </c>
      <c r="AR253" s="18">
        <v>0</v>
      </c>
      <c r="AS253" s="18">
        <v>0</v>
      </c>
      <c r="AT253" s="18">
        <v>0</v>
      </c>
      <c r="AU253" s="18">
        <v>0</v>
      </c>
      <c r="AV253" s="18">
        <v>1</v>
      </c>
      <c r="AW253" s="18">
        <v>0</v>
      </c>
      <c r="AX253" s="18">
        <v>0</v>
      </c>
      <c r="AY253" s="18">
        <v>12</v>
      </c>
      <c r="AZ253" s="18">
        <v>1</v>
      </c>
      <c r="BA253" s="18">
        <v>0</v>
      </c>
      <c r="BB253" s="18">
        <v>32.04</v>
      </c>
      <c r="BC253" s="18" t="s">
        <v>1160</v>
      </c>
      <c r="BD253" s="18" t="s">
        <v>1161</v>
      </c>
      <c r="BE253" s="18" t="s">
        <v>665</v>
      </c>
      <c r="BF253" s="18" t="s">
        <v>77</v>
      </c>
      <c r="BG253" s="18">
        <v>162</v>
      </c>
      <c r="BH253" s="18">
        <v>19</v>
      </c>
      <c r="BI253" s="18">
        <v>0.895</v>
      </c>
      <c r="BJ253" s="18">
        <v>0</v>
      </c>
      <c r="BK253" s="18">
        <v>19</v>
      </c>
      <c r="BL253" s="18">
        <v>94.8</v>
      </c>
      <c r="BM253" s="13">
        <f t="shared" si="0"/>
        <v>0</v>
      </c>
    </row>
    <row r="254" customHeight="1" spans="1:65">
      <c r="A254" s="19" t="s">
        <v>1173</v>
      </c>
      <c r="B254" s="18" t="s">
        <v>1174</v>
      </c>
      <c r="C254" s="18" t="s">
        <v>1175</v>
      </c>
      <c r="D254" s="13"/>
      <c r="E254" s="18" t="s">
        <v>390</v>
      </c>
      <c r="F254" s="18" t="s">
        <v>68</v>
      </c>
      <c r="G254" s="18" t="s">
        <v>83</v>
      </c>
      <c r="H254" s="18" t="s">
        <v>84</v>
      </c>
      <c r="I254" s="18" t="s">
        <v>153</v>
      </c>
      <c r="J254" s="18">
        <v>2</v>
      </c>
      <c r="K254" s="16">
        <v>225</v>
      </c>
      <c r="L254" s="10"/>
      <c r="M254" s="16">
        <v>0</v>
      </c>
      <c r="N254" s="16">
        <v>0</v>
      </c>
      <c r="O254" s="18">
        <v>0</v>
      </c>
      <c r="P254" s="18" t="s">
        <v>71</v>
      </c>
      <c r="Q254" s="18">
        <v>5.420535</v>
      </c>
      <c r="R254" s="16">
        <v>28.12</v>
      </c>
      <c r="S254" s="10"/>
      <c r="T254" s="10"/>
      <c r="U254" s="19" t="s">
        <v>1173</v>
      </c>
      <c r="V254" s="18" t="s">
        <v>1174</v>
      </c>
      <c r="W254" s="18" t="s">
        <v>1175</v>
      </c>
      <c r="X254" s="13"/>
      <c r="Y254" s="18" t="s">
        <v>390</v>
      </c>
      <c r="Z254" s="18" t="s">
        <v>68</v>
      </c>
      <c r="AA254" s="18" t="s">
        <v>83</v>
      </c>
      <c r="AB254" s="18" t="s">
        <v>84</v>
      </c>
      <c r="AC254" s="18" t="s">
        <v>153</v>
      </c>
      <c r="AD254" s="18">
        <v>448</v>
      </c>
      <c r="AE254" s="18">
        <v>0</v>
      </c>
      <c r="AF254" s="18">
        <v>0</v>
      </c>
      <c r="AG254" s="18">
        <v>1</v>
      </c>
      <c r="AH254" s="18">
        <v>0</v>
      </c>
      <c r="AI254" s="18">
        <v>1</v>
      </c>
      <c r="AJ254" s="18">
        <v>0</v>
      </c>
      <c r="AK254" s="18">
        <v>0</v>
      </c>
      <c r="AL254" s="18">
        <v>0</v>
      </c>
      <c r="AM254" s="18">
        <v>0</v>
      </c>
      <c r="AN254" s="18">
        <v>0</v>
      </c>
      <c r="AO254" s="18">
        <v>0</v>
      </c>
      <c r="AP254" s="18">
        <v>0</v>
      </c>
      <c r="AQ254" s="18">
        <v>1</v>
      </c>
      <c r="AR254" s="18">
        <v>0</v>
      </c>
      <c r="AS254" s="18">
        <v>0</v>
      </c>
      <c r="AT254" s="18">
        <v>0</v>
      </c>
      <c r="AU254" s="18">
        <v>0</v>
      </c>
      <c r="AV254" s="18">
        <v>1</v>
      </c>
      <c r="AW254" s="18">
        <v>1</v>
      </c>
      <c r="AX254" s="18">
        <v>0</v>
      </c>
      <c r="AY254" s="18">
        <v>8</v>
      </c>
      <c r="AZ254" s="18">
        <v>1</v>
      </c>
      <c r="BA254" s="18">
        <v>1</v>
      </c>
      <c r="BB254" s="18">
        <v>22.92</v>
      </c>
      <c r="BC254" s="18" t="s">
        <v>1176</v>
      </c>
      <c r="BD254" s="18" t="s">
        <v>1177</v>
      </c>
      <c r="BE254" s="18" t="s">
        <v>166</v>
      </c>
      <c r="BF254" s="18" t="s">
        <v>77</v>
      </c>
      <c r="BG254" s="18">
        <v>168</v>
      </c>
      <c r="BH254" s="18">
        <v>11</v>
      </c>
      <c r="BI254" s="18">
        <v>0.9385</v>
      </c>
      <c r="BJ254" s="18">
        <v>0</v>
      </c>
      <c r="BK254" s="18">
        <v>86</v>
      </c>
      <c r="BL254" s="18">
        <v>76.4</v>
      </c>
      <c r="BM254" s="13">
        <f t="shared" si="0"/>
        <v>0</v>
      </c>
    </row>
    <row r="255" customHeight="1" spans="1:65">
      <c r="A255" s="18" t="s">
        <v>682</v>
      </c>
      <c r="B255" s="18" t="s">
        <v>125</v>
      </c>
      <c r="C255" s="13"/>
      <c r="D255" s="13"/>
      <c r="E255" s="18" t="s">
        <v>81</v>
      </c>
      <c r="F255" s="18" t="s">
        <v>82</v>
      </c>
      <c r="G255" s="18" t="s">
        <v>83</v>
      </c>
      <c r="H255" s="18" t="s">
        <v>138</v>
      </c>
      <c r="I255" s="18" t="s">
        <v>85</v>
      </c>
      <c r="J255" s="18">
        <v>5</v>
      </c>
      <c r="K255" s="16">
        <v>57.68</v>
      </c>
      <c r="L255" s="10"/>
      <c r="M255" s="16">
        <v>0</v>
      </c>
      <c r="N255" s="16">
        <v>0</v>
      </c>
      <c r="O255" s="18">
        <v>0</v>
      </c>
      <c r="P255" s="18" t="s">
        <v>86</v>
      </c>
      <c r="Q255" s="18">
        <v>4.072099</v>
      </c>
      <c r="R255" s="10"/>
      <c r="S255" s="16">
        <v>16</v>
      </c>
      <c r="T255" s="16">
        <v>10</v>
      </c>
      <c r="U255" s="18" t="s">
        <v>682</v>
      </c>
      <c r="V255" s="18" t="s">
        <v>125</v>
      </c>
      <c r="W255" s="13"/>
      <c r="X255" s="13"/>
      <c r="Y255" s="18" t="s">
        <v>81</v>
      </c>
      <c r="Z255" s="18" t="s">
        <v>82</v>
      </c>
      <c r="AA255" s="18" t="s">
        <v>83</v>
      </c>
      <c r="AB255" s="18" t="s">
        <v>138</v>
      </c>
      <c r="AC255" s="18" t="s">
        <v>85</v>
      </c>
      <c r="AD255" s="18">
        <v>110.36</v>
      </c>
      <c r="AE255" s="18">
        <v>1</v>
      </c>
      <c r="AF255" s="18">
        <v>1</v>
      </c>
      <c r="AG255" s="18">
        <v>0</v>
      </c>
      <c r="AH255" s="18">
        <v>1</v>
      </c>
      <c r="AI255" s="18">
        <v>0</v>
      </c>
      <c r="AJ255" s="18">
        <v>0</v>
      </c>
      <c r="AK255" s="18">
        <v>1</v>
      </c>
      <c r="AL255" s="18">
        <v>0</v>
      </c>
      <c r="AM255" s="18">
        <v>0</v>
      </c>
      <c r="AN255" s="18">
        <v>0</v>
      </c>
      <c r="AO255" s="18">
        <v>0</v>
      </c>
      <c r="AP255" s="18">
        <v>0</v>
      </c>
      <c r="AQ255" s="18">
        <v>0</v>
      </c>
      <c r="AR255" s="18">
        <v>0</v>
      </c>
      <c r="AS255" s="18">
        <v>0</v>
      </c>
      <c r="AT255" s="18">
        <v>1</v>
      </c>
      <c r="AU255" s="18">
        <v>0</v>
      </c>
      <c r="AV255" s="18">
        <v>0</v>
      </c>
      <c r="AW255" s="18">
        <v>1</v>
      </c>
      <c r="AX255" s="18">
        <v>0</v>
      </c>
      <c r="AY255" s="13"/>
      <c r="AZ255" s="18">
        <v>1</v>
      </c>
      <c r="BA255" s="18">
        <v>3</v>
      </c>
      <c r="BB255" s="18">
        <v>53.21</v>
      </c>
      <c r="BC255" s="18" t="s">
        <v>1178</v>
      </c>
      <c r="BD255" s="18" t="s">
        <v>741</v>
      </c>
      <c r="BE255" s="18" t="s">
        <v>128</v>
      </c>
      <c r="BF255" s="18" t="s">
        <v>77</v>
      </c>
      <c r="BG255" s="18">
        <v>1</v>
      </c>
      <c r="BH255" s="18">
        <v>28</v>
      </c>
      <c r="BI255" s="18">
        <v>0.0345</v>
      </c>
      <c r="BJ255" s="18">
        <v>1</v>
      </c>
      <c r="BK255" s="18">
        <v>17</v>
      </c>
      <c r="BL255" s="18">
        <v>95.3</v>
      </c>
      <c r="BM255" s="13">
        <f t="shared" si="0"/>
        <v>922.88</v>
      </c>
    </row>
    <row r="256" customHeight="1" spans="1:65">
      <c r="A256" s="18" t="s">
        <v>1179</v>
      </c>
      <c r="B256" s="18" t="s">
        <v>125</v>
      </c>
      <c r="C256" s="13"/>
      <c r="D256" s="13"/>
      <c r="E256" s="18" t="s">
        <v>131</v>
      </c>
      <c r="F256" s="18" t="s">
        <v>132</v>
      </c>
      <c r="G256" s="18" t="s">
        <v>83</v>
      </c>
      <c r="H256" s="18" t="s">
        <v>138</v>
      </c>
      <c r="I256" s="18" t="s">
        <v>85</v>
      </c>
      <c r="J256" s="18">
        <v>5</v>
      </c>
      <c r="K256" s="16">
        <v>6.36</v>
      </c>
      <c r="L256" s="10"/>
      <c r="M256" s="16">
        <v>0</v>
      </c>
      <c r="N256" s="16">
        <v>0</v>
      </c>
      <c r="O256" s="18">
        <v>0</v>
      </c>
      <c r="P256" s="18" t="s">
        <v>133</v>
      </c>
      <c r="Q256" s="18">
        <v>1.99606</v>
      </c>
      <c r="R256" s="10"/>
      <c r="S256" s="16">
        <v>41</v>
      </c>
      <c r="T256" s="16">
        <v>10</v>
      </c>
      <c r="U256" s="18" t="s">
        <v>1179</v>
      </c>
      <c r="V256" s="18" t="s">
        <v>125</v>
      </c>
      <c r="W256" s="13"/>
      <c r="X256" s="13"/>
      <c r="Y256" s="18" t="s">
        <v>131</v>
      </c>
      <c r="Z256" s="18" t="s">
        <v>132</v>
      </c>
      <c r="AA256" s="18" t="s">
        <v>83</v>
      </c>
      <c r="AB256" s="18" t="s">
        <v>138</v>
      </c>
      <c r="AC256" s="18" t="s">
        <v>85</v>
      </c>
      <c r="AD256" s="18">
        <v>7.72</v>
      </c>
      <c r="AE256" s="18">
        <v>0</v>
      </c>
      <c r="AF256" s="18">
        <v>0</v>
      </c>
      <c r="AG256" s="18">
        <v>0</v>
      </c>
      <c r="AH256" s="18">
        <v>0</v>
      </c>
      <c r="AI256" s="18">
        <v>0</v>
      </c>
      <c r="AJ256" s="18">
        <v>0</v>
      </c>
      <c r="AK256" s="18">
        <v>0</v>
      </c>
      <c r="AL256" s="18">
        <v>0</v>
      </c>
      <c r="AM256" s="18">
        <v>0</v>
      </c>
      <c r="AN256" s="18">
        <v>0</v>
      </c>
      <c r="AO256" s="18">
        <v>0</v>
      </c>
      <c r="AP256" s="18">
        <v>0</v>
      </c>
      <c r="AQ256" s="18">
        <v>0</v>
      </c>
      <c r="AR256" s="18">
        <v>0</v>
      </c>
      <c r="AS256" s="18">
        <v>0</v>
      </c>
      <c r="AT256" s="18">
        <v>0</v>
      </c>
      <c r="AU256" s="18">
        <v>0</v>
      </c>
      <c r="AV256" s="18">
        <v>0</v>
      </c>
      <c r="AW256" s="18">
        <v>0</v>
      </c>
      <c r="AX256" s="18">
        <v>0</v>
      </c>
      <c r="AY256" s="13"/>
      <c r="AZ256" s="18">
        <v>1</v>
      </c>
      <c r="BA256" s="18">
        <v>0</v>
      </c>
      <c r="BB256" s="18">
        <v>61.83</v>
      </c>
      <c r="BC256" s="18" t="s">
        <v>1180</v>
      </c>
      <c r="BD256" s="18" t="s">
        <v>135</v>
      </c>
      <c r="BE256" s="18" t="s">
        <v>136</v>
      </c>
      <c r="BF256" s="18" t="s">
        <v>77</v>
      </c>
      <c r="BG256" s="18">
        <v>168</v>
      </c>
      <c r="BH256" s="18">
        <v>18</v>
      </c>
      <c r="BI256" s="18">
        <v>0.9032</v>
      </c>
      <c r="BJ256" s="18">
        <v>0</v>
      </c>
      <c r="BK256" s="18">
        <v>4</v>
      </c>
      <c r="BL256" s="18">
        <v>98.9</v>
      </c>
      <c r="BM256" s="13">
        <f t="shared" si="0"/>
        <v>260.76</v>
      </c>
    </row>
    <row r="257" customHeight="1" spans="1:65">
      <c r="A257" s="18" t="s">
        <v>1181</v>
      </c>
      <c r="B257" s="18" t="s">
        <v>125</v>
      </c>
      <c r="C257" s="13"/>
      <c r="D257" s="13"/>
      <c r="E257" s="18" t="s">
        <v>81</v>
      </c>
      <c r="F257" s="18" t="s">
        <v>82</v>
      </c>
      <c r="G257" s="18" t="s">
        <v>83</v>
      </c>
      <c r="H257" s="18" t="s">
        <v>138</v>
      </c>
      <c r="I257" s="18" t="s">
        <v>85</v>
      </c>
      <c r="J257" s="18">
        <v>5</v>
      </c>
      <c r="K257" s="16">
        <v>25</v>
      </c>
      <c r="L257" s="10"/>
      <c r="M257" s="16">
        <v>0</v>
      </c>
      <c r="N257" s="16">
        <v>0</v>
      </c>
      <c r="O257" s="18">
        <v>0</v>
      </c>
      <c r="P257" s="18" t="s">
        <v>86</v>
      </c>
      <c r="Q257" s="18">
        <v>3.258097</v>
      </c>
      <c r="R257" s="10"/>
      <c r="S257" s="16">
        <v>1</v>
      </c>
      <c r="T257" s="16">
        <v>104</v>
      </c>
      <c r="U257" s="18" t="s">
        <v>1181</v>
      </c>
      <c r="V257" s="18" t="s">
        <v>125</v>
      </c>
      <c r="W257" s="13"/>
      <c r="X257" s="13"/>
      <c r="Y257" s="18" t="s">
        <v>81</v>
      </c>
      <c r="Z257" s="18" t="s">
        <v>82</v>
      </c>
      <c r="AA257" s="18" t="s">
        <v>83</v>
      </c>
      <c r="AB257" s="18" t="s">
        <v>138</v>
      </c>
      <c r="AC257" s="18" t="s">
        <v>85</v>
      </c>
      <c r="AD257" s="18">
        <v>45</v>
      </c>
      <c r="AE257" s="18">
        <v>0</v>
      </c>
      <c r="AF257" s="18">
        <v>0</v>
      </c>
      <c r="AG257" s="18">
        <v>0</v>
      </c>
      <c r="AH257" s="18">
        <v>0</v>
      </c>
      <c r="AI257" s="18">
        <v>0</v>
      </c>
      <c r="AJ257" s="18">
        <v>0</v>
      </c>
      <c r="AK257" s="18">
        <v>0</v>
      </c>
      <c r="AL257" s="18">
        <v>0</v>
      </c>
      <c r="AM257" s="18">
        <v>0</v>
      </c>
      <c r="AN257" s="18">
        <v>0</v>
      </c>
      <c r="AO257" s="18">
        <v>0</v>
      </c>
      <c r="AP257" s="18">
        <v>0</v>
      </c>
      <c r="AQ257" s="18">
        <v>0</v>
      </c>
      <c r="AR257" s="18">
        <v>0</v>
      </c>
      <c r="AS257" s="18">
        <v>0</v>
      </c>
      <c r="AT257" s="18">
        <v>0</v>
      </c>
      <c r="AU257" s="18">
        <v>0</v>
      </c>
      <c r="AV257" s="18">
        <v>0</v>
      </c>
      <c r="AW257" s="18">
        <v>0</v>
      </c>
      <c r="AX257" s="18">
        <v>0</v>
      </c>
      <c r="AY257" s="13"/>
      <c r="AZ257" s="18">
        <v>1</v>
      </c>
      <c r="BA257" s="18">
        <v>0</v>
      </c>
      <c r="BB257" s="18">
        <v>28.58</v>
      </c>
      <c r="BC257" s="18" t="s">
        <v>1182</v>
      </c>
      <c r="BD257" s="18" t="s">
        <v>1183</v>
      </c>
      <c r="BE257" s="18" t="s">
        <v>673</v>
      </c>
      <c r="BF257" s="18" t="s">
        <v>77</v>
      </c>
      <c r="BG257" s="18">
        <v>208</v>
      </c>
      <c r="BH257" s="18">
        <v>11</v>
      </c>
      <c r="BI257" s="18">
        <v>0.9498</v>
      </c>
      <c r="BJ257" s="18">
        <v>0</v>
      </c>
      <c r="BK257" s="18">
        <v>22</v>
      </c>
      <c r="BL257" s="18">
        <v>94</v>
      </c>
      <c r="BM257" s="13">
        <f t="shared" si="0"/>
        <v>25</v>
      </c>
    </row>
    <row r="258" customHeight="1" spans="1:65">
      <c r="A258" s="18" t="s">
        <v>2247</v>
      </c>
      <c r="B258" s="18" t="s">
        <v>245</v>
      </c>
      <c r="C258" s="18" t="s">
        <v>2248</v>
      </c>
      <c r="D258" s="13"/>
      <c r="E258" s="18" t="s">
        <v>2132</v>
      </c>
      <c r="F258" s="18" t="s">
        <v>160</v>
      </c>
      <c r="G258" s="18" t="s">
        <v>83</v>
      </c>
      <c r="H258" s="18" t="s">
        <v>84</v>
      </c>
      <c r="I258" s="18" t="s">
        <v>85</v>
      </c>
      <c r="J258" s="18">
        <v>5</v>
      </c>
      <c r="K258" s="16">
        <v>49.38</v>
      </c>
      <c r="L258" s="16">
        <v>60.96</v>
      </c>
      <c r="M258" s="16">
        <v>19</v>
      </c>
      <c r="N258" s="16">
        <v>11.58</v>
      </c>
      <c r="O258" s="18">
        <v>1</v>
      </c>
      <c r="P258" s="18" t="s">
        <v>86</v>
      </c>
      <c r="Q258" s="18">
        <v>3.919594</v>
      </c>
      <c r="R258" s="16">
        <v>6.17</v>
      </c>
      <c r="S258" s="16">
        <v>78</v>
      </c>
      <c r="T258" s="16">
        <v>10</v>
      </c>
      <c r="U258" s="18" t="s">
        <v>2247</v>
      </c>
      <c r="V258" s="18" t="s">
        <v>245</v>
      </c>
      <c r="W258" s="18" t="s">
        <v>2248</v>
      </c>
      <c r="X258" s="13"/>
      <c r="Y258" s="18" t="s">
        <v>805</v>
      </c>
      <c r="Z258" s="18" t="s">
        <v>160</v>
      </c>
      <c r="AA258" s="18" t="s">
        <v>83</v>
      </c>
      <c r="AB258" s="18" t="s">
        <v>84</v>
      </c>
      <c r="AC258" s="18" t="s">
        <v>85</v>
      </c>
      <c r="AD258" s="18">
        <v>6.95066666666668</v>
      </c>
      <c r="AE258" s="18">
        <v>0</v>
      </c>
      <c r="AF258" s="18">
        <v>0</v>
      </c>
      <c r="AG258" s="18">
        <v>0</v>
      </c>
      <c r="AH258" s="18">
        <v>0</v>
      </c>
      <c r="AI258" s="18">
        <v>0</v>
      </c>
      <c r="AJ258" s="18">
        <v>0</v>
      </c>
      <c r="AK258" s="18">
        <v>0</v>
      </c>
      <c r="AL258" s="18">
        <v>0</v>
      </c>
      <c r="AM258" s="18">
        <v>0</v>
      </c>
      <c r="AN258" s="18">
        <v>0</v>
      </c>
      <c r="AO258" s="18">
        <v>0</v>
      </c>
      <c r="AP258" s="18">
        <v>0</v>
      </c>
      <c r="AQ258" s="18">
        <v>1</v>
      </c>
      <c r="AR258" s="18">
        <v>0</v>
      </c>
      <c r="AS258" s="18">
        <v>0</v>
      </c>
      <c r="AT258" s="18">
        <v>1</v>
      </c>
      <c r="AU258" s="18">
        <v>0</v>
      </c>
      <c r="AV258" s="18">
        <v>1</v>
      </c>
      <c r="AW258" s="18">
        <v>1</v>
      </c>
      <c r="AX258" s="18">
        <v>0</v>
      </c>
      <c r="AY258" s="18">
        <v>8</v>
      </c>
      <c r="AZ258" s="18">
        <v>1</v>
      </c>
      <c r="BA258" s="18">
        <v>2</v>
      </c>
      <c r="BB258" s="18">
        <v>71.01</v>
      </c>
      <c r="BC258" s="18" t="s">
        <v>1186</v>
      </c>
      <c r="BD258" s="18" t="s">
        <v>175</v>
      </c>
      <c r="BE258" s="18" t="s">
        <v>91</v>
      </c>
      <c r="BF258" s="18" t="s">
        <v>77</v>
      </c>
      <c r="BG258" s="18">
        <v>161</v>
      </c>
      <c r="BH258" s="18">
        <v>61</v>
      </c>
      <c r="BI258" s="18">
        <v>0.7252</v>
      </c>
      <c r="BJ258" s="18">
        <v>0</v>
      </c>
      <c r="BK258" s="18">
        <v>2</v>
      </c>
      <c r="BL258" s="18">
        <v>99.5</v>
      </c>
      <c r="BM258" s="13">
        <f t="shared" si="0"/>
        <v>3851.64</v>
      </c>
    </row>
    <row r="259" customHeight="1" spans="1:65">
      <c r="A259" s="18" t="s">
        <v>1184</v>
      </c>
      <c r="B259" s="18" t="s">
        <v>245</v>
      </c>
      <c r="C259" s="18" t="s">
        <v>1185</v>
      </c>
      <c r="D259" s="13"/>
      <c r="E259" s="18" t="s">
        <v>250</v>
      </c>
      <c r="F259" s="18" t="s">
        <v>160</v>
      </c>
      <c r="G259" s="18" t="s">
        <v>83</v>
      </c>
      <c r="H259" s="18" t="s">
        <v>84</v>
      </c>
      <c r="I259" s="18" t="s">
        <v>85</v>
      </c>
      <c r="J259" s="18">
        <v>5</v>
      </c>
      <c r="K259" s="16">
        <v>98.99</v>
      </c>
      <c r="L259" s="16">
        <v>164.99</v>
      </c>
      <c r="M259" s="16">
        <v>40</v>
      </c>
      <c r="N259" s="16">
        <v>66</v>
      </c>
      <c r="O259" s="18">
        <v>1</v>
      </c>
      <c r="P259" s="18" t="s">
        <v>95</v>
      </c>
      <c r="Q259" s="18">
        <v>4.60507</v>
      </c>
      <c r="R259" s="16">
        <v>12.37</v>
      </c>
      <c r="S259" s="16">
        <v>149</v>
      </c>
      <c r="T259" s="16">
        <v>10</v>
      </c>
      <c r="U259" s="18" t="s">
        <v>1184</v>
      </c>
      <c r="V259" s="18" t="s">
        <v>245</v>
      </c>
      <c r="W259" s="18" t="s">
        <v>1185</v>
      </c>
      <c r="X259" s="13"/>
      <c r="Y259" s="18" t="s">
        <v>250</v>
      </c>
      <c r="Z259" s="18" t="s">
        <v>160</v>
      </c>
      <c r="AA259" s="18" t="s">
        <v>83</v>
      </c>
      <c r="AB259" s="18" t="s">
        <v>84</v>
      </c>
      <c r="AC259" s="18" t="s">
        <v>85</v>
      </c>
      <c r="AD259" s="18">
        <v>38.2673333333333</v>
      </c>
      <c r="AE259" s="18">
        <v>0</v>
      </c>
      <c r="AF259" s="18">
        <v>0</v>
      </c>
      <c r="AG259" s="18">
        <v>0</v>
      </c>
      <c r="AH259" s="18">
        <v>1</v>
      </c>
      <c r="AI259" s="18">
        <v>0</v>
      </c>
      <c r="AJ259" s="18">
        <v>0</v>
      </c>
      <c r="AK259" s="18">
        <v>0</v>
      </c>
      <c r="AL259" s="18">
        <v>0</v>
      </c>
      <c r="AM259" s="18">
        <v>0</v>
      </c>
      <c r="AN259" s="18">
        <v>1</v>
      </c>
      <c r="AO259" s="18">
        <v>0</v>
      </c>
      <c r="AP259" s="18">
        <v>0</v>
      </c>
      <c r="AQ259" s="18">
        <v>1</v>
      </c>
      <c r="AR259" s="18">
        <v>0</v>
      </c>
      <c r="AS259" s="18">
        <v>0</v>
      </c>
      <c r="AT259" s="18">
        <v>0</v>
      </c>
      <c r="AU259" s="18">
        <v>0</v>
      </c>
      <c r="AV259" s="18">
        <v>1</v>
      </c>
      <c r="AW259" s="18">
        <v>1</v>
      </c>
      <c r="AX259" s="18">
        <v>0</v>
      </c>
      <c r="AY259" s="18">
        <v>8</v>
      </c>
      <c r="AZ259" s="18">
        <v>1</v>
      </c>
      <c r="BA259" s="18">
        <v>3</v>
      </c>
      <c r="BB259" s="18">
        <v>78.34</v>
      </c>
      <c r="BC259" s="18" t="s">
        <v>1186</v>
      </c>
      <c r="BD259" s="13"/>
      <c r="BE259" s="13"/>
      <c r="BF259" s="13"/>
      <c r="BG259" s="18">
        <v>0</v>
      </c>
      <c r="BH259" s="18">
        <v>0</v>
      </c>
      <c r="BI259" s="13"/>
      <c r="BJ259" s="18">
        <v>0</v>
      </c>
      <c r="BK259" s="18">
        <v>14</v>
      </c>
      <c r="BL259" s="18">
        <v>96.2</v>
      </c>
      <c r="BM259" s="13">
        <f t="shared" si="0"/>
        <v>14749.51</v>
      </c>
    </row>
    <row r="260" customHeight="1" spans="1:65">
      <c r="A260" s="18" t="s">
        <v>1190</v>
      </c>
      <c r="B260" s="18" t="s">
        <v>1191</v>
      </c>
      <c r="C260" s="13"/>
      <c r="D260" s="13"/>
      <c r="E260" s="18" t="s">
        <v>81</v>
      </c>
      <c r="F260" s="18" t="s">
        <v>82</v>
      </c>
      <c r="G260" s="18" t="s">
        <v>83</v>
      </c>
      <c r="H260" s="18" t="s">
        <v>84</v>
      </c>
      <c r="I260" s="18" t="s">
        <v>85</v>
      </c>
      <c r="J260" s="18">
        <v>5</v>
      </c>
      <c r="K260" s="16">
        <v>39.99</v>
      </c>
      <c r="L260" s="10"/>
      <c r="M260" s="16">
        <v>0</v>
      </c>
      <c r="N260" s="16">
        <v>0</v>
      </c>
      <c r="O260" s="18">
        <v>0</v>
      </c>
      <c r="P260" s="18" t="s">
        <v>86</v>
      </c>
      <c r="Q260" s="18">
        <v>3.713328</v>
      </c>
      <c r="R260" s="10"/>
      <c r="S260" s="16">
        <v>2</v>
      </c>
      <c r="T260" s="16">
        <v>8</v>
      </c>
      <c r="U260" s="18" t="s">
        <v>1190</v>
      </c>
      <c r="V260" s="18" t="s">
        <v>1191</v>
      </c>
      <c r="W260" s="13"/>
      <c r="X260" s="13"/>
      <c r="Y260" s="18" t="s">
        <v>81</v>
      </c>
      <c r="Z260" s="18" t="s">
        <v>82</v>
      </c>
      <c r="AA260" s="18" t="s">
        <v>83</v>
      </c>
      <c r="AB260" s="18" t="s">
        <v>84</v>
      </c>
      <c r="AC260" s="18" t="s">
        <v>85</v>
      </c>
      <c r="AD260" s="18">
        <v>74.98</v>
      </c>
      <c r="AE260" s="18">
        <v>1</v>
      </c>
      <c r="AF260" s="18">
        <v>0</v>
      </c>
      <c r="AG260" s="18">
        <v>0</v>
      </c>
      <c r="AH260" s="18">
        <v>1</v>
      </c>
      <c r="AI260" s="18">
        <v>0</v>
      </c>
      <c r="AJ260" s="18">
        <v>0</v>
      </c>
      <c r="AK260" s="18">
        <v>0</v>
      </c>
      <c r="AL260" s="18">
        <v>0</v>
      </c>
      <c r="AM260" s="18">
        <v>0</v>
      </c>
      <c r="AN260" s="18">
        <v>0</v>
      </c>
      <c r="AO260" s="18">
        <v>0</v>
      </c>
      <c r="AP260" s="18">
        <v>0</v>
      </c>
      <c r="AQ260" s="18">
        <v>0</v>
      </c>
      <c r="AR260" s="18">
        <v>0</v>
      </c>
      <c r="AS260" s="18">
        <v>0</v>
      </c>
      <c r="AT260" s="18">
        <v>1</v>
      </c>
      <c r="AU260" s="18">
        <v>0</v>
      </c>
      <c r="AV260" s="18">
        <v>0</v>
      </c>
      <c r="AW260" s="18">
        <v>1</v>
      </c>
      <c r="AX260" s="18">
        <v>0</v>
      </c>
      <c r="AY260" s="13"/>
      <c r="AZ260" s="18">
        <v>1</v>
      </c>
      <c r="BA260" s="18">
        <v>2</v>
      </c>
      <c r="BB260" s="18">
        <v>31.91</v>
      </c>
      <c r="BC260" s="18" t="s">
        <v>1192</v>
      </c>
      <c r="BD260" s="18" t="s">
        <v>257</v>
      </c>
      <c r="BE260" s="18" t="s">
        <v>113</v>
      </c>
      <c r="BF260" s="18" t="s">
        <v>77</v>
      </c>
      <c r="BG260" s="18">
        <v>168</v>
      </c>
      <c r="BH260" s="18">
        <v>11</v>
      </c>
      <c r="BI260" s="18">
        <v>0.9385</v>
      </c>
      <c r="BJ260" s="18">
        <v>0</v>
      </c>
      <c r="BK260" s="18">
        <v>74</v>
      </c>
      <c r="BL260" s="18">
        <v>79.7</v>
      </c>
      <c r="BM260" s="13">
        <f t="shared" si="0"/>
        <v>79.98</v>
      </c>
    </row>
    <row r="261" customHeight="1" spans="1:65">
      <c r="A261" s="18" t="s">
        <v>2015</v>
      </c>
      <c r="B261" s="18" t="s">
        <v>125</v>
      </c>
      <c r="C261" s="13"/>
      <c r="D261" s="13"/>
      <c r="E261" s="18" t="s">
        <v>81</v>
      </c>
      <c r="F261" s="18" t="s">
        <v>82</v>
      </c>
      <c r="G261" s="18" t="s">
        <v>83</v>
      </c>
      <c r="H261" s="18" t="s">
        <v>138</v>
      </c>
      <c r="I261" s="18" t="s">
        <v>85</v>
      </c>
      <c r="J261" s="18">
        <v>5</v>
      </c>
      <c r="K261" s="16">
        <v>13.99</v>
      </c>
      <c r="L261" s="10"/>
      <c r="M261" s="16">
        <v>0</v>
      </c>
      <c r="N261" s="16">
        <v>0</v>
      </c>
      <c r="O261" s="18">
        <v>0</v>
      </c>
      <c r="P261" s="18" t="s">
        <v>133</v>
      </c>
      <c r="Q261" s="18">
        <v>2.707383</v>
      </c>
      <c r="R261" s="10"/>
      <c r="S261" s="16">
        <v>36</v>
      </c>
      <c r="T261" s="16">
        <v>10</v>
      </c>
      <c r="U261" s="18" t="s">
        <v>2015</v>
      </c>
      <c r="V261" s="18" t="s">
        <v>125</v>
      </c>
      <c r="W261" s="13"/>
      <c r="X261" s="13"/>
      <c r="Y261" s="18" t="s">
        <v>81</v>
      </c>
      <c r="Z261" s="18" t="s">
        <v>82</v>
      </c>
      <c r="AA261" s="18" t="s">
        <v>83</v>
      </c>
      <c r="AB261" s="18" t="s">
        <v>138</v>
      </c>
      <c r="AC261" s="18" t="s">
        <v>85</v>
      </c>
      <c r="AD261" s="18">
        <v>22.98</v>
      </c>
      <c r="AE261" s="18">
        <v>0</v>
      </c>
      <c r="AF261" s="18">
        <v>0</v>
      </c>
      <c r="AG261" s="18">
        <v>0</v>
      </c>
      <c r="AH261" s="18">
        <v>1</v>
      </c>
      <c r="AI261" s="18">
        <v>0</v>
      </c>
      <c r="AJ261" s="18">
        <v>0</v>
      </c>
      <c r="AK261" s="18">
        <v>0</v>
      </c>
      <c r="AL261" s="18">
        <v>0</v>
      </c>
      <c r="AM261" s="18">
        <v>0</v>
      </c>
      <c r="AN261" s="18">
        <v>0</v>
      </c>
      <c r="AO261" s="18">
        <v>0</v>
      </c>
      <c r="AP261" s="18">
        <v>0</v>
      </c>
      <c r="AQ261" s="18">
        <v>0</v>
      </c>
      <c r="AR261" s="18">
        <v>0</v>
      </c>
      <c r="AS261" s="18">
        <v>0</v>
      </c>
      <c r="AT261" s="18">
        <v>0</v>
      </c>
      <c r="AU261" s="18">
        <v>0</v>
      </c>
      <c r="AV261" s="18">
        <v>0</v>
      </c>
      <c r="AW261" s="18">
        <v>0</v>
      </c>
      <c r="AX261" s="18">
        <v>0</v>
      </c>
      <c r="AY261" s="13"/>
      <c r="AZ261" s="18">
        <v>1</v>
      </c>
      <c r="BA261" s="18">
        <v>2</v>
      </c>
      <c r="BB261" s="18">
        <v>61.15</v>
      </c>
      <c r="BC261" s="18" t="s">
        <v>1195</v>
      </c>
      <c r="BD261" s="18" t="s">
        <v>684</v>
      </c>
      <c r="BE261" s="18" t="s">
        <v>128</v>
      </c>
      <c r="BF261" s="18" t="s">
        <v>77</v>
      </c>
      <c r="BG261" s="18">
        <v>1</v>
      </c>
      <c r="BH261" s="18">
        <v>53</v>
      </c>
      <c r="BI261" s="18">
        <v>0.0185</v>
      </c>
      <c r="BJ261" s="18">
        <v>1</v>
      </c>
      <c r="BK261" s="18">
        <v>2</v>
      </c>
      <c r="BL261" s="18">
        <v>99.5</v>
      </c>
      <c r="BM261" s="13">
        <f t="shared" si="0"/>
        <v>503.64</v>
      </c>
    </row>
    <row r="262" customHeight="1" spans="1:65">
      <c r="A262" s="18" t="s">
        <v>1193</v>
      </c>
      <c r="B262" s="18" t="s">
        <v>125</v>
      </c>
      <c r="C262" s="13"/>
      <c r="D262" s="13"/>
      <c r="E262" s="18" t="s">
        <v>1194</v>
      </c>
      <c r="F262" s="18" t="s">
        <v>82</v>
      </c>
      <c r="G262" s="18" t="s">
        <v>83</v>
      </c>
      <c r="H262" s="18" t="s">
        <v>138</v>
      </c>
      <c r="I262" s="18" t="s">
        <v>85</v>
      </c>
      <c r="J262" s="18">
        <v>5</v>
      </c>
      <c r="K262" s="16">
        <v>14.9</v>
      </c>
      <c r="L262" s="10"/>
      <c r="M262" s="16">
        <v>0</v>
      </c>
      <c r="N262" s="16">
        <v>0</v>
      </c>
      <c r="O262" s="18">
        <v>0</v>
      </c>
      <c r="P262" s="18" t="s">
        <v>133</v>
      </c>
      <c r="Q262" s="18">
        <v>2.766319</v>
      </c>
      <c r="R262" s="10"/>
      <c r="S262" s="16">
        <v>63</v>
      </c>
      <c r="T262" s="16">
        <v>10</v>
      </c>
      <c r="U262" s="18" t="s">
        <v>2599</v>
      </c>
      <c r="V262" s="18" t="s">
        <v>125</v>
      </c>
      <c r="W262" s="13"/>
      <c r="X262" s="13"/>
      <c r="Y262" s="18" t="s">
        <v>1194</v>
      </c>
      <c r="Z262" s="18" t="s">
        <v>82</v>
      </c>
      <c r="AA262" s="18" t="s">
        <v>83</v>
      </c>
      <c r="AB262" s="18" t="s">
        <v>138</v>
      </c>
      <c r="AC262" s="18" t="s">
        <v>85</v>
      </c>
      <c r="AD262" s="18">
        <v>24.8</v>
      </c>
      <c r="AE262" s="18">
        <v>0</v>
      </c>
      <c r="AF262" s="18">
        <v>1</v>
      </c>
      <c r="AG262" s="18">
        <v>0</v>
      </c>
      <c r="AH262" s="18">
        <v>1</v>
      </c>
      <c r="AI262" s="18">
        <v>0</v>
      </c>
      <c r="AJ262" s="18">
        <v>0</v>
      </c>
      <c r="AK262" s="18">
        <v>0</v>
      </c>
      <c r="AL262" s="18">
        <v>0</v>
      </c>
      <c r="AM262" s="18">
        <v>0</v>
      </c>
      <c r="AN262" s="18">
        <v>0</v>
      </c>
      <c r="AO262" s="18">
        <v>0</v>
      </c>
      <c r="AP262" s="18">
        <v>0</v>
      </c>
      <c r="AQ262" s="18">
        <v>0</v>
      </c>
      <c r="AR262" s="18">
        <v>0</v>
      </c>
      <c r="AS262" s="18">
        <v>0</v>
      </c>
      <c r="AT262" s="18">
        <v>0</v>
      </c>
      <c r="AU262" s="18">
        <v>0</v>
      </c>
      <c r="AV262" s="18">
        <v>0</v>
      </c>
      <c r="AW262" s="18">
        <v>0</v>
      </c>
      <c r="AX262" s="18">
        <v>0</v>
      </c>
      <c r="AY262" s="13"/>
      <c r="AZ262" s="18">
        <v>1</v>
      </c>
      <c r="BA262" s="18">
        <v>1</v>
      </c>
      <c r="BB262" s="18">
        <v>64.37</v>
      </c>
      <c r="BC262" s="18" t="s">
        <v>1195</v>
      </c>
      <c r="BD262" s="18" t="s">
        <v>684</v>
      </c>
      <c r="BE262" s="18" t="s">
        <v>128</v>
      </c>
      <c r="BF262" s="18" t="s">
        <v>77</v>
      </c>
      <c r="BG262" s="18">
        <v>1</v>
      </c>
      <c r="BH262" s="18">
        <v>53</v>
      </c>
      <c r="BI262" s="18">
        <v>0.0185</v>
      </c>
      <c r="BJ262" s="18">
        <v>1</v>
      </c>
      <c r="BK262" s="18">
        <v>2</v>
      </c>
      <c r="BL262" s="18">
        <v>99.5</v>
      </c>
      <c r="BM262" s="13">
        <f t="shared" si="0"/>
        <v>938.7</v>
      </c>
    </row>
    <row r="263" customHeight="1" spans="1:65">
      <c r="A263" s="18" t="s">
        <v>1196</v>
      </c>
      <c r="B263" s="18" t="s">
        <v>1197</v>
      </c>
      <c r="C263" s="18" t="s">
        <v>1198</v>
      </c>
      <c r="D263" s="18">
        <v>840236142859</v>
      </c>
      <c r="E263" s="18" t="s">
        <v>209</v>
      </c>
      <c r="F263" s="18" t="s">
        <v>160</v>
      </c>
      <c r="G263" s="18" t="s">
        <v>1197</v>
      </c>
      <c r="H263" s="18" t="s">
        <v>69</v>
      </c>
      <c r="I263" s="18" t="s">
        <v>85</v>
      </c>
      <c r="J263" s="18">
        <v>5</v>
      </c>
      <c r="K263" s="16">
        <v>195</v>
      </c>
      <c r="L263" s="10"/>
      <c r="M263" s="16">
        <v>0</v>
      </c>
      <c r="N263" s="16">
        <v>0</v>
      </c>
      <c r="O263" s="18">
        <v>0</v>
      </c>
      <c r="P263" s="18" t="s">
        <v>95</v>
      </c>
      <c r="Q263" s="18">
        <v>5.278115</v>
      </c>
      <c r="R263" s="10"/>
      <c r="S263" s="16">
        <v>3</v>
      </c>
      <c r="T263" s="16">
        <v>3</v>
      </c>
      <c r="U263" s="18" t="s">
        <v>1196</v>
      </c>
      <c r="V263" s="18" t="s">
        <v>1197</v>
      </c>
      <c r="W263" s="18" t="s">
        <v>2600</v>
      </c>
      <c r="X263" s="18">
        <v>840236142860</v>
      </c>
      <c r="Y263" s="18" t="s">
        <v>209</v>
      </c>
      <c r="Z263" s="18" t="s">
        <v>160</v>
      </c>
      <c r="AA263" s="18" t="s">
        <v>1197</v>
      </c>
      <c r="AB263" s="18" t="s">
        <v>69</v>
      </c>
      <c r="AC263" s="18" t="s">
        <v>85</v>
      </c>
      <c r="AD263" s="18">
        <v>385</v>
      </c>
      <c r="AE263" s="18">
        <v>0</v>
      </c>
      <c r="AF263" s="18">
        <v>0</v>
      </c>
      <c r="AG263" s="18">
        <v>0</v>
      </c>
      <c r="AH263" s="18">
        <v>1</v>
      </c>
      <c r="AI263" s="18">
        <v>0</v>
      </c>
      <c r="AJ263" s="18">
        <v>0</v>
      </c>
      <c r="AK263" s="18">
        <v>0</v>
      </c>
      <c r="AL263" s="18">
        <v>0</v>
      </c>
      <c r="AM263" s="18">
        <v>0</v>
      </c>
      <c r="AN263" s="18">
        <v>0</v>
      </c>
      <c r="AO263" s="18">
        <v>0</v>
      </c>
      <c r="AP263" s="18">
        <v>0</v>
      </c>
      <c r="AQ263" s="18">
        <v>0</v>
      </c>
      <c r="AR263" s="18">
        <v>0</v>
      </c>
      <c r="AS263" s="18">
        <v>0</v>
      </c>
      <c r="AT263" s="18">
        <v>0</v>
      </c>
      <c r="AU263" s="18">
        <v>0</v>
      </c>
      <c r="AV263" s="18">
        <v>0</v>
      </c>
      <c r="AW263" s="18">
        <v>1</v>
      </c>
      <c r="AX263" s="18">
        <v>0</v>
      </c>
      <c r="AY263" s="13"/>
      <c r="AZ263" s="18">
        <v>1</v>
      </c>
      <c r="BA263" s="18">
        <v>1</v>
      </c>
      <c r="BB263" s="18">
        <v>20</v>
      </c>
      <c r="BC263" s="18" t="s">
        <v>1199</v>
      </c>
      <c r="BD263" s="18" t="s">
        <v>1200</v>
      </c>
      <c r="BE263" s="18" t="s">
        <v>1062</v>
      </c>
      <c r="BF263" s="18" t="s">
        <v>77</v>
      </c>
      <c r="BG263" s="18">
        <v>168</v>
      </c>
      <c r="BH263" s="18">
        <v>11</v>
      </c>
      <c r="BI263" s="18">
        <v>0.9385</v>
      </c>
      <c r="BJ263" s="18">
        <v>0</v>
      </c>
      <c r="BK263" s="13"/>
      <c r="BL263" s="13"/>
      <c r="BM263" s="13">
        <f t="shared" si="0"/>
        <v>585</v>
      </c>
    </row>
    <row r="264" customHeight="1" spans="1:65">
      <c r="A264" s="18" t="s">
        <v>1201</v>
      </c>
      <c r="B264" s="18" t="s">
        <v>1202</v>
      </c>
      <c r="C264" s="13"/>
      <c r="D264" s="13"/>
      <c r="E264" s="18" t="s">
        <v>1203</v>
      </c>
      <c r="F264" s="18" t="s">
        <v>240</v>
      </c>
      <c r="G264" s="18" t="s">
        <v>83</v>
      </c>
      <c r="H264" s="18" t="s">
        <v>84</v>
      </c>
      <c r="I264" s="18" t="s">
        <v>153</v>
      </c>
      <c r="J264" s="18">
        <v>2</v>
      </c>
      <c r="K264" s="16">
        <v>75.99</v>
      </c>
      <c r="L264" s="10"/>
      <c r="M264" s="16">
        <v>0</v>
      </c>
      <c r="N264" s="16">
        <v>0</v>
      </c>
      <c r="O264" s="18">
        <v>0</v>
      </c>
      <c r="P264" s="18" t="s">
        <v>95</v>
      </c>
      <c r="Q264" s="18">
        <v>4.343676</v>
      </c>
      <c r="R264" s="16">
        <v>4.75</v>
      </c>
      <c r="S264" s="10"/>
      <c r="T264" s="10"/>
      <c r="U264" s="18" t="s">
        <v>1201</v>
      </c>
      <c r="V264" s="18" t="s">
        <v>1202</v>
      </c>
      <c r="W264" s="13"/>
      <c r="X264" s="13"/>
      <c r="Y264" s="18" t="s">
        <v>1203</v>
      </c>
      <c r="Z264" s="18" t="s">
        <v>240</v>
      </c>
      <c r="AA264" s="18" t="s">
        <v>83</v>
      </c>
      <c r="AB264" s="18" t="s">
        <v>84</v>
      </c>
      <c r="AC264" s="18" t="s">
        <v>153</v>
      </c>
      <c r="AD264" s="18">
        <v>149.98</v>
      </c>
      <c r="AE264" s="18">
        <v>0</v>
      </c>
      <c r="AF264" s="18">
        <v>0</v>
      </c>
      <c r="AG264" s="18">
        <v>0</v>
      </c>
      <c r="AH264" s="18">
        <v>0</v>
      </c>
      <c r="AI264" s="18">
        <v>0</v>
      </c>
      <c r="AJ264" s="18">
        <v>0</v>
      </c>
      <c r="AK264" s="18">
        <v>0</v>
      </c>
      <c r="AL264" s="18">
        <v>0</v>
      </c>
      <c r="AM264" s="18">
        <v>0</v>
      </c>
      <c r="AN264" s="18">
        <v>0</v>
      </c>
      <c r="AO264" s="18">
        <v>0</v>
      </c>
      <c r="AP264" s="18">
        <v>0</v>
      </c>
      <c r="AQ264" s="18">
        <v>1</v>
      </c>
      <c r="AR264" s="18">
        <v>0</v>
      </c>
      <c r="AS264" s="18">
        <v>0</v>
      </c>
      <c r="AT264" s="18">
        <v>0</v>
      </c>
      <c r="AU264" s="18">
        <v>0</v>
      </c>
      <c r="AV264" s="18">
        <v>1</v>
      </c>
      <c r="AW264" s="18">
        <v>1</v>
      </c>
      <c r="AX264" s="18">
        <v>0</v>
      </c>
      <c r="AY264" s="18">
        <v>16</v>
      </c>
      <c r="AZ264" s="18">
        <v>1</v>
      </c>
      <c r="BA264" s="18">
        <v>1</v>
      </c>
      <c r="BB264" s="18">
        <v>0</v>
      </c>
      <c r="BC264" s="18" t="s">
        <v>1204</v>
      </c>
      <c r="BD264" s="18" t="s">
        <v>1205</v>
      </c>
      <c r="BE264" s="18" t="s">
        <v>267</v>
      </c>
      <c r="BF264" s="18" t="s">
        <v>77</v>
      </c>
      <c r="BG264" s="18">
        <v>1</v>
      </c>
      <c r="BH264" s="18">
        <v>11</v>
      </c>
      <c r="BI264" s="18">
        <v>0.0833</v>
      </c>
      <c r="BJ264" s="18">
        <v>1</v>
      </c>
      <c r="BK264" s="13"/>
      <c r="BL264" s="13"/>
      <c r="BM264" s="13">
        <f t="shared" si="0"/>
        <v>0</v>
      </c>
    </row>
    <row r="265" customHeight="1" spans="1:65">
      <c r="A265" s="18" t="s">
        <v>1033</v>
      </c>
      <c r="B265" s="18" t="s">
        <v>115</v>
      </c>
      <c r="C265" s="18" t="s">
        <v>121</v>
      </c>
      <c r="D265" s="18">
        <v>840414665354</v>
      </c>
      <c r="E265" s="18" t="s">
        <v>122</v>
      </c>
      <c r="F265" s="18" t="s">
        <v>82</v>
      </c>
      <c r="G265" s="18" t="s">
        <v>117</v>
      </c>
      <c r="H265" s="18" t="s">
        <v>107</v>
      </c>
      <c r="I265" s="18" t="s">
        <v>85</v>
      </c>
      <c r="J265" s="18">
        <v>5</v>
      </c>
      <c r="K265" s="16">
        <v>148</v>
      </c>
      <c r="L265" s="10"/>
      <c r="M265" s="16">
        <v>0</v>
      </c>
      <c r="N265" s="16">
        <v>0</v>
      </c>
      <c r="O265" s="18">
        <v>0</v>
      </c>
      <c r="P265" s="18" t="s">
        <v>95</v>
      </c>
      <c r="Q265" s="18">
        <v>5.003946</v>
      </c>
      <c r="R265" s="10"/>
      <c r="S265" s="16">
        <v>4</v>
      </c>
      <c r="T265" s="16">
        <v>10</v>
      </c>
      <c r="U265" s="18" t="s">
        <v>1033</v>
      </c>
      <c r="V265" s="18" t="s">
        <v>115</v>
      </c>
      <c r="W265" s="18" t="s">
        <v>121</v>
      </c>
      <c r="X265" s="18">
        <v>840414665355</v>
      </c>
      <c r="Y265" s="18" t="s">
        <v>122</v>
      </c>
      <c r="Z265" s="18" t="s">
        <v>82</v>
      </c>
      <c r="AA265" s="18" t="s">
        <v>117</v>
      </c>
      <c r="AB265" s="18" t="s">
        <v>107</v>
      </c>
      <c r="AC265" s="18" t="s">
        <v>85</v>
      </c>
      <c r="AD265" s="18">
        <v>291</v>
      </c>
      <c r="AE265" s="18">
        <v>0</v>
      </c>
      <c r="AF265" s="18">
        <v>0</v>
      </c>
      <c r="AG265" s="18">
        <v>1</v>
      </c>
      <c r="AH265" s="18">
        <v>0</v>
      </c>
      <c r="AI265" s="18">
        <v>0</v>
      </c>
      <c r="AJ265" s="18">
        <v>0</v>
      </c>
      <c r="AK265" s="18">
        <v>0</v>
      </c>
      <c r="AL265" s="18">
        <v>0</v>
      </c>
      <c r="AM265" s="18">
        <v>0</v>
      </c>
      <c r="AN265" s="18">
        <v>0</v>
      </c>
      <c r="AO265" s="18">
        <v>0</v>
      </c>
      <c r="AP265" s="18">
        <v>0</v>
      </c>
      <c r="AQ265" s="18">
        <v>0</v>
      </c>
      <c r="AR265" s="18">
        <v>0</v>
      </c>
      <c r="AS265" s="18">
        <v>1</v>
      </c>
      <c r="AT265" s="18">
        <v>0</v>
      </c>
      <c r="AU265" s="18">
        <v>0</v>
      </c>
      <c r="AV265" s="18">
        <v>0</v>
      </c>
      <c r="AW265" s="18">
        <v>0</v>
      </c>
      <c r="AX265" s="18">
        <v>0</v>
      </c>
      <c r="AY265" s="13"/>
      <c r="AZ265" s="18">
        <v>1</v>
      </c>
      <c r="BA265" s="18">
        <v>0</v>
      </c>
      <c r="BB265" s="18">
        <v>40.86</v>
      </c>
      <c r="BC265" s="18" t="s">
        <v>211</v>
      </c>
      <c r="BD265" s="18" t="s">
        <v>212</v>
      </c>
      <c r="BE265" s="18" t="s">
        <v>1034</v>
      </c>
      <c r="BF265" s="18" t="s">
        <v>77</v>
      </c>
      <c r="BG265" s="18">
        <v>162</v>
      </c>
      <c r="BH265" s="18">
        <v>20</v>
      </c>
      <c r="BI265" s="18">
        <v>0.8901</v>
      </c>
      <c r="BJ265" s="18">
        <v>0</v>
      </c>
      <c r="BK265" s="18">
        <v>7</v>
      </c>
      <c r="BL265" s="18">
        <v>98.1</v>
      </c>
      <c r="BM265" s="13">
        <f t="shared" si="0"/>
        <v>592</v>
      </c>
    </row>
    <row r="266" customHeight="1" spans="1:65">
      <c r="A266" s="18" t="s">
        <v>210</v>
      </c>
      <c r="B266" s="18" t="s">
        <v>115</v>
      </c>
      <c r="C266" s="13"/>
      <c r="D266" s="18">
        <v>840414648951</v>
      </c>
      <c r="E266" s="18" t="s">
        <v>81</v>
      </c>
      <c r="F266" s="18" t="s">
        <v>82</v>
      </c>
      <c r="G266" s="18" t="s">
        <v>117</v>
      </c>
      <c r="H266" s="18" t="s">
        <v>107</v>
      </c>
      <c r="I266" s="18" t="s">
        <v>85</v>
      </c>
      <c r="J266" s="18">
        <v>5</v>
      </c>
      <c r="K266" s="16">
        <v>148</v>
      </c>
      <c r="L266" s="10"/>
      <c r="M266" s="16">
        <v>0</v>
      </c>
      <c r="N266" s="16">
        <v>0</v>
      </c>
      <c r="O266" s="18">
        <v>0</v>
      </c>
      <c r="P266" s="18" t="s">
        <v>95</v>
      </c>
      <c r="Q266" s="18">
        <v>5.003946</v>
      </c>
      <c r="R266" s="10"/>
      <c r="S266" s="16">
        <v>50</v>
      </c>
      <c r="T266" s="16">
        <v>10</v>
      </c>
      <c r="U266" s="18" t="s">
        <v>210</v>
      </c>
      <c r="V266" s="18" t="s">
        <v>115</v>
      </c>
      <c r="W266" s="13"/>
      <c r="X266" s="18">
        <v>840414648952</v>
      </c>
      <c r="Y266" s="18" t="s">
        <v>81</v>
      </c>
      <c r="Z266" s="18" t="s">
        <v>82</v>
      </c>
      <c r="AA266" s="18" t="s">
        <v>117</v>
      </c>
      <c r="AB266" s="18" t="s">
        <v>107</v>
      </c>
      <c r="AC266" s="18" t="s">
        <v>85</v>
      </c>
      <c r="AD266" s="18">
        <v>291</v>
      </c>
      <c r="AE266" s="18">
        <v>0</v>
      </c>
      <c r="AF266" s="18">
        <v>0</v>
      </c>
      <c r="AG266" s="18">
        <v>1</v>
      </c>
      <c r="AH266" s="18">
        <v>0</v>
      </c>
      <c r="AI266" s="18">
        <v>0</v>
      </c>
      <c r="AJ266" s="18">
        <v>0</v>
      </c>
      <c r="AK266" s="18">
        <v>0</v>
      </c>
      <c r="AL266" s="18">
        <v>0</v>
      </c>
      <c r="AM266" s="18">
        <v>0</v>
      </c>
      <c r="AN266" s="18">
        <v>0</v>
      </c>
      <c r="AO266" s="18">
        <v>0</v>
      </c>
      <c r="AP266" s="18">
        <v>0</v>
      </c>
      <c r="AQ266" s="18">
        <v>0</v>
      </c>
      <c r="AR266" s="18">
        <v>0</v>
      </c>
      <c r="AS266" s="18">
        <v>0</v>
      </c>
      <c r="AT266" s="18">
        <v>1</v>
      </c>
      <c r="AU266" s="18">
        <v>0</v>
      </c>
      <c r="AV266" s="18">
        <v>0</v>
      </c>
      <c r="AW266" s="18">
        <v>0</v>
      </c>
      <c r="AX266" s="18">
        <v>0</v>
      </c>
      <c r="AY266" s="13"/>
      <c r="AZ266" s="18">
        <v>1</v>
      </c>
      <c r="BA266" s="18">
        <v>0</v>
      </c>
      <c r="BB266" s="18">
        <v>62.76</v>
      </c>
      <c r="BC266" s="18" t="s">
        <v>211</v>
      </c>
      <c r="BD266" s="18" t="s">
        <v>212</v>
      </c>
      <c r="BE266" s="18" t="s">
        <v>213</v>
      </c>
      <c r="BF266" s="18" t="s">
        <v>77</v>
      </c>
      <c r="BG266" s="18">
        <v>162</v>
      </c>
      <c r="BH266" s="18">
        <v>20</v>
      </c>
      <c r="BI266" s="18">
        <v>0.8901</v>
      </c>
      <c r="BJ266" s="18">
        <v>0</v>
      </c>
      <c r="BK266" s="18">
        <v>7</v>
      </c>
      <c r="BL266" s="18">
        <v>98.1</v>
      </c>
      <c r="BM266" s="13">
        <f t="shared" si="0"/>
        <v>7400</v>
      </c>
    </row>
    <row r="267" customHeight="1" spans="1:65">
      <c r="A267" s="18" t="s">
        <v>903</v>
      </c>
      <c r="B267" s="18" t="s">
        <v>125</v>
      </c>
      <c r="C267" s="13"/>
      <c r="D267" s="13"/>
      <c r="E267" s="18" t="s">
        <v>163</v>
      </c>
      <c r="F267" s="18" t="s">
        <v>68</v>
      </c>
      <c r="G267" s="18" t="s">
        <v>117</v>
      </c>
      <c r="H267" s="18" t="s">
        <v>138</v>
      </c>
      <c r="I267" s="18" t="s">
        <v>85</v>
      </c>
      <c r="J267" s="18">
        <v>5</v>
      </c>
      <c r="K267" s="16">
        <v>178</v>
      </c>
      <c r="L267" s="10"/>
      <c r="M267" s="16">
        <v>0</v>
      </c>
      <c r="N267" s="16">
        <v>0</v>
      </c>
      <c r="O267" s="18">
        <v>0</v>
      </c>
      <c r="P267" s="18" t="s">
        <v>95</v>
      </c>
      <c r="Q267" s="18">
        <v>5.187386</v>
      </c>
      <c r="R267" s="10"/>
      <c r="S267" s="16">
        <v>2</v>
      </c>
      <c r="T267" s="16">
        <v>10</v>
      </c>
      <c r="U267" s="18" t="s">
        <v>903</v>
      </c>
      <c r="V267" s="18" t="s">
        <v>125</v>
      </c>
      <c r="W267" s="13"/>
      <c r="X267" s="13"/>
      <c r="Y267" s="18" t="s">
        <v>163</v>
      </c>
      <c r="Z267" s="18" t="s">
        <v>68</v>
      </c>
      <c r="AA267" s="18" t="s">
        <v>117</v>
      </c>
      <c r="AB267" s="18" t="s">
        <v>138</v>
      </c>
      <c r="AC267" s="18" t="s">
        <v>85</v>
      </c>
      <c r="AD267" s="18">
        <v>351</v>
      </c>
      <c r="AE267" s="18">
        <v>0</v>
      </c>
      <c r="AF267" s="18">
        <v>0</v>
      </c>
      <c r="AG267" s="18">
        <v>1</v>
      </c>
      <c r="AH267" s="18">
        <v>0</v>
      </c>
      <c r="AI267" s="18">
        <v>0</v>
      </c>
      <c r="AJ267" s="18">
        <v>0</v>
      </c>
      <c r="AK267" s="18">
        <v>0</v>
      </c>
      <c r="AL267" s="18">
        <v>0</v>
      </c>
      <c r="AM267" s="18">
        <v>0</v>
      </c>
      <c r="AN267" s="18">
        <v>0</v>
      </c>
      <c r="AO267" s="18">
        <v>0</v>
      </c>
      <c r="AP267" s="18">
        <v>1</v>
      </c>
      <c r="AQ267" s="18">
        <v>0</v>
      </c>
      <c r="AR267" s="18">
        <v>0</v>
      </c>
      <c r="AS267" s="18">
        <v>0</v>
      </c>
      <c r="AT267" s="18">
        <v>0</v>
      </c>
      <c r="AU267" s="18">
        <v>0</v>
      </c>
      <c r="AV267" s="18">
        <v>0</v>
      </c>
      <c r="AW267" s="18">
        <v>0</v>
      </c>
      <c r="AX267" s="18">
        <v>0</v>
      </c>
      <c r="AY267" s="13"/>
      <c r="AZ267" s="18">
        <v>1</v>
      </c>
      <c r="BA267" s="18">
        <v>0</v>
      </c>
      <c r="BB267" s="18">
        <v>6.67</v>
      </c>
      <c r="BC267" s="18" t="s">
        <v>211</v>
      </c>
      <c r="BD267" s="13"/>
      <c r="BE267" s="13"/>
      <c r="BF267" s="13"/>
      <c r="BG267" s="18">
        <v>0</v>
      </c>
      <c r="BH267" s="18">
        <v>0</v>
      </c>
      <c r="BI267" s="13"/>
      <c r="BJ267" s="18">
        <v>0</v>
      </c>
      <c r="BK267" s="13"/>
      <c r="BL267" s="13"/>
      <c r="BM267" s="13">
        <f t="shared" si="0"/>
        <v>356</v>
      </c>
    </row>
    <row r="268" customHeight="1" spans="1:65">
      <c r="A268" s="18" t="s">
        <v>1206</v>
      </c>
      <c r="B268" s="18" t="s">
        <v>1207</v>
      </c>
      <c r="C268" s="13"/>
      <c r="D268" s="13"/>
      <c r="E268" s="18" t="s">
        <v>1208</v>
      </c>
      <c r="F268" s="18" t="s">
        <v>160</v>
      </c>
      <c r="G268" s="18" t="s">
        <v>83</v>
      </c>
      <c r="H268" s="18" t="s">
        <v>84</v>
      </c>
      <c r="I268" s="18" t="s">
        <v>85</v>
      </c>
      <c r="J268" s="18">
        <v>5</v>
      </c>
      <c r="K268" s="16">
        <v>40</v>
      </c>
      <c r="L268" s="10"/>
      <c r="M268" s="16">
        <v>0</v>
      </c>
      <c r="N268" s="16">
        <v>0</v>
      </c>
      <c r="O268" s="18">
        <v>0</v>
      </c>
      <c r="P268" s="18" t="s">
        <v>86</v>
      </c>
      <c r="Q268" s="18">
        <v>3.713572</v>
      </c>
      <c r="R268" s="10"/>
      <c r="S268" s="10"/>
      <c r="T268" s="10"/>
      <c r="U268" s="18" t="s">
        <v>2601</v>
      </c>
      <c r="V268" s="18" t="s">
        <v>1207</v>
      </c>
      <c r="W268" s="13"/>
      <c r="X268" s="13"/>
      <c r="Y268" s="18" t="s">
        <v>2602</v>
      </c>
      <c r="Z268" s="18" t="s">
        <v>160</v>
      </c>
      <c r="AA268" s="18" t="s">
        <v>83</v>
      </c>
      <c r="AB268" s="18" t="s">
        <v>84</v>
      </c>
      <c r="AC268" s="18" t="s">
        <v>85</v>
      </c>
      <c r="AD268" s="18">
        <v>75</v>
      </c>
      <c r="AE268" s="18">
        <v>0</v>
      </c>
      <c r="AF268" s="18">
        <v>0</v>
      </c>
      <c r="AG268" s="18">
        <v>0</v>
      </c>
      <c r="AH268" s="18">
        <v>0</v>
      </c>
      <c r="AI268" s="18">
        <v>0</v>
      </c>
      <c r="AJ268" s="18">
        <v>0</v>
      </c>
      <c r="AK268" s="18">
        <v>0</v>
      </c>
      <c r="AL268" s="18">
        <v>0</v>
      </c>
      <c r="AM268" s="18">
        <v>0</v>
      </c>
      <c r="AN268" s="18">
        <v>0</v>
      </c>
      <c r="AO268" s="18">
        <v>0</v>
      </c>
      <c r="AP268" s="18">
        <v>0</v>
      </c>
      <c r="AQ268" s="18">
        <v>0</v>
      </c>
      <c r="AR268" s="18">
        <v>0</v>
      </c>
      <c r="AS268" s="18">
        <v>0</v>
      </c>
      <c r="AT268" s="18">
        <v>0</v>
      </c>
      <c r="AU268" s="18">
        <v>0</v>
      </c>
      <c r="AV268" s="18">
        <v>0</v>
      </c>
      <c r="AW268" s="18">
        <v>0</v>
      </c>
      <c r="AX268" s="18">
        <v>0</v>
      </c>
      <c r="AY268" s="13"/>
      <c r="AZ268" s="18">
        <v>1</v>
      </c>
      <c r="BA268" s="18">
        <v>0</v>
      </c>
      <c r="BB268" s="18">
        <v>0</v>
      </c>
      <c r="BC268" s="18" t="s">
        <v>1209</v>
      </c>
      <c r="BD268" s="18" t="s">
        <v>1210</v>
      </c>
      <c r="BE268" s="18" t="s">
        <v>166</v>
      </c>
      <c r="BF268" s="18" t="s">
        <v>77</v>
      </c>
      <c r="BG268" s="18">
        <v>170</v>
      </c>
      <c r="BH268" s="18">
        <v>11</v>
      </c>
      <c r="BI268" s="18">
        <v>0.9392</v>
      </c>
      <c r="BJ268" s="18">
        <v>0</v>
      </c>
      <c r="BK268" s="13"/>
      <c r="BL268" s="13"/>
      <c r="BM268" s="13">
        <f t="shared" si="0"/>
        <v>0</v>
      </c>
    </row>
    <row r="269" customHeight="1" spans="1:65">
      <c r="A269" s="18" t="s">
        <v>2122</v>
      </c>
      <c r="B269" s="18" t="s">
        <v>125</v>
      </c>
      <c r="C269" s="13"/>
      <c r="D269" s="13"/>
      <c r="E269" s="18" t="s">
        <v>131</v>
      </c>
      <c r="F269" s="18" t="s">
        <v>240</v>
      </c>
      <c r="G269" s="18" t="s">
        <v>553</v>
      </c>
      <c r="H269" s="18" t="s">
        <v>138</v>
      </c>
      <c r="I269" s="18" t="s">
        <v>85</v>
      </c>
      <c r="J269" s="18">
        <v>5</v>
      </c>
      <c r="K269" s="16">
        <v>29.88</v>
      </c>
      <c r="L269" s="10"/>
      <c r="M269" s="16">
        <v>0</v>
      </c>
      <c r="N269" s="16">
        <v>0</v>
      </c>
      <c r="O269" s="18">
        <v>0</v>
      </c>
      <c r="P269" s="18" t="s">
        <v>86</v>
      </c>
      <c r="Q269" s="18">
        <v>3.430109</v>
      </c>
      <c r="R269" s="10"/>
      <c r="S269" s="16">
        <v>16</v>
      </c>
      <c r="T269" s="16">
        <v>18</v>
      </c>
      <c r="U269" s="18" t="s">
        <v>2122</v>
      </c>
      <c r="V269" s="18" t="s">
        <v>125</v>
      </c>
      <c r="W269" s="13"/>
      <c r="X269" s="13"/>
      <c r="Y269" s="18" t="s">
        <v>131</v>
      </c>
      <c r="Z269" s="18" t="s">
        <v>240</v>
      </c>
      <c r="AA269" s="18" t="s">
        <v>553</v>
      </c>
      <c r="AB269" s="18" t="s">
        <v>138</v>
      </c>
      <c r="AC269" s="18" t="s">
        <v>85</v>
      </c>
      <c r="AD269" s="18">
        <v>54.76</v>
      </c>
      <c r="AE269" s="18">
        <v>0</v>
      </c>
      <c r="AF269" s="18">
        <v>0</v>
      </c>
      <c r="AG269" s="18">
        <v>0</v>
      </c>
      <c r="AH269" s="18">
        <v>0</v>
      </c>
      <c r="AI269" s="18">
        <v>0</v>
      </c>
      <c r="AJ269" s="18">
        <v>0</v>
      </c>
      <c r="AK269" s="18">
        <v>0</v>
      </c>
      <c r="AL269" s="18">
        <v>0</v>
      </c>
      <c r="AM269" s="18">
        <v>0</v>
      </c>
      <c r="AN269" s="18">
        <v>0</v>
      </c>
      <c r="AO269" s="18">
        <v>0</v>
      </c>
      <c r="AP269" s="18">
        <v>0</v>
      </c>
      <c r="AQ269" s="18">
        <v>1</v>
      </c>
      <c r="AR269" s="18">
        <v>0</v>
      </c>
      <c r="AS269" s="18">
        <v>0</v>
      </c>
      <c r="AT269" s="18">
        <v>0</v>
      </c>
      <c r="AU269" s="18">
        <v>0</v>
      </c>
      <c r="AV269" s="18">
        <v>1</v>
      </c>
      <c r="AW269" s="18">
        <v>0</v>
      </c>
      <c r="AX269" s="18">
        <v>0</v>
      </c>
      <c r="AY269" s="13"/>
      <c r="AZ269" s="18">
        <v>1</v>
      </c>
      <c r="BA269" s="18">
        <v>1</v>
      </c>
      <c r="BB269" s="18">
        <v>48.34</v>
      </c>
      <c r="BC269" s="18" t="s">
        <v>1212</v>
      </c>
      <c r="BD269" s="18" t="s">
        <v>1213</v>
      </c>
      <c r="BE269" s="18" t="s">
        <v>1214</v>
      </c>
      <c r="BF269" s="18" t="s">
        <v>77</v>
      </c>
      <c r="BG269" s="18">
        <v>1</v>
      </c>
      <c r="BH269" s="18">
        <v>26</v>
      </c>
      <c r="BI269" s="18">
        <v>0.037</v>
      </c>
      <c r="BJ269" s="18">
        <v>1</v>
      </c>
      <c r="BK269" s="18">
        <v>6</v>
      </c>
      <c r="BL269" s="18">
        <v>98.4</v>
      </c>
      <c r="BM269" s="13">
        <f t="shared" si="0"/>
        <v>478.08</v>
      </c>
    </row>
    <row r="270" customHeight="1" spans="1:65">
      <c r="A270" s="18" t="s">
        <v>1211</v>
      </c>
      <c r="B270" s="18" t="s">
        <v>125</v>
      </c>
      <c r="C270" s="13"/>
      <c r="D270" s="13"/>
      <c r="E270" s="18" t="s">
        <v>131</v>
      </c>
      <c r="F270" s="18" t="s">
        <v>240</v>
      </c>
      <c r="G270" s="18" t="s">
        <v>83</v>
      </c>
      <c r="H270" s="18" t="s">
        <v>138</v>
      </c>
      <c r="I270" s="18" t="s">
        <v>85</v>
      </c>
      <c r="J270" s="18">
        <v>5</v>
      </c>
      <c r="K270" s="16">
        <v>29.88</v>
      </c>
      <c r="L270" s="10"/>
      <c r="M270" s="16">
        <v>0</v>
      </c>
      <c r="N270" s="16">
        <v>0</v>
      </c>
      <c r="O270" s="18">
        <v>0</v>
      </c>
      <c r="P270" s="18" t="s">
        <v>86</v>
      </c>
      <c r="Q270" s="18">
        <v>3.430109</v>
      </c>
      <c r="R270" s="10"/>
      <c r="S270" s="16">
        <v>18</v>
      </c>
      <c r="T270" s="16">
        <v>16</v>
      </c>
      <c r="U270" s="18" t="s">
        <v>1211</v>
      </c>
      <c r="V270" s="18" t="s">
        <v>125</v>
      </c>
      <c r="W270" s="13"/>
      <c r="X270" s="13"/>
      <c r="Y270" s="18" t="s">
        <v>131</v>
      </c>
      <c r="Z270" s="18" t="s">
        <v>240</v>
      </c>
      <c r="AA270" s="18" t="s">
        <v>83</v>
      </c>
      <c r="AB270" s="18" t="s">
        <v>138</v>
      </c>
      <c r="AC270" s="18" t="s">
        <v>85</v>
      </c>
      <c r="AD270" s="18">
        <v>54.76</v>
      </c>
      <c r="AE270" s="18">
        <v>0</v>
      </c>
      <c r="AF270" s="18">
        <v>0</v>
      </c>
      <c r="AG270" s="18">
        <v>0</v>
      </c>
      <c r="AH270" s="18">
        <v>0</v>
      </c>
      <c r="AI270" s="18">
        <v>0</v>
      </c>
      <c r="AJ270" s="18">
        <v>0</v>
      </c>
      <c r="AK270" s="18">
        <v>0</v>
      </c>
      <c r="AL270" s="18">
        <v>0</v>
      </c>
      <c r="AM270" s="18">
        <v>0</v>
      </c>
      <c r="AN270" s="18">
        <v>0</v>
      </c>
      <c r="AO270" s="18">
        <v>0</v>
      </c>
      <c r="AP270" s="18">
        <v>0</v>
      </c>
      <c r="AQ270" s="18">
        <v>1</v>
      </c>
      <c r="AR270" s="18">
        <v>0</v>
      </c>
      <c r="AS270" s="18">
        <v>0</v>
      </c>
      <c r="AT270" s="18">
        <v>0</v>
      </c>
      <c r="AU270" s="18">
        <v>0</v>
      </c>
      <c r="AV270" s="18">
        <v>1</v>
      </c>
      <c r="AW270" s="18">
        <v>0</v>
      </c>
      <c r="AX270" s="18">
        <v>0</v>
      </c>
      <c r="AY270" s="13"/>
      <c r="AZ270" s="18">
        <v>1</v>
      </c>
      <c r="BA270" s="18">
        <v>1</v>
      </c>
      <c r="BB270" s="18">
        <v>42.81</v>
      </c>
      <c r="BC270" s="18" t="s">
        <v>1212</v>
      </c>
      <c r="BD270" s="18" t="s">
        <v>1213</v>
      </c>
      <c r="BE270" s="18" t="s">
        <v>1214</v>
      </c>
      <c r="BF270" s="18" t="s">
        <v>77</v>
      </c>
      <c r="BG270" s="18">
        <v>1</v>
      </c>
      <c r="BH270" s="18">
        <v>26</v>
      </c>
      <c r="BI270" s="18">
        <v>0.037</v>
      </c>
      <c r="BJ270" s="18">
        <v>1</v>
      </c>
      <c r="BK270" s="18">
        <v>102</v>
      </c>
      <c r="BL270" s="18">
        <v>72.1</v>
      </c>
      <c r="BM270" s="13">
        <f t="shared" si="0"/>
        <v>537.84</v>
      </c>
    </row>
    <row r="271" customHeight="1" spans="1:65">
      <c r="A271" s="18" t="s">
        <v>2019</v>
      </c>
      <c r="B271" s="18" t="s">
        <v>125</v>
      </c>
      <c r="C271" s="13"/>
      <c r="D271" s="13"/>
      <c r="E271" s="18" t="s">
        <v>131</v>
      </c>
      <c r="F271" s="18" t="s">
        <v>240</v>
      </c>
      <c r="G271" s="18" t="s">
        <v>83</v>
      </c>
      <c r="H271" s="18" t="s">
        <v>138</v>
      </c>
      <c r="I271" s="18" t="s">
        <v>85</v>
      </c>
      <c r="J271" s="18">
        <v>5</v>
      </c>
      <c r="K271" s="16">
        <v>29.88</v>
      </c>
      <c r="L271" s="10"/>
      <c r="M271" s="16">
        <v>0</v>
      </c>
      <c r="N271" s="16">
        <v>0</v>
      </c>
      <c r="O271" s="18">
        <v>0</v>
      </c>
      <c r="P271" s="18" t="s">
        <v>86</v>
      </c>
      <c r="Q271" s="18">
        <v>3.430109</v>
      </c>
      <c r="R271" s="10"/>
      <c r="S271" s="16">
        <v>11</v>
      </c>
      <c r="T271" s="16">
        <v>16</v>
      </c>
      <c r="U271" s="18" t="s">
        <v>2019</v>
      </c>
      <c r="V271" s="18" t="s">
        <v>125</v>
      </c>
      <c r="W271" s="13"/>
      <c r="X271" s="13"/>
      <c r="Y271" s="18" t="s">
        <v>131</v>
      </c>
      <c r="Z271" s="18" t="s">
        <v>240</v>
      </c>
      <c r="AA271" s="18" t="s">
        <v>83</v>
      </c>
      <c r="AB271" s="18" t="s">
        <v>138</v>
      </c>
      <c r="AC271" s="18" t="s">
        <v>85</v>
      </c>
      <c r="AD271" s="18">
        <v>54.76</v>
      </c>
      <c r="AE271" s="18">
        <v>0</v>
      </c>
      <c r="AF271" s="18">
        <v>0</v>
      </c>
      <c r="AG271" s="18">
        <v>0</v>
      </c>
      <c r="AH271" s="18">
        <v>0</v>
      </c>
      <c r="AI271" s="18">
        <v>0</v>
      </c>
      <c r="AJ271" s="18">
        <v>0</v>
      </c>
      <c r="AK271" s="18">
        <v>0</v>
      </c>
      <c r="AL271" s="18">
        <v>0</v>
      </c>
      <c r="AM271" s="18">
        <v>0</v>
      </c>
      <c r="AN271" s="18">
        <v>0</v>
      </c>
      <c r="AO271" s="18">
        <v>0</v>
      </c>
      <c r="AP271" s="18">
        <v>0</v>
      </c>
      <c r="AQ271" s="18">
        <v>1</v>
      </c>
      <c r="AR271" s="18">
        <v>0</v>
      </c>
      <c r="AS271" s="18">
        <v>0</v>
      </c>
      <c r="AT271" s="18">
        <v>0</v>
      </c>
      <c r="AU271" s="18">
        <v>0</v>
      </c>
      <c r="AV271" s="18">
        <v>1</v>
      </c>
      <c r="AW271" s="18">
        <v>0</v>
      </c>
      <c r="AX271" s="18">
        <v>0</v>
      </c>
      <c r="AY271" s="13"/>
      <c r="AZ271" s="18">
        <v>1</v>
      </c>
      <c r="BA271" s="18">
        <v>1</v>
      </c>
      <c r="BB271" s="18">
        <v>37.93</v>
      </c>
      <c r="BC271" s="18" t="s">
        <v>1212</v>
      </c>
      <c r="BD271" s="18" t="s">
        <v>1213</v>
      </c>
      <c r="BE271" s="18" t="s">
        <v>1214</v>
      </c>
      <c r="BF271" s="18" t="s">
        <v>77</v>
      </c>
      <c r="BG271" s="18">
        <v>1</v>
      </c>
      <c r="BH271" s="18">
        <v>26</v>
      </c>
      <c r="BI271" s="18">
        <v>0.037</v>
      </c>
      <c r="BJ271" s="18">
        <v>1</v>
      </c>
      <c r="BK271" s="18">
        <v>102</v>
      </c>
      <c r="BL271" s="18">
        <v>72.1</v>
      </c>
      <c r="BM271" s="13">
        <f t="shared" si="0"/>
        <v>328.68</v>
      </c>
    </row>
    <row r="272" customHeight="1" spans="1:65">
      <c r="A272" s="18" t="s">
        <v>2099</v>
      </c>
      <c r="B272" s="18" t="s">
        <v>125</v>
      </c>
      <c r="C272" s="13"/>
      <c r="D272" s="13"/>
      <c r="E272" s="18" t="s">
        <v>131</v>
      </c>
      <c r="F272" s="18" t="s">
        <v>240</v>
      </c>
      <c r="G272" s="18" t="s">
        <v>1197</v>
      </c>
      <c r="H272" s="18" t="s">
        <v>138</v>
      </c>
      <c r="I272" s="18" t="s">
        <v>85</v>
      </c>
      <c r="J272" s="18">
        <v>5</v>
      </c>
      <c r="K272" s="16">
        <v>29.88</v>
      </c>
      <c r="L272" s="10"/>
      <c r="M272" s="16">
        <v>0</v>
      </c>
      <c r="N272" s="16">
        <v>0</v>
      </c>
      <c r="O272" s="18">
        <v>0</v>
      </c>
      <c r="P272" s="18" t="s">
        <v>86</v>
      </c>
      <c r="Q272" s="18">
        <v>3.430109</v>
      </c>
      <c r="R272" s="16">
        <v>3.74</v>
      </c>
      <c r="S272" s="16">
        <v>40</v>
      </c>
      <c r="T272" s="16">
        <v>18</v>
      </c>
      <c r="U272" s="18" t="s">
        <v>2099</v>
      </c>
      <c r="V272" s="18" t="s">
        <v>125</v>
      </c>
      <c r="W272" s="13"/>
      <c r="X272" s="13"/>
      <c r="Y272" s="18" t="s">
        <v>131</v>
      </c>
      <c r="Z272" s="18" t="s">
        <v>240</v>
      </c>
      <c r="AA272" s="18" t="s">
        <v>1197</v>
      </c>
      <c r="AB272" s="18" t="s">
        <v>138</v>
      </c>
      <c r="AC272" s="18" t="s">
        <v>85</v>
      </c>
      <c r="AD272" s="18">
        <v>54.76</v>
      </c>
      <c r="AE272" s="18">
        <v>0</v>
      </c>
      <c r="AF272" s="18">
        <v>0</v>
      </c>
      <c r="AG272" s="18">
        <v>0</v>
      </c>
      <c r="AH272" s="18">
        <v>0</v>
      </c>
      <c r="AI272" s="18">
        <v>0</v>
      </c>
      <c r="AJ272" s="18">
        <v>0</v>
      </c>
      <c r="AK272" s="18">
        <v>0</v>
      </c>
      <c r="AL272" s="18">
        <v>0</v>
      </c>
      <c r="AM272" s="18">
        <v>0</v>
      </c>
      <c r="AN272" s="18">
        <v>0</v>
      </c>
      <c r="AO272" s="18">
        <v>0</v>
      </c>
      <c r="AP272" s="18">
        <v>0</v>
      </c>
      <c r="AQ272" s="18">
        <v>1</v>
      </c>
      <c r="AR272" s="18">
        <v>0</v>
      </c>
      <c r="AS272" s="18">
        <v>0</v>
      </c>
      <c r="AT272" s="18">
        <v>0</v>
      </c>
      <c r="AU272" s="18">
        <v>0</v>
      </c>
      <c r="AV272" s="18">
        <v>1</v>
      </c>
      <c r="AW272" s="18">
        <v>1</v>
      </c>
      <c r="AX272" s="18">
        <v>0</v>
      </c>
      <c r="AY272" s="18">
        <v>8</v>
      </c>
      <c r="AZ272" s="18">
        <v>1</v>
      </c>
      <c r="BA272" s="18">
        <v>1</v>
      </c>
      <c r="BB272" s="18">
        <v>57.11</v>
      </c>
      <c r="BC272" s="18" t="s">
        <v>1212</v>
      </c>
      <c r="BD272" s="13"/>
      <c r="BE272" s="13"/>
      <c r="BF272" s="13"/>
      <c r="BG272" s="18">
        <v>0</v>
      </c>
      <c r="BH272" s="18">
        <v>0</v>
      </c>
      <c r="BI272" s="13"/>
      <c r="BJ272" s="18">
        <v>0</v>
      </c>
      <c r="BK272" s="18">
        <v>6</v>
      </c>
      <c r="BL272" s="18">
        <v>98.4</v>
      </c>
      <c r="BM272" s="13">
        <f t="shared" si="0"/>
        <v>1195.2</v>
      </c>
    </row>
    <row r="273" customHeight="1" spans="1:65">
      <c r="A273" s="18" t="s">
        <v>1222</v>
      </c>
      <c r="B273" s="18" t="s">
        <v>125</v>
      </c>
      <c r="C273" s="13"/>
      <c r="D273" s="13"/>
      <c r="E273" s="18" t="s">
        <v>1223</v>
      </c>
      <c r="F273" s="18" t="s">
        <v>1224</v>
      </c>
      <c r="G273" s="18" t="s">
        <v>83</v>
      </c>
      <c r="H273" s="18" t="s">
        <v>138</v>
      </c>
      <c r="I273" s="18" t="s">
        <v>85</v>
      </c>
      <c r="J273" s="18">
        <v>5</v>
      </c>
      <c r="K273" s="16">
        <v>14.99</v>
      </c>
      <c r="L273" s="10"/>
      <c r="M273" s="16">
        <v>0</v>
      </c>
      <c r="N273" s="16">
        <v>0</v>
      </c>
      <c r="O273" s="18">
        <v>0</v>
      </c>
      <c r="P273" s="18" t="s">
        <v>133</v>
      </c>
      <c r="Q273" s="18">
        <v>2.771964</v>
      </c>
      <c r="R273" s="10"/>
      <c r="S273" s="16">
        <v>33</v>
      </c>
      <c r="T273" s="16">
        <v>10</v>
      </c>
      <c r="U273" s="18" t="s">
        <v>1222</v>
      </c>
      <c r="V273" s="18" t="s">
        <v>125</v>
      </c>
      <c r="W273" s="13"/>
      <c r="X273" s="13"/>
      <c r="Y273" s="18" t="s">
        <v>1223</v>
      </c>
      <c r="Z273" s="18" t="s">
        <v>1224</v>
      </c>
      <c r="AA273" s="18" t="s">
        <v>83</v>
      </c>
      <c r="AB273" s="18" t="s">
        <v>138</v>
      </c>
      <c r="AC273" s="18" t="s">
        <v>85</v>
      </c>
      <c r="AD273" s="18">
        <v>24.98</v>
      </c>
      <c r="AE273" s="18">
        <v>0</v>
      </c>
      <c r="AF273" s="18">
        <v>0</v>
      </c>
      <c r="AG273" s="18">
        <v>0</v>
      </c>
      <c r="AH273" s="18">
        <v>0</v>
      </c>
      <c r="AI273" s="18">
        <v>0</v>
      </c>
      <c r="AJ273" s="18">
        <v>0</v>
      </c>
      <c r="AK273" s="18">
        <v>0</v>
      </c>
      <c r="AL273" s="18">
        <v>0</v>
      </c>
      <c r="AM273" s="18">
        <v>0</v>
      </c>
      <c r="AN273" s="18">
        <v>0</v>
      </c>
      <c r="AO273" s="18">
        <v>0</v>
      </c>
      <c r="AP273" s="18">
        <v>0</v>
      </c>
      <c r="AQ273" s="18">
        <v>0</v>
      </c>
      <c r="AR273" s="18">
        <v>0</v>
      </c>
      <c r="AS273" s="18">
        <v>0</v>
      </c>
      <c r="AT273" s="18">
        <v>0</v>
      </c>
      <c r="AU273" s="18">
        <v>0</v>
      </c>
      <c r="AV273" s="18">
        <v>0</v>
      </c>
      <c r="AW273" s="18">
        <v>0</v>
      </c>
      <c r="AX273" s="18">
        <v>0</v>
      </c>
      <c r="AY273" s="13"/>
      <c r="AZ273" s="18">
        <v>6</v>
      </c>
      <c r="BA273" s="18">
        <v>1</v>
      </c>
      <c r="BB273" s="18">
        <v>58.06</v>
      </c>
      <c r="BC273" s="18" t="s">
        <v>1225</v>
      </c>
      <c r="BD273" s="18" t="s">
        <v>1226</v>
      </c>
      <c r="BE273" s="18" t="s">
        <v>1227</v>
      </c>
      <c r="BF273" s="18" t="s">
        <v>77</v>
      </c>
      <c r="BG273" s="18">
        <v>1</v>
      </c>
      <c r="BH273" s="18">
        <v>41</v>
      </c>
      <c r="BI273" s="18">
        <v>0.0238</v>
      </c>
      <c r="BJ273" s="18">
        <v>1</v>
      </c>
      <c r="BK273" s="18">
        <v>32</v>
      </c>
      <c r="BL273" s="18">
        <v>91.2</v>
      </c>
      <c r="BM273" s="13">
        <f t="shared" si="0"/>
        <v>494.67</v>
      </c>
    </row>
    <row r="274" customHeight="1" spans="1:65">
      <c r="A274" s="18" t="s">
        <v>1230</v>
      </c>
      <c r="B274" s="18" t="s">
        <v>819</v>
      </c>
      <c r="C274" s="18" t="s">
        <v>1231</v>
      </c>
      <c r="D274" s="18">
        <v>810083473673</v>
      </c>
      <c r="E274" s="18" t="s">
        <v>81</v>
      </c>
      <c r="F274" s="18" t="s">
        <v>82</v>
      </c>
      <c r="G274" s="18" t="s">
        <v>819</v>
      </c>
      <c r="H274" s="18" t="s">
        <v>102</v>
      </c>
      <c r="I274" s="18" t="s">
        <v>85</v>
      </c>
      <c r="J274" s="18">
        <v>5</v>
      </c>
      <c r="K274" s="16">
        <v>28.99</v>
      </c>
      <c r="L274" s="10"/>
      <c r="M274" s="16">
        <v>0</v>
      </c>
      <c r="N274" s="16">
        <v>0</v>
      </c>
      <c r="O274" s="18">
        <v>0</v>
      </c>
      <c r="P274" s="18" t="s">
        <v>86</v>
      </c>
      <c r="Q274" s="18">
        <v>3.400864</v>
      </c>
      <c r="R274" s="10"/>
      <c r="S274" s="16">
        <v>17</v>
      </c>
      <c r="T274" s="16">
        <v>10</v>
      </c>
      <c r="U274" s="18" t="s">
        <v>1230</v>
      </c>
      <c r="V274" s="18" t="s">
        <v>819</v>
      </c>
      <c r="W274" s="18" t="s">
        <v>1231</v>
      </c>
      <c r="X274" s="18">
        <v>810083473674</v>
      </c>
      <c r="Y274" s="18" t="s">
        <v>81</v>
      </c>
      <c r="Z274" s="18" t="s">
        <v>82</v>
      </c>
      <c r="AA274" s="18" t="s">
        <v>819</v>
      </c>
      <c r="AB274" s="18" t="s">
        <v>102</v>
      </c>
      <c r="AC274" s="18" t="s">
        <v>85</v>
      </c>
      <c r="AD274" s="18">
        <v>52.98</v>
      </c>
      <c r="AE274" s="18">
        <v>0</v>
      </c>
      <c r="AF274" s="18">
        <v>0</v>
      </c>
      <c r="AG274" s="18">
        <v>1</v>
      </c>
      <c r="AH274" s="18">
        <v>1</v>
      </c>
      <c r="AI274" s="18">
        <v>0</v>
      </c>
      <c r="AJ274" s="18">
        <v>0</v>
      </c>
      <c r="AK274" s="18">
        <v>0</v>
      </c>
      <c r="AL274" s="18">
        <v>0</v>
      </c>
      <c r="AM274" s="18">
        <v>0</v>
      </c>
      <c r="AN274" s="18">
        <v>0</v>
      </c>
      <c r="AO274" s="18">
        <v>0</v>
      </c>
      <c r="AP274" s="18">
        <v>0</v>
      </c>
      <c r="AQ274" s="18">
        <v>0</v>
      </c>
      <c r="AR274" s="18">
        <v>0</v>
      </c>
      <c r="AS274" s="18">
        <v>0</v>
      </c>
      <c r="AT274" s="18">
        <v>1</v>
      </c>
      <c r="AU274" s="18">
        <v>1</v>
      </c>
      <c r="AV274" s="18">
        <v>0</v>
      </c>
      <c r="AW274" s="18">
        <v>0</v>
      </c>
      <c r="AX274" s="18">
        <v>0</v>
      </c>
      <c r="AY274" s="13"/>
      <c r="AZ274" s="18">
        <v>1</v>
      </c>
      <c r="BA274" s="18">
        <v>1</v>
      </c>
      <c r="BB274" s="18">
        <v>54.37</v>
      </c>
      <c r="BC274" s="18" t="s">
        <v>1232</v>
      </c>
      <c r="BD274" s="18" t="s">
        <v>1233</v>
      </c>
      <c r="BE274" s="18" t="s">
        <v>113</v>
      </c>
      <c r="BF274" s="18" t="s">
        <v>77</v>
      </c>
      <c r="BG274" s="18">
        <v>168</v>
      </c>
      <c r="BH274" s="18">
        <v>11</v>
      </c>
      <c r="BI274" s="18">
        <v>0.9385</v>
      </c>
      <c r="BJ274" s="18">
        <v>0</v>
      </c>
      <c r="BK274" s="18">
        <v>10</v>
      </c>
      <c r="BL274" s="18">
        <v>97.3</v>
      </c>
      <c r="BM274" s="13">
        <f t="shared" si="0"/>
        <v>492.83</v>
      </c>
    </row>
    <row r="275" customHeight="1" spans="1:65">
      <c r="A275" s="18" t="s">
        <v>2358</v>
      </c>
      <c r="B275" s="18" t="s">
        <v>1174</v>
      </c>
      <c r="C275" s="18" t="s">
        <v>2359</v>
      </c>
      <c r="D275" s="13"/>
      <c r="E275" s="18" t="s">
        <v>239</v>
      </c>
      <c r="F275" s="18" t="s">
        <v>240</v>
      </c>
      <c r="G275" s="18" t="s">
        <v>83</v>
      </c>
      <c r="H275" s="18" t="s">
        <v>84</v>
      </c>
      <c r="I275" s="18" t="s">
        <v>153</v>
      </c>
      <c r="J275" s="18">
        <v>2</v>
      </c>
      <c r="K275" s="16">
        <v>259.99</v>
      </c>
      <c r="L275" s="10"/>
      <c r="M275" s="16">
        <v>0</v>
      </c>
      <c r="N275" s="16">
        <v>0</v>
      </c>
      <c r="O275" s="18">
        <v>0</v>
      </c>
      <c r="P275" s="18" t="s">
        <v>71</v>
      </c>
      <c r="Q275" s="18">
        <v>5.564482</v>
      </c>
      <c r="R275" s="10"/>
      <c r="S275" s="10"/>
      <c r="T275" s="10"/>
      <c r="U275" s="18" t="s">
        <v>2358</v>
      </c>
      <c r="V275" s="18" t="s">
        <v>1174</v>
      </c>
      <c r="W275" s="18" t="s">
        <v>2359</v>
      </c>
      <c r="X275" s="13"/>
      <c r="Y275" s="18" t="s">
        <v>239</v>
      </c>
      <c r="Z275" s="18" t="s">
        <v>240</v>
      </c>
      <c r="AA275" s="18" t="s">
        <v>83</v>
      </c>
      <c r="AB275" s="18" t="s">
        <v>84</v>
      </c>
      <c r="AC275" s="18" t="s">
        <v>153</v>
      </c>
      <c r="AD275" s="18">
        <v>517.98</v>
      </c>
      <c r="AE275" s="18">
        <v>0</v>
      </c>
      <c r="AF275" s="18">
        <v>0</v>
      </c>
      <c r="AG275" s="18">
        <v>0</v>
      </c>
      <c r="AH275" s="18">
        <v>0</v>
      </c>
      <c r="AI275" s="18">
        <v>0</v>
      </c>
      <c r="AJ275" s="18">
        <v>0</v>
      </c>
      <c r="AK275" s="18">
        <v>0</v>
      </c>
      <c r="AL275" s="18">
        <v>0</v>
      </c>
      <c r="AM275" s="18">
        <v>0</v>
      </c>
      <c r="AN275" s="18">
        <v>0</v>
      </c>
      <c r="AO275" s="18">
        <v>0</v>
      </c>
      <c r="AP275" s="18">
        <v>0</v>
      </c>
      <c r="AQ275" s="18">
        <v>1</v>
      </c>
      <c r="AR275" s="18">
        <v>0</v>
      </c>
      <c r="AS275" s="18">
        <v>0</v>
      </c>
      <c r="AT275" s="18">
        <v>0</v>
      </c>
      <c r="AU275" s="18">
        <v>0</v>
      </c>
      <c r="AV275" s="18">
        <v>1</v>
      </c>
      <c r="AW275" s="18">
        <v>0</v>
      </c>
      <c r="AX275" s="18">
        <v>0</v>
      </c>
      <c r="AY275" s="13"/>
      <c r="AZ275" s="18">
        <v>1</v>
      </c>
      <c r="BA275" s="18">
        <v>1</v>
      </c>
      <c r="BB275" s="18">
        <v>0</v>
      </c>
      <c r="BC275" s="18" t="s">
        <v>1236</v>
      </c>
      <c r="BD275" s="18" t="s">
        <v>1237</v>
      </c>
      <c r="BE275" s="18" t="s">
        <v>1110</v>
      </c>
      <c r="BF275" s="18" t="s">
        <v>77</v>
      </c>
      <c r="BG275" s="18">
        <v>162</v>
      </c>
      <c r="BH275" s="18">
        <v>60</v>
      </c>
      <c r="BI275" s="18">
        <v>0.7297</v>
      </c>
      <c r="BJ275" s="18">
        <v>0</v>
      </c>
      <c r="BK275" s="18">
        <v>562</v>
      </c>
      <c r="BL275" s="18">
        <v>0</v>
      </c>
      <c r="BM275" s="13">
        <f t="shared" si="0"/>
        <v>0</v>
      </c>
    </row>
    <row r="276" customHeight="1" spans="1:65">
      <c r="A276" s="18" t="s">
        <v>1234</v>
      </c>
      <c r="B276" s="18" t="s">
        <v>1235</v>
      </c>
      <c r="C276" s="13"/>
      <c r="D276" s="13"/>
      <c r="E276" s="18" t="s">
        <v>67</v>
      </c>
      <c r="F276" s="18" t="s">
        <v>240</v>
      </c>
      <c r="G276" s="18" t="s">
        <v>83</v>
      </c>
      <c r="H276" s="18" t="s">
        <v>84</v>
      </c>
      <c r="I276" s="18" t="s">
        <v>153</v>
      </c>
      <c r="J276" s="18">
        <v>2</v>
      </c>
      <c r="K276" s="16">
        <v>120.99</v>
      </c>
      <c r="L276" s="10"/>
      <c r="M276" s="16">
        <v>0</v>
      </c>
      <c r="N276" s="16">
        <v>0</v>
      </c>
      <c r="O276" s="18">
        <v>0</v>
      </c>
      <c r="P276" s="18" t="s">
        <v>95</v>
      </c>
      <c r="Q276" s="18">
        <v>4.803939</v>
      </c>
      <c r="R276" s="16">
        <v>7.56</v>
      </c>
      <c r="S276" s="16">
        <v>7</v>
      </c>
      <c r="T276" s="16">
        <v>2</v>
      </c>
      <c r="U276" s="18" t="s">
        <v>1234</v>
      </c>
      <c r="V276" s="18" t="s">
        <v>1235</v>
      </c>
      <c r="W276" s="13"/>
      <c r="X276" s="13"/>
      <c r="Y276" s="18" t="s">
        <v>67</v>
      </c>
      <c r="Z276" s="18" t="s">
        <v>240</v>
      </c>
      <c r="AA276" s="18" t="s">
        <v>83</v>
      </c>
      <c r="AB276" s="18" t="s">
        <v>84</v>
      </c>
      <c r="AC276" s="18" t="s">
        <v>153</v>
      </c>
      <c r="AD276" s="18">
        <v>239.98</v>
      </c>
      <c r="AE276" s="18">
        <v>0</v>
      </c>
      <c r="AF276" s="18">
        <v>0</v>
      </c>
      <c r="AG276" s="18">
        <v>0</v>
      </c>
      <c r="AH276" s="18">
        <v>0</v>
      </c>
      <c r="AI276" s="18">
        <v>0</v>
      </c>
      <c r="AJ276" s="18">
        <v>0</v>
      </c>
      <c r="AK276" s="18">
        <v>0</v>
      </c>
      <c r="AL276" s="18">
        <v>0</v>
      </c>
      <c r="AM276" s="18">
        <v>0</v>
      </c>
      <c r="AN276" s="18">
        <v>0</v>
      </c>
      <c r="AO276" s="18">
        <v>0</v>
      </c>
      <c r="AP276" s="18">
        <v>0</v>
      </c>
      <c r="AQ276" s="18">
        <v>0</v>
      </c>
      <c r="AR276" s="18">
        <v>0</v>
      </c>
      <c r="AS276" s="18">
        <v>0</v>
      </c>
      <c r="AT276" s="18">
        <v>0</v>
      </c>
      <c r="AU276" s="18">
        <v>0</v>
      </c>
      <c r="AV276" s="18">
        <v>1</v>
      </c>
      <c r="AW276" s="18">
        <v>1</v>
      </c>
      <c r="AX276" s="18">
        <v>0</v>
      </c>
      <c r="AY276" s="18">
        <v>16</v>
      </c>
      <c r="AZ276" s="18">
        <v>1</v>
      </c>
      <c r="BA276" s="18">
        <v>0</v>
      </c>
      <c r="BB276" s="18">
        <v>31.11</v>
      </c>
      <c r="BC276" s="18" t="s">
        <v>1236</v>
      </c>
      <c r="BD276" s="18" t="s">
        <v>1237</v>
      </c>
      <c r="BE276" s="18" t="s">
        <v>1110</v>
      </c>
      <c r="BF276" s="18" t="s">
        <v>77</v>
      </c>
      <c r="BG276" s="18">
        <v>162</v>
      </c>
      <c r="BH276" s="18">
        <v>60</v>
      </c>
      <c r="BI276" s="18">
        <v>0.7297</v>
      </c>
      <c r="BJ276" s="18">
        <v>0</v>
      </c>
      <c r="BK276" s="18">
        <v>754</v>
      </c>
      <c r="BL276" s="18">
        <v>0</v>
      </c>
      <c r="BM276" s="13">
        <f t="shared" si="0"/>
        <v>846.93</v>
      </c>
    </row>
    <row r="277" customHeight="1" spans="1:65">
      <c r="A277" s="18" t="s">
        <v>1238</v>
      </c>
      <c r="B277" s="18" t="s">
        <v>125</v>
      </c>
      <c r="C277" s="13"/>
      <c r="D277" s="13"/>
      <c r="E277" s="18" t="s">
        <v>1239</v>
      </c>
      <c r="F277" s="18" t="s">
        <v>132</v>
      </c>
      <c r="G277" s="18" t="s">
        <v>83</v>
      </c>
      <c r="H277" s="18" t="s">
        <v>138</v>
      </c>
      <c r="I277" s="18" t="s">
        <v>85</v>
      </c>
      <c r="J277" s="18">
        <v>5</v>
      </c>
      <c r="K277" s="16">
        <v>178</v>
      </c>
      <c r="L277" s="10"/>
      <c r="M277" s="16">
        <v>0</v>
      </c>
      <c r="N277" s="16">
        <v>0</v>
      </c>
      <c r="O277" s="18">
        <v>0</v>
      </c>
      <c r="P277" s="18" t="s">
        <v>95</v>
      </c>
      <c r="Q277" s="18">
        <v>5.187386</v>
      </c>
      <c r="R277" s="10"/>
      <c r="S277" s="16">
        <v>14</v>
      </c>
      <c r="T277" s="16">
        <v>3</v>
      </c>
      <c r="U277" s="18" t="s">
        <v>1238</v>
      </c>
      <c r="V277" s="18" t="s">
        <v>125</v>
      </c>
      <c r="W277" s="13"/>
      <c r="X277" s="13"/>
      <c r="Y277" s="18" t="s">
        <v>1239</v>
      </c>
      <c r="Z277" s="18" t="s">
        <v>132</v>
      </c>
      <c r="AA277" s="18" t="s">
        <v>83</v>
      </c>
      <c r="AB277" s="18" t="s">
        <v>138</v>
      </c>
      <c r="AC277" s="18" t="s">
        <v>85</v>
      </c>
      <c r="AD277" s="18">
        <v>351</v>
      </c>
      <c r="AE277" s="18">
        <v>0</v>
      </c>
      <c r="AF277" s="18">
        <v>0</v>
      </c>
      <c r="AG277" s="18">
        <v>0</v>
      </c>
      <c r="AH277" s="18">
        <v>0</v>
      </c>
      <c r="AI277" s="18">
        <v>0</v>
      </c>
      <c r="AJ277" s="18">
        <v>0</v>
      </c>
      <c r="AK277" s="18">
        <v>0</v>
      </c>
      <c r="AL277" s="18">
        <v>0</v>
      </c>
      <c r="AM277" s="18">
        <v>0</v>
      </c>
      <c r="AN277" s="18">
        <v>0</v>
      </c>
      <c r="AO277" s="18">
        <v>0</v>
      </c>
      <c r="AP277" s="18">
        <v>0</v>
      </c>
      <c r="AQ277" s="18">
        <v>0</v>
      </c>
      <c r="AR277" s="18">
        <v>0</v>
      </c>
      <c r="AS277" s="18">
        <v>0</v>
      </c>
      <c r="AT277" s="18">
        <v>0</v>
      </c>
      <c r="AU277" s="18">
        <v>0</v>
      </c>
      <c r="AV277" s="18">
        <v>0</v>
      </c>
      <c r="AW277" s="18">
        <v>0</v>
      </c>
      <c r="AX277" s="18">
        <v>0</v>
      </c>
      <c r="AY277" s="13"/>
      <c r="AZ277" s="18">
        <v>1</v>
      </c>
      <c r="BA277" s="18">
        <v>0</v>
      </c>
      <c r="BB277" s="18">
        <v>62.04</v>
      </c>
      <c r="BC277" s="18" t="s">
        <v>1240</v>
      </c>
      <c r="BD277" s="18" t="s">
        <v>180</v>
      </c>
      <c r="BE277" s="18" t="s">
        <v>113</v>
      </c>
      <c r="BF277" s="18" t="s">
        <v>77</v>
      </c>
      <c r="BG277" s="18">
        <v>168</v>
      </c>
      <c r="BH277" s="18">
        <v>54</v>
      </c>
      <c r="BI277" s="18">
        <v>0.7568</v>
      </c>
      <c r="BJ277" s="18">
        <v>0</v>
      </c>
      <c r="BK277" s="18">
        <v>11</v>
      </c>
      <c r="BL277" s="18">
        <v>97</v>
      </c>
      <c r="BM277" s="13">
        <f t="shared" si="0"/>
        <v>2492</v>
      </c>
    </row>
    <row r="278" customHeight="1" spans="1:65">
      <c r="A278" s="18" t="s">
        <v>1241</v>
      </c>
      <c r="B278" s="18" t="s">
        <v>1242</v>
      </c>
      <c r="C278" s="13"/>
      <c r="D278" s="13"/>
      <c r="E278" s="18" t="s">
        <v>1243</v>
      </c>
      <c r="F278" s="18" t="s">
        <v>240</v>
      </c>
      <c r="G278" s="18" t="s">
        <v>83</v>
      </c>
      <c r="H278" s="18" t="s">
        <v>84</v>
      </c>
      <c r="I278" s="18" t="s">
        <v>153</v>
      </c>
      <c r="J278" s="18">
        <v>2</v>
      </c>
      <c r="K278" s="16">
        <v>324.85</v>
      </c>
      <c r="L278" s="10"/>
      <c r="M278" s="16">
        <v>0</v>
      </c>
      <c r="N278" s="16">
        <v>0</v>
      </c>
      <c r="O278" s="18">
        <v>0</v>
      </c>
      <c r="P278" s="18" t="s">
        <v>71</v>
      </c>
      <c r="Q278" s="18">
        <v>5.786437</v>
      </c>
      <c r="R278" s="16">
        <v>13.54</v>
      </c>
      <c r="S278" s="16">
        <v>1</v>
      </c>
      <c r="T278" s="16">
        <v>1</v>
      </c>
      <c r="U278" s="18" t="s">
        <v>1241</v>
      </c>
      <c r="V278" s="18" t="s">
        <v>1242</v>
      </c>
      <c r="W278" s="13"/>
      <c r="X278" s="13"/>
      <c r="Y278" s="18" t="s">
        <v>1243</v>
      </c>
      <c r="Z278" s="18" t="s">
        <v>240</v>
      </c>
      <c r="AA278" s="18" t="s">
        <v>83</v>
      </c>
      <c r="AB278" s="18" t="s">
        <v>84</v>
      </c>
      <c r="AC278" s="18" t="s">
        <v>153</v>
      </c>
      <c r="AD278" s="18">
        <v>647.7</v>
      </c>
      <c r="AE278" s="18">
        <v>0</v>
      </c>
      <c r="AF278" s="18">
        <v>0</v>
      </c>
      <c r="AG278" s="18">
        <v>0</v>
      </c>
      <c r="AH278" s="18">
        <v>0</v>
      </c>
      <c r="AI278" s="18">
        <v>0</v>
      </c>
      <c r="AJ278" s="18">
        <v>0</v>
      </c>
      <c r="AK278" s="18">
        <v>0</v>
      </c>
      <c r="AL278" s="18">
        <v>0</v>
      </c>
      <c r="AM278" s="18">
        <v>0</v>
      </c>
      <c r="AN278" s="18">
        <v>0</v>
      </c>
      <c r="AO278" s="18">
        <v>0</v>
      </c>
      <c r="AP278" s="18">
        <v>0</v>
      </c>
      <c r="AQ278" s="18">
        <v>1</v>
      </c>
      <c r="AR278" s="18">
        <v>0</v>
      </c>
      <c r="AS278" s="18">
        <v>0</v>
      </c>
      <c r="AT278" s="18">
        <v>0</v>
      </c>
      <c r="AU278" s="18">
        <v>0</v>
      </c>
      <c r="AV278" s="18">
        <v>1</v>
      </c>
      <c r="AW278" s="18">
        <v>1</v>
      </c>
      <c r="AX278" s="18">
        <v>0</v>
      </c>
      <c r="AY278" s="18">
        <v>24</v>
      </c>
      <c r="AZ278" s="18">
        <v>1</v>
      </c>
      <c r="BA278" s="18">
        <v>1</v>
      </c>
      <c r="BB278" s="18">
        <v>20</v>
      </c>
      <c r="BC278" s="18" t="s">
        <v>1244</v>
      </c>
      <c r="BD278" s="18" t="s">
        <v>1245</v>
      </c>
      <c r="BE278" s="18" t="s">
        <v>76</v>
      </c>
      <c r="BF278" s="18" t="s">
        <v>77</v>
      </c>
      <c r="BG278" s="18">
        <v>167</v>
      </c>
      <c r="BH278" s="18">
        <v>11</v>
      </c>
      <c r="BI278" s="18">
        <v>0.9382</v>
      </c>
      <c r="BJ278" s="18">
        <v>0</v>
      </c>
      <c r="BK278" s="13"/>
      <c r="BL278" s="13"/>
      <c r="BM278" s="13">
        <f t="shared" si="0"/>
        <v>324.85</v>
      </c>
    </row>
    <row r="279" customHeight="1" spans="1:65">
      <c r="A279" s="18" t="s">
        <v>1246</v>
      </c>
      <c r="B279" s="18" t="s">
        <v>125</v>
      </c>
      <c r="C279" s="13"/>
      <c r="D279" s="13"/>
      <c r="E279" s="19" t="s">
        <v>1247</v>
      </c>
      <c r="F279" s="18" t="s">
        <v>198</v>
      </c>
      <c r="G279" s="18" t="s">
        <v>83</v>
      </c>
      <c r="H279" s="18" t="s">
        <v>138</v>
      </c>
      <c r="I279" s="18" t="s">
        <v>85</v>
      </c>
      <c r="J279" s="18">
        <v>5</v>
      </c>
      <c r="K279" s="16">
        <v>18.04</v>
      </c>
      <c r="L279" s="10"/>
      <c r="M279" s="16">
        <v>0</v>
      </c>
      <c r="N279" s="16">
        <v>0</v>
      </c>
      <c r="O279" s="18">
        <v>0</v>
      </c>
      <c r="P279" s="18" t="s">
        <v>133</v>
      </c>
      <c r="Q279" s="18">
        <v>2.946542</v>
      </c>
      <c r="R279" s="10"/>
      <c r="S279" s="16">
        <v>7</v>
      </c>
      <c r="T279" s="16">
        <v>10</v>
      </c>
      <c r="U279" s="18" t="s">
        <v>2603</v>
      </c>
      <c r="V279" s="18" t="s">
        <v>125</v>
      </c>
      <c r="W279" s="13"/>
      <c r="X279" s="13"/>
      <c r="Y279" s="19" t="s">
        <v>1247</v>
      </c>
      <c r="Z279" s="18" t="s">
        <v>198</v>
      </c>
      <c r="AA279" s="18" t="s">
        <v>83</v>
      </c>
      <c r="AB279" s="18" t="s">
        <v>138</v>
      </c>
      <c r="AC279" s="18" t="s">
        <v>85</v>
      </c>
      <c r="AD279" s="18">
        <v>31.08</v>
      </c>
      <c r="AE279" s="18">
        <v>0</v>
      </c>
      <c r="AF279" s="18">
        <v>0</v>
      </c>
      <c r="AG279" s="18">
        <v>0</v>
      </c>
      <c r="AH279" s="18">
        <v>1</v>
      </c>
      <c r="AI279" s="18">
        <v>0</v>
      </c>
      <c r="AJ279" s="18">
        <v>0</v>
      </c>
      <c r="AK279" s="18">
        <v>0</v>
      </c>
      <c r="AL279" s="18">
        <v>0</v>
      </c>
      <c r="AM279" s="18">
        <v>0</v>
      </c>
      <c r="AN279" s="18">
        <v>0</v>
      </c>
      <c r="AO279" s="18">
        <v>0</v>
      </c>
      <c r="AP279" s="18">
        <v>0</v>
      </c>
      <c r="AQ279" s="18">
        <v>0</v>
      </c>
      <c r="AR279" s="18">
        <v>0</v>
      </c>
      <c r="AS279" s="18">
        <v>0</v>
      </c>
      <c r="AT279" s="18">
        <v>1</v>
      </c>
      <c r="AU279" s="18">
        <v>1</v>
      </c>
      <c r="AV279" s="18">
        <v>0</v>
      </c>
      <c r="AW279" s="18">
        <v>0</v>
      </c>
      <c r="AX279" s="18">
        <v>0</v>
      </c>
      <c r="AY279" s="13"/>
      <c r="AZ279" s="18">
        <v>1</v>
      </c>
      <c r="BA279" s="18">
        <v>1</v>
      </c>
      <c r="BB279" s="18">
        <v>44.91</v>
      </c>
      <c r="BC279" s="18" t="s">
        <v>1248</v>
      </c>
      <c r="BD279" s="18" t="s">
        <v>150</v>
      </c>
      <c r="BE279" s="18" t="s">
        <v>150</v>
      </c>
      <c r="BF279" s="18" t="s">
        <v>77</v>
      </c>
      <c r="BG279" s="18">
        <v>1</v>
      </c>
      <c r="BH279" s="18">
        <v>100</v>
      </c>
      <c r="BI279" s="18">
        <v>0.0099</v>
      </c>
      <c r="BJ279" s="18">
        <v>1</v>
      </c>
      <c r="BK279" s="18">
        <v>19</v>
      </c>
      <c r="BL279" s="18">
        <v>94.8</v>
      </c>
      <c r="BM279" s="13">
        <f t="shared" si="0"/>
        <v>126.28</v>
      </c>
    </row>
    <row r="280" customHeight="1" spans="1:65">
      <c r="A280" s="18" t="s">
        <v>1251</v>
      </c>
      <c r="B280" s="18" t="s">
        <v>1252</v>
      </c>
      <c r="C280" s="18" t="s">
        <v>1253</v>
      </c>
      <c r="D280" s="18">
        <v>4895230324233</v>
      </c>
      <c r="E280" s="18" t="s">
        <v>872</v>
      </c>
      <c r="F280" s="18" t="s">
        <v>82</v>
      </c>
      <c r="G280" s="18" t="s">
        <v>346</v>
      </c>
      <c r="H280" s="18" t="s">
        <v>84</v>
      </c>
      <c r="I280" s="18" t="s">
        <v>85</v>
      </c>
      <c r="J280" s="18">
        <v>5</v>
      </c>
      <c r="K280" s="16">
        <v>26.99</v>
      </c>
      <c r="L280" s="10"/>
      <c r="M280" s="16">
        <v>0</v>
      </c>
      <c r="N280" s="16">
        <v>0</v>
      </c>
      <c r="O280" s="18">
        <v>0</v>
      </c>
      <c r="P280" s="18" t="s">
        <v>86</v>
      </c>
      <c r="Q280" s="18">
        <v>3.331847</v>
      </c>
      <c r="R280" s="10"/>
      <c r="S280" s="16">
        <v>185</v>
      </c>
      <c r="T280" s="16">
        <v>10</v>
      </c>
      <c r="U280" s="18" t="s">
        <v>1251</v>
      </c>
      <c r="V280" s="18" t="s">
        <v>1252</v>
      </c>
      <c r="W280" s="18" t="s">
        <v>1253</v>
      </c>
      <c r="X280" s="18">
        <v>4895230324234</v>
      </c>
      <c r="Y280" s="18" t="s">
        <v>872</v>
      </c>
      <c r="Z280" s="18" t="s">
        <v>82</v>
      </c>
      <c r="AA280" s="18" t="s">
        <v>346</v>
      </c>
      <c r="AB280" s="18" t="s">
        <v>84</v>
      </c>
      <c r="AC280" s="18" t="s">
        <v>85</v>
      </c>
      <c r="AD280" s="18">
        <v>48.98</v>
      </c>
      <c r="AE280" s="18">
        <v>0</v>
      </c>
      <c r="AF280" s="18">
        <v>1</v>
      </c>
      <c r="AG280" s="18">
        <v>0</v>
      </c>
      <c r="AH280" s="18">
        <v>0</v>
      </c>
      <c r="AI280" s="18">
        <v>0</v>
      </c>
      <c r="AJ280" s="18">
        <v>0</v>
      </c>
      <c r="AK280" s="18">
        <v>0</v>
      </c>
      <c r="AL280" s="18">
        <v>0</v>
      </c>
      <c r="AM280" s="18">
        <v>0</v>
      </c>
      <c r="AN280" s="18">
        <v>0</v>
      </c>
      <c r="AO280" s="18">
        <v>0</v>
      </c>
      <c r="AP280" s="18">
        <v>0</v>
      </c>
      <c r="AQ280" s="18">
        <v>0</v>
      </c>
      <c r="AR280" s="18">
        <v>0</v>
      </c>
      <c r="AS280" s="18">
        <v>0</v>
      </c>
      <c r="AT280" s="18">
        <v>1</v>
      </c>
      <c r="AU280" s="18">
        <v>0</v>
      </c>
      <c r="AV280" s="18">
        <v>0</v>
      </c>
      <c r="AW280" s="18">
        <v>1</v>
      </c>
      <c r="AX280" s="18">
        <v>0</v>
      </c>
      <c r="AY280" s="13"/>
      <c r="AZ280" s="18">
        <v>2</v>
      </c>
      <c r="BA280" s="18">
        <v>0</v>
      </c>
      <c r="BB280" s="18">
        <v>67.71</v>
      </c>
      <c r="BC280" s="18" t="s">
        <v>1254</v>
      </c>
      <c r="BD280" s="18" t="s">
        <v>1255</v>
      </c>
      <c r="BE280" s="18" t="s">
        <v>1256</v>
      </c>
      <c r="BF280" s="18" t="s">
        <v>77</v>
      </c>
      <c r="BG280" s="18">
        <v>1</v>
      </c>
      <c r="BH280" s="18">
        <v>27</v>
      </c>
      <c r="BI280" s="18">
        <v>0.0357</v>
      </c>
      <c r="BJ280" s="18">
        <v>1</v>
      </c>
      <c r="BK280" s="18">
        <v>3</v>
      </c>
      <c r="BL280" s="18">
        <v>99.2</v>
      </c>
      <c r="BM280" s="13">
        <f t="shared" si="0"/>
        <v>4993.15</v>
      </c>
    </row>
    <row r="281" customHeight="1" spans="1:65">
      <c r="A281" s="18" t="s">
        <v>1257</v>
      </c>
      <c r="B281" s="18" t="s">
        <v>144</v>
      </c>
      <c r="C281" s="13"/>
      <c r="D281" s="13"/>
      <c r="E281" s="18" t="s">
        <v>645</v>
      </c>
      <c r="F281" s="18" t="s">
        <v>132</v>
      </c>
      <c r="G281" s="18" t="s">
        <v>83</v>
      </c>
      <c r="H281" s="18" t="s">
        <v>84</v>
      </c>
      <c r="I281" s="18" t="s">
        <v>85</v>
      </c>
      <c r="J281" s="18">
        <v>5</v>
      </c>
      <c r="K281" s="16">
        <v>12.99</v>
      </c>
      <c r="L281" s="10"/>
      <c r="M281" s="16">
        <v>0</v>
      </c>
      <c r="N281" s="16">
        <v>0</v>
      </c>
      <c r="O281" s="18">
        <v>0</v>
      </c>
      <c r="P281" s="18" t="s">
        <v>133</v>
      </c>
      <c r="Q281" s="18">
        <v>2.638343</v>
      </c>
      <c r="R281" s="10"/>
      <c r="S281" s="16">
        <v>257</v>
      </c>
      <c r="T281" s="16">
        <v>10</v>
      </c>
      <c r="U281" s="18" t="s">
        <v>2604</v>
      </c>
      <c r="V281" s="18" t="s">
        <v>144</v>
      </c>
      <c r="W281" s="13"/>
      <c r="X281" s="13"/>
      <c r="Y281" s="18" t="s">
        <v>645</v>
      </c>
      <c r="Z281" s="18" t="s">
        <v>132</v>
      </c>
      <c r="AA281" s="18" t="s">
        <v>83</v>
      </c>
      <c r="AB281" s="18" t="s">
        <v>84</v>
      </c>
      <c r="AC281" s="18" t="s">
        <v>85</v>
      </c>
      <c r="AD281" s="18">
        <v>20.98</v>
      </c>
      <c r="AE281" s="18">
        <v>0</v>
      </c>
      <c r="AF281" s="18">
        <v>0</v>
      </c>
      <c r="AG281" s="18">
        <v>0</v>
      </c>
      <c r="AH281" s="18">
        <v>0</v>
      </c>
      <c r="AI281" s="18">
        <v>0</v>
      </c>
      <c r="AJ281" s="18">
        <v>0</v>
      </c>
      <c r="AK281" s="18">
        <v>0</v>
      </c>
      <c r="AL281" s="18">
        <v>0</v>
      </c>
      <c r="AM281" s="18">
        <v>0</v>
      </c>
      <c r="AN281" s="18">
        <v>0</v>
      </c>
      <c r="AO281" s="18">
        <v>0</v>
      </c>
      <c r="AP281" s="18">
        <v>0</v>
      </c>
      <c r="AQ281" s="18">
        <v>0</v>
      </c>
      <c r="AR281" s="18">
        <v>0</v>
      </c>
      <c r="AS281" s="18">
        <v>0</v>
      </c>
      <c r="AT281" s="18">
        <v>0</v>
      </c>
      <c r="AU281" s="18">
        <v>0</v>
      </c>
      <c r="AV281" s="18">
        <v>0</v>
      </c>
      <c r="AW281" s="18">
        <v>0</v>
      </c>
      <c r="AX281" s="18">
        <v>0</v>
      </c>
      <c r="AY281" s="13"/>
      <c r="AZ281" s="18">
        <v>1</v>
      </c>
      <c r="BA281" s="18">
        <v>0</v>
      </c>
      <c r="BB281" s="18">
        <v>62.65</v>
      </c>
      <c r="BC281" s="18" t="s">
        <v>1258</v>
      </c>
      <c r="BD281" s="18" t="s">
        <v>916</v>
      </c>
      <c r="BE281" s="18" t="s">
        <v>113</v>
      </c>
      <c r="BF281" s="18" t="s">
        <v>77</v>
      </c>
      <c r="BG281" s="18">
        <v>168</v>
      </c>
      <c r="BH281" s="18">
        <v>11</v>
      </c>
      <c r="BI281" s="18">
        <v>0.9385</v>
      </c>
      <c r="BJ281" s="18">
        <v>0</v>
      </c>
      <c r="BK281" s="18">
        <v>71</v>
      </c>
      <c r="BL281" s="18">
        <v>80.5</v>
      </c>
      <c r="BM281" s="13">
        <f t="shared" si="0"/>
        <v>3338.43</v>
      </c>
    </row>
    <row r="282" customHeight="1" spans="1:65">
      <c r="A282" s="18" t="s">
        <v>2456</v>
      </c>
      <c r="B282" s="18" t="s">
        <v>215</v>
      </c>
      <c r="C282" s="18" t="s">
        <v>2457</v>
      </c>
      <c r="D282" s="18">
        <v>845832018287</v>
      </c>
      <c r="E282" s="18" t="s">
        <v>2458</v>
      </c>
      <c r="F282" s="18" t="s">
        <v>132</v>
      </c>
      <c r="G282" s="18" t="s">
        <v>83</v>
      </c>
      <c r="H282" s="18" t="s">
        <v>84</v>
      </c>
      <c r="I282" s="18" t="s">
        <v>85</v>
      </c>
      <c r="J282" s="18">
        <v>5</v>
      </c>
      <c r="K282" s="16">
        <v>8.99</v>
      </c>
      <c r="L282" s="10"/>
      <c r="M282" s="16">
        <v>0</v>
      </c>
      <c r="N282" s="16">
        <v>0</v>
      </c>
      <c r="O282" s="18">
        <v>0</v>
      </c>
      <c r="P282" s="18" t="s">
        <v>133</v>
      </c>
      <c r="Q282" s="18">
        <v>2.301585</v>
      </c>
      <c r="R282" s="10"/>
      <c r="S282" s="16">
        <v>1250</v>
      </c>
      <c r="T282" s="16">
        <v>10</v>
      </c>
      <c r="U282" s="18" t="s">
        <v>2456</v>
      </c>
      <c r="V282" s="18" t="s">
        <v>215</v>
      </c>
      <c r="W282" s="18" t="s">
        <v>2457</v>
      </c>
      <c r="X282" s="18">
        <v>845832018288</v>
      </c>
      <c r="Y282" s="18" t="s">
        <v>2458</v>
      </c>
      <c r="Z282" s="18" t="s">
        <v>132</v>
      </c>
      <c r="AA282" s="18" t="s">
        <v>83</v>
      </c>
      <c r="AB282" s="18" t="s">
        <v>84</v>
      </c>
      <c r="AC282" s="18" t="s">
        <v>85</v>
      </c>
      <c r="AD282" s="18">
        <v>12.98</v>
      </c>
      <c r="AE282" s="18">
        <v>0</v>
      </c>
      <c r="AF282" s="18">
        <v>0</v>
      </c>
      <c r="AG282" s="18">
        <v>0</v>
      </c>
      <c r="AH282" s="18">
        <v>0</v>
      </c>
      <c r="AI282" s="18">
        <v>0</v>
      </c>
      <c r="AJ282" s="18">
        <v>0</v>
      </c>
      <c r="AK282" s="18">
        <v>0</v>
      </c>
      <c r="AL282" s="18">
        <v>0</v>
      </c>
      <c r="AM282" s="18">
        <v>0</v>
      </c>
      <c r="AN282" s="18">
        <v>0</v>
      </c>
      <c r="AO282" s="18">
        <v>0</v>
      </c>
      <c r="AP282" s="18">
        <v>0</v>
      </c>
      <c r="AQ282" s="18">
        <v>1</v>
      </c>
      <c r="AR282" s="18">
        <v>0</v>
      </c>
      <c r="AS282" s="18">
        <v>0</v>
      </c>
      <c r="AT282" s="18">
        <v>0</v>
      </c>
      <c r="AU282" s="18">
        <v>0</v>
      </c>
      <c r="AV282" s="18">
        <v>1</v>
      </c>
      <c r="AW282" s="18">
        <v>0</v>
      </c>
      <c r="AX282" s="18">
        <v>0</v>
      </c>
      <c r="AY282" s="13"/>
      <c r="AZ282" s="18">
        <v>1</v>
      </c>
      <c r="BA282" s="18">
        <v>1</v>
      </c>
      <c r="BB282" s="18">
        <v>69.53</v>
      </c>
      <c r="BC282" s="18" t="s">
        <v>218</v>
      </c>
      <c r="BD282" s="18" t="s">
        <v>219</v>
      </c>
      <c r="BE282" s="18" t="s">
        <v>690</v>
      </c>
      <c r="BF282" s="18" t="s">
        <v>77</v>
      </c>
      <c r="BG282" s="18">
        <v>168</v>
      </c>
      <c r="BH282" s="18">
        <v>11</v>
      </c>
      <c r="BI282" s="18">
        <v>0.9385</v>
      </c>
      <c r="BJ282" s="18">
        <v>0</v>
      </c>
      <c r="BK282" s="18">
        <v>2</v>
      </c>
      <c r="BL282" s="18">
        <v>99.5</v>
      </c>
      <c r="BM282" s="13">
        <f t="shared" si="0"/>
        <v>11237.5</v>
      </c>
    </row>
    <row r="283" customHeight="1" spans="1:65">
      <c r="A283" s="18" t="s">
        <v>688</v>
      </c>
      <c r="B283" s="18" t="s">
        <v>144</v>
      </c>
      <c r="C283" s="18" t="s">
        <v>689</v>
      </c>
      <c r="D283" s="18">
        <v>845832018430</v>
      </c>
      <c r="E283" s="18" t="s">
        <v>217</v>
      </c>
      <c r="F283" s="18" t="s">
        <v>132</v>
      </c>
      <c r="G283" s="18" t="s">
        <v>83</v>
      </c>
      <c r="H283" s="18" t="s">
        <v>84</v>
      </c>
      <c r="I283" s="18" t="s">
        <v>85</v>
      </c>
      <c r="J283" s="18">
        <v>5</v>
      </c>
      <c r="K283" s="16">
        <v>6.33</v>
      </c>
      <c r="L283" s="10"/>
      <c r="M283" s="16">
        <v>0</v>
      </c>
      <c r="N283" s="16">
        <v>0</v>
      </c>
      <c r="O283" s="18">
        <v>0</v>
      </c>
      <c r="P283" s="18" t="s">
        <v>133</v>
      </c>
      <c r="Q283" s="18">
        <v>1.991976</v>
      </c>
      <c r="R283" s="10"/>
      <c r="S283" s="16">
        <v>650</v>
      </c>
      <c r="T283" s="16">
        <v>10</v>
      </c>
      <c r="U283" s="18" t="s">
        <v>688</v>
      </c>
      <c r="V283" s="18" t="s">
        <v>144</v>
      </c>
      <c r="W283" s="18" t="s">
        <v>689</v>
      </c>
      <c r="X283" s="18">
        <v>845832018431</v>
      </c>
      <c r="Y283" s="18" t="s">
        <v>217</v>
      </c>
      <c r="Z283" s="18" t="s">
        <v>132</v>
      </c>
      <c r="AA283" s="18" t="s">
        <v>83</v>
      </c>
      <c r="AB283" s="18" t="s">
        <v>84</v>
      </c>
      <c r="AC283" s="18" t="s">
        <v>85</v>
      </c>
      <c r="AD283" s="18">
        <v>7.66</v>
      </c>
      <c r="AE283" s="18">
        <v>0</v>
      </c>
      <c r="AF283" s="18">
        <v>0</v>
      </c>
      <c r="AG283" s="18">
        <v>0</v>
      </c>
      <c r="AH283" s="18">
        <v>0</v>
      </c>
      <c r="AI283" s="18">
        <v>0</v>
      </c>
      <c r="AJ283" s="18">
        <v>0</v>
      </c>
      <c r="AK283" s="18">
        <v>0</v>
      </c>
      <c r="AL283" s="18">
        <v>0</v>
      </c>
      <c r="AM283" s="18">
        <v>0</v>
      </c>
      <c r="AN283" s="18">
        <v>0</v>
      </c>
      <c r="AO283" s="18">
        <v>0</v>
      </c>
      <c r="AP283" s="18">
        <v>0</v>
      </c>
      <c r="AQ283" s="18">
        <v>0</v>
      </c>
      <c r="AR283" s="18">
        <v>0</v>
      </c>
      <c r="AS283" s="18">
        <v>0</v>
      </c>
      <c r="AT283" s="18">
        <v>0</v>
      </c>
      <c r="AU283" s="18">
        <v>0</v>
      </c>
      <c r="AV283" s="18">
        <v>0</v>
      </c>
      <c r="AW283" s="18">
        <v>1</v>
      </c>
      <c r="AX283" s="18">
        <v>0</v>
      </c>
      <c r="AY283" s="13"/>
      <c r="AZ283" s="18">
        <v>1</v>
      </c>
      <c r="BA283" s="18">
        <v>0</v>
      </c>
      <c r="BB283" s="18">
        <v>69.24</v>
      </c>
      <c r="BC283" s="18" t="s">
        <v>218</v>
      </c>
      <c r="BD283" s="18" t="s">
        <v>219</v>
      </c>
      <c r="BE283" s="18" t="s">
        <v>690</v>
      </c>
      <c r="BF283" s="18" t="s">
        <v>77</v>
      </c>
      <c r="BG283" s="18">
        <v>168</v>
      </c>
      <c r="BH283" s="18">
        <v>11</v>
      </c>
      <c r="BI283" s="18">
        <v>0.9385</v>
      </c>
      <c r="BJ283" s="18">
        <v>0</v>
      </c>
      <c r="BK283" s="18">
        <v>2</v>
      </c>
      <c r="BL283" s="18">
        <v>99.5</v>
      </c>
      <c r="BM283" s="13">
        <f t="shared" si="0"/>
        <v>4114.5</v>
      </c>
    </row>
    <row r="284" customHeight="1" spans="1:65">
      <c r="A284" s="18" t="s">
        <v>214</v>
      </c>
      <c r="B284" s="18" t="s">
        <v>215</v>
      </c>
      <c r="C284" s="18" t="s">
        <v>216</v>
      </c>
      <c r="D284" s="18">
        <v>845832029665</v>
      </c>
      <c r="E284" s="18" t="s">
        <v>217</v>
      </c>
      <c r="F284" s="18" t="s">
        <v>132</v>
      </c>
      <c r="G284" s="18" t="s">
        <v>83</v>
      </c>
      <c r="H284" s="18" t="s">
        <v>84</v>
      </c>
      <c r="I284" s="18" t="s">
        <v>85</v>
      </c>
      <c r="J284" s="18">
        <v>5</v>
      </c>
      <c r="K284" s="16">
        <v>7.19</v>
      </c>
      <c r="L284" s="10"/>
      <c r="M284" s="16">
        <v>0</v>
      </c>
      <c r="N284" s="16">
        <v>0</v>
      </c>
      <c r="O284" s="18">
        <v>0</v>
      </c>
      <c r="P284" s="18" t="s">
        <v>133</v>
      </c>
      <c r="Q284" s="18">
        <v>2.102914</v>
      </c>
      <c r="R284" s="10"/>
      <c r="S284" s="16">
        <v>480</v>
      </c>
      <c r="T284" s="16">
        <v>10</v>
      </c>
      <c r="U284" s="18" t="s">
        <v>214</v>
      </c>
      <c r="V284" s="18" t="s">
        <v>215</v>
      </c>
      <c r="W284" s="18" t="s">
        <v>216</v>
      </c>
      <c r="X284" s="18">
        <v>845832029666</v>
      </c>
      <c r="Y284" s="18" t="s">
        <v>217</v>
      </c>
      <c r="Z284" s="18" t="s">
        <v>132</v>
      </c>
      <c r="AA284" s="18" t="s">
        <v>83</v>
      </c>
      <c r="AB284" s="18" t="s">
        <v>84</v>
      </c>
      <c r="AC284" s="18" t="s">
        <v>85</v>
      </c>
      <c r="AD284" s="18">
        <v>9.38</v>
      </c>
      <c r="AE284" s="18">
        <v>0</v>
      </c>
      <c r="AF284" s="18">
        <v>0</v>
      </c>
      <c r="AG284" s="18">
        <v>0</v>
      </c>
      <c r="AH284" s="18">
        <v>0</v>
      </c>
      <c r="AI284" s="18">
        <v>0</v>
      </c>
      <c r="AJ284" s="18">
        <v>0</v>
      </c>
      <c r="AK284" s="18">
        <v>0</v>
      </c>
      <c r="AL284" s="18">
        <v>0</v>
      </c>
      <c r="AM284" s="18">
        <v>0</v>
      </c>
      <c r="AN284" s="18">
        <v>0</v>
      </c>
      <c r="AO284" s="18">
        <v>0</v>
      </c>
      <c r="AP284" s="18">
        <v>0</v>
      </c>
      <c r="AQ284" s="18">
        <v>0</v>
      </c>
      <c r="AR284" s="18">
        <v>0</v>
      </c>
      <c r="AS284" s="18">
        <v>0</v>
      </c>
      <c r="AT284" s="18">
        <v>0</v>
      </c>
      <c r="AU284" s="18">
        <v>0</v>
      </c>
      <c r="AV284" s="18">
        <v>0</v>
      </c>
      <c r="AW284" s="18">
        <v>0</v>
      </c>
      <c r="AX284" s="18">
        <v>0</v>
      </c>
      <c r="AY284" s="13"/>
      <c r="AZ284" s="18">
        <v>1</v>
      </c>
      <c r="BA284" s="18">
        <v>0</v>
      </c>
      <c r="BB284" s="18">
        <v>62.52</v>
      </c>
      <c r="BC284" s="18" t="s">
        <v>218</v>
      </c>
      <c r="BD284" s="18" t="s">
        <v>219</v>
      </c>
      <c r="BE284" s="18" t="s">
        <v>220</v>
      </c>
      <c r="BF284" s="18" t="s">
        <v>77</v>
      </c>
      <c r="BG284" s="18">
        <v>168</v>
      </c>
      <c r="BH284" s="18">
        <v>11</v>
      </c>
      <c r="BI284" s="18">
        <v>0.9385</v>
      </c>
      <c r="BJ284" s="18">
        <v>0</v>
      </c>
      <c r="BK284" s="18">
        <v>81</v>
      </c>
      <c r="BL284" s="18">
        <v>77.8</v>
      </c>
      <c r="BM284" s="13">
        <f t="shared" si="0"/>
        <v>3451.2</v>
      </c>
    </row>
    <row r="285" customHeight="1" spans="1:65">
      <c r="A285" s="18" t="s">
        <v>1507</v>
      </c>
      <c r="B285" s="18" t="s">
        <v>215</v>
      </c>
      <c r="C285" s="18" t="s">
        <v>1508</v>
      </c>
      <c r="D285" s="13"/>
      <c r="E285" s="18" t="s">
        <v>1509</v>
      </c>
      <c r="F285" s="18" t="s">
        <v>132</v>
      </c>
      <c r="G285" s="18" t="s">
        <v>83</v>
      </c>
      <c r="H285" s="18" t="s">
        <v>84</v>
      </c>
      <c r="I285" s="18" t="s">
        <v>85</v>
      </c>
      <c r="J285" s="18">
        <v>5</v>
      </c>
      <c r="K285" s="16">
        <v>11.99</v>
      </c>
      <c r="L285" s="10"/>
      <c r="M285" s="16">
        <v>0</v>
      </c>
      <c r="N285" s="16">
        <v>0</v>
      </c>
      <c r="O285" s="18">
        <v>0</v>
      </c>
      <c r="P285" s="18" t="s">
        <v>133</v>
      </c>
      <c r="Q285" s="18">
        <v>2.56418</v>
      </c>
      <c r="R285" s="10"/>
      <c r="S285" s="16">
        <v>1231</v>
      </c>
      <c r="T285" s="16">
        <v>10</v>
      </c>
      <c r="U285" s="18" t="s">
        <v>1507</v>
      </c>
      <c r="V285" s="18" t="s">
        <v>215</v>
      </c>
      <c r="W285" s="18" t="s">
        <v>1508</v>
      </c>
      <c r="X285" s="13"/>
      <c r="Y285" s="18" t="s">
        <v>1509</v>
      </c>
      <c r="Z285" s="18" t="s">
        <v>132</v>
      </c>
      <c r="AA285" s="18" t="s">
        <v>83</v>
      </c>
      <c r="AB285" s="18" t="s">
        <v>84</v>
      </c>
      <c r="AC285" s="18" t="s">
        <v>85</v>
      </c>
      <c r="AD285" s="18">
        <v>18.98</v>
      </c>
      <c r="AE285" s="18">
        <v>0</v>
      </c>
      <c r="AF285" s="18">
        <v>0</v>
      </c>
      <c r="AG285" s="18">
        <v>0</v>
      </c>
      <c r="AH285" s="18">
        <v>0</v>
      </c>
      <c r="AI285" s="18">
        <v>0</v>
      </c>
      <c r="AJ285" s="18">
        <v>0</v>
      </c>
      <c r="AK285" s="18">
        <v>0</v>
      </c>
      <c r="AL285" s="18">
        <v>0</v>
      </c>
      <c r="AM285" s="18">
        <v>0</v>
      </c>
      <c r="AN285" s="18">
        <v>0</v>
      </c>
      <c r="AO285" s="18">
        <v>0</v>
      </c>
      <c r="AP285" s="18">
        <v>0</v>
      </c>
      <c r="AQ285" s="18">
        <v>0</v>
      </c>
      <c r="AR285" s="18">
        <v>0</v>
      </c>
      <c r="AS285" s="18">
        <v>0</v>
      </c>
      <c r="AT285" s="18">
        <v>0</v>
      </c>
      <c r="AU285" s="18">
        <v>0</v>
      </c>
      <c r="AV285" s="18">
        <v>0</v>
      </c>
      <c r="AW285" s="18">
        <v>0</v>
      </c>
      <c r="AX285" s="18">
        <v>0</v>
      </c>
      <c r="AY285" s="13"/>
      <c r="AZ285" s="18">
        <v>1</v>
      </c>
      <c r="BA285" s="18">
        <v>0</v>
      </c>
      <c r="BB285" s="18">
        <v>69.53</v>
      </c>
      <c r="BC285" s="18" t="s">
        <v>218</v>
      </c>
      <c r="BD285" s="18" t="s">
        <v>219</v>
      </c>
      <c r="BE285" s="18" t="s">
        <v>220</v>
      </c>
      <c r="BF285" s="18" t="s">
        <v>77</v>
      </c>
      <c r="BG285" s="18">
        <v>168</v>
      </c>
      <c r="BH285" s="18">
        <v>11</v>
      </c>
      <c r="BI285" s="18">
        <v>0.9385</v>
      </c>
      <c r="BJ285" s="18">
        <v>0</v>
      </c>
      <c r="BK285" s="18">
        <v>2</v>
      </c>
      <c r="BL285" s="18">
        <v>99.5</v>
      </c>
      <c r="BM285" s="13">
        <f t="shared" si="0"/>
        <v>14759.69</v>
      </c>
    </row>
    <row r="286" customHeight="1" spans="1:65">
      <c r="A286" s="18" t="s">
        <v>1259</v>
      </c>
      <c r="B286" s="18" t="s">
        <v>1260</v>
      </c>
      <c r="C286" s="13"/>
      <c r="D286" s="13"/>
      <c r="E286" s="18" t="s">
        <v>656</v>
      </c>
      <c r="F286" s="18" t="s">
        <v>132</v>
      </c>
      <c r="G286" s="18" t="s">
        <v>427</v>
      </c>
      <c r="H286" s="18" t="s">
        <v>84</v>
      </c>
      <c r="I286" s="18" t="s">
        <v>85</v>
      </c>
      <c r="J286" s="18">
        <v>5</v>
      </c>
      <c r="K286" s="16">
        <v>28.85</v>
      </c>
      <c r="L286" s="10"/>
      <c r="M286" s="16">
        <v>0</v>
      </c>
      <c r="N286" s="16">
        <v>0</v>
      </c>
      <c r="O286" s="18">
        <v>0</v>
      </c>
      <c r="P286" s="18" t="s">
        <v>86</v>
      </c>
      <c r="Q286" s="18">
        <v>3.396185</v>
      </c>
      <c r="R286" s="10"/>
      <c r="S286" s="16">
        <v>84</v>
      </c>
      <c r="T286" s="16">
        <v>10</v>
      </c>
      <c r="U286" s="18" t="s">
        <v>2605</v>
      </c>
      <c r="V286" s="18" t="s">
        <v>1260</v>
      </c>
      <c r="W286" s="13"/>
      <c r="X286" s="13"/>
      <c r="Y286" s="18" t="s">
        <v>656</v>
      </c>
      <c r="Z286" s="18" t="s">
        <v>132</v>
      </c>
      <c r="AA286" s="18" t="s">
        <v>427</v>
      </c>
      <c r="AB286" s="18" t="s">
        <v>84</v>
      </c>
      <c r="AC286" s="18" t="s">
        <v>85</v>
      </c>
      <c r="AD286" s="18">
        <v>52.7</v>
      </c>
      <c r="AE286" s="18">
        <v>0</v>
      </c>
      <c r="AF286" s="18">
        <v>1</v>
      </c>
      <c r="AG286" s="18">
        <v>0</v>
      </c>
      <c r="AH286" s="18">
        <v>0</v>
      </c>
      <c r="AI286" s="18">
        <v>0</v>
      </c>
      <c r="AJ286" s="18">
        <v>0</v>
      </c>
      <c r="AK286" s="18">
        <v>0</v>
      </c>
      <c r="AL286" s="18">
        <v>0</v>
      </c>
      <c r="AM286" s="18">
        <v>0</v>
      </c>
      <c r="AN286" s="18">
        <v>0</v>
      </c>
      <c r="AO286" s="18">
        <v>0</v>
      </c>
      <c r="AP286" s="18">
        <v>0</v>
      </c>
      <c r="AQ286" s="18">
        <v>0</v>
      </c>
      <c r="AR286" s="18">
        <v>0</v>
      </c>
      <c r="AS286" s="18">
        <v>0</v>
      </c>
      <c r="AT286" s="18">
        <v>0</v>
      </c>
      <c r="AU286" s="18">
        <v>0</v>
      </c>
      <c r="AV286" s="18">
        <v>0</v>
      </c>
      <c r="AW286" s="18">
        <v>1</v>
      </c>
      <c r="AX286" s="18">
        <v>0</v>
      </c>
      <c r="AY286" s="13"/>
      <c r="AZ286" s="18">
        <v>2</v>
      </c>
      <c r="BA286" s="18">
        <v>0</v>
      </c>
      <c r="BB286" s="18">
        <v>65.5</v>
      </c>
      <c r="BC286" s="18" t="s">
        <v>1261</v>
      </c>
      <c r="BD286" s="18" t="s">
        <v>1262</v>
      </c>
      <c r="BE286" s="18" t="s">
        <v>226</v>
      </c>
      <c r="BF286" s="18" t="s">
        <v>77</v>
      </c>
      <c r="BG286" s="18">
        <v>1</v>
      </c>
      <c r="BH286" s="18">
        <v>28</v>
      </c>
      <c r="BI286" s="18">
        <v>0.0345</v>
      </c>
      <c r="BJ286" s="18">
        <v>1</v>
      </c>
      <c r="BK286" s="18">
        <v>3</v>
      </c>
      <c r="BL286" s="18">
        <v>99.2</v>
      </c>
      <c r="BM286" s="13">
        <f t="shared" si="0"/>
        <v>2423.4</v>
      </c>
    </row>
    <row r="287" customHeight="1" spans="1:65">
      <c r="A287" s="18" t="s">
        <v>1263</v>
      </c>
      <c r="B287" s="18" t="s">
        <v>144</v>
      </c>
      <c r="C287" s="13"/>
      <c r="D287" s="13"/>
      <c r="E287" s="19" t="s">
        <v>1247</v>
      </c>
      <c r="F287" s="18" t="s">
        <v>198</v>
      </c>
      <c r="G287" s="18" t="s">
        <v>83</v>
      </c>
      <c r="H287" s="18" t="s">
        <v>84</v>
      </c>
      <c r="I287" s="18" t="s">
        <v>85</v>
      </c>
      <c r="J287" s="18">
        <v>5</v>
      </c>
      <c r="K287" s="16">
        <v>17.66</v>
      </c>
      <c r="L287" s="10"/>
      <c r="M287" s="16">
        <v>0</v>
      </c>
      <c r="N287" s="16">
        <v>0</v>
      </c>
      <c r="O287" s="18">
        <v>0</v>
      </c>
      <c r="P287" s="18" t="s">
        <v>133</v>
      </c>
      <c r="Q287" s="18">
        <v>2.926382</v>
      </c>
      <c r="R287" s="10"/>
      <c r="S287" s="16">
        <v>3</v>
      </c>
      <c r="T287" s="16">
        <v>10</v>
      </c>
      <c r="U287" s="18" t="s">
        <v>1263</v>
      </c>
      <c r="V287" s="18" t="s">
        <v>144</v>
      </c>
      <c r="W287" s="13"/>
      <c r="X287" s="13"/>
      <c r="Y287" s="19" t="s">
        <v>1247</v>
      </c>
      <c r="Z287" s="18" t="s">
        <v>198</v>
      </c>
      <c r="AA287" s="18" t="s">
        <v>83</v>
      </c>
      <c r="AB287" s="18" t="s">
        <v>84</v>
      </c>
      <c r="AC287" s="18" t="s">
        <v>85</v>
      </c>
      <c r="AD287" s="18">
        <v>30.32</v>
      </c>
      <c r="AE287" s="18">
        <v>0</v>
      </c>
      <c r="AF287" s="18">
        <v>0</v>
      </c>
      <c r="AG287" s="18">
        <v>0</v>
      </c>
      <c r="AH287" s="18">
        <v>0</v>
      </c>
      <c r="AI287" s="18">
        <v>0</v>
      </c>
      <c r="AJ287" s="18">
        <v>0</v>
      </c>
      <c r="AK287" s="18">
        <v>0</v>
      </c>
      <c r="AL287" s="18">
        <v>0</v>
      </c>
      <c r="AM287" s="18">
        <v>0</v>
      </c>
      <c r="AN287" s="18">
        <v>0</v>
      </c>
      <c r="AO287" s="18">
        <v>0</v>
      </c>
      <c r="AP287" s="18">
        <v>0</v>
      </c>
      <c r="AQ287" s="18">
        <v>0</v>
      </c>
      <c r="AR287" s="18">
        <v>0</v>
      </c>
      <c r="AS287" s="18">
        <v>0</v>
      </c>
      <c r="AT287" s="18">
        <v>0</v>
      </c>
      <c r="AU287" s="18">
        <v>0</v>
      </c>
      <c r="AV287" s="18">
        <v>0</v>
      </c>
      <c r="AW287" s="18">
        <v>1</v>
      </c>
      <c r="AX287" s="18">
        <v>0</v>
      </c>
      <c r="AY287" s="13"/>
      <c r="AZ287" s="18">
        <v>1</v>
      </c>
      <c r="BA287" s="18">
        <v>0</v>
      </c>
      <c r="BB287" s="18">
        <v>9.23</v>
      </c>
      <c r="BC287" s="18" t="s">
        <v>1264</v>
      </c>
      <c r="BD287" s="18" t="s">
        <v>150</v>
      </c>
      <c r="BE287" s="18" t="s">
        <v>150</v>
      </c>
      <c r="BF287" s="18" t="s">
        <v>77</v>
      </c>
      <c r="BG287" s="18">
        <v>1</v>
      </c>
      <c r="BH287" s="18">
        <v>101</v>
      </c>
      <c r="BI287" s="18">
        <v>0.0098</v>
      </c>
      <c r="BJ287" s="18">
        <v>1</v>
      </c>
      <c r="BK287" s="13"/>
      <c r="BL287" s="13"/>
      <c r="BM287" s="13">
        <f t="shared" si="0"/>
        <v>52.98</v>
      </c>
    </row>
    <row r="288" customHeight="1" spans="1:65">
      <c r="A288" s="18" t="s">
        <v>1265</v>
      </c>
      <c r="B288" s="18" t="s">
        <v>1235</v>
      </c>
      <c r="C288" s="13"/>
      <c r="D288" s="13"/>
      <c r="E288" s="18" t="s">
        <v>438</v>
      </c>
      <c r="F288" s="18" t="s">
        <v>240</v>
      </c>
      <c r="G288" s="18" t="s">
        <v>83</v>
      </c>
      <c r="H288" s="18" t="s">
        <v>84</v>
      </c>
      <c r="I288" s="18" t="s">
        <v>153</v>
      </c>
      <c r="J288" s="18">
        <v>2</v>
      </c>
      <c r="K288" s="16">
        <v>49.99</v>
      </c>
      <c r="L288" s="10"/>
      <c r="M288" s="16">
        <v>0</v>
      </c>
      <c r="N288" s="16">
        <v>0</v>
      </c>
      <c r="O288" s="18">
        <v>0</v>
      </c>
      <c r="P288" s="18" t="s">
        <v>86</v>
      </c>
      <c r="Q288" s="18">
        <v>3.93163</v>
      </c>
      <c r="R288" s="16">
        <v>12.5</v>
      </c>
      <c r="S288" s="10"/>
      <c r="T288" s="10"/>
      <c r="U288" s="18" t="s">
        <v>1265</v>
      </c>
      <c r="V288" s="18" t="s">
        <v>1235</v>
      </c>
      <c r="W288" s="13"/>
      <c r="X288" s="13"/>
      <c r="Y288" s="18" t="s">
        <v>438</v>
      </c>
      <c r="Z288" s="18" t="s">
        <v>240</v>
      </c>
      <c r="AA288" s="18" t="s">
        <v>83</v>
      </c>
      <c r="AB288" s="18" t="s">
        <v>84</v>
      </c>
      <c r="AC288" s="18" t="s">
        <v>153</v>
      </c>
      <c r="AD288" s="18">
        <v>97.98</v>
      </c>
      <c r="AE288" s="18">
        <v>0</v>
      </c>
      <c r="AF288" s="18">
        <v>0</v>
      </c>
      <c r="AG288" s="18">
        <v>0</v>
      </c>
      <c r="AH288" s="18">
        <v>0</v>
      </c>
      <c r="AI288" s="18">
        <v>0</v>
      </c>
      <c r="AJ288" s="18">
        <v>0</v>
      </c>
      <c r="AK288" s="18">
        <v>0</v>
      </c>
      <c r="AL288" s="18">
        <v>0</v>
      </c>
      <c r="AM288" s="18">
        <v>0</v>
      </c>
      <c r="AN288" s="18">
        <v>0</v>
      </c>
      <c r="AO288" s="18">
        <v>0</v>
      </c>
      <c r="AP288" s="18">
        <v>0</v>
      </c>
      <c r="AQ288" s="18">
        <v>0</v>
      </c>
      <c r="AR288" s="18">
        <v>0</v>
      </c>
      <c r="AS288" s="18">
        <v>0</v>
      </c>
      <c r="AT288" s="18">
        <v>0</v>
      </c>
      <c r="AU288" s="18">
        <v>0</v>
      </c>
      <c r="AV288" s="18">
        <v>1</v>
      </c>
      <c r="AW288" s="18">
        <v>1</v>
      </c>
      <c r="AX288" s="18">
        <v>0</v>
      </c>
      <c r="AY288" s="18">
        <v>4</v>
      </c>
      <c r="AZ288" s="18">
        <v>1</v>
      </c>
      <c r="BA288" s="18">
        <v>0</v>
      </c>
      <c r="BB288" s="18">
        <v>0</v>
      </c>
      <c r="BC288" s="18" t="s">
        <v>1266</v>
      </c>
      <c r="BD288" s="18" t="s">
        <v>575</v>
      </c>
      <c r="BE288" s="18" t="s">
        <v>760</v>
      </c>
      <c r="BF288" s="18" t="s">
        <v>77</v>
      </c>
      <c r="BG288" s="18">
        <v>168</v>
      </c>
      <c r="BH288" s="18">
        <v>11</v>
      </c>
      <c r="BI288" s="18">
        <v>0.9385</v>
      </c>
      <c r="BJ288" s="18">
        <v>0</v>
      </c>
      <c r="BK288" s="13"/>
      <c r="BL288" s="13"/>
      <c r="BM288" s="13">
        <f t="shared" si="0"/>
        <v>0</v>
      </c>
    </row>
    <row r="289" customHeight="1" spans="1:65">
      <c r="A289" s="18" t="s">
        <v>1267</v>
      </c>
      <c r="B289" s="18" t="s">
        <v>1268</v>
      </c>
      <c r="C289" s="13"/>
      <c r="D289" s="18">
        <v>30519015943</v>
      </c>
      <c r="E289" s="18" t="s">
        <v>1269</v>
      </c>
      <c r="F289" s="18" t="s">
        <v>240</v>
      </c>
      <c r="G289" s="18" t="s">
        <v>83</v>
      </c>
      <c r="H289" s="18" t="s">
        <v>84</v>
      </c>
      <c r="I289" s="18" t="s">
        <v>203</v>
      </c>
      <c r="J289" s="18">
        <v>4</v>
      </c>
      <c r="K289" s="16">
        <v>640</v>
      </c>
      <c r="L289" s="10"/>
      <c r="M289" s="16">
        <v>0</v>
      </c>
      <c r="N289" s="16">
        <v>0</v>
      </c>
      <c r="O289" s="18">
        <v>0</v>
      </c>
      <c r="P289" s="18" t="s">
        <v>147</v>
      </c>
      <c r="Q289" s="18">
        <v>6.463029</v>
      </c>
      <c r="R289" s="16">
        <v>40</v>
      </c>
      <c r="S289" s="10"/>
      <c r="T289" s="10"/>
      <c r="U289" s="18" t="s">
        <v>1267</v>
      </c>
      <c r="V289" s="18" t="s">
        <v>1268</v>
      </c>
      <c r="W289" s="13"/>
      <c r="X289" s="18">
        <v>30519015944</v>
      </c>
      <c r="Y289" s="18" t="s">
        <v>1269</v>
      </c>
      <c r="Z289" s="18" t="s">
        <v>240</v>
      </c>
      <c r="AA289" s="18" t="s">
        <v>83</v>
      </c>
      <c r="AB289" s="18" t="s">
        <v>84</v>
      </c>
      <c r="AC289" s="18" t="s">
        <v>203</v>
      </c>
      <c r="AD289" s="18">
        <v>1276</v>
      </c>
      <c r="AE289" s="18">
        <v>0</v>
      </c>
      <c r="AF289" s="18">
        <v>0</v>
      </c>
      <c r="AG289" s="18">
        <v>0</v>
      </c>
      <c r="AH289" s="18">
        <v>0</v>
      </c>
      <c r="AI289" s="18">
        <v>0</v>
      </c>
      <c r="AJ289" s="18">
        <v>0</v>
      </c>
      <c r="AK289" s="18">
        <v>0</v>
      </c>
      <c r="AL289" s="18">
        <v>0</v>
      </c>
      <c r="AM289" s="18">
        <v>0</v>
      </c>
      <c r="AN289" s="18">
        <v>0</v>
      </c>
      <c r="AO289" s="18">
        <v>0</v>
      </c>
      <c r="AP289" s="18">
        <v>0</v>
      </c>
      <c r="AQ289" s="18">
        <v>1</v>
      </c>
      <c r="AR289" s="18">
        <v>0</v>
      </c>
      <c r="AS289" s="18">
        <v>0</v>
      </c>
      <c r="AT289" s="18">
        <v>0</v>
      </c>
      <c r="AU289" s="18">
        <v>0</v>
      </c>
      <c r="AV289" s="18">
        <v>1</v>
      </c>
      <c r="AW289" s="18">
        <v>1</v>
      </c>
      <c r="AX289" s="18">
        <v>0</v>
      </c>
      <c r="AY289" s="18">
        <v>16</v>
      </c>
      <c r="AZ289" s="18">
        <v>1</v>
      </c>
      <c r="BA289" s="18">
        <v>1</v>
      </c>
      <c r="BB289" s="18">
        <v>19.23</v>
      </c>
      <c r="BC289" s="18" t="s">
        <v>1270</v>
      </c>
      <c r="BD289" s="18" t="s">
        <v>1271</v>
      </c>
      <c r="BE289" s="18" t="s">
        <v>150</v>
      </c>
      <c r="BF289" s="18" t="s">
        <v>77</v>
      </c>
      <c r="BG289" s="18">
        <v>208</v>
      </c>
      <c r="BH289" s="18">
        <v>11</v>
      </c>
      <c r="BI289" s="18">
        <v>0.9498</v>
      </c>
      <c r="BJ289" s="18">
        <v>0</v>
      </c>
      <c r="BK289" s="18">
        <v>131</v>
      </c>
      <c r="BL289" s="18">
        <v>64.1</v>
      </c>
      <c r="BM289" s="13">
        <f t="shared" si="0"/>
        <v>0</v>
      </c>
    </row>
    <row r="290" customHeight="1" spans="1:65">
      <c r="A290" s="18" t="s">
        <v>2037</v>
      </c>
      <c r="B290" s="18" t="s">
        <v>344</v>
      </c>
      <c r="C290" s="13"/>
      <c r="D290" s="13"/>
      <c r="E290" s="18" t="s">
        <v>2038</v>
      </c>
      <c r="F290" s="18" t="s">
        <v>82</v>
      </c>
      <c r="G290" s="18" t="s">
        <v>346</v>
      </c>
      <c r="H290" s="18" t="s">
        <v>107</v>
      </c>
      <c r="I290" s="18" t="s">
        <v>85</v>
      </c>
      <c r="J290" s="18">
        <v>5</v>
      </c>
      <c r="K290" s="16">
        <v>59.98</v>
      </c>
      <c r="L290" s="10"/>
      <c r="M290" s="16">
        <v>0</v>
      </c>
      <c r="N290" s="16">
        <v>0</v>
      </c>
      <c r="O290" s="18">
        <v>0</v>
      </c>
      <c r="P290" s="18" t="s">
        <v>86</v>
      </c>
      <c r="Q290" s="18">
        <v>4.110546</v>
      </c>
      <c r="R290" s="10"/>
      <c r="S290" s="16">
        <v>12</v>
      </c>
      <c r="T290" s="16">
        <v>9</v>
      </c>
      <c r="U290" s="18" t="s">
        <v>2037</v>
      </c>
      <c r="V290" s="18" t="s">
        <v>344</v>
      </c>
      <c r="W290" s="13"/>
      <c r="X290" s="13"/>
      <c r="Y290" s="18" t="s">
        <v>2038</v>
      </c>
      <c r="Z290" s="18" t="s">
        <v>82</v>
      </c>
      <c r="AA290" s="18" t="s">
        <v>346</v>
      </c>
      <c r="AB290" s="18" t="s">
        <v>107</v>
      </c>
      <c r="AC290" s="18" t="s">
        <v>85</v>
      </c>
      <c r="AD290" s="18">
        <v>114.96</v>
      </c>
      <c r="AE290" s="18">
        <v>0</v>
      </c>
      <c r="AF290" s="18">
        <v>0</v>
      </c>
      <c r="AG290" s="18">
        <v>0</v>
      </c>
      <c r="AH290" s="18">
        <v>0</v>
      </c>
      <c r="AI290" s="18">
        <v>0</v>
      </c>
      <c r="AJ290" s="18">
        <v>0</v>
      </c>
      <c r="AK290" s="18">
        <v>0</v>
      </c>
      <c r="AL290" s="18">
        <v>0</v>
      </c>
      <c r="AM290" s="18">
        <v>0</v>
      </c>
      <c r="AN290" s="18">
        <v>0</v>
      </c>
      <c r="AO290" s="18">
        <v>0</v>
      </c>
      <c r="AP290" s="18">
        <v>0</v>
      </c>
      <c r="AQ290" s="18">
        <v>0</v>
      </c>
      <c r="AR290" s="18">
        <v>0</v>
      </c>
      <c r="AS290" s="18">
        <v>0</v>
      </c>
      <c r="AT290" s="18">
        <v>1</v>
      </c>
      <c r="AU290" s="18">
        <v>0</v>
      </c>
      <c r="AV290" s="18">
        <v>0</v>
      </c>
      <c r="AW290" s="18">
        <v>1</v>
      </c>
      <c r="AX290" s="18">
        <v>0</v>
      </c>
      <c r="AY290" s="13"/>
      <c r="AZ290" s="18">
        <v>1</v>
      </c>
      <c r="BA290" s="18">
        <v>0</v>
      </c>
      <c r="BB290" s="18">
        <v>52.71</v>
      </c>
      <c r="BC290" s="18" t="s">
        <v>1273</v>
      </c>
      <c r="BD290" s="18" t="s">
        <v>1274</v>
      </c>
      <c r="BE290" s="18" t="s">
        <v>756</v>
      </c>
      <c r="BF290" s="18" t="s">
        <v>77</v>
      </c>
      <c r="BG290" s="18">
        <v>168</v>
      </c>
      <c r="BH290" s="18">
        <v>11</v>
      </c>
      <c r="BI290" s="18">
        <v>0.9385</v>
      </c>
      <c r="BJ290" s="18">
        <v>0</v>
      </c>
      <c r="BK290" s="18">
        <v>2</v>
      </c>
      <c r="BL290" s="18">
        <v>99.5</v>
      </c>
      <c r="BM290" s="13">
        <f t="shared" si="0"/>
        <v>719.76</v>
      </c>
    </row>
    <row r="291" customHeight="1" spans="1:65">
      <c r="A291" s="18" t="s">
        <v>1272</v>
      </c>
      <c r="B291" s="18" t="s">
        <v>124</v>
      </c>
      <c r="C291" s="13"/>
      <c r="D291" s="13"/>
      <c r="E291" s="18" t="s">
        <v>81</v>
      </c>
      <c r="F291" s="18" t="s">
        <v>82</v>
      </c>
      <c r="G291" s="18" t="s">
        <v>346</v>
      </c>
      <c r="H291" s="18" t="s">
        <v>84</v>
      </c>
      <c r="I291" s="18" t="s">
        <v>85</v>
      </c>
      <c r="J291" s="18">
        <v>5</v>
      </c>
      <c r="K291" s="16">
        <v>36.98</v>
      </c>
      <c r="L291" s="10"/>
      <c r="M291" s="16">
        <v>0</v>
      </c>
      <c r="N291" s="16">
        <v>0</v>
      </c>
      <c r="O291" s="18">
        <v>0</v>
      </c>
      <c r="P291" s="18" t="s">
        <v>86</v>
      </c>
      <c r="Q291" s="18">
        <v>3.63706</v>
      </c>
      <c r="R291" s="10"/>
      <c r="S291" s="16">
        <v>75</v>
      </c>
      <c r="T291" s="16">
        <v>10</v>
      </c>
      <c r="U291" s="18" t="s">
        <v>1272</v>
      </c>
      <c r="V291" s="18" t="s">
        <v>124</v>
      </c>
      <c r="W291" s="13"/>
      <c r="X291" s="13"/>
      <c r="Y291" s="18" t="s">
        <v>81</v>
      </c>
      <c r="Z291" s="18" t="s">
        <v>82</v>
      </c>
      <c r="AA291" s="18" t="s">
        <v>346</v>
      </c>
      <c r="AB291" s="18" t="s">
        <v>84</v>
      </c>
      <c r="AC291" s="18" t="s">
        <v>85</v>
      </c>
      <c r="AD291" s="18">
        <v>68.96</v>
      </c>
      <c r="AE291" s="18">
        <v>0</v>
      </c>
      <c r="AF291" s="18">
        <v>0</v>
      </c>
      <c r="AG291" s="18">
        <v>0</v>
      </c>
      <c r="AH291" s="18">
        <v>1</v>
      </c>
      <c r="AI291" s="18">
        <v>0</v>
      </c>
      <c r="AJ291" s="18">
        <v>0</v>
      </c>
      <c r="AK291" s="18">
        <v>0</v>
      </c>
      <c r="AL291" s="18">
        <v>0</v>
      </c>
      <c r="AM291" s="18">
        <v>0</v>
      </c>
      <c r="AN291" s="18">
        <v>0</v>
      </c>
      <c r="AO291" s="18">
        <v>0</v>
      </c>
      <c r="AP291" s="18">
        <v>0</v>
      </c>
      <c r="AQ291" s="18">
        <v>0</v>
      </c>
      <c r="AR291" s="18">
        <v>0</v>
      </c>
      <c r="AS291" s="18">
        <v>0</v>
      </c>
      <c r="AT291" s="18">
        <v>1</v>
      </c>
      <c r="AU291" s="18">
        <v>0</v>
      </c>
      <c r="AV291" s="18">
        <v>0</v>
      </c>
      <c r="AW291" s="18">
        <v>0</v>
      </c>
      <c r="AX291" s="18">
        <v>0</v>
      </c>
      <c r="AY291" s="13"/>
      <c r="AZ291" s="18">
        <v>1</v>
      </c>
      <c r="BA291" s="18">
        <v>1</v>
      </c>
      <c r="BB291" s="18">
        <v>64.73</v>
      </c>
      <c r="BC291" s="18" t="s">
        <v>1273</v>
      </c>
      <c r="BD291" s="18" t="s">
        <v>1274</v>
      </c>
      <c r="BE291" s="18" t="s">
        <v>756</v>
      </c>
      <c r="BF291" s="18" t="s">
        <v>77</v>
      </c>
      <c r="BG291" s="18">
        <v>168</v>
      </c>
      <c r="BH291" s="18">
        <v>11</v>
      </c>
      <c r="BI291" s="18">
        <v>0.9385</v>
      </c>
      <c r="BJ291" s="18">
        <v>0</v>
      </c>
      <c r="BK291" s="18">
        <v>7</v>
      </c>
      <c r="BL291" s="18">
        <v>98.1</v>
      </c>
      <c r="BM291" s="13">
        <f t="shared" si="0"/>
        <v>2773.5</v>
      </c>
    </row>
    <row r="292" customHeight="1" spans="1:65">
      <c r="A292" s="18" t="s">
        <v>1275</v>
      </c>
      <c r="B292" s="18" t="s">
        <v>93</v>
      </c>
      <c r="C292" s="13"/>
      <c r="D292" s="13"/>
      <c r="E292" s="18" t="s">
        <v>81</v>
      </c>
      <c r="F292" s="18" t="s">
        <v>82</v>
      </c>
      <c r="G292" s="18" t="s">
        <v>93</v>
      </c>
      <c r="H292" s="18" t="s">
        <v>69</v>
      </c>
      <c r="I292" s="18" t="s">
        <v>85</v>
      </c>
      <c r="J292" s="18">
        <v>5</v>
      </c>
      <c r="K292" s="16">
        <v>109.97</v>
      </c>
      <c r="L292" s="10"/>
      <c r="M292" s="16">
        <v>0</v>
      </c>
      <c r="N292" s="16">
        <v>0</v>
      </c>
      <c r="O292" s="18">
        <v>0</v>
      </c>
      <c r="P292" s="18" t="s">
        <v>95</v>
      </c>
      <c r="Q292" s="18">
        <v>4.70926</v>
      </c>
      <c r="R292" s="10"/>
      <c r="S292" s="16">
        <v>8</v>
      </c>
      <c r="T292" s="16">
        <v>4</v>
      </c>
      <c r="U292" s="18" t="s">
        <v>1275</v>
      </c>
      <c r="V292" s="18" t="s">
        <v>93</v>
      </c>
      <c r="W292" s="13"/>
      <c r="X292" s="13"/>
      <c r="Y292" s="18" t="s">
        <v>81</v>
      </c>
      <c r="Z292" s="18" t="s">
        <v>82</v>
      </c>
      <c r="AA292" s="18" t="s">
        <v>93</v>
      </c>
      <c r="AB292" s="18" t="s">
        <v>69</v>
      </c>
      <c r="AC292" s="18" t="s">
        <v>85</v>
      </c>
      <c r="AD292" s="18">
        <v>214.94</v>
      </c>
      <c r="AE292" s="18">
        <v>1</v>
      </c>
      <c r="AF292" s="18">
        <v>0</v>
      </c>
      <c r="AG292" s="18">
        <v>0</v>
      </c>
      <c r="AH292" s="18">
        <v>1</v>
      </c>
      <c r="AI292" s="18">
        <v>0</v>
      </c>
      <c r="AJ292" s="18">
        <v>0</v>
      </c>
      <c r="AK292" s="18">
        <v>0</v>
      </c>
      <c r="AL292" s="18">
        <v>0</v>
      </c>
      <c r="AM292" s="18">
        <v>0</v>
      </c>
      <c r="AN292" s="18">
        <v>0</v>
      </c>
      <c r="AO292" s="18">
        <v>0</v>
      </c>
      <c r="AP292" s="18">
        <v>0</v>
      </c>
      <c r="AQ292" s="18">
        <v>0</v>
      </c>
      <c r="AR292" s="18">
        <v>0</v>
      </c>
      <c r="AS292" s="18">
        <v>0</v>
      </c>
      <c r="AT292" s="18">
        <v>1</v>
      </c>
      <c r="AU292" s="18">
        <v>0</v>
      </c>
      <c r="AV292" s="18">
        <v>0</v>
      </c>
      <c r="AW292" s="18">
        <v>0</v>
      </c>
      <c r="AX292" s="18">
        <v>0</v>
      </c>
      <c r="AY292" s="13"/>
      <c r="AZ292" s="18">
        <v>1</v>
      </c>
      <c r="BA292" s="18">
        <v>2</v>
      </c>
      <c r="BB292" s="18">
        <v>26.67</v>
      </c>
      <c r="BC292" s="18" t="s">
        <v>1276</v>
      </c>
      <c r="BD292" s="18" t="s">
        <v>1277</v>
      </c>
      <c r="BE292" s="18" t="s">
        <v>243</v>
      </c>
      <c r="BF292" s="18" t="s">
        <v>77</v>
      </c>
      <c r="BG292" s="18">
        <v>168</v>
      </c>
      <c r="BH292" s="18">
        <v>11</v>
      </c>
      <c r="BI292" s="18">
        <v>0.9385</v>
      </c>
      <c r="BJ292" s="18">
        <v>0</v>
      </c>
      <c r="BK292" s="13"/>
      <c r="BL292" s="13"/>
      <c r="BM292" s="13">
        <f t="shared" si="0"/>
        <v>879.76</v>
      </c>
    </row>
    <row r="293" customHeight="1" spans="1:65">
      <c r="A293" s="18" t="s">
        <v>1278</v>
      </c>
      <c r="B293" s="18" t="s">
        <v>1279</v>
      </c>
      <c r="C293" s="13"/>
      <c r="D293" s="13"/>
      <c r="E293" s="18" t="s">
        <v>1048</v>
      </c>
      <c r="F293" s="18" t="s">
        <v>132</v>
      </c>
      <c r="G293" s="18" t="s">
        <v>83</v>
      </c>
      <c r="H293" s="18" t="s">
        <v>84</v>
      </c>
      <c r="I293" s="18" t="s">
        <v>85</v>
      </c>
      <c r="J293" s="18">
        <v>5</v>
      </c>
      <c r="K293" s="16">
        <v>5.5</v>
      </c>
      <c r="L293" s="10"/>
      <c r="M293" s="16">
        <v>0</v>
      </c>
      <c r="N293" s="16">
        <v>0</v>
      </c>
      <c r="O293" s="18">
        <v>0</v>
      </c>
      <c r="P293" s="18" t="s">
        <v>133</v>
      </c>
      <c r="Q293" s="18">
        <v>1.871802</v>
      </c>
      <c r="R293" s="10"/>
      <c r="S293" s="16">
        <v>724</v>
      </c>
      <c r="T293" s="10"/>
      <c r="U293" s="18" t="s">
        <v>2606</v>
      </c>
      <c r="V293" s="18" t="s">
        <v>1279</v>
      </c>
      <c r="W293" s="13"/>
      <c r="X293" s="13"/>
      <c r="Y293" s="18" t="s">
        <v>1048</v>
      </c>
      <c r="Z293" s="18" t="s">
        <v>132</v>
      </c>
      <c r="AA293" s="18" t="s">
        <v>83</v>
      </c>
      <c r="AB293" s="18" t="s">
        <v>84</v>
      </c>
      <c r="AC293" s="18" t="s">
        <v>85</v>
      </c>
      <c r="AD293" s="18">
        <v>6</v>
      </c>
      <c r="AE293" s="18">
        <v>0</v>
      </c>
      <c r="AF293" s="18">
        <v>0</v>
      </c>
      <c r="AG293" s="18">
        <v>0</v>
      </c>
      <c r="AH293" s="18">
        <v>0</v>
      </c>
      <c r="AI293" s="18">
        <v>0</v>
      </c>
      <c r="AJ293" s="18">
        <v>0</v>
      </c>
      <c r="AK293" s="18">
        <v>0</v>
      </c>
      <c r="AL293" s="18">
        <v>0</v>
      </c>
      <c r="AM293" s="18">
        <v>0</v>
      </c>
      <c r="AN293" s="18">
        <v>0</v>
      </c>
      <c r="AO293" s="18">
        <v>0</v>
      </c>
      <c r="AP293" s="18">
        <v>0</v>
      </c>
      <c r="AQ293" s="18">
        <v>0</v>
      </c>
      <c r="AR293" s="18">
        <v>0</v>
      </c>
      <c r="AS293" s="18">
        <v>0</v>
      </c>
      <c r="AT293" s="18">
        <v>0</v>
      </c>
      <c r="AU293" s="18">
        <v>0</v>
      </c>
      <c r="AV293" s="18">
        <v>0</v>
      </c>
      <c r="AW293" s="18">
        <v>0</v>
      </c>
      <c r="AX293" s="18">
        <v>0</v>
      </c>
      <c r="AY293" s="13"/>
      <c r="AZ293" s="18">
        <v>1</v>
      </c>
      <c r="BA293" s="18">
        <v>0</v>
      </c>
      <c r="BB293" s="18">
        <v>60.64</v>
      </c>
      <c r="BC293" s="18" t="s">
        <v>1280</v>
      </c>
      <c r="BD293" s="18" t="s">
        <v>348</v>
      </c>
      <c r="BE293" s="18" t="s">
        <v>136</v>
      </c>
      <c r="BF293" s="18" t="s">
        <v>77</v>
      </c>
      <c r="BG293" s="18">
        <v>179</v>
      </c>
      <c r="BH293" s="18">
        <v>11</v>
      </c>
      <c r="BI293" s="18">
        <v>0.9421</v>
      </c>
      <c r="BJ293" s="18">
        <v>0</v>
      </c>
      <c r="BK293" s="18">
        <v>114</v>
      </c>
      <c r="BL293" s="18">
        <v>68.8</v>
      </c>
      <c r="BM293" s="13">
        <f t="shared" si="0"/>
        <v>3982</v>
      </c>
    </row>
    <row r="294" customHeight="1" spans="1:65">
      <c r="A294" s="18" t="s">
        <v>1281</v>
      </c>
      <c r="B294" s="18" t="s">
        <v>144</v>
      </c>
      <c r="C294" s="13"/>
      <c r="D294" s="13"/>
      <c r="E294" s="19" t="s">
        <v>889</v>
      </c>
      <c r="F294" s="18" t="s">
        <v>132</v>
      </c>
      <c r="G294" s="18" t="s">
        <v>83</v>
      </c>
      <c r="H294" s="18" t="s">
        <v>84</v>
      </c>
      <c r="I294" s="18" t="s">
        <v>85</v>
      </c>
      <c r="J294" s="18">
        <v>5</v>
      </c>
      <c r="K294" s="16">
        <v>11.99</v>
      </c>
      <c r="L294" s="10"/>
      <c r="M294" s="16">
        <v>0</v>
      </c>
      <c r="N294" s="16">
        <v>0</v>
      </c>
      <c r="O294" s="18">
        <v>0</v>
      </c>
      <c r="P294" s="18" t="s">
        <v>133</v>
      </c>
      <c r="Q294" s="18">
        <v>2.56418</v>
      </c>
      <c r="R294" s="10"/>
      <c r="S294" s="16">
        <v>214</v>
      </c>
      <c r="T294" s="16">
        <v>10</v>
      </c>
      <c r="U294" s="18" t="s">
        <v>1281</v>
      </c>
      <c r="V294" s="18" t="s">
        <v>144</v>
      </c>
      <c r="W294" s="13"/>
      <c r="X294" s="13"/>
      <c r="Y294" s="19" t="s">
        <v>889</v>
      </c>
      <c r="Z294" s="18" t="s">
        <v>132</v>
      </c>
      <c r="AA294" s="18" t="s">
        <v>83</v>
      </c>
      <c r="AB294" s="18" t="s">
        <v>84</v>
      </c>
      <c r="AC294" s="18" t="s">
        <v>85</v>
      </c>
      <c r="AD294" s="18">
        <v>18.98</v>
      </c>
      <c r="AE294" s="18">
        <v>0</v>
      </c>
      <c r="AF294" s="18">
        <v>0</v>
      </c>
      <c r="AG294" s="18">
        <v>0</v>
      </c>
      <c r="AH294" s="18">
        <v>0</v>
      </c>
      <c r="AI294" s="18">
        <v>0</v>
      </c>
      <c r="AJ294" s="18">
        <v>0</v>
      </c>
      <c r="AK294" s="18">
        <v>0</v>
      </c>
      <c r="AL294" s="18">
        <v>0</v>
      </c>
      <c r="AM294" s="18">
        <v>0</v>
      </c>
      <c r="AN294" s="18">
        <v>0</v>
      </c>
      <c r="AO294" s="18">
        <v>0</v>
      </c>
      <c r="AP294" s="18">
        <v>0</v>
      </c>
      <c r="AQ294" s="18">
        <v>0</v>
      </c>
      <c r="AR294" s="18">
        <v>0</v>
      </c>
      <c r="AS294" s="18">
        <v>0</v>
      </c>
      <c r="AT294" s="18">
        <v>0</v>
      </c>
      <c r="AU294" s="18">
        <v>0</v>
      </c>
      <c r="AV294" s="18">
        <v>0</v>
      </c>
      <c r="AW294" s="18">
        <v>0</v>
      </c>
      <c r="AX294" s="18">
        <v>0</v>
      </c>
      <c r="AY294" s="13"/>
      <c r="AZ294" s="18">
        <v>1</v>
      </c>
      <c r="BA294" s="18">
        <v>0</v>
      </c>
      <c r="BB294" s="18">
        <v>68.07</v>
      </c>
      <c r="BC294" s="18" t="s">
        <v>1282</v>
      </c>
      <c r="BD294" s="18" t="s">
        <v>112</v>
      </c>
      <c r="BE294" s="18" t="s">
        <v>113</v>
      </c>
      <c r="BF294" s="18" t="s">
        <v>77</v>
      </c>
      <c r="BG294" s="18">
        <v>162</v>
      </c>
      <c r="BH294" s="18">
        <v>60</v>
      </c>
      <c r="BI294" s="18">
        <v>0.7297</v>
      </c>
      <c r="BJ294" s="18">
        <v>0</v>
      </c>
      <c r="BK294" s="18">
        <v>2</v>
      </c>
      <c r="BL294" s="18">
        <v>99.5</v>
      </c>
      <c r="BM294" s="13">
        <f t="shared" si="0"/>
        <v>2565.86</v>
      </c>
    </row>
    <row r="295" customHeight="1" spans="1:65">
      <c r="A295" s="18" t="s">
        <v>1283</v>
      </c>
      <c r="B295" s="18" t="s">
        <v>1284</v>
      </c>
      <c r="C295" s="13"/>
      <c r="D295" s="13"/>
      <c r="E295" s="18" t="s">
        <v>1285</v>
      </c>
      <c r="F295" s="18" t="s">
        <v>352</v>
      </c>
      <c r="G295" s="18" t="s">
        <v>83</v>
      </c>
      <c r="H295" s="18" t="s">
        <v>84</v>
      </c>
      <c r="I295" s="18" t="s">
        <v>85</v>
      </c>
      <c r="J295" s="18">
        <v>5</v>
      </c>
      <c r="K295" s="16">
        <v>10.99</v>
      </c>
      <c r="L295" s="10"/>
      <c r="M295" s="16">
        <v>0</v>
      </c>
      <c r="N295" s="16">
        <v>0</v>
      </c>
      <c r="O295" s="18">
        <v>0</v>
      </c>
      <c r="P295" s="18" t="s">
        <v>133</v>
      </c>
      <c r="Q295" s="18">
        <v>2.484073</v>
      </c>
      <c r="R295" s="10"/>
      <c r="S295" s="16">
        <v>154</v>
      </c>
      <c r="T295" s="16">
        <v>10</v>
      </c>
      <c r="U295" s="18" t="s">
        <v>1283</v>
      </c>
      <c r="V295" s="18" t="s">
        <v>1284</v>
      </c>
      <c r="W295" s="13"/>
      <c r="X295" s="13"/>
      <c r="Y295" s="18" t="s">
        <v>1285</v>
      </c>
      <c r="Z295" s="18" t="s">
        <v>352</v>
      </c>
      <c r="AA295" s="18" t="s">
        <v>83</v>
      </c>
      <c r="AB295" s="18" t="s">
        <v>84</v>
      </c>
      <c r="AC295" s="18" t="s">
        <v>85</v>
      </c>
      <c r="AD295" s="18">
        <v>16.98</v>
      </c>
      <c r="AE295" s="18">
        <v>1</v>
      </c>
      <c r="AF295" s="18">
        <v>0</v>
      </c>
      <c r="AG295" s="18">
        <v>0</v>
      </c>
      <c r="AH295" s="18">
        <v>0</v>
      </c>
      <c r="AI295" s="18">
        <v>0</v>
      </c>
      <c r="AJ295" s="18">
        <v>0</v>
      </c>
      <c r="AK295" s="18">
        <v>0</v>
      </c>
      <c r="AL295" s="18">
        <v>0</v>
      </c>
      <c r="AM295" s="18">
        <v>0</v>
      </c>
      <c r="AN295" s="18">
        <v>0</v>
      </c>
      <c r="AO295" s="18">
        <v>0</v>
      </c>
      <c r="AP295" s="18">
        <v>0</v>
      </c>
      <c r="AQ295" s="18">
        <v>0</v>
      </c>
      <c r="AR295" s="18">
        <v>0</v>
      </c>
      <c r="AS295" s="18">
        <v>0</v>
      </c>
      <c r="AT295" s="18">
        <v>1</v>
      </c>
      <c r="AU295" s="18">
        <v>0</v>
      </c>
      <c r="AV295" s="18">
        <v>0</v>
      </c>
      <c r="AW295" s="18">
        <v>0</v>
      </c>
      <c r="AX295" s="18">
        <v>0</v>
      </c>
      <c r="AY295" s="13"/>
      <c r="AZ295" s="18">
        <v>1</v>
      </c>
      <c r="BA295" s="18">
        <v>1</v>
      </c>
      <c r="BB295" s="18">
        <v>67.41</v>
      </c>
      <c r="BC295" s="18" t="s">
        <v>1286</v>
      </c>
      <c r="BD295" s="18" t="s">
        <v>356</v>
      </c>
      <c r="BE295" s="18" t="s">
        <v>77</v>
      </c>
      <c r="BF295" s="18" t="s">
        <v>77</v>
      </c>
      <c r="BG295" s="18">
        <v>163</v>
      </c>
      <c r="BH295" s="18">
        <v>58</v>
      </c>
      <c r="BI295" s="18">
        <v>0.7376</v>
      </c>
      <c r="BJ295" s="18">
        <v>0</v>
      </c>
      <c r="BK295" s="18">
        <v>2</v>
      </c>
      <c r="BL295" s="18">
        <v>99.5</v>
      </c>
      <c r="BM295" s="13">
        <f t="shared" si="0"/>
        <v>1692.46</v>
      </c>
    </row>
    <row r="296" customHeight="1" spans="1:65">
      <c r="A296" s="18" t="s">
        <v>1290</v>
      </c>
      <c r="B296" s="18" t="s">
        <v>739</v>
      </c>
      <c r="C296" s="13"/>
      <c r="D296" s="13"/>
      <c r="E296" s="18" t="s">
        <v>81</v>
      </c>
      <c r="F296" s="18" t="s">
        <v>160</v>
      </c>
      <c r="G296" s="18" t="s">
        <v>83</v>
      </c>
      <c r="H296" s="18" t="s">
        <v>84</v>
      </c>
      <c r="I296" s="18" t="s">
        <v>108</v>
      </c>
      <c r="J296" s="18">
        <v>3</v>
      </c>
      <c r="K296" s="16">
        <v>177.6</v>
      </c>
      <c r="L296" s="10"/>
      <c r="M296" s="16">
        <v>0</v>
      </c>
      <c r="N296" s="16">
        <v>0</v>
      </c>
      <c r="O296" s="18">
        <v>0</v>
      </c>
      <c r="P296" s="18" t="s">
        <v>95</v>
      </c>
      <c r="Q296" s="18">
        <v>5.185149</v>
      </c>
      <c r="R296" s="10"/>
      <c r="S296" s="16">
        <v>35</v>
      </c>
      <c r="T296" s="16">
        <v>10</v>
      </c>
      <c r="U296" s="18" t="s">
        <v>1290</v>
      </c>
      <c r="V296" s="18" t="s">
        <v>739</v>
      </c>
      <c r="W296" s="13"/>
      <c r="X296" s="13"/>
      <c r="Y296" s="18" t="s">
        <v>81</v>
      </c>
      <c r="Z296" s="18" t="s">
        <v>160</v>
      </c>
      <c r="AA296" s="18" t="s">
        <v>83</v>
      </c>
      <c r="AB296" s="18" t="s">
        <v>84</v>
      </c>
      <c r="AC296" s="18" t="s">
        <v>108</v>
      </c>
      <c r="AD296" s="18">
        <v>352.2</v>
      </c>
      <c r="AE296" s="18">
        <v>1</v>
      </c>
      <c r="AF296" s="18">
        <v>0</v>
      </c>
      <c r="AG296" s="18">
        <v>0</v>
      </c>
      <c r="AH296" s="18">
        <v>1</v>
      </c>
      <c r="AI296" s="18">
        <v>0</v>
      </c>
      <c r="AJ296" s="18">
        <v>0</v>
      </c>
      <c r="AK296" s="18">
        <v>0</v>
      </c>
      <c r="AL296" s="18">
        <v>0</v>
      </c>
      <c r="AM296" s="18">
        <v>0</v>
      </c>
      <c r="AN296" s="18">
        <v>0</v>
      </c>
      <c r="AO296" s="18">
        <v>0</v>
      </c>
      <c r="AP296" s="18">
        <v>0</v>
      </c>
      <c r="AQ296" s="18">
        <v>0</v>
      </c>
      <c r="AR296" s="18">
        <v>0</v>
      </c>
      <c r="AS296" s="18">
        <v>0</v>
      </c>
      <c r="AT296" s="18">
        <v>1</v>
      </c>
      <c r="AU296" s="18">
        <v>0</v>
      </c>
      <c r="AV296" s="18">
        <v>0</v>
      </c>
      <c r="AW296" s="18">
        <v>1</v>
      </c>
      <c r="AX296" s="18">
        <v>0</v>
      </c>
      <c r="AY296" s="13"/>
      <c r="AZ296" s="18">
        <v>1</v>
      </c>
      <c r="BA296" s="18">
        <v>2</v>
      </c>
      <c r="BB296" s="18">
        <v>59.7</v>
      </c>
      <c r="BC296" s="18" t="s">
        <v>1291</v>
      </c>
      <c r="BD296" s="18" t="s">
        <v>169</v>
      </c>
      <c r="BE296" s="18" t="s">
        <v>128</v>
      </c>
      <c r="BF296" s="18" t="s">
        <v>77</v>
      </c>
      <c r="BG296" s="18">
        <v>1</v>
      </c>
      <c r="BH296" s="18">
        <v>28</v>
      </c>
      <c r="BI296" s="18">
        <v>0.0345</v>
      </c>
      <c r="BJ296" s="18">
        <v>1</v>
      </c>
      <c r="BK296" s="18">
        <v>17</v>
      </c>
      <c r="BL296" s="18">
        <v>95.3</v>
      </c>
      <c r="BM296" s="13">
        <f t="shared" si="0"/>
        <v>6216</v>
      </c>
    </row>
    <row r="297" customHeight="1" spans="1:65">
      <c r="A297" s="18" t="s">
        <v>2129</v>
      </c>
      <c r="B297" s="18" t="s">
        <v>739</v>
      </c>
      <c r="C297" s="13"/>
      <c r="D297" s="13"/>
      <c r="E297" s="18" t="s">
        <v>81</v>
      </c>
      <c r="F297" s="18" t="s">
        <v>82</v>
      </c>
      <c r="G297" s="18" t="s">
        <v>83</v>
      </c>
      <c r="H297" s="18" t="s">
        <v>84</v>
      </c>
      <c r="I297" s="18" t="s">
        <v>108</v>
      </c>
      <c r="J297" s="18">
        <v>3</v>
      </c>
      <c r="K297" s="16">
        <v>29.99</v>
      </c>
      <c r="L297" s="10"/>
      <c r="M297" s="16">
        <v>0</v>
      </c>
      <c r="N297" s="16">
        <v>0</v>
      </c>
      <c r="O297" s="18">
        <v>0</v>
      </c>
      <c r="P297" s="18" t="s">
        <v>86</v>
      </c>
      <c r="Q297" s="18">
        <v>3.433665</v>
      </c>
      <c r="R297" s="10"/>
      <c r="S297" s="16">
        <v>2</v>
      </c>
      <c r="T297" s="16">
        <v>10</v>
      </c>
      <c r="U297" s="18" t="s">
        <v>2129</v>
      </c>
      <c r="V297" s="18" t="s">
        <v>739</v>
      </c>
      <c r="W297" s="13"/>
      <c r="X297" s="13"/>
      <c r="Y297" s="18" t="s">
        <v>81</v>
      </c>
      <c r="Z297" s="18" t="s">
        <v>82</v>
      </c>
      <c r="AA297" s="18" t="s">
        <v>83</v>
      </c>
      <c r="AB297" s="18" t="s">
        <v>84</v>
      </c>
      <c r="AC297" s="18" t="s">
        <v>108</v>
      </c>
      <c r="AD297" s="18">
        <v>56.98</v>
      </c>
      <c r="AE297" s="18">
        <v>0</v>
      </c>
      <c r="AF297" s="18">
        <v>0</v>
      </c>
      <c r="AG297" s="18">
        <v>0</v>
      </c>
      <c r="AH297" s="18">
        <v>1</v>
      </c>
      <c r="AI297" s="18">
        <v>0</v>
      </c>
      <c r="AJ297" s="18">
        <v>0</v>
      </c>
      <c r="AK297" s="18">
        <v>0</v>
      </c>
      <c r="AL297" s="18">
        <v>1</v>
      </c>
      <c r="AM297" s="18">
        <v>0</v>
      </c>
      <c r="AN297" s="18">
        <v>0</v>
      </c>
      <c r="AO297" s="18">
        <v>0</v>
      </c>
      <c r="AP297" s="18">
        <v>0</v>
      </c>
      <c r="AQ297" s="18">
        <v>0</v>
      </c>
      <c r="AR297" s="18">
        <v>1</v>
      </c>
      <c r="AS297" s="18">
        <v>0</v>
      </c>
      <c r="AT297" s="18">
        <v>0</v>
      </c>
      <c r="AU297" s="18">
        <v>1</v>
      </c>
      <c r="AV297" s="18">
        <v>0</v>
      </c>
      <c r="AW297" s="18">
        <v>0</v>
      </c>
      <c r="AX297" s="18">
        <v>0</v>
      </c>
      <c r="AY297" s="13"/>
      <c r="AZ297" s="18">
        <v>1</v>
      </c>
      <c r="BA297" s="18">
        <v>2</v>
      </c>
      <c r="BB297" s="18">
        <v>34.03</v>
      </c>
      <c r="BC297" s="18" t="s">
        <v>1291</v>
      </c>
      <c r="BD297" s="18" t="s">
        <v>169</v>
      </c>
      <c r="BE297" s="18" t="s">
        <v>128</v>
      </c>
      <c r="BF297" s="18" t="s">
        <v>77</v>
      </c>
      <c r="BG297" s="18">
        <v>1</v>
      </c>
      <c r="BH297" s="18">
        <v>28</v>
      </c>
      <c r="BI297" s="18">
        <v>0.0345</v>
      </c>
      <c r="BJ297" s="18">
        <v>1</v>
      </c>
      <c r="BK297" s="18">
        <v>32</v>
      </c>
      <c r="BL297" s="18">
        <v>91.2</v>
      </c>
      <c r="BM297" s="13">
        <f t="shared" si="0"/>
        <v>59.98</v>
      </c>
    </row>
    <row r="298" customHeight="1" spans="1:65">
      <c r="A298" s="18" t="s">
        <v>1440</v>
      </c>
      <c r="B298" s="18" t="s">
        <v>739</v>
      </c>
      <c r="C298" s="13"/>
      <c r="D298" s="13"/>
      <c r="E298" s="18" t="s">
        <v>81</v>
      </c>
      <c r="F298" s="18" t="s">
        <v>82</v>
      </c>
      <c r="G298" s="18" t="s">
        <v>83</v>
      </c>
      <c r="H298" s="18" t="s">
        <v>84</v>
      </c>
      <c r="I298" s="18" t="s">
        <v>85</v>
      </c>
      <c r="J298" s="18">
        <v>5</v>
      </c>
      <c r="K298" s="16">
        <v>48</v>
      </c>
      <c r="L298" s="10"/>
      <c r="M298" s="16">
        <v>0</v>
      </c>
      <c r="N298" s="16">
        <v>0</v>
      </c>
      <c r="O298" s="18">
        <v>0</v>
      </c>
      <c r="P298" s="18" t="s">
        <v>86</v>
      </c>
      <c r="Q298" s="18">
        <v>3.89182</v>
      </c>
      <c r="R298" s="10"/>
      <c r="S298" s="16">
        <v>23</v>
      </c>
      <c r="T298" s="16">
        <v>10</v>
      </c>
      <c r="U298" s="18" t="s">
        <v>1440</v>
      </c>
      <c r="V298" s="18" t="s">
        <v>739</v>
      </c>
      <c r="W298" s="13"/>
      <c r="X298" s="13"/>
      <c r="Y298" s="18" t="s">
        <v>81</v>
      </c>
      <c r="Z298" s="18" t="s">
        <v>82</v>
      </c>
      <c r="AA298" s="18" t="s">
        <v>83</v>
      </c>
      <c r="AB298" s="18" t="s">
        <v>84</v>
      </c>
      <c r="AC298" s="18" t="s">
        <v>85</v>
      </c>
      <c r="AD298" s="18">
        <v>91</v>
      </c>
      <c r="AE298" s="18">
        <v>1</v>
      </c>
      <c r="AF298" s="18">
        <v>0</v>
      </c>
      <c r="AG298" s="18">
        <v>0</v>
      </c>
      <c r="AH298" s="18">
        <v>1</v>
      </c>
      <c r="AI298" s="18">
        <v>0</v>
      </c>
      <c r="AJ298" s="18">
        <v>0</v>
      </c>
      <c r="AK298" s="18">
        <v>0</v>
      </c>
      <c r="AL298" s="18">
        <v>0</v>
      </c>
      <c r="AM298" s="18">
        <v>0</v>
      </c>
      <c r="AN298" s="18">
        <v>0</v>
      </c>
      <c r="AO298" s="18">
        <v>0</v>
      </c>
      <c r="AP298" s="18">
        <v>0</v>
      </c>
      <c r="AQ298" s="18">
        <v>0</v>
      </c>
      <c r="AR298" s="18">
        <v>0</v>
      </c>
      <c r="AS298" s="18">
        <v>0</v>
      </c>
      <c r="AT298" s="18">
        <v>1</v>
      </c>
      <c r="AU298" s="18">
        <v>0</v>
      </c>
      <c r="AV298" s="18">
        <v>0</v>
      </c>
      <c r="AW298" s="18">
        <v>0</v>
      </c>
      <c r="AX298" s="18">
        <v>0</v>
      </c>
      <c r="AY298" s="13"/>
      <c r="AZ298" s="18">
        <v>1</v>
      </c>
      <c r="BA298" s="18">
        <v>2</v>
      </c>
      <c r="BB298" s="18">
        <v>52.87</v>
      </c>
      <c r="BC298" s="18" t="s">
        <v>1291</v>
      </c>
      <c r="BD298" s="18" t="s">
        <v>169</v>
      </c>
      <c r="BE298" s="18" t="s">
        <v>128</v>
      </c>
      <c r="BF298" s="18" t="s">
        <v>77</v>
      </c>
      <c r="BG298" s="18">
        <v>1</v>
      </c>
      <c r="BH298" s="18">
        <v>28</v>
      </c>
      <c r="BI298" s="18">
        <v>0.0345</v>
      </c>
      <c r="BJ298" s="18">
        <v>1</v>
      </c>
      <c r="BK298" s="18">
        <v>61</v>
      </c>
      <c r="BL298" s="18">
        <v>83.3</v>
      </c>
      <c r="BM298" s="13">
        <f t="shared" si="0"/>
        <v>1104</v>
      </c>
    </row>
    <row r="299" customHeight="1" spans="1:65">
      <c r="A299" s="18" t="s">
        <v>2103</v>
      </c>
      <c r="B299" s="18" t="s">
        <v>739</v>
      </c>
      <c r="C299" s="13"/>
      <c r="D299" s="13"/>
      <c r="E299" s="18" t="s">
        <v>81</v>
      </c>
      <c r="F299" s="18" t="s">
        <v>82</v>
      </c>
      <c r="G299" s="18" t="s">
        <v>83</v>
      </c>
      <c r="H299" s="18" t="s">
        <v>84</v>
      </c>
      <c r="I299" s="18" t="s">
        <v>108</v>
      </c>
      <c r="J299" s="18">
        <v>3</v>
      </c>
      <c r="K299" s="16">
        <v>265.46</v>
      </c>
      <c r="L299" s="10"/>
      <c r="M299" s="16">
        <v>0</v>
      </c>
      <c r="N299" s="16">
        <v>0</v>
      </c>
      <c r="O299" s="18">
        <v>0</v>
      </c>
      <c r="P299" s="18" t="s">
        <v>71</v>
      </c>
      <c r="Q299" s="18">
        <v>5.585224</v>
      </c>
      <c r="R299" s="10"/>
      <c r="S299" s="16">
        <v>213</v>
      </c>
      <c r="T299" s="16">
        <v>10</v>
      </c>
      <c r="U299" s="18" t="s">
        <v>2103</v>
      </c>
      <c r="V299" s="18" t="s">
        <v>739</v>
      </c>
      <c r="W299" s="13"/>
      <c r="X299" s="13"/>
      <c r="Y299" s="18" t="s">
        <v>81</v>
      </c>
      <c r="Z299" s="18" t="s">
        <v>82</v>
      </c>
      <c r="AA299" s="18" t="s">
        <v>83</v>
      </c>
      <c r="AB299" s="18" t="s">
        <v>84</v>
      </c>
      <c r="AC299" s="18" t="s">
        <v>108</v>
      </c>
      <c r="AD299" s="18">
        <v>527.92</v>
      </c>
      <c r="AE299" s="18">
        <v>1</v>
      </c>
      <c r="AF299" s="18">
        <v>0</v>
      </c>
      <c r="AG299" s="18">
        <v>0</v>
      </c>
      <c r="AH299" s="18">
        <v>1</v>
      </c>
      <c r="AI299" s="18">
        <v>0</v>
      </c>
      <c r="AJ299" s="18">
        <v>0</v>
      </c>
      <c r="AK299" s="18">
        <v>0</v>
      </c>
      <c r="AL299" s="18">
        <v>0</v>
      </c>
      <c r="AM299" s="18">
        <v>0</v>
      </c>
      <c r="AN299" s="18">
        <v>0</v>
      </c>
      <c r="AO299" s="18">
        <v>0</v>
      </c>
      <c r="AP299" s="18">
        <v>0</v>
      </c>
      <c r="AQ299" s="18">
        <v>0</v>
      </c>
      <c r="AR299" s="18">
        <v>0</v>
      </c>
      <c r="AS299" s="18">
        <v>0</v>
      </c>
      <c r="AT299" s="18">
        <v>1</v>
      </c>
      <c r="AU299" s="18">
        <v>0</v>
      </c>
      <c r="AV299" s="18">
        <v>0</v>
      </c>
      <c r="AW299" s="18">
        <v>1</v>
      </c>
      <c r="AX299" s="18">
        <v>0</v>
      </c>
      <c r="AY299" s="13"/>
      <c r="AZ299" s="18">
        <v>1</v>
      </c>
      <c r="BA299" s="18">
        <v>4</v>
      </c>
      <c r="BB299" s="18">
        <v>67.97</v>
      </c>
      <c r="BC299" s="18" t="s">
        <v>1291</v>
      </c>
      <c r="BD299" s="18" t="s">
        <v>2373</v>
      </c>
      <c r="BE299" s="18" t="s">
        <v>262</v>
      </c>
      <c r="BF299" s="18" t="s">
        <v>77</v>
      </c>
      <c r="BG299" s="18">
        <v>1</v>
      </c>
      <c r="BH299" s="18">
        <v>28</v>
      </c>
      <c r="BI299" s="18">
        <v>0.0345</v>
      </c>
      <c r="BJ299" s="18">
        <v>1</v>
      </c>
      <c r="BK299" s="18">
        <v>3</v>
      </c>
      <c r="BL299" s="18">
        <v>99.2</v>
      </c>
      <c r="BM299" s="13">
        <f t="shared" si="0"/>
        <v>56542.98</v>
      </c>
    </row>
    <row r="300" customHeight="1" spans="1:65">
      <c r="A300" s="18" t="s">
        <v>221</v>
      </c>
      <c r="B300" s="18" t="s">
        <v>222</v>
      </c>
      <c r="C300" s="18" t="s">
        <v>223</v>
      </c>
      <c r="D300" s="13"/>
      <c r="E300" s="18" t="s">
        <v>81</v>
      </c>
      <c r="F300" s="18" t="s">
        <v>82</v>
      </c>
      <c r="G300" s="18" t="s">
        <v>83</v>
      </c>
      <c r="H300" s="18" t="s">
        <v>84</v>
      </c>
      <c r="I300" s="18" t="s">
        <v>85</v>
      </c>
      <c r="J300" s="18">
        <v>5</v>
      </c>
      <c r="K300" s="16">
        <v>219.99</v>
      </c>
      <c r="L300" s="16">
        <v>319.99</v>
      </c>
      <c r="M300" s="16">
        <v>31.25</v>
      </c>
      <c r="N300" s="16">
        <v>100</v>
      </c>
      <c r="O300" s="18">
        <v>1</v>
      </c>
      <c r="P300" s="18" t="s">
        <v>71</v>
      </c>
      <c r="Q300" s="18">
        <v>5.398117</v>
      </c>
      <c r="R300" s="10"/>
      <c r="S300" s="16">
        <v>38</v>
      </c>
      <c r="T300" s="16">
        <v>20</v>
      </c>
      <c r="U300" s="18" t="s">
        <v>221</v>
      </c>
      <c r="V300" s="18" t="s">
        <v>222</v>
      </c>
      <c r="W300" s="18" t="s">
        <v>2607</v>
      </c>
      <c r="X300" s="13"/>
      <c r="Y300" s="18" t="s">
        <v>81</v>
      </c>
      <c r="Z300" s="18" t="s">
        <v>82</v>
      </c>
      <c r="AA300" s="18" t="s">
        <v>83</v>
      </c>
      <c r="AB300" s="18" t="s">
        <v>84</v>
      </c>
      <c r="AC300" s="18" t="s">
        <v>85</v>
      </c>
      <c r="AD300" s="18">
        <v>46.000666666667</v>
      </c>
      <c r="AE300" s="18">
        <v>1</v>
      </c>
      <c r="AF300" s="18">
        <v>1</v>
      </c>
      <c r="AG300" s="18">
        <v>0</v>
      </c>
      <c r="AH300" s="18">
        <v>1</v>
      </c>
      <c r="AI300" s="18">
        <v>0</v>
      </c>
      <c r="AJ300" s="18">
        <v>0</v>
      </c>
      <c r="AK300" s="18">
        <v>0</v>
      </c>
      <c r="AL300" s="18">
        <v>0</v>
      </c>
      <c r="AM300" s="18">
        <v>0</v>
      </c>
      <c r="AN300" s="18">
        <v>0</v>
      </c>
      <c r="AO300" s="18">
        <v>0</v>
      </c>
      <c r="AP300" s="18">
        <v>0</v>
      </c>
      <c r="AQ300" s="18">
        <v>0</v>
      </c>
      <c r="AR300" s="18">
        <v>0</v>
      </c>
      <c r="AS300" s="18">
        <v>0</v>
      </c>
      <c r="AT300" s="18">
        <v>1</v>
      </c>
      <c r="AU300" s="18">
        <v>0</v>
      </c>
      <c r="AV300" s="18">
        <v>0</v>
      </c>
      <c r="AW300" s="18">
        <v>1</v>
      </c>
      <c r="AX300" s="18">
        <v>0</v>
      </c>
      <c r="AY300" s="13"/>
      <c r="AZ300" s="18">
        <v>1</v>
      </c>
      <c r="BA300" s="18">
        <v>2</v>
      </c>
      <c r="BB300" s="18">
        <v>65.43</v>
      </c>
      <c r="BC300" s="18" t="s">
        <v>224</v>
      </c>
      <c r="BD300" s="18" t="s">
        <v>225</v>
      </c>
      <c r="BE300" s="18" t="s">
        <v>226</v>
      </c>
      <c r="BF300" s="18" t="s">
        <v>77</v>
      </c>
      <c r="BG300" s="18">
        <v>1</v>
      </c>
      <c r="BH300" s="18">
        <v>150</v>
      </c>
      <c r="BI300" s="18">
        <v>0.0066</v>
      </c>
      <c r="BJ300" s="18">
        <v>1</v>
      </c>
      <c r="BK300" s="18">
        <v>2</v>
      </c>
      <c r="BL300" s="18">
        <v>99.5</v>
      </c>
      <c r="BM300" s="13">
        <f t="shared" si="0"/>
        <v>8359.62</v>
      </c>
    </row>
    <row r="301" customHeight="1" spans="1:65">
      <c r="A301" s="18" t="s">
        <v>637</v>
      </c>
      <c r="B301" s="18" t="s">
        <v>222</v>
      </c>
      <c r="C301" s="18" t="s">
        <v>638</v>
      </c>
      <c r="D301" s="18">
        <v>763769907477</v>
      </c>
      <c r="E301" s="18" t="s">
        <v>81</v>
      </c>
      <c r="F301" s="18" t="s">
        <v>82</v>
      </c>
      <c r="G301" s="18" t="s">
        <v>83</v>
      </c>
      <c r="H301" s="18" t="s">
        <v>84</v>
      </c>
      <c r="I301" s="18" t="s">
        <v>85</v>
      </c>
      <c r="J301" s="18">
        <v>5</v>
      </c>
      <c r="K301" s="16">
        <v>45.99</v>
      </c>
      <c r="L301" s="10"/>
      <c r="M301" s="16">
        <v>0</v>
      </c>
      <c r="N301" s="16">
        <v>0</v>
      </c>
      <c r="O301" s="18">
        <v>0</v>
      </c>
      <c r="P301" s="18" t="s">
        <v>86</v>
      </c>
      <c r="Q301" s="18">
        <v>3.849935</v>
      </c>
      <c r="R301" s="10"/>
      <c r="S301" s="16">
        <v>2355</v>
      </c>
      <c r="T301" s="16">
        <v>29</v>
      </c>
      <c r="U301" s="18" t="s">
        <v>2608</v>
      </c>
      <c r="V301" s="18" t="s">
        <v>222</v>
      </c>
      <c r="W301" s="18" t="s">
        <v>2609</v>
      </c>
      <c r="X301" s="18">
        <v>763769907478</v>
      </c>
      <c r="Y301" s="18" t="s">
        <v>81</v>
      </c>
      <c r="Z301" s="18" t="s">
        <v>82</v>
      </c>
      <c r="AA301" s="18" t="s">
        <v>83</v>
      </c>
      <c r="AB301" s="18" t="s">
        <v>84</v>
      </c>
      <c r="AC301" s="18" t="s">
        <v>85</v>
      </c>
      <c r="AD301" s="18">
        <v>86.98</v>
      </c>
      <c r="AE301" s="18">
        <v>1</v>
      </c>
      <c r="AF301" s="18">
        <v>0</v>
      </c>
      <c r="AG301" s="18">
        <v>0</v>
      </c>
      <c r="AH301" s="18">
        <v>1</v>
      </c>
      <c r="AI301" s="18">
        <v>0</v>
      </c>
      <c r="AJ301" s="18">
        <v>0</v>
      </c>
      <c r="AK301" s="18">
        <v>1</v>
      </c>
      <c r="AL301" s="18">
        <v>0</v>
      </c>
      <c r="AM301" s="18">
        <v>0</v>
      </c>
      <c r="AN301" s="18">
        <v>0</v>
      </c>
      <c r="AO301" s="18">
        <v>0</v>
      </c>
      <c r="AP301" s="18">
        <v>0</v>
      </c>
      <c r="AQ301" s="18">
        <v>0</v>
      </c>
      <c r="AR301" s="18">
        <v>0</v>
      </c>
      <c r="AS301" s="18">
        <v>0</v>
      </c>
      <c r="AT301" s="18">
        <v>1</v>
      </c>
      <c r="AU301" s="18">
        <v>0</v>
      </c>
      <c r="AV301" s="18">
        <v>0</v>
      </c>
      <c r="AW301" s="18">
        <v>1</v>
      </c>
      <c r="AX301" s="18">
        <v>0</v>
      </c>
      <c r="AY301" s="13"/>
      <c r="AZ301" s="18">
        <v>1</v>
      </c>
      <c r="BA301" s="18">
        <v>3</v>
      </c>
      <c r="BB301" s="18">
        <v>69.36</v>
      </c>
      <c r="BC301" s="18" t="s">
        <v>224</v>
      </c>
      <c r="BD301" s="18" t="s">
        <v>225</v>
      </c>
      <c r="BE301" s="18" t="s">
        <v>226</v>
      </c>
      <c r="BF301" s="18" t="s">
        <v>77</v>
      </c>
      <c r="BG301" s="18">
        <v>1</v>
      </c>
      <c r="BH301" s="18">
        <v>147</v>
      </c>
      <c r="BI301" s="18">
        <v>0.0068</v>
      </c>
      <c r="BJ301" s="18">
        <v>1</v>
      </c>
      <c r="BK301" s="18">
        <v>2</v>
      </c>
      <c r="BL301" s="18">
        <v>99.5</v>
      </c>
      <c r="BM301" s="13">
        <f t="shared" si="0"/>
        <v>108306.45</v>
      </c>
    </row>
    <row r="302" customHeight="1" spans="1:65">
      <c r="A302" s="18" t="s">
        <v>1292</v>
      </c>
      <c r="B302" s="18" t="s">
        <v>125</v>
      </c>
      <c r="C302" s="13"/>
      <c r="D302" s="13"/>
      <c r="E302" s="18" t="s">
        <v>81</v>
      </c>
      <c r="F302" s="18" t="s">
        <v>240</v>
      </c>
      <c r="G302" s="18" t="s">
        <v>83</v>
      </c>
      <c r="H302" s="18" t="s">
        <v>138</v>
      </c>
      <c r="I302" s="18" t="s">
        <v>85</v>
      </c>
      <c r="J302" s="18">
        <v>5</v>
      </c>
      <c r="K302" s="16">
        <v>19.99</v>
      </c>
      <c r="L302" s="10"/>
      <c r="M302" s="16">
        <v>0</v>
      </c>
      <c r="N302" s="16">
        <v>0</v>
      </c>
      <c r="O302" s="18">
        <v>0</v>
      </c>
      <c r="P302" s="18" t="s">
        <v>133</v>
      </c>
      <c r="Q302" s="18">
        <v>3.044046</v>
      </c>
      <c r="R302" s="10"/>
      <c r="S302" s="16">
        <v>49</v>
      </c>
      <c r="T302" s="16">
        <v>10</v>
      </c>
      <c r="U302" s="18" t="s">
        <v>1292</v>
      </c>
      <c r="V302" s="18" t="s">
        <v>125</v>
      </c>
      <c r="W302" s="13"/>
      <c r="X302" s="13"/>
      <c r="Y302" s="18" t="s">
        <v>81</v>
      </c>
      <c r="Z302" s="18" t="s">
        <v>240</v>
      </c>
      <c r="AA302" s="18" t="s">
        <v>83</v>
      </c>
      <c r="AB302" s="18" t="s">
        <v>138</v>
      </c>
      <c r="AC302" s="18" t="s">
        <v>85</v>
      </c>
      <c r="AD302" s="18">
        <v>34.98</v>
      </c>
      <c r="AE302" s="18">
        <v>0</v>
      </c>
      <c r="AF302" s="18">
        <v>0</v>
      </c>
      <c r="AG302" s="18">
        <v>0</v>
      </c>
      <c r="AH302" s="18">
        <v>1</v>
      </c>
      <c r="AI302" s="18">
        <v>0</v>
      </c>
      <c r="AJ302" s="18">
        <v>0</v>
      </c>
      <c r="AK302" s="18">
        <v>0</v>
      </c>
      <c r="AL302" s="18">
        <v>1</v>
      </c>
      <c r="AM302" s="18">
        <v>0</v>
      </c>
      <c r="AN302" s="18">
        <v>0</v>
      </c>
      <c r="AO302" s="18">
        <v>0</v>
      </c>
      <c r="AP302" s="18">
        <v>0</v>
      </c>
      <c r="AQ302" s="18">
        <v>0</v>
      </c>
      <c r="AR302" s="18">
        <v>0</v>
      </c>
      <c r="AS302" s="18">
        <v>0</v>
      </c>
      <c r="AT302" s="18">
        <v>0</v>
      </c>
      <c r="AU302" s="18">
        <v>0</v>
      </c>
      <c r="AV302" s="18">
        <v>0</v>
      </c>
      <c r="AW302" s="18">
        <v>0</v>
      </c>
      <c r="AX302" s="18">
        <v>0</v>
      </c>
      <c r="AY302" s="13"/>
      <c r="AZ302" s="18">
        <v>1</v>
      </c>
      <c r="BA302" s="18">
        <v>1</v>
      </c>
      <c r="BB302" s="18">
        <v>63.07</v>
      </c>
      <c r="BC302" s="18" t="s">
        <v>1293</v>
      </c>
      <c r="BD302" s="18" t="s">
        <v>356</v>
      </c>
      <c r="BE302" s="18" t="s">
        <v>287</v>
      </c>
      <c r="BF302" s="18" t="s">
        <v>77</v>
      </c>
      <c r="BG302" s="18">
        <v>1</v>
      </c>
      <c r="BH302" s="18">
        <v>48</v>
      </c>
      <c r="BI302" s="18">
        <v>0.0204</v>
      </c>
      <c r="BJ302" s="18">
        <v>1</v>
      </c>
      <c r="BK302" s="18">
        <v>2</v>
      </c>
      <c r="BL302" s="18">
        <v>99.5</v>
      </c>
      <c r="BM302" s="13">
        <f t="shared" si="0"/>
        <v>979.51</v>
      </c>
    </row>
    <row r="303" customHeight="1" spans="1:65">
      <c r="A303" s="18" t="s">
        <v>1296</v>
      </c>
      <c r="B303" s="18" t="s">
        <v>125</v>
      </c>
      <c r="C303" s="13"/>
      <c r="D303" s="13"/>
      <c r="E303" s="18" t="s">
        <v>438</v>
      </c>
      <c r="F303" s="18" t="s">
        <v>198</v>
      </c>
      <c r="G303" s="18" t="s">
        <v>83</v>
      </c>
      <c r="H303" s="18" t="s">
        <v>138</v>
      </c>
      <c r="I303" s="18" t="s">
        <v>85</v>
      </c>
      <c r="J303" s="18">
        <v>5</v>
      </c>
      <c r="K303" s="16">
        <v>8.99</v>
      </c>
      <c r="L303" s="10"/>
      <c r="M303" s="16">
        <v>0</v>
      </c>
      <c r="N303" s="16">
        <v>0</v>
      </c>
      <c r="O303" s="18">
        <v>0</v>
      </c>
      <c r="P303" s="18" t="s">
        <v>133</v>
      </c>
      <c r="Q303" s="18">
        <v>2.301585</v>
      </c>
      <c r="R303" s="10"/>
      <c r="S303" s="16">
        <v>142</v>
      </c>
      <c r="T303" s="16">
        <v>10</v>
      </c>
      <c r="U303" s="18" t="s">
        <v>1296</v>
      </c>
      <c r="V303" s="18" t="s">
        <v>125</v>
      </c>
      <c r="W303" s="13"/>
      <c r="X303" s="13"/>
      <c r="Y303" s="18" t="s">
        <v>438</v>
      </c>
      <c r="Z303" s="18" t="s">
        <v>198</v>
      </c>
      <c r="AA303" s="18" t="s">
        <v>83</v>
      </c>
      <c r="AB303" s="18" t="s">
        <v>138</v>
      </c>
      <c r="AC303" s="18" t="s">
        <v>85</v>
      </c>
      <c r="AD303" s="18">
        <v>12.98</v>
      </c>
      <c r="AE303" s="18">
        <v>0</v>
      </c>
      <c r="AF303" s="18">
        <v>0</v>
      </c>
      <c r="AG303" s="18">
        <v>0</v>
      </c>
      <c r="AH303" s="18">
        <v>0</v>
      </c>
      <c r="AI303" s="18">
        <v>0</v>
      </c>
      <c r="AJ303" s="18">
        <v>0</v>
      </c>
      <c r="AK303" s="18">
        <v>0</v>
      </c>
      <c r="AL303" s="18">
        <v>0</v>
      </c>
      <c r="AM303" s="18">
        <v>0</v>
      </c>
      <c r="AN303" s="18">
        <v>0</v>
      </c>
      <c r="AO303" s="18">
        <v>0</v>
      </c>
      <c r="AP303" s="18">
        <v>0</v>
      </c>
      <c r="AQ303" s="18">
        <v>0</v>
      </c>
      <c r="AR303" s="18">
        <v>0</v>
      </c>
      <c r="AS303" s="18">
        <v>0</v>
      </c>
      <c r="AT303" s="18">
        <v>0</v>
      </c>
      <c r="AU303" s="18">
        <v>0</v>
      </c>
      <c r="AV303" s="18">
        <v>0</v>
      </c>
      <c r="AW303" s="18">
        <v>0</v>
      </c>
      <c r="AX303" s="18">
        <v>0</v>
      </c>
      <c r="AY303" s="13"/>
      <c r="AZ303" s="18">
        <v>1</v>
      </c>
      <c r="BA303" s="18">
        <v>1</v>
      </c>
      <c r="BB303" s="18">
        <v>64.82</v>
      </c>
      <c r="BC303" s="18" t="s">
        <v>1297</v>
      </c>
      <c r="BD303" s="18" t="s">
        <v>1271</v>
      </c>
      <c r="BE303" s="18" t="s">
        <v>136</v>
      </c>
      <c r="BF303" s="18" t="s">
        <v>77</v>
      </c>
      <c r="BG303" s="18">
        <v>168</v>
      </c>
      <c r="BH303" s="18">
        <v>11</v>
      </c>
      <c r="BI303" s="18">
        <v>0.9385</v>
      </c>
      <c r="BJ303" s="18">
        <v>0</v>
      </c>
      <c r="BK303" s="18">
        <v>31</v>
      </c>
      <c r="BL303" s="18">
        <v>91.5</v>
      </c>
      <c r="BM303" s="13">
        <f t="shared" si="0"/>
        <v>1276.58</v>
      </c>
    </row>
    <row r="304" customHeight="1" spans="1:65">
      <c r="A304" s="18" t="s">
        <v>599</v>
      </c>
      <c r="B304" s="18" t="s">
        <v>600</v>
      </c>
      <c r="C304" s="13"/>
      <c r="D304" s="13"/>
      <c r="E304" s="18" t="s">
        <v>601</v>
      </c>
      <c r="F304" s="18" t="s">
        <v>82</v>
      </c>
      <c r="G304" s="18" t="s">
        <v>83</v>
      </c>
      <c r="H304" s="18" t="s">
        <v>84</v>
      </c>
      <c r="I304" s="18" t="s">
        <v>85</v>
      </c>
      <c r="J304" s="18">
        <v>5</v>
      </c>
      <c r="K304" s="16">
        <v>48.99</v>
      </c>
      <c r="L304" s="10"/>
      <c r="M304" s="16">
        <v>0</v>
      </c>
      <c r="N304" s="16">
        <v>0</v>
      </c>
      <c r="O304" s="18">
        <v>0</v>
      </c>
      <c r="P304" s="18" t="s">
        <v>86</v>
      </c>
      <c r="Q304" s="18">
        <v>3.911823</v>
      </c>
      <c r="R304" s="10"/>
      <c r="S304" s="16">
        <v>101</v>
      </c>
      <c r="T304" s="16">
        <v>8</v>
      </c>
      <c r="U304" s="18" t="s">
        <v>599</v>
      </c>
      <c r="V304" s="18" t="s">
        <v>600</v>
      </c>
      <c r="W304" s="13"/>
      <c r="X304" s="13"/>
      <c r="Y304" s="18" t="s">
        <v>601</v>
      </c>
      <c r="Z304" s="18" t="s">
        <v>82</v>
      </c>
      <c r="AA304" s="18" t="s">
        <v>83</v>
      </c>
      <c r="AB304" s="18" t="s">
        <v>84</v>
      </c>
      <c r="AC304" s="18" t="s">
        <v>85</v>
      </c>
      <c r="AD304" s="18">
        <v>92.98</v>
      </c>
      <c r="AE304" s="18">
        <v>0</v>
      </c>
      <c r="AF304" s="18">
        <v>0</v>
      </c>
      <c r="AG304" s="18">
        <v>0</v>
      </c>
      <c r="AH304" s="18">
        <v>1</v>
      </c>
      <c r="AI304" s="18">
        <v>0</v>
      </c>
      <c r="AJ304" s="18">
        <v>0</v>
      </c>
      <c r="AK304" s="18">
        <v>0</v>
      </c>
      <c r="AL304" s="18">
        <v>1</v>
      </c>
      <c r="AM304" s="18">
        <v>0</v>
      </c>
      <c r="AN304" s="18">
        <v>0</v>
      </c>
      <c r="AO304" s="18">
        <v>0</v>
      </c>
      <c r="AP304" s="18">
        <v>0</v>
      </c>
      <c r="AQ304" s="18">
        <v>0</v>
      </c>
      <c r="AR304" s="18">
        <v>0</v>
      </c>
      <c r="AS304" s="18">
        <v>0</v>
      </c>
      <c r="AT304" s="18">
        <v>0</v>
      </c>
      <c r="AU304" s="18">
        <v>0</v>
      </c>
      <c r="AV304" s="18">
        <v>0</v>
      </c>
      <c r="AW304" s="18">
        <v>0</v>
      </c>
      <c r="AX304" s="18">
        <v>0</v>
      </c>
      <c r="AY304" s="13"/>
      <c r="AZ304" s="18">
        <v>1</v>
      </c>
      <c r="BA304" s="18">
        <v>1</v>
      </c>
      <c r="BB304" s="18">
        <v>66.91</v>
      </c>
      <c r="BC304" s="18" t="s">
        <v>1303</v>
      </c>
      <c r="BD304" s="18" t="s">
        <v>1304</v>
      </c>
      <c r="BE304" s="18" t="s">
        <v>113</v>
      </c>
      <c r="BF304" s="18" t="s">
        <v>77</v>
      </c>
      <c r="BG304" s="18">
        <v>168</v>
      </c>
      <c r="BH304" s="18">
        <v>11</v>
      </c>
      <c r="BI304" s="18">
        <v>0.9385</v>
      </c>
      <c r="BJ304" s="18">
        <v>0</v>
      </c>
      <c r="BK304" s="18">
        <v>2</v>
      </c>
      <c r="BL304" s="18">
        <v>99.5</v>
      </c>
      <c r="BM304" s="13">
        <f t="shared" si="0"/>
        <v>4947.99</v>
      </c>
    </row>
    <row r="305" customHeight="1" spans="1:65">
      <c r="A305" s="18" t="s">
        <v>1305</v>
      </c>
      <c r="B305" s="18" t="s">
        <v>365</v>
      </c>
      <c r="C305" s="18" t="s">
        <v>1306</v>
      </c>
      <c r="D305" s="18">
        <v>810084693575</v>
      </c>
      <c r="E305" s="18" t="s">
        <v>163</v>
      </c>
      <c r="F305" s="18" t="s">
        <v>82</v>
      </c>
      <c r="G305" s="18" t="s">
        <v>83</v>
      </c>
      <c r="H305" s="18" t="s">
        <v>84</v>
      </c>
      <c r="I305" s="18" t="s">
        <v>85</v>
      </c>
      <c r="J305" s="18">
        <v>5</v>
      </c>
      <c r="K305" s="16">
        <v>169.99</v>
      </c>
      <c r="L305" s="10"/>
      <c r="M305" s="16">
        <v>0</v>
      </c>
      <c r="N305" s="16">
        <v>0</v>
      </c>
      <c r="O305" s="18">
        <v>0</v>
      </c>
      <c r="P305" s="18" t="s">
        <v>95</v>
      </c>
      <c r="Q305" s="18">
        <v>5.141605</v>
      </c>
      <c r="R305" s="10"/>
      <c r="S305" s="16">
        <v>6</v>
      </c>
      <c r="T305" s="16">
        <v>1</v>
      </c>
      <c r="U305" s="18" t="s">
        <v>1305</v>
      </c>
      <c r="V305" s="18" t="s">
        <v>365</v>
      </c>
      <c r="W305" s="18" t="s">
        <v>1306</v>
      </c>
      <c r="X305" s="18">
        <v>810084693576</v>
      </c>
      <c r="Y305" s="18" t="s">
        <v>163</v>
      </c>
      <c r="Z305" s="18" t="s">
        <v>82</v>
      </c>
      <c r="AA305" s="18" t="s">
        <v>83</v>
      </c>
      <c r="AB305" s="18" t="s">
        <v>84</v>
      </c>
      <c r="AC305" s="18" t="s">
        <v>85</v>
      </c>
      <c r="AD305" s="18">
        <v>334.98</v>
      </c>
      <c r="AE305" s="18">
        <v>0</v>
      </c>
      <c r="AF305" s="18">
        <v>0</v>
      </c>
      <c r="AG305" s="18">
        <v>0</v>
      </c>
      <c r="AH305" s="18">
        <v>0</v>
      </c>
      <c r="AI305" s="18">
        <v>0</v>
      </c>
      <c r="AJ305" s="18">
        <v>0</v>
      </c>
      <c r="AK305" s="18">
        <v>0</v>
      </c>
      <c r="AL305" s="18">
        <v>0</v>
      </c>
      <c r="AM305" s="18">
        <v>0</v>
      </c>
      <c r="AN305" s="18">
        <v>0</v>
      </c>
      <c r="AO305" s="18">
        <v>0</v>
      </c>
      <c r="AP305" s="18">
        <v>0</v>
      </c>
      <c r="AQ305" s="18">
        <v>0</v>
      </c>
      <c r="AR305" s="18">
        <v>0</v>
      </c>
      <c r="AS305" s="18">
        <v>0</v>
      </c>
      <c r="AT305" s="18">
        <v>0</v>
      </c>
      <c r="AU305" s="18">
        <v>0</v>
      </c>
      <c r="AV305" s="18">
        <v>0</v>
      </c>
      <c r="AW305" s="18">
        <v>0</v>
      </c>
      <c r="AX305" s="18">
        <v>0</v>
      </c>
      <c r="AY305" s="13"/>
      <c r="AZ305" s="18">
        <v>1</v>
      </c>
      <c r="BA305" s="18">
        <v>0</v>
      </c>
      <c r="BB305" s="18">
        <v>64.13</v>
      </c>
      <c r="BC305" s="18" t="s">
        <v>1307</v>
      </c>
      <c r="BD305" s="18" t="s">
        <v>940</v>
      </c>
      <c r="BE305" s="18" t="s">
        <v>1308</v>
      </c>
      <c r="BF305" s="18" t="s">
        <v>77</v>
      </c>
      <c r="BG305" s="18">
        <v>1</v>
      </c>
      <c r="BH305" s="18">
        <v>15</v>
      </c>
      <c r="BI305" s="18">
        <v>0.0625</v>
      </c>
      <c r="BJ305" s="18">
        <v>1</v>
      </c>
      <c r="BK305" s="18">
        <v>2</v>
      </c>
      <c r="BL305" s="18">
        <v>99.5</v>
      </c>
      <c r="BM305" s="13">
        <f t="shared" si="0"/>
        <v>1019.94</v>
      </c>
    </row>
    <row r="306" customHeight="1" spans="1:65">
      <c r="A306" s="18" t="s">
        <v>2434</v>
      </c>
      <c r="B306" s="18" t="s">
        <v>115</v>
      </c>
      <c r="C306" s="13"/>
      <c r="D306" s="13"/>
      <c r="E306" s="19" t="s">
        <v>2435</v>
      </c>
      <c r="F306" s="18" t="s">
        <v>82</v>
      </c>
      <c r="G306" s="18" t="s">
        <v>117</v>
      </c>
      <c r="H306" s="18" t="s">
        <v>107</v>
      </c>
      <c r="I306" s="18" t="s">
        <v>85</v>
      </c>
      <c r="J306" s="18">
        <v>5</v>
      </c>
      <c r="K306" s="16">
        <v>13.99</v>
      </c>
      <c r="L306" s="10"/>
      <c r="M306" s="16">
        <v>0</v>
      </c>
      <c r="N306" s="16">
        <v>0</v>
      </c>
      <c r="O306" s="18">
        <v>0</v>
      </c>
      <c r="P306" s="18" t="s">
        <v>133</v>
      </c>
      <c r="Q306" s="18">
        <v>2.707383</v>
      </c>
      <c r="R306" s="10"/>
      <c r="S306" s="16">
        <v>32</v>
      </c>
      <c r="T306" s="16">
        <v>10</v>
      </c>
      <c r="U306" s="18" t="s">
        <v>2434</v>
      </c>
      <c r="V306" s="18" t="s">
        <v>115</v>
      </c>
      <c r="W306" s="13"/>
      <c r="X306" s="13"/>
      <c r="Y306" s="19" t="s">
        <v>2435</v>
      </c>
      <c r="Z306" s="18" t="s">
        <v>82</v>
      </c>
      <c r="AA306" s="18" t="s">
        <v>117</v>
      </c>
      <c r="AB306" s="18" t="s">
        <v>107</v>
      </c>
      <c r="AC306" s="18" t="s">
        <v>85</v>
      </c>
      <c r="AD306" s="18">
        <v>22.98</v>
      </c>
      <c r="AE306" s="18">
        <v>0</v>
      </c>
      <c r="AF306" s="18">
        <v>0</v>
      </c>
      <c r="AG306" s="18">
        <v>1</v>
      </c>
      <c r="AH306" s="18">
        <v>0</v>
      </c>
      <c r="AI306" s="18">
        <v>0</v>
      </c>
      <c r="AJ306" s="18">
        <v>0</v>
      </c>
      <c r="AK306" s="18">
        <v>0</v>
      </c>
      <c r="AL306" s="18">
        <v>0</v>
      </c>
      <c r="AM306" s="18">
        <v>0</v>
      </c>
      <c r="AN306" s="18">
        <v>0</v>
      </c>
      <c r="AO306" s="18">
        <v>0</v>
      </c>
      <c r="AP306" s="18">
        <v>0</v>
      </c>
      <c r="AQ306" s="18">
        <v>0</v>
      </c>
      <c r="AR306" s="18">
        <v>0</v>
      </c>
      <c r="AS306" s="18">
        <v>1</v>
      </c>
      <c r="AT306" s="18">
        <v>0</v>
      </c>
      <c r="AU306" s="18">
        <v>0</v>
      </c>
      <c r="AV306" s="18">
        <v>0</v>
      </c>
      <c r="AW306" s="18">
        <v>0</v>
      </c>
      <c r="AX306" s="18">
        <v>0</v>
      </c>
      <c r="AY306" s="13"/>
      <c r="AZ306" s="18">
        <v>1</v>
      </c>
      <c r="BA306" s="18">
        <v>0</v>
      </c>
      <c r="BB306" s="18">
        <v>58.11</v>
      </c>
      <c r="BC306" s="18" t="s">
        <v>1311</v>
      </c>
      <c r="BD306" s="18" t="s">
        <v>698</v>
      </c>
      <c r="BE306" s="18" t="s">
        <v>166</v>
      </c>
      <c r="BF306" s="18" t="s">
        <v>77</v>
      </c>
      <c r="BG306" s="18">
        <v>168</v>
      </c>
      <c r="BH306" s="18">
        <v>11</v>
      </c>
      <c r="BI306" s="18">
        <v>0.9385</v>
      </c>
      <c r="BJ306" s="18">
        <v>0</v>
      </c>
      <c r="BK306" s="18">
        <v>29</v>
      </c>
      <c r="BL306" s="18">
        <v>92.1</v>
      </c>
      <c r="BM306" s="13">
        <f t="shared" si="0"/>
        <v>447.68</v>
      </c>
    </row>
    <row r="307" customHeight="1" spans="1:65">
      <c r="A307" s="18" t="s">
        <v>1309</v>
      </c>
      <c r="B307" s="18" t="s">
        <v>115</v>
      </c>
      <c r="C307" s="13"/>
      <c r="D307" s="13"/>
      <c r="E307" s="19" t="s">
        <v>1310</v>
      </c>
      <c r="F307" s="18" t="s">
        <v>82</v>
      </c>
      <c r="G307" s="18" t="s">
        <v>117</v>
      </c>
      <c r="H307" s="18" t="s">
        <v>107</v>
      </c>
      <c r="I307" s="18" t="s">
        <v>85</v>
      </c>
      <c r="J307" s="18">
        <v>5</v>
      </c>
      <c r="K307" s="16">
        <v>11.99</v>
      </c>
      <c r="L307" s="10"/>
      <c r="M307" s="16">
        <v>0</v>
      </c>
      <c r="N307" s="16">
        <v>0</v>
      </c>
      <c r="O307" s="18">
        <v>0</v>
      </c>
      <c r="P307" s="18" t="s">
        <v>133</v>
      </c>
      <c r="Q307" s="18">
        <v>2.56418</v>
      </c>
      <c r="R307" s="10"/>
      <c r="S307" s="16">
        <v>47</v>
      </c>
      <c r="T307" s="16">
        <v>10</v>
      </c>
      <c r="U307" s="18" t="s">
        <v>1309</v>
      </c>
      <c r="V307" s="18" t="s">
        <v>115</v>
      </c>
      <c r="W307" s="13"/>
      <c r="X307" s="13"/>
      <c r="Y307" s="19" t="s">
        <v>1310</v>
      </c>
      <c r="Z307" s="18" t="s">
        <v>82</v>
      </c>
      <c r="AA307" s="18" t="s">
        <v>117</v>
      </c>
      <c r="AB307" s="18" t="s">
        <v>107</v>
      </c>
      <c r="AC307" s="18" t="s">
        <v>85</v>
      </c>
      <c r="AD307" s="18">
        <v>18.98</v>
      </c>
      <c r="AE307" s="18">
        <v>0</v>
      </c>
      <c r="AF307" s="18">
        <v>0</v>
      </c>
      <c r="AG307" s="18">
        <v>0</v>
      </c>
      <c r="AH307" s="18">
        <v>0</v>
      </c>
      <c r="AI307" s="18">
        <v>0</v>
      </c>
      <c r="AJ307" s="18">
        <v>0</v>
      </c>
      <c r="AK307" s="18">
        <v>0</v>
      </c>
      <c r="AL307" s="18">
        <v>0</v>
      </c>
      <c r="AM307" s="18">
        <v>0</v>
      </c>
      <c r="AN307" s="18">
        <v>0</v>
      </c>
      <c r="AO307" s="18">
        <v>0</v>
      </c>
      <c r="AP307" s="18">
        <v>0</v>
      </c>
      <c r="AQ307" s="18">
        <v>0</v>
      </c>
      <c r="AR307" s="18">
        <v>0</v>
      </c>
      <c r="AS307" s="18">
        <v>1</v>
      </c>
      <c r="AT307" s="18">
        <v>0</v>
      </c>
      <c r="AU307" s="18">
        <v>0</v>
      </c>
      <c r="AV307" s="18">
        <v>0</v>
      </c>
      <c r="AW307" s="18">
        <v>0</v>
      </c>
      <c r="AX307" s="18">
        <v>0</v>
      </c>
      <c r="AY307" s="13"/>
      <c r="AZ307" s="18">
        <v>1</v>
      </c>
      <c r="BA307" s="18">
        <v>0</v>
      </c>
      <c r="BB307" s="18">
        <v>60.19</v>
      </c>
      <c r="BC307" s="18" t="s">
        <v>1311</v>
      </c>
      <c r="BD307" s="18" t="s">
        <v>698</v>
      </c>
      <c r="BE307" s="18" t="s">
        <v>166</v>
      </c>
      <c r="BF307" s="18" t="s">
        <v>77</v>
      </c>
      <c r="BG307" s="18">
        <v>168</v>
      </c>
      <c r="BH307" s="18">
        <v>11</v>
      </c>
      <c r="BI307" s="18">
        <v>0.9385</v>
      </c>
      <c r="BJ307" s="18">
        <v>0</v>
      </c>
      <c r="BK307" s="18">
        <v>34</v>
      </c>
      <c r="BL307" s="18">
        <v>90.7</v>
      </c>
      <c r="BM307" s="13">
        <f t="shared" si="0"/>
        <v>563.53</v>
      </c>
    </row>
    <row r="308" customHeight="1" spans="1:65">
      <c r="A308" s="18" t="s">
        <v>1667</v>
      </c>
      <c r="B308" s="18" t="s">
        <v>195</v>
      </c>
      <c r="C308" s="18" t="s">
        <v>1668</v>
      </c>
      <c r="D308" s="18">
        <v>815017029698</v>
      </c>
      <c r="E308" s="18" t="s">
        <v>122</v>
      </c>
      <c r="F308" s="18" t="s">
        <v>82</v>
      </c>
      <c r="G308" s="18" t="s">
        <v>83</v>
      </c>
      <c r="H308" s="18" t="s">
        <v>84</v>
      </c>
      <c r="I308" s="18" t="s">
        <v>85</v>
      </c>
      <c r="J308" s="18">
        <v>5</v>
      </c>
      <c r="K308" s="16">
        <v>9.99</v>
      </c>
      <c r="L308" s="10"/>
      <c r="M308" s="16">
        <v>0</v>
      </c>
      <c r="N308" s="16">
        <v>0</v>
      </c>
      <c r="O308" s="18">
        <v>0</v>
      </c>
      <c r="P308" s="18" t="s">
        <v>133</v>
      </c>
      <c r="Q308" s="18">
        <v>2.396986</v>
      </c>
      <c r="R308" s="10"/>
      <c r="S308" s="16">
        <v>639</v>
      </c>
      <c r="T308" s="16">
        <v>10</v>
      </c>
      <c r="U308" s="18" t="s">
        <v>1667</v>
      </c>
      <c r="V308" s="18" t="s">
        <v>195</v>
      </c>
      <c r="W308" s="18" t="s">
        <v>2610</v>
      </c>
      <c r="X308" s="18">
        <v>815017029699</v>
      </c>
      <c r="Y308" s="18" t="s">
        <v>122</v>
      </c>
      <c r="Z308" s="18" t="s">
        <v>82</v>
      </c>
      <c r="AA308" s="18" t="s">
        <v>83</v>
      </c>
      <c r="AB308" s="18" t="s">
        <v>84</v>
      </c>
      <c r="AC308" s="18" t="s">
        <v>85</v>
      </c>
      <c r="AD308" s="18">
        <v>14.98</v>
      </c>
      <c r="AE308" s="18">
        <v>0</v>
      </c>
      <c r="AF308" s="18">
        <v>0</v>
      </c>
      <c r="AG308" s="18">
        <v>0</v>
      </c>
      <c r="AH308" s="18">
        <v>0</v>
      </c>
      <c r="AI308" s="18">
        <v>0</v>
      </c>
      <c r="AJ308" s="18">
        <v>0</v>
      </c>
      <c r="AK308" s="18">
        <v>0</v>
      </c>
      <c r="AL308" s="18">
        <v>0</v>
      </c>
      <c r="AM308" s="18">
        <v>0</v>
      </c>
      <c r="AN308" s="18">
        <v>0</v>
      </c>
      <c r="AO308" s="18">
        <v>0</v>
      </c>
      <c r="AP308" s="18">
        <v>0</v>
      </c>
      <c r="AQ308" s="18">
        <v>0</v>
      </c>
      <c r="AR308" s="18">
        <v>0</v>
      </c>
      <c r="AS308" s="18">
        <v>1</v>
      </c>
      <c r="AT308" s="18">
        <v>0</v>
      </c>
      <c r="AU308" s="18">
        <v>0</v>
      </c>
      <c r="AV308" s="18">
        <v>0</v>
      </c>
      <c r="AW308" s="18">
        <v>0</v>
      </c>
      <c r="AX308" s="18">
        <v>0</v>
      </c>
      <c r="AY308" s="13"/>
      <c r="AZ308" s="18">
        <v>1</v>
      </c>
      <c r="BA308" s="18">
        <v>0</v>
      </c>
      <c r="BB308" s="18">
        <v>40.13</v>
      </c>
      <c r="BC308" s="18" t="s">
        <v>1311</v>
      </c>
      <c r="BD308" s="18" t="s">
        <v>698</v>
      </c>
      <c r="BE308" s="18" t="s">
        <v>166</v>
      </c>
      <c r="BF308" s="18" t="s">
        <v>77</v>
      </c>
      <c r="BG308" s="18">
        <v>168</v>
      </c>
      <c r="BH308" s="18">
        <v>11</v>
      </c>
      <c r="BI308" s="18">
        <v>0.9385</v>
      </c>
      <c r="BJ308" s="18">
        <v>0</v>
      </c>
      <c r="BK308" s="18">
        <v>356</v>
      </c>
      <c r="BL308" s="18">
        <v>2.5</v>
      </c>
      <c r="BM308" s="13">
        <f t="shared" si="0"/>
        <v>6383.61</v>
      </c>
    </row>
    <row r="309" customHeight="1" spans="1:65">
      <c r="A309" s="18" t="s">
        <v>1314</v>
      </c>
      <c r="B309" s="18" t="s">
        <v>1315</v>
      </c>
      <c r="C309" s="18" t="s">
        <v>1316</v>
      </c>
      <c r="D309" s="13"/>
      <c r="E309" s="18" t="s">
        <v>1317</v>
      </c>
      <c r="F309" s="18" t="s">
        <v>240</v>
      </c>
      <c r="G309" s="18" t="s">
        <v>83</v>
      </c>
      <c r="H309" s="18" t="s">
        <v>84</v>
      </c>
      <c r="I309" s="18" t="s">
        <v>203</v>
      </c>
      <c r="J309" s="18">
        <v>4</v>
      </c>
      <c r="K309" s="16">
        <v>75</v>
      </c>
      <c r="L309" s="16">
        <v>299.99</v>
      </c>
      <c r="M309" s="16">
        <v>75</v>
      </c>
      <c r="N309" s="16">
        <v>224.99</v>
      </c>
      <c r="O309" s="18">
        <v>1</v>
      </c>
      <c r="P309" s="18" t="s">
        <v>95</v>
      </c>
      <c r="Q309" s="18">
        <v>4.330733</v>
      </c>
      <c r="R309" s="10"/>
      <c r="S309" s="10"/>
      <c r="T309" s="16">
        <v>2</v>
      </c>
      <c r="U309" s="18" t="s">
        <v>1314</v>
      </c>
      <c r="V309" s="18" t="s">
        <v>1315</v>
      </c>
      <c r="W309" s="18" t="s">
        <v>1316</v>
      </c>
      <c r="X309" s="13"/>
      <c r="Y309" s="18" t="s">
        <v>1317</v>
      </c>
      <c r="Z309" s="18" t="s">
        <v>240</v>
      </c>
      <c r="AA309" s="18" t="s">
        <v>83</v>
      </c>
      <c r="AB309" s="18" t="s">
        <v>84</v>
      </c>
      <c r="AC309" s="18" t="s">
        <v>203</v>
      </c>
      <c r="AD309" s="18">
        <v>134.328</v>
      </c>
      <c r="AE309" s="18">
        <v>0</v>
      </c>
      <c r="AF309" s="18">
        <v>0</v>
      </c>
      <c r="AG309" s="18">
        <v>0</v>
      </c>
      <c r="AH309" s="18">
        <v>0</v>
      </c>
      <c r="AI309" s="18">
        <v>0</v>
      </c>
      <c r="AJ309" s="18">
        <v>0</v>
      </c>
      <c r="AK309" s="18">
        <v>0</v>
      </c>
      <c r="AL309" s="18">
        <v>0</v>
      </c>
      <c r="AM309" s="18">
        <v>0</v>
      </c>
      <c r="AN309" s="18">
        <v>0</v>
      </c>
      <c r="AO309" s="18">
        <v>0</v>
      </c>
      <c r="AP309" s="18">
        <v>0</v>
      </c>
      <c r="AQ309" s="18">
        <v>1</v>
      </c>
      <c r="AR309" s="18">
        <v>0</v>
      </c>
      <c r="AS309" s="18">
        <v>0</v>
      </c>
      <c r="AT309" s="18">
        <v>0</v>
      </c>
      <c r="AU309" s="18">
        <v>0</v>
      </c>
      <c r="AV309" s="18">
        <v>1</v>
      </c>
      <c r="AW309" s="18">
        <v>1</v>
      </c>
      <c r="AX309" s="18">
        <v>0</v>
      </c>
      <c r="AY309" s="13"/>
      <c r="AZ309" s="18">
        <v>1</v>
      </c>
      <c r="BA309" s="18">
        <v>1</v>
      </c>
      <c r="BB309" s="18">
        <v>41.82</v>
      </c>
      <c r="BC309" s="18" t="s">
        <v>1318</v>
      </c>
      <c r="BD309" s="18" t="s">
        <v>1319</v>
      </c>
      <c r="BE309" s="18" t="s">
        <v>113</v>
      </c>
      <c r="BF309" s="18" t="s">
        <v>77</v>
      </c>
      <c r="BG309" s="18">
        <v>168</v>
      </c>
      <c r="BH309" s="18">
        <v>38</v>
      </c>
      <c r="BI309" s="18">
        <v>0.8155</v>
      </c>
      <c r="BJ309" s="18">
        <v>0</v>
      </c>
      <c r="BK309" s="18">
        <v>130</v>
      </c>
      <c r="BL309" s="18">
        <v>64.4</v>
      </c>
      <c r="BM309" s="13">
        <f t="shared" si="0"/>
        <v>0</v>
      </c>
    </row>
    <row r="310" customHeight="1" spans="1:65">
      <c r="A310" s="18" t="s">
        <v>1320</v>
      </c>
      <c r="B310" s="18" t="s">
        <v>1321</v>
      </c>
      <c r="C310" s="18" t="s">
        <v>1322</v>
      </c>
      <c r="D310" s="13"/>
      <c r="E310" s="18" t="s">
        <v>163</v>
      </c>
      <c r="F310" s="18" t="s">
        <v>240</v>
      </c>
      <c r="G310" s="18" t="s">
        <v>83</v>
      </c>
      <c r="H310" s="18" t="s">
        <v>84</v>
      </c>
      <c r="I310" s="18" t="s">
        <v>85</v>
      </c>
      <c r="J310" s="18">
        <v>5</v>
      </c>
      <c r="K310" s="16">
        <v>282.15</v>
      </c>
      <c r="L310" s="16">
        <v>297</v>
      </c>
      <c r="M310" s="16">
        <v>5</v>
      </c>
      <c r="N310" s="16">
        <v>14.85</v>
      </c>
      <c r="O310" s="18">
        <v>1</v>
      </c>
      <c r="P310" s="18" t="s">
        <v>71</v>
      </c>
      <c r="Q310" s="18">
        <v>5.645977</v>
      </c>
      <c r="R310" s="16">
        <v>35.27</v>
      </c>
      <c r="S310" s="10"/>
      <c r="T310" s="10"/>
      <c r="U310" s="18" t="s">
        <v>1320</v>
      </c>
      <c r="V310" s="18" t="s">
        <v>1321</v>
      </c>
      <c r="W310" s="18" t="s">
        <v>2611</v>
      </c>
      <c r="X310" s="13"/>
      <c r="Y310" s="18" t="s">
        <v>163</v>
      </c>
      <c r="Z310" s="18" t="s">
        <v>240</v>
      </c>
      <c r="AA310" s="18" t="s">
        <v>83</v>
      </c>
      <c r="AB310" s="18" t="s">
        <v>84</v>
      </c>
      <c r="AC310" s="18" t="s">
        <v>85</v>
      </c>
      <c r="AD310" s="18">
        <v>-10.5566666666668</v>
      </c>
      <c r="AE310" s="18">
        <v>0</v>
      </c>
      <c r="AF310" s="18">
        <v>0</v>
      </c>
      <c r="AG310" s="18">
        <v>0</v>
      </c>
      <c r="AH310" s="18">
        <v>0</v>
      </c>
      <c r="AI310" s="18">
        <v>0</v>
      </c>
      <c r="AJ310" s="18">
        <v>0</v>
      </c>
      <c r="AK310" s="18">
        <v>0</v>
      </c>
      <c r="AL310" s="18">
        <v>0</v>
      </c>
      <c r="AM310" s="18">
        <v>0</v>
      </c>
      <c r="AN310" s="18">
        <v>0</v>
      </c>
      <c r="AO310" s="18">
        <v>0</v>
      </c>
      <c r="AP310" s="18">
        <v>0</v>
      </c>
      <c r="AQ310" s="18">
        <v>1</v>
      </c>
      <c r="AR310" s="18">
        <v>0</v>
      </c>
      <c r="AS310" s="18">
        <v>0</v>
      </c>
      <c r="AT310" s="18">
        <v>0</v>
      </c>
      <c r="AU310" s="18">
        <v>0</v>
      </c>
      <c r="AV310" s="18">
        <v>1</v>
      </c>
      <c r="AW310" s="18">
        <v>1</v>
      </c>
      <c r="AX310" s="18">
        <v>0</v>
      </c>
      <c r="AY310" s="18">
        <v>8</v>
      </c>
      <c r="AZ310" s="18">
        <v>1</v>
      </c>
      <c r="BA310" s="18">
        <v>1</v>
      </c>
      <c r="BB310" s="18">
        <v>1.5</v>
      </c>
      <c r="BC310" s="18" t="s">
        <v>1323</v>
      </c>
      <c r="BD310" s="18" t="s">
        <v>1324</v>
      </c>
      <c r="BE310" s="18" t="s">
        <v>98</v>
      </c>
      <c r="BF310" s="18" t="s">
        <v>77</v>
      </c>
      <c r="BG310" s="18">
        <v>1</v>
      </c>
      <c r="BH310" s="18">
        <v>14</v>
      </c>
      <c r="BI310" s="18">
        <v>0.0667</v>
      </c>
      <c r="BJ310" s="18">
        <v>1</v>
      </c>
      <c r="BK310" s="18">
        <v>425</v>
      </c>
      <c r="BL310" s="18">
        <v>0</v>
      </c>
      <c r="BM310" s="13">
        <f t="shared" si="0"/>
        <v>0</v>
      </c>
    </row>
    <row r="311" customHeight="1" spans="1:65">
      <c r="A311" s="18" t="s">
        <v>2479</v>
      </c>
      <c r="B311" s="18" t="s">
        <v>2480</v>
      </c>
      <c r="C311" s="18" t="s">
        <v>2481</v>
      </c>
      <c r="D311" s="13"/>
      <c r="E311" s="19" t="s">
        <v>2482</v>
      </c>
      <c r="F311" s="18" t="s">
        <v>240</v>
      </c>
      <c r="G311" s="18" t="s">
        <v>83</v>
      </c>
      <c r="H311" s="18" t="s">
        <v>84</v>
      </c>
      <c r="I311" s="18" t="s">
        <v>203</v>
      </c>
      <c r="J311" s="18">
        <v>4</v>
      </c>
      <c r="K311" s="16">
        <v>187.15</v>
      </c>
      <c r="L311" s="16">
        <v>197</v>
      </c>
      <c r="M311" s="16">
        <v>5</v>
      </c>
      <c r="N311" s="16">
        <v>9.85</v>
      </c>
      <c r="O311" s="18">
        <v>1</v>
      </c>
      <c r="P311" s="18" t="s">
        <v>95</v>
      </c>
      <c r="Q311" s="18">
        <v>5.23724</v>
      </c>
      <c r="R311" s="16">
        <v>23.39</v>
      </c>
      <c r="S311" s="10"/>
      <c r="T311" s="10"/>
      <c r="U311" s="18" t="s">
        <v>2479</v>
      </c>
      <c r="V311" s="18" t="s">
        <v>2480</v>
      </c>
      <c r="W311" s="18" t="s">
        <v>2612</v>
      </c>
      <c r="X311" s="13"/>
      <c r="Y311" s="19" t="s">
        <v>2613</v>
      </c>
      <c r="Z311" s="18" t="s">
        <v>240</v>
      </c>
      <c r="AA311" s="18" t="s">
        <v>83</v>
      </c>
      <c r="AB311" s="18" t="s">
        <v>84</v>
      </c>
      <c r="AC311" s="18" t="s">
        <v>203</v>
      </c>
      <c r="AD311" s="18">
        <v>-6.5566666666666</v>
      </c>
      <c r="AE311" s="18">
        <v>0</v>
      </c>
      <c r="AF311" s="18">
        <v>0</v>
      </c>
      <c r="AG311" s="18">
        <v>0</v>
      </c>
      <c r="AH311" s="18">
        <v>0</v>
      </c>
      <c r="AI311" s="18">
        <v>0</v>
      </c>
      <c r="AJ311" s="18">
        <v>0</v>
      </c>
      <c r="AK311" s="18">
        <v>0</v>
      </c>
      <c r="AL311" s="18">
        <v>0</v>
      </c>
      <c r="AM311" s="18">
        <v>0</v>
      </c>
      <c r="AN311" s="18">
        <v>0</v>
      </c>
      <c r="AO311" s="18">
        <v>0</v>
      </c>
      <c r="AP311" s="18">
        <v>0</v>
      </c>
      <c r="AQ311" s="18">
        <v>1</v>
      </c>
      <c r="AR311" s="18">
        <v>0</v>
      </c>
      <c r="AS311" s="18">
        <v>0</v>
      </c>
      <c r="AT311" s="18">
        <v>0</v>
      </c>
      <c r="AU311" s="18">
        <v>0</v>
      </c>
      <c r="AV311" s="18">
        <v>1</v>
      </c>
      <c r="AW311" s="18">
        <v>1</v>
      </c>
      <c r="AX311" s="18">
        <v>0</v>
      </c>
      <c r="AY311" s="18">
        <v>8</v>
      </c>
      <c r="AZ311" s="18">
        <v>1</v>
      </c>
      <c r="BA311" s="18">
        <v>1</v>
      </c>
      <c r="BB311" s="18">
        <v>1.5</v>
      </c>
      <c r="BC311" s="18" t="s">
        <v>1323</v>
      </c>
      <c r="BD311" s="13"/>
      <c r="BE311" s="13"/>
      <c r="BF311" s="13"/>
      <c r="BG311" s="18">
        <v>0</v>
      </c>
      <c r="BH311" s="18">
        <v>0</v>
      </c>
      <c r="BI311" s="13"/>
      <c r="BJ311" s="18">
        <v>0</v>
      </c>
      <c r="BK311" s="18">
        <v>425</v>
      </c>
      <c r="BL311" s="18">
        <v>0</v>
      </c>
      <c r="BM311" s="13">
        <f t="shared" si="0"/>
        <v>0</v>
      </c>
    </row>
    <row r="312" customHeight="1" spans="1:65">
      <c r="A312" s="19" t="s">
        <v>2161</v>
      </c>
      <c r="B312" s="18" t="s">
        <v>344</v>
      </c>
      <c r="C312" s="13"/>
      <c r="D312" s="13"/>
      <c r="E312" s="18" t="s">
        <v>911</v>
      </c>
      <c r="F312" s="18" t="s">
        <v>82</v>
      </c>
      <c r="G312" s="18" t="s">
        <v>346</v>
      </c>
      <c r="H312" s="18" t="s">
        <v>107</v>
      </c>
      <c r="I312" s="18" t="s">
        <v>203</v>
      </c>
      <c r="J312" s="18">
        <v>4</v>
      </c>
      <c r="K312" s="16">
        <v>24.99</v>
      </c>
      <c r="L312" s="10"/>
      <c r="M312" s="16">
        <v>0</v>
      </c>
      <c r="N312" s="16">
        <v>0</v>
      </c>
      <c r="O312" s="18">
        <v>0</v>
      </c>
      <c r="P312" s="18" t="s">
        <v>133</v>
      </c>
      <c r="Q312" s="18">
        <v>3.257712</v>
      </c>
      <c r="R312" s="10"/>
      <c r="S312" s="16">
        <v>64</v>
      </c>
      <c r="T312" s="16">
        <v>10</v>
      </c>
      <c r="U312" s="19" t="s">
        <v>2161</v>
      </c>
      <c r="V312" s="18" t="s">
        <v>344</v>
      </c>
      <c r="W312" s="13"/>
      <c r="X312" s="13"/>
      <c r="Y312" s="18" t="s">
        <v>911</v>
      </c>
      <c r="Z312" s="18" t="s">
        <v>82</v>
      </c>
      <c r="AA312" s="18" t="s">
        <v>346</v>
      </c>
      <c r="AB312" s="18" t="s">
        <v>107</v>
      </c>
      <c r="AC312" s="18" t="s">
        <v>203</v>
      </c>
      <c r="AD312" s="18">
        <v>45.98</v>
      </c>
      <c r="AE312" s="18">
        <v>0</v>
      </c>
      <c r="AF312" s="18">
        <v>0</v>
      </c>
      <c r="AG312" s="18">
        <v>0</v>
      </c>
      <c r="AH312" s="18">
        <v>0</v>
      </c>
      <c r="AI312" s="18">
        <v>0</v>
      </c>
      <c r="AJ312" s="18">
        <v>0</v>
      </c>
      <c r="AK312" s="18">
        <v>0</v>
      </c>
      <c r="AL312" s="18">
        <v>0</v>
      </c>
      <c r="AM312" s="18">
        <v>0</v>
      </c>
      <c r="AN312" s="18">
        <v>0</v>
      </c>
      <c r="AO312" s="18">
        <v>0</v>
      </c>
      <c r="AP312" s="18">
        <v>0</v>
      </c>
      <c r="AQ312" s="18">
        <v>0</v>
      </c>
      <c r="AR312" s="18">
        <v>0</v>
      </c>
      <c r="AS312" s="18">
        <v>0</v>
      </c>
      <c r="AT312" s="18">
        <v>0</v>
      </c>
      <c r="AU312" s="18">
        <v>0</v>
      </c>
      <c r="AV312" s="18">
        <v>0</v>
      </c>
      <c r="AW312" s="18">
        <v>1</v>
      </c>
      <c r="AX312" s="18">
        <v>0</v>
      </c>
      <c r="AY312" s="13"/>
      <c r="AZ312" s="18">
        <v>1</v>
      </c>
      <c r="BA312" s="18">
        <v>0</v>
      </c>
      <c r="BB312" s="18">
        <v>50.62</v>
      </c>
      <c r="BC312" s="18" t="s">
        <v>1326</v>
      </c>
      <c r="BD312" s="18" t="s">
        <v>348</v>
      </c>
      <c r="BE312" s="18" t="s">
        <v>150</v>
      </c>
      <c r="BF312" s="18" t="s">
        <v>77</v>
      </c>
      <c r="BG312" s="18">
        <v>168</v>
      </c>
      <c r="BH312" s="18">
        <v>11</v>
      </c>
      <c r="BI312" s="18">
        <v>0.9385</v>
      </c>
      <c r="BJ312" s="18">
        <v>0</v>
      </c>
      <c r="BK312" s="18">
        <v>170</v>
      </c>
      <c r="BL312" s="18">
        <v>53.4</v>
      </c>
      <c r="BM312" s="13">
        <f t="shared" si="0"/>
        <v>1599.36</v>
      </c>
    </row>
    <row r="313" customHeight="1" spans="1:65">
      <c r="A313" s="19" t="s">
        <v>1705</v>
      </c>
      <c r="B313" s="18" t="s">
        <v>344</v>
      </c>
      <c r="C313" s="13"/>
      <c r="D313" s="13"/>
      <c r="E313" s="18" t="s">
        <v>81</v>
      </c>
      <c r="F313" s="18" t="s">
        <v>82</v>
      </c>
      <c r="G313" s="18" t="s">
        <v>346</v>
      </c>
      <c r="H313" s="18" t="s">
        <v>107</v>
      </c>
      <c r="I313" s="18" t="s">
        <v>203</v>
      </c>
      <c r="J313" s="18">
        <v>4</v>
      </c>
      <c r="K313" s="16">
        <v>33.99</v>
      </c>
      <c r="L313" s="10"/>
      <c r="M313" s="16">
        <v>0</v>
      </c>
      <c r="N313" s="16">
        <v>0</v>
      </c>
      <c r="O313" s="18">
        <v>0</v>
      </c>
      <c r="P313" s="18" t="s">
        <v>86</v>
      </c>
      <c r="Q313" s="18">
        <v>3.555062</v>
      </c>
      <c r="R313" s="10"/>
      <c r="S313" s="16">
        <v>631</v>
      </c>
      <c r="T313" s="16">
        <v>10</v>
      </c>
      <c r="U313" s="18" t="s">
        <v>1705</v>
      </c>
      <c r="V313" s="18" t="s">
        <v>344</v>
      </c>
      <c r="W313" s="13"/>
      <c r="X313" s="13"/>
      <c r="Y313" s="18" t="s">
        <v>81</v>
      </c>
      <c r="Z313" s="18" t="s">
        <v>82</v>
      </c>
      <c r="AA313" s="18" t="s">
        <v>346</v>
      </c>
      <c r="AB313" s="18" t="s">
        <v>107</v>
      </c>
      <c r="AC313" s="18" t="s">
        <v>203</v>
      </c>
      <c r="AD313" s="18">
        <v>63.98</v>
      </c>
      <c r="AE313" s="18">
        <v>0</v>
      </c>
      <c r="AF313" s="18">
        <v>0</v>
      </c>
      <c r="AG313" s="18">
        <v>0</v>
      </c>
      <c r="AH313" s="18">
        <v>1</v>
      </c>
      <c r="AI313" s="18">
        <v>0</v>
      </c>
      <c r="AJ313" s="18">
        <v>0</v>
      </c>
      <c r="AK313" s="18">
        <v>0</v>
      </c>
      <c r="AL313" s="18">
        <v>0</v>
      </c>
      <c r="AM313" s="18">
        <v>0</v>
      </c>
      <c r="AN313" s="18">
        <v>0</v>
      </c>
      <c r="AO313" s="18">
        <v>0</v>
      </c>
      <c r="AP313" s="18">
        <v>0</v>
      </c>
      <c r="AQ313" s="18">
        <v>0</v>
      </c>
      <c r="AR313" s="18">
        <v>0</v>
      </c>
      <c r="AS313" s="18">
        <v>0</v>
      </c>
      <c r="AT313" s="18">
        <v>1</v>
      </c>
      <c r="AU313" s="18">
        <v>0</v>
      </c>
      <c r="AV313" s="18">
        <v>0</v>
      </c>
      <c r="AW313" s="18">
        <v>0</v>
      </c>
      <c r="AX313" s="18">
        <v>0</v>
      </c>
      <c r="AY313" s="13"/>
      <c r="AZ313" s="18">
        <v>1</v>
      </c>
      <c r="BA313" s="18">
        <v>1</v>
      </c>
      <c r="BB313" s="18">
        <v>68.39</v>
      </c>
      <c r="BC313" s="18" t="s">
        <v>1326</v>
      </c>
      <c r="BD313" s="18" t="s">
        <v>348</v>
      </c>
      <c r="BE313" s="18" t="s">
        <v>136</v>
      </c>
      <c r="BF313" s="18" t="s">
        <v>77</v>
      </c>
      <c r="BG313" s="18">
        <v>168</v>
      </c>
      <c r="BH313" s="18">
        <v>11</v>
      </c>
      <c r="BI313" s="18">
        <v>0.9385</v>
      </c>
      <c r="BJ313" s="18">
        <v>0</v>
      </c>
      <c r="BK313" s="18">
        <v>12</v>
      </c>
      <c r="BL313" s="18">
        <v>96.7</v>
      </c>
      <c r="BM313" s="13">
        <f t="shared" si="0"/>
        <v>21447.69</v>
      </c>
    </row>
    <row r="314" customHeight="1" spans="1:65">
      <c r="A314" s="19" t="s">
        <v>2120</v>
      </c>
      <c r="B314" s="18" t="s">
        <v>344</v>
      </c>
      <c r="C314" s="13"/>
      <c r="D314" s="13"/>
      <c r="E314" s="18" t="s">
        <v>911</v>
      </c>
      <c r="F314" s="18" t="s">
        <v>82</v>
      </c>
      <c r="G314" s="18" t="s">
        <v>346</v>
      </c>
      <c r="H314" s="18" t="s">
        <v>107</v>
      </c>
      <c r="I314" s="18" t="s">
        <v>85</v>
      </c>
      <c r="J314" s="18">
        <v>5</v>
      </c>
      <c r="K314" s="16">
        <v>59.99</v>
      </c>
      <c r="L314" s="10"/>
      <c r="M314" s="16">
        <v>0</v>
      </c>
      <c r="N314" s="16">
        <v>0</v>
      </c>
      <c r="O314" s="18">
        <v>0</v>
      </c>
      <c r="P314" s="18" t="s">
        <v>86</v>
      </c>
      <c r="Q314" s="18">
        <v>4.11071</v>
      </c>
      <c r="R314" s="10"/>
      <c r="S314" s="16">
        <v>15</v>
      </c>
      <c r="T314" s="16">
        <v>4</v>
      </c>
      <c r="U314" s="18" t="s">
        <v>2120</v>
      </c>
      <c r="V314" s="18" t="s">
        <v>344</v>
      </c>
      <c r="W314" s="13"/>
      <c r="X314" s="13"/>
      <c r="Y314" s="18" t="s">
        <v>911</v>
      </c>
      <c r="Z314" s="18" t="s">
        <v>82</v>
      </c>
      <c r="AA314" s="18" t="s">
        <v>346</v>
      </c>
      <c r="AB314" s="18" t="s">
        <v>107</v>
      </c>
      <c r="AC314" s="18" t="s">
        <v>85</v>
      </c>
      <c r="AD314" s="18">
        <v>114.98</v>
      </c>
      <c r="AE314" s="18">
        <v>0</v>
      </c>
      <c r="AF314" s="18">
        <v>0</v>
      </c>
      <c r="AG314" s="18">
        <v>0</v>
      </c>
      <c r="AH314" s="18">
        <v>0</v>
      </c>
      <c r="AI314" s="18">
        <v>0</v>
      </c>
      <c r="AJ314" s="18">
        <v>0</v>
      </c>
      <c r="AK314" s="18">
        <v>0</v>
      </c>
      <c r="AL314" s="18">
        <v>0</v>
      </c>
      <c r="AM314" s="18">
        <v>0</v>
      </c>
      <c r="AN314" s="18">
        <v>0</v>
      </c>
      <c r="AO314" s="18">
        <v>0</v>
      </c>
      <c r="AP314" s="18">
        <v>0</v>
      </c>
      <c r="AQ314" s="18">
        <v>0</v>
      </c>
      <c r="AR314" s="18">
        <v>0</v>
      </c>
      <c r="AS314" s="18">
        <v>0</v>
      </c>
      <c r="AT314" s="18">
        <v>0</v>
      </c>
      <c r="AU314" s="18">
        <v>0</v>
      </c>
      <c r="AV314" s="18">
        <v>0</v>
      </c>
      <c r="AW314" s="18">
        <v>1</v>
      </c>
      <c r="AX314" s="18">
        <v>0</v>
      </c>
      <c r="AY314" s="13"/>
      <c r="AZ314" s="18">
        <v>1</v>
      </c>
      <c r="BA314" s="18">
        <v>0</v>
      </c>
      <c r="BB314" s="18">
        <v>61.25</v>
      </c>
      <c r="BC314" s="18" t="s">
        <v>1326</v>
      </c>
      <c r="BD314" s="18" t="s">
        <v>348</v>
      </c>
      <c r="BE314" s="18" t="s">
        <v>136</v>
      </c>
      <c r="BF314" s="18" t="s">
        <v>77</v>
      </c>
      <c r="BG314" s="18">
        <v>168</v>
      </c>
      <c r="BH314" s="18">
        <v>11</v>
      </c>
      <c r="BI314" s="18">
        <v>0.9385</v>
      </c>
      <c r="BJ314" s="18">
        <v>0</v>
      </c>
      <c r="BK314" s="18">
        <v>4</v>
      </c>
      <c r="BL314" s="18">
        <v>98.9</v>
      </c>
      <c r="BM314" s="13">
        <f t="shared" si="0"/>
        <v>899.85</v>
      </c>
    </row>
    <row r="315" customHeight="1" spans="1:65">
      <c r="A315" s="19" t="s">
        <v>1325</v>
      </c>
      <c r="B315" s="18" t="s">
        <v>344</v>
      </c>
      <c r="C315" s="13"/>
      <c r="D315" s="13"/>
      <c r="E315" s="18" t="s">
        <v>911</v>
      </c>
      <c r="F315" s="18" t="s">
        <v>82</v>
      </c>
      <c r="G315" s="18" t="s">
        <v>346</v>
      </c>
      <c r="H315" s="18" t="s">
        <v>107</v>
      </c>
      <c r="I315" s="18" t="s">
        <v>203</v>
      </c>
      <c r="J315" s="18">
        <v>4</v>
      </c>
      <c r="K315" s="16">
        <v>29.99</v>
      </c>
      <c r="L315" s="10"/>
      <c r="M315" s="16">
        <v>0</v>
      </c>
      <c r="N315" s="16">
        <v>0</v>
      </c>
      <c r="O315" s="18">
        <v>0</v>
      </c>
      <c r="P315" s="18" t="s">
        <v>86</v>
      </c>
      <c r="Q315" s="18">
        <v>3.433665</v>
      </c>
      <c r="R315" s="10"/>
      <c r="S315" s="16">
        <v>1341</v>
      </c>
      <c r="T315" s="16">
        <v>10</v>
      </c>
      <c r="U315" s="19" t="s">
        <v>1325</v>
      </c>
      <c r="V315" s="18" t="s">
        <v>344</v>
      </c>
      <c r="W315" s="13"/>
      <c r="X315" s="13"/>
      <c r="Y315" s="18" t="s">
        <v>911</v>
      </c>
      <c r="Z315" s="18" t="s">
        <v>82</v>
      </c>
      <c r="AA315" s="18" t="s">
        <v>346</v>
      </c>
      <c r="AB315" s="18" t="s">
        <v>107</v>
      </c>
      <c r="AC315" s="18" t="s">
        <v>203</v>
      </c>
      <c r="AD315" s="18">
        <v>55.98</v>
      </c>
      <c r="AE315" s="18">
        <v>0</v>
      </c>
      <c r="AF315" s="18">
        <v>0</v>
      </c>
      <c r="AG315" s="18">
        <v>0</v>
      </c>
      <c r="AH315" s="18">
        <v>0</v>
      </c>
      <c r="AI315" s="18">
        <v>0</v>
      </c>
      <c r="AJ315" s="18">
        <v>0</v>
      </c>
      <c r="AK315" s="18">
        <v>0</v>
      </c>
      <c r="AL315" s="18">
        <v>0</v>
      </c>
      <c r="AM315" s="18">
        <v>0</v>
      </c>
      <c r="AN315" s="18">
        <v>0</v>
      </c>
      <c r="AO315" s="18">
        <v>0</v>
      </c>
      <c r="AP315" s="18">
        <v>0</v>
      </c>
      <c r="AQ315" s="18">
        <v>0</v>
      </c>
      <c r="AR315" s="18">
        <v>0</v>
      </c>
      <c r="AS315" s="18">
        <v>0</v>
      </c>
      <c r="AT315" s="18">
        <v>0</v>
      </c>
      <c r="AU315" s="18">
        <v>0</v>
      </c>
      <c r="AV315" s="18">
        <v>0</v>
      </c>
      <c r="AW315" s="18">
        <v>1</v>
      </c>
      <c r="AX315" s="18">
        <v>0</v>
      </c>
      <c r="AY315" s="13"/>
      <c r="AZ315" s="18">
        <v>1</v>
      </c>
      <c r="BA315" s="18">
        <v>0</v>
      </c>
      <c r="BB315" s="18">
        <v>68.95</v>
      </c>
      <c r="BC315" s="18" t="s">
        <v>1326</v>
      </c>
      <c r="BD315" s="18" t="s">
        <v>348</v>
      </c>
      <c r="BE315" s="18" t="s">
        <v>136</v>
      </c>
      <c r="BF315" s="18" t="s">
        <v>77</v>
      </c>
      <c r="BG315" s="18">
        <v>168</v>
      </c>
      <c r="BH315" s="18">
        <v>11</v>
      </c>
      <c r="BI315" s="18">
        <v>0.9385</v>
      </c>
      <c r="BJ315" s="18">
        <v>0</v>
      </c>
      <c r="BK315" s="18">
        <v>9</v>
      </c>
      <c r="BL315" s="18">
        <v>97.5</v>
      </c>
      <c r="BM315" s="13">
        <f t="shared" si="0"/>
        <v>40216.59</v>
      </c>
    </row>
    <row r="316" customHeight="1" spans="1:65">
      <c r="A316" s="18" t="s">
        <v>1327</v>
      </c>
      <c r="B316" s="18" t="s">
        <v>1328</v>
      </c>
      <c r="C316" s="13"/>
      <c r="D316" s="18">
        <v>196852605996</v>
      </c>
      <c r="E316" s="18" t="s">
        <v>1329</v>
      </c>
      <c r="F316" s="18" t="s">
        <v>68</v>
      </c>
      <c r="G316" s="18" t="s">
        <v>83</v>
      </c>
      <c r="H316" s="18" t="s">
        <v>84</v>
      </c>
      <c r="I316" s="18" t="s">
        <v>85</v>
      </c>
      <c r="J316" s="18">
        <v>5</v>
      </c>
      <c r="K316" s="16">
        <v>129.99</v>
      </c>
      <c r="L316" s="10"/>
      <c r="M316" s="16">
        <v>0</v>
      </c>
      <c r="N316" s="16">
        <v>0</v>
      </c>
      <c r="O316" s="18">
        <v>0</v>
      </c>
      <c r="P316" s="18" t="s">
        <v>95</v>
      </c>
      <c r="Q316" s="18">
        <v>4.875121</v>
      </c>
      <c r="R316" s="10"/>
      <c r="S316" s="16">
        <v>44</v>
      </c>
      <c r="T316" s="16">
        <v>10</v>
      </c>
      <c r="U316" s="18" t="s">
        <v>1327</v>
      </c>
      <c r="V316" s="18" t="s">
        <v>1328</v>
      </c>
      <c r="W316" s="13"/>
      <c r="X316" s="18">
        <v>196852605997</v>
      </c>
      <c r="Y316" s="18" t="s">
        <v>1329</v>
      </c>
      <c r="Z316" s="18" t="s">
        <v>68</v>
      </c>
      <c r="AA316" s="18" t="s">
        <v>83</v>
      </c>
      <c r="AB316" s="18" t="s">
        <v>84</v>
      </c>
      <c r="AC316" s="18" t="s">
        <v>85</v>
      </c>
      <c r="AD316" s="18">
        <v>254.98</v>
      </c>
      <c r="AE316" s="18">
        <v>0</v>
      </c>
      <c r="AF316" s="18">
        <v>0</v>
      </c>
      <c r="AG316" s="18">
        <v>0</v>
      </c>
      <c r="AH316" s="18">
        <v>0</v>
      </c>
      <c r="AI316" s="18">
        <v>0</v>
      </c>
      <c r="AJ316" s="18">
        <v>0</v>
      </c>
      <c r="AK316" s="18">
        <v>0</v>
      </c>
      <c r="AL316" s="18">
        <v>0</v>
      </c>
      <c r="AM316" s="18">
        <v>0</v>
      </c>
      <c r="AN316" s="18">
        <v>0</v>
      </c>
      <c r="AO316" s="18">
        <v>0</v>
      </c>
      <c r="AP316" s="18">
        <v>0</v>
      </c>
      <c r="AQ316" s="18">
        <v>0</v>
      </c>
      <c r="AR316" s="18">
        <v>0</v>
      </c>
      <c r="AS316" s="18">
        <v>0</v>
      </c>
      <c r="AT316" s="18">
        <v>0</v>
      </c>
      <c r="AU316" s="18">
        <v>0</v>
      </c>
      <c r="AV316" s="18">
        <v>0</v>
      </c>
      <c r="AW316" s="18">
        <v>0</v>
      </c>
      <c r="AX316" s="18">
        <v>0</v>
      </c>
      <c r="AY316" s="13"/>
      <c r="AZ316" s="18">
        <v>1</v>
      </c>
      <c r="BA316" s="18">
        <v>0</v>
      </c>
      <c r="BB316" s="18">
        <v>62.35</v>
      </c>
      <c r="BC316" s="18" t="s">
        <v>1330</v>
      </c>
      <c r="BD316" s="18" t="s">
        <v>1331</v>
      </c>
      <c r="BE316" s="18" t="s">
        <v>407</v>
      </c>
      <c r="BF316" s="18" t="s">
        <v>77</v>
      </c>
      <c r="BG316" s="18">
        <v>169</v>
      </c>
      <c r="BH316" s="18">
        <v>11</v>
      </c>
      <c r="BI316" s="18">
        <v>0.9389</v>
      </c>
      <c r="BJ316" s="18">
        <v>0</v>
      </c>
      <c r="BK316" s="18">
        <v>3</v>
      </c>
      <c r="BL316" s="18">
        <v>99.2</v>
      </c>
      <c r="BM316" s="13">
        <f t="shared" si="0"/>
        <v>5719.56</v>
      </c>
    </row>
    <row r="317" customHeight="1" spans="1:65">
      <c r="A317" s="18" t="s">
        <v>1327</v>
      </c>
      <c r="B317" s="18" t="s">
        <v>1328</v>
      </c>
      <c r="C317" s="13"/>
      <c r="D317" s="18">
        <v>196852605996</v>
      </c>
      <c r="E317" s="18" t="s">
        <v>1329</v>
      </c>
      <c r="F317" s="18" t="s">
        <v>68</v>
      </c>
      <c r="G317" s="18" t="s">
        <v>83</v>
      </c>
      <c r="H317" s="18" t="s">
        <v>84</v>
      </c>
      <c r="I317" s="18" t="s">
        <v>85</v>
      </c>
      <c r="J317" s="18">
        <v>5</v>
      </c>
      <c r="K317" s="16">
        <v>129.99</v>
      </c>
      <c r="L317" s="10"/>
      <c r="M317" s="16">
        <v>0</v>
      </c>
      <c r="N317" s="16">
        <v>0</v>
      </c>
      <c r="O317" s="18">
        <v>0</v>
      </c>
      <c r="P317" s="18" t="s">
        <v>95</v>
      </c>
      <c r="Q317" s="18">
        <v>4.875121</v>
      </c>
      <c r="R317" s="10"/>
      <c r="S317" s="16">
        <v>21</v>
      </c>
      <c r="T317" s="16">
        <v>10</v>
      </c>
      <c r="U317" s="18" t="s">
        <v>1327</v>
      </c>
      <c r="V317" s="18" t="s">
        <v>1328</v>
      </c>
      <c r="W317" s="13"/>
      <c r="X317" s="18">
        <v>196852605997</v>
      </c>
      <c r="Y317" s="18" t="s">
        <v>1329</v>
      </c>
      <c r="Z317" s="18" t="s">
        <v>68</v>
      </c>
      <c r="AA317" s="18" t="s">
        <v>83</v>
      </c>
      <c r="AB317" s="18" t="s">
        <v>84</v>
      </c>
      <c r="AC317" s="18" t="s">
        <v>85</v>
      </c>
      <c r="AD317" s="18">
        <v>254.98</v>
      </c>
      <c r="AE317" s="18">
        <v>0</v>
      </c>
      <c r="AF317" s="18">
        <v>0</v>
      </c>
      <c r="AG317" s="18">
        <v>0</v>
      </c>
      <c r="AH317" s="18">
        <v>0</v>
      </c>
      <c r="AI317" s="18">
        <v>0</v>
      </c>
      <c r="AJ317" s="18">
        <v>0</v>
      </c>
      <c r="AK317" s="18">
        <v>0</v>
      </c>
      <c r="AL317" s="18">
        <v>0</v>
      </c>
      <c r="AM317" s="18">
        <v>0</v>
      </c>
      <c r="AN317" s="18">
        <v>0</v>
      </c>
      <c r="AO317" s="18">
        <v>0</v>
      </c>
      <c r="AP317" s="18">
        <v>0</v>
      </c>
      <c r="AQ317" s="18">
        <v>0</v>
      </c>
      <c r="AR317" s="18">
        <v>0</v>
      </c>
      <c r="AS317" s="18">
        <v>0</v>
      </c>
      <c r="AT317" s="18">
        <v>0</v>
      </c>
      <c r="AU317" s="18">
        <v>0</v>
      </c>
      <c r="AV317" s="18">
        <v>0</v>
      </c>
      <c r="AW317" s="18">
        <v>0</v>
      </c>
      <c r="AX317" s="18">
        <v>0</v>
      </c>
      <c r="AY317" s="13"/>
      <c r="AZ317" s="18">
        <v>1</v>
      </c>
      <c r="BA317" s="18">
        <v>0</v>
      </c>
      <c r="BB317" s="18">
        <v>56.86</v>
      </c>
      <c r="BC317" s="18" t="s">
        <v>1330</v>
      </c>
      <c r="BD317" s="18" t="s">
        <v>1331</v>
      </c>
      <c r="BE317" s="18" t="s">
        <v>407</v>
      </c>
      <c r="BF317" s="18" t="s">
        <v>77</v>
      </c>
      <c r="BG317" s="18">
        <v>169</v>
      </c>
      <c r="BH317" s="18">
        <v>11</v>
      </c>
      <c r="BI317" s="18">
        <v>0.9389</v>
      </c>
      <c r="BJ317" s="18">
        <v>0</v>
      </c>
      <c r="BK317" s="18">
        <v>3</v>
      </c>
      <c r="BL317" s="18">
        <v>99.2</v>
      </c>
      <c r="BM317" s="13">
        <f t="shared" si="0"/>
        <v>2729.79</v>
      </c>
    </row>
    <row r="318" customHeight="1" spans="1:65">
      <c r="A318" s="18" t="s">
        <v>2450</v>
      </c>
      <c r="B318" s="18" t="s">
        <v>1328</v>
      </c>
      <c r="C318" s="13"/>
      <c r="D318" s="13"/>
      <c r="E318" s="18" t="s">
        <v>1329</v>
      </c>
      <c r="F318" s="18" t="s">
        <v>132</v>
      </c>
      <c r="G318" s="18" t="s">
        <v>83</v>
      </c>
      <c r="H318" s="18" t="s">
        <v>84</v>
      </c>
      <c r="I318" s="18" t="s">
        <v>85</v>
      </c>
      <c r="J318" s="18">
        <v>5</v>
      </c>
      <c r="K318" s="16">
        <v>99.99</v>
      </c>
      <c r="L318" s="10"/>
      <c r="M318" s="16">
        <v>0</v>
      </c>
      <c r="N318" s="16">
        <v>0</v>
      </c>
      <c r="O318" s="18">
        <v>0</v>
      </c>
      <c r="P318" s="18" t="s">
        <v>95</v>
      </c>
      <c r="Q318" s="18">
        <v>4.615022</v>
      </c>
      <c r="R318" s="10"/>
      <c r="S318" s="16">
        <v>7</v>
      </c>
      <c r="T318" s="16">
        <v>10</v>
      </c>
      <c r="U318" s="18" t="s">
        <v>2450</v>
      </c>
      <c r="V318" s="18" t="s">
        <v>1328</v>
      </c>
      <c r="W318" s="13"/>
      <c r="X318" s="13"/>
      <c r="Y318" s="18" t="s">
        <v>1329</v>
      </c>
      <c r="Z318" s="18" t="s">
        <v>132</v>
      </c>
      <c r="AA318" s="18" t="s">
        <v>83</v>
      </c>
      <c r="AB318" s="18" t="s">
        <v>84</v>
      </c>
      <c r="AC318" s="18" t="s">
        <v>85</v>
      </c>
      <c r="AD318" s="18">
        <v>194.98</v>
      </c>
      <c r="AE318" s="18">
        <v>0</v>
      </c>
      <c r="AF318" s="18">
        <v>0</v>
      </c>
      <c r="AG318" s="18">
        <v>0</v>
      </c>
      <c r="AH318" s="18">
        <v>0</v>
      </c>
      <c r="AI318" s="18">
        <v>0</v>
      </c>
      <c r="AJ318" s="18">
        <v>0</v>
      </c>
      <c r="AK318" s="18">
        <v>0</v>
      </c>
      <c r="AL318" s="18">
        <v>0</v>
      </c>
      <c r="AM318" s="18">
        <v>0</v>
      </c>
      <c r="AN318" s="18">
        <v>0</v>
      </c>
      <c r="AO318" s="18">
        <v>0</v>
      </c>
      <c r="AP318" s="18">
        <v>0</v>
      </c>
      <c r="AQ318" s="18">
        <v>0</v>
      </c>
      <c r="AR318" s="18">
        <v>0</v>
      </c>
      <c r="AS318" s="18">
        <v>0</v>
      </c>
      <c r="AT318" s="18">
        <v>0</v>
      </c>
      <c r="AU318" s="18">
        <v>0</v>
      </c>
      <c r="AV318" s="18">
        <v>0</v>
      </c>
      <c r="AW318" s="18">
        <v>0</v>
      </c>
      <c r="AX318" s="18">
        <v>0</v>
      </c>
      <c r="AY318" s="13"/>
      <c r="AZ318" s="18">
        <v>1</v>
      </c>
      <c r="BA318" s="18">
        <v>0</v>
      </c>
      <c r="BB318" s="18">
        <v>46.14</v>
      </c>
      <c r="BC318" s="18" t="s">
        <v>1330</v>
      </c>
      <c r="BD318" s="18" t="s">
        <v>1331</v>
      </c>
      <c r="BE318" s="18" t="s">
        <v>407</v>
      </c>
      <c r="BF318" s="18" t="s">
        <v>77</v>
      </c>
      <c r="BG318" s="18">
        <v>169</v>
      </c>
      <c r="BH318" s="18">
        <v>11</v>
      </c>
      <c r="BI318" s="18">
        <v>0.9389</v>
      </c>
      <c r="BJ318" s="18">
        <v>0</v>
      </c>
      <c r="BK318" s="18">
        <v>4</v>
      </c>
      <c r="BL318" s="18">
        <v>98.9</v>
      </c>
      <c r="BM318" s="13">
        <f t="shared" si="0"/>
        <v>699.93</v>
      </c>
    </row>
    <row r="319" customHeight="1" spans="1:65">
      <c r="A319" s="18" t="s">
        <v>1335</v>
      </c>
      <c r="B319" s="18" t="s">
        <v>427</v>
      </c>
      <c r="C319" s="18" t="s">
        <v>1336</v>
      </c>
      <c r="D319" s="13"/>
      <c r="E319" s="18" t="s">
        <v>275</v>
      </c>
      <c r="F319" s="19" t="s">
        <v>1337</v>
      </c>
      <c r="G319" s="18" t="s">
        <v>427</v>
      </c>
      <c r="H319" s="18" t="s">
        <v>107</v>
      </c>
      <c r="I319" s="18" t="s">
        <v>85</v>
      </c>
      <c r="J319" s="18">
        <v>5</v>
      </c>
      <c r="K319" s="16">
        <v>16.99</v>
      </c>
      <c r="L319" s="10"/>
      <c r="M319" s="16">
        <v>0</v>
      </c>
      <c r="N319" s="16">
        <v>0</v>
      </c>
      <c r="O319" s="18">
        <v>0</v>
      </c>
      <c r="P319" s="18" t="s">
        <v>133</v>
      </c>
      <c r="Q319" s="18">
        <v>2.889816</v>
      </c>
      <c r="R319" s="10"/>
      <c r="S319" s="16">
        <v>15</v>
      </c>
      <c r="T319" s="16">
        <v>10</v>
      </c>
      <c r="U319" s="18" t="s">
        <v>1335</v>
      </c>
      <c r="V319" s="18" t="s">
        <v>427</v>
      </c>
      <c r="W319" s="18" t="s">
        <v>1336</v>
      </c>
      <c r="X319" s="13"/>
      <c r="Y319" s="18" t="s">
        <v>275</v>
      </c>
      <c r="Z319" s="18" t="s">
        <v>1337</v>
      </c>
      <c r="AA319" s="18" t="s">
        <v>427</v>
      </c>
      <c r="AB319" s="18" t="s">
        <v>107</v>
      </c>
      <c r="AC319" s="18" t="s">
        <v>85</v>
      </c>
      <c r="AD319" s="18">
        <v>28.98</v>
      </c>
      <c r="AE319" s="18">
        <v>0</v>
      </c>
      <c r="AF319" s="18">
        <v>0</v>
      </c>
      <c r="AG319" s="18">
        <v>0</v>
      </c>
      <c r="AH319" s="18">
        <v>0</v>
      </c>
      <c r="AI319" s="18">
        <v>0</v>
      </c>
      <c r="AJ319" s="18">
        <v>0</v>
      </c>
      <c r="AK319" s="18">
        <v>0</v>
      </c>
      <c r="AL319" s="18">
        <v>0</v>
      </c>
      <c r="AM319" s="18">
        <v>0</v>
      </c>
      <c r="AN319" s="18">
        <v>0</v>
      </c>
      <c r="AO319" s="18">
        <v>0</v>
      </c>
      <c r="AP319" s="18">
        <v>1</v>
      </c>
      <c r="AQ319" s="18">
        <v>0</v>
      </c>
      <c r="AR319" s="18">
        <v>0</v>
      </c>
      <c r="AS319" s="18">
        <v>0</v>
      </c>
      <c r="AT319" s="18">
        <v>0</v>
      </c>
      <c r="AU319" s="18">
        <v>0</v>
      </c>
      <c r="AV319" s="18">
        <v>0</v>
      </c>
      <c r="AW319" s="18">
        <v>0</v>
      </c>
      <c r="AX319" s="18">
        <v>0</v>
      </c>
      <c r="AY319" s="13"/>
      <c r="AZ319" s="18">
        <v>1</v>
      </c>
      <c r="BA319" s="18">
        <v>0</v>
      </c>
      <c r="BB319" s="18">
        <v>53.76</v>
      </c>
      <c r="BC319" s="18" t="s">
        <v>1338</v>
      </c>
      <c r="BD319" s="18" t="s">
        <v>1339</v>
      </c>
      <c r="BE319" s="18" t="s">
        <v>113</v>
      </c>
      <c r="BF319" s="18" t="s">
        <v>77</v>
      </c>
      <c r="BG319" s="18">
        <v>170</v>
      </c>
      <c r="BH319" s="18">
        <v>11</v>
      </c>
      <c r="BI319" s="18">
        <v>0.9392</v>
      </c>
      <c r="BJ319" s="18">
        <v>0</v>
      </c>
      <c r="BK319" s="18">
        <v>3</v>
      </c>
      <c r="BL319" s="18">
        <v>99.2</v>
      </c>
      <c r="BM319" s="13">
        <f t="shared" si="0"/>
        <v>254.85</v>
      </c>
    </row>
    <row r="320" customHeight="1" spans="1:65">
      <c r="A320" s="18" t="s">
        <v>1966</v>
      </c>
      <c r="B320" s="18" t="s">
        <v>1279</v>
      </c>
      <c r="C320" s="13"/>
      <c r="D320" s="13"/>
      <c r="E320" s="18" t="s">
        <v>275</v>
      </c>
      <c r="F320" s="19" t="s">
        <v>276</v>
      </c>
      <c r="G320" s="18" t="s">
        <v>901</v>
      </c>
      <c r="H320" s="18" t="s">
        <v>84</v>
      </c>
      <c r="I320" s="18" t="s">
        <v>85</v>
      </c>
      <c r="J320" s="18">
        <v>5</v>
      </c>
      <c r="K320" s="16">
        <v>19.99</v>
      </c>
      <c r="L320" s="10"/>
      <c r="M320" s="16">
        <v>0</v>
      </c>
      <c r="N320" s="16">
        <v>0</v>
      </c>
      <c r="O320" s="18">
        <v>0</v>
      </c>
      <c r="P320" s="18" t="s">
        <v>133</v>
      </c>
      <c r="Q320" s="18">
        <v>3.044046</v>
      </c>
      <c r="R320" s="10"/>
      <c r="S320" s="16">
        <v>97</v>
      </c>
      <c r="T320" s="16">
        <v>10</v>
      </c>
      <c r="U320" s="18" t="s">
        <v>1966</v>
      </c>
      <c r="V320" s="18" t="s">
        <v>1279</v>
      </c>
      <c r="W320" s="13"/>
      <c r="X320" s="13"/>
      <c r="Y320" s="18" t="s">
        <v>275</v>
      </c>
      <c r="Z320" s="18" t="s">
        <v>276</v>
      </c>
      <c r="AA320" s="18" t="s">
        <v>901</v>
      </c>
      <c r="AB320" s="18" t="s">
        <v>84</v>
      </c>
      <c r="AC320" s="18" t="s">
        <v>85</v>
      </c>
      <c r="AD320" s="18">
        <v>34.98</v>
      </c>
      <c r="AE320" s="18">
        <v>0</v>
      </c>
      <c r="AF320" s="18">
        <v>0</v>
      </c>
      <c r="AG320" s="18">
        <v>0</v>
      </c>
      <c r="AH320" s="18">
        <v>0</v>
      </c>
      <c r="AI320" s="18">
        <v>0</v>
      </c>
      <c r="AJ320" s="18">
        <v>0</v>
      </c>
      <c r="AK320" s="18">
        <v>0</v>
      </c>
      <c r="AL320" s="18">
        <v>0</v>
      </c>
      <c r="AM320" s="18">
        <v>0</v>
      </c>
      <c r="AN320" s="18">
        <v>0</v>
      </c>
      <c r="AO320" s="18">
        <v>0</v>
      </c>
      <c r="AP320" s="18">
        <v>1</v>
      </c>
      <c r="AQ320" s="18">
        <v>0</v>
      </c>
      <c r="AR320" s="18">
        <v>0</v>
      </c>
      <c r="AS320" s="18">
        <v>0</v>
      </c>
      <c r="AT320" s="18">
        <v>0</v>
      </c>
      <c r="AU320" s="18">
        <v>0</v>
      </c>
      <c r="AV320" s="18">
        <v>0</v>
      </c>
      <c r="AW320" s="18">
        <v>1</v>
      </c>
      <c r="AX320" s="18">
        <v>0</v>
      </c>
      <c r="AY320" s="13"/>
      <c r="AZ320" s="18">
        <v>1</v>
      </c>
      <c r="BA320" s="18">
        <v>0</v>
      </c>
      <c r="BB320" s="18">
        <v>59.45</v>
      </c>
      <c r="BC320" s="18" t="s">
        <v>1338</v>
      </c>
      <c r="BD320" s="18" t="s">
        <v>1339</v>
      </c>
      <c r="BE320" s="18" t="s">
        <v>113</v>
      </c>
      <c r="BF320" s="18" t="s">
        <v>77</v>
      </c>
      <c r="BG320" s="18">
        <v>170</v>
      </c>
      <c r="BH320" s="18">
        <v>11</v>
      </c>
      <c r="BI320" s="18">
        <v>0.9392</v>
      </c>
      <c r="BJ320" s="18">
        <v>0</v>
      </c>
      <c r="BK320" s="18">
        <v>83</v>
      </c>
      <c r="BL320" s="18">
        <v>77.3</v>
      </c>
      <c r="BM320" s="13">
        <f t="shared" si="0"/>
        <v>1939.03</v>
      </c>
    </row>
    <row r="321" customHeight="1" spans="1:65">
      <c r="A321" s="18" t="s">
        <v>1683</v>
      </c>
      <c r="B321" s="18" t="s">
        <v>125</v>
      </c>
      <c r="C321" s="13"/>
      <c r="D321" s="13"/>
      <c r="E321" s="18" t="s">
        <v>163</v>
      </c>
      <c r="F321" s="18" t="s">
        <v>82</v>
      </c>
      <c r="G321" s="18" t="s">
        <v>106</v>
      </c>
      <c r="H321" s="18" t="s">
        <v>138</v>
      </c>
      <c r="I321" s="18" t="s">
        <v>85</v>
      </c>
      <c r="J321" s="18">
        <v>5</v>
      </c>
      <c r="K321" s="16">
        <v>17.99</v>
      </c>
      <c r="L321" s="10"/>
      <c r="M321" s="16">
        <v>0</v>
      </c>
      <c r="N321" s="16">
        <v>0</v>
      </c>
      <c r="O321" s="18">
        <v>0</v>
      </c>
      <c r="P321" s="18" t="s">
        <v>133</v>
      </c>
      <c r="Q321" s="18">
        <v>2.943913</v>
      </c>
      <c r="R321" s="10"/>
      <c r="S321" s="16">
        <v>12</v>
      </c>
      <c r="T321" s="16">
        <v>10</v>
      </c>
      <c r="U321" s="18" t="s">
        <v>2614</v>
      </c>
      <c r="V321" s="18" t="s">
        <v>125</v>
      </c>
      <c r="W321" s="13"/>
      <c r="X321" s="13"/>
      <c r="Y321" s="18" t="s">
        <v>163</v>
      </c>
      <c r="Z321" s="18" t="s">
        <v>82</v>
      </c>
      <c r="AA321" s="18" t="s">
        <v>106</v>
      </c>
      <c r="AB321" s="18" t="s">
        <v>138</v>
      </c>
      <c r="AC321" s="18" t="s">
        <v>85</v>
      </c>
      <c r="AD321" s="18">
        <v>30.98</v>
      </c>
      <c r="AE321" s="18">
        <v>0</v>
      </c>
      <c r="AF321" s="18">
        <v>0</v>
      </c>
      <c r="AG321" s="18">
        <v>0</v>
      </c>
      <c r="AH321" s="18">
        <v>0</v>
      </c>
      <c r="AI321" s="18">
        <v>0</v>
      </c>
      <c r="AJ321" s="18">
        <v>1</v>
      </c>
      <c r="AK321" s="18">
        <v>0</v>
      </c>
      <c r="AL321" s="18">
        <v>0</v>
      </c>
      <c r="AM321" s="18">
        <v>0</v>
      </c>
      <c r="AN321" s="18">
        <v>0</v>
      </c>
      <c r="AO321" s="18">
        <v>0</v>
      </c>
      <c r="AP321" s="18">
        <v>0</v>
      </c>
      <c r="AQ321" s="18">
        <v>0</v>
      </c>
      <c r="AR321" s="18">
        <v>0</v>
      </c>
      <c r="AS321" s="18">
        <v>0</v>
      </c>
      <c r="AT321" s="18">
        <v>0</v>
      </c>
      <c r="AU321" s="18">
        <v>0</v>
      </c>
      <c r="AV321" s="18">
        <v>0</v>
      </c>
      <c r="AW321" s="18">
        <v>0</v>
      </c>
      <c r="AX321" s="18">
        <v>0</v>
      </c>
      <c r="AY321" s="13"/>
      <c r="AZ321" s="18">
        <v>1</v>
      </c>
      <c r="BA321" s="18">
        <v>0</v>
      </c>
      <c r="BB321" s="18">
        <v>21.82</v>
      </c>
      <c r="BC321" s="18" t="s">
        <v>1338</v>
      </c>
      <c r="BD321" s="18" t="s">
        <v>1339</v>
      </c>
      <c r="BE321" s="18" t="s">
        <v>113</v>
      </c>
      <c r="BF321" s="18" t="s">
        <v>77</v>
      </c>
      <c r="BG321" s="18">
        <v>168</v>
      </c>
      <c r="BH321" s="18">
        <v>11</v>
      </c>
      <c r="BI321" s="18">
        <v>0.9385</v>
      </c>
      <c r="BJ321" s="18">
        <v>0</v>
      </c>
      <c r="BK321" s="13"/>
      <c r="BL321" s="13"/>
      <c r="BM321" s="13">
        <f t="shared" si="0"/>
        <v>215.88</v>
      </c>
    </row>
    <row r="322" customHeight="1" spans="1:65">
      <c r="A322" s="18" t="s">
        <v>1632</v>
      </c>
      <c r="B322" s="18" t="s">
        <v>125</v>
      </c>
      <c r="C322" s="13"/>
      <c r="D322" s="13"/>
      <c r="E322" s="18" t="s">
        <v>275</v>
      </c>
      <c r="F322" s="19" t="s">
        <v>276</v>
      </c>
      <c r="G322" s="18" t="s">
        <v>901</v>
      </c>
      <c r="H322" s="18" t="s">
        <v>138</v>
      </c>
      <c r="I322" s="18" t="s">
        <v>85</v>
      </c>
      <c r="J322" s="18">
        <v>5</v>
      </c>
      <c r="K322" s="16">
        <v>12.73</v>
      </c>
      <c r="L322" s="10"/>
      <c r="M322" s="16">
        <v>0</v>
      </c>
      <c r="N322" s="16">
        <v>0</v>
      </c>
      <c r="O322" s="18">
        <v>0</v>
      </c>
      <c r="P322" s="18" t="s">
        <v>133</v>
      </c>
      <c r="Q322" s="18">
        <v>2.619583</v>
      </c>
      <c r="R322" s="10"/>
      <c r="S322" s="16">
        <v>49</v>
      </c>
      <c r="T322" s="16">
        <v>10</v>
      </c>
      <c r="U322" s="18" t="s">
        <v>1632</v>
      </c>
      <c r="V322" s="18" t="s">
        <v>125</v>
      </c>
      <c r="W322" s="13"/>
      <c r="X322" s="13"/>
      <c r="Y322" s="18" t="s">
        <v>275</v>
      </c>
      <c r="Z322" s="18" t="s">
        <v>276</v>
      </c>
      <c r="AA322" s="18" t="s">
        <v>901</v>
      </c>
      <c r="AB322" s="18" t="s">
        <v>138</v>
      </c>
      <c r="AC322" s="18" t="s">
        <v>85</v>
      </c>
      <c r="AD322" s="18">
        <v>20.46</v>
      </c>
      <c r="AE322" s="18">
        <v>0</v>
      </c>
      <c r="AF322" s="18">
        <v>1</v>
      </c>
      <c r="AG322" s="18">
        <v>0</v>
      </c>
      <c r="AH322" s="18">
        <v>0</v>
      </c>
      <c r="AI322" s="18">
        <v>0</v>
      </c>
      <c r="AJ322" s="18">
        <v>0</v>
      </c>
      <c r="AK322" s="18">
        <v>0</v>
      </c>
      <c r="AL322" s="18">
        <v>0</v>
      </c>
      <c r="AM322" s="18">
        <v>0</v>
      </c>
      <c r="AN322" s="18">
        <v>0</v>
      </c>
      <c r="AO322" s="18">
        <v>0</v>
      </c>
      <c r="AP322" s="18">
        <v>0</v>
      </c>
      <c r="AQ322" s="18">
        <v>0</v>
      </c>
      <c r="AR322" s="18">
        <v>0</v>
      </c>
      <c r="AS322" s="18">
        <v>0</v>
      </c>
      <c r="AT322" s="18">
        <v>1</v>
      </c>
      <c r="AU322" s="18">
        <v>1</v>
      </c>
      <c r="AV322" s="18">
        <v>0</v>
      </c>
      <c r="AW322" s="18">
        <v>0</v>
      </c>
      <c r="AX322" s="18">
        <v>0</v>
      </c>
      <c r="AY322" s="13"/>
      <c r="AZ322" s="18">
        <v>1</v>
      </c>
      <c r="BA322" s="18">
        <v>0</v>
      </c>
      <c r="BB322" s="18">
        <v>62.65</v>
      </c>
      <c r="BC322" s="18" t="s">
        <v>1338</v>
      </c>
      <c r="BD322" s="18" t="s">
        <v>1339</v>
      </c>
      <c r="BE322" s="18" t="s">
        <v>128</v>
      </c>
      <c r="BF322" s="18" t="s">
        <v>77</v>
      </c>
      <c r="BG322" s="18">
        <v>170</v>
      </c>
      <c r="BH322" s="18">
        <v>11</v>
      </c>
      <c r="BI322" s="18">
        <v>0.9392</v>
      </c>
      <c r="BJ322" s="18">
        <v>0</v>
      </c>
      <c r="BK322" s="18">
        <v>7</v>
      </c>
      <c r="BL322" s="18">
        <v>98.1</v>
      </c>
      <c r="BM322" s="13">
        <f t="shared" si="0"/>
        <v>623.77</v>
      </c>
    </row>
    <row r="323" customHeight="1" spans="1:65">
      <c r="A323" s="18" t="s">
        <v>227</v>
      </c>
      <c r="B323" s="18" t="s">
        <v>125</v>
      </c>
      <c r="C323" s="13"/>
      <c r="D323" s="13"/>
      <c r="E323" s="18" t="s">
        <v>228</v>
      </c>
      <c r="F323" s="18" t="s">
        <v>82</v>
      </c>
      <c r="G323" s="18" t="s">
        <v>83</v>
      </c>
      <c r="H323" s="18" t="s">
        <v>138</v>
      </c>
      <c r="I323" s="18" t="s">
        <v>85</v>
      </c>
      <c r="J323" s="18">
        <v>5</v>
      </c>
      <c r="K323" s="16">
        <v>13.99</v>
      </c>
      <c r="L323" s="10"/>
      <c r="M323" s="16">
        <v>0</v>
      </c>
      <c r="N323" s="16">
        <v>0</v>
      </c>
      <c r="O323" s="18">
        <v>0</v>
      </c>
      <c r="P323" s="18" t="s">
        <v>133</v>
      </c>
      <c r="Q323" s="18">
        <v>2.707383</v>
      </c>
      <c r="R323" s="10"/>
      <c r="S323" s="16">
        <v>22</v>
      </c>
      <c r="T323" s="16">
        <v>10</v>
      </c>
      <c r="U323" s="18" t="s">
        <v>227</v>
      </c>
      <c r="V323" s="18" t="s">
        <v>125</v>
      </c>
      <c r="W323" s="13"/>
      <c r="X323" s="13"/>
      <c r="Y323" s="18" t="s">
        <v>228</v>
      </c>
      <c r="Z323" s="18" t="s">
        <v>82</v>
      </c>
      <c r="AA323" s="18" t="s">
        <v>83</v>
      </c>
      <c r="AB323" s="18" t="s">
        <v>138</v>
      </c>
      <c r="AC323" s="18" t="s">
        <v>85</v>
      </c>
      <c r="AD323" s="18">
        <v>22.98</v>
      </c>
      <c r="AE323" s="18">
        <v>0</v>
      </c>
      <c r="AF323" s="18">
        <v>0</v>
      </c>
      <c r="AG323" s="18">
        <v>0</v>
      </c>
      <c r="AH323" s="18">
        <v>1</v>
      </c>
      <c r="AI323" s="18">
        <v>0</v>
      </c>
      <c r="AJ323" s="18">
        <v>1</v>
      </c>
      <c r="AK323" s="18">
        <v>0</v>
      </c>
      <c r="AL323" s="18">
        <v>0</v>
      </c>
      <c r="AM323" s="18">
        <v>0</v>
      </c>
      <c r="AN323" s="18">
        <v>0</v>
      </c>
      <c r="AO323" s="18">
        <v>0</v>
      </c>
      <c r="AP323" s="18">
        <v>0</v>
      </c>
      <c r="AQ323" s="18">
        <v>0</v>
      </c>
      <c r="AR323" s="18">
        <v>0</v>
      </c>
      <c r="AS323" s="18">
        <v>0</v>
      </c>
      <c r="AT323" s="18">
        <v>0</v>
      </c>
      <c r="AU323" s="18">
        <v>0</v>
      </c>
      <c r="AV323" s="18">
        <v>0</v>
      </c>
      <c r="AW323" s="18">
        <v>0</v>
      </c>
      <c r="AX323" s="18">
        <v>0</v>
      </c>
      <c r="AY323" s="13"/>
      <c r="AZ323" s="18">
        <v>1</v>
      </c>
      <c r="BA323" s="18">
        <v>1</v>
      </c>
      <c r="BB323" s="18">
        <v>56.75</v>
      </c>
      <c r="BC323" s="18" t="s">
        <v>229</v>
      </c>
      <c r="BD323" s="13"/>
      <c r="BE323" s="13"/>
      <c r="BF323" s="13"/>
      <c r="BG323" s="18">
        <v>0</v>
      </c>
      <c r="BH323" s="18">
        <v>0</v>
      </c>
      <c r="BI323" s="13"/>
      <c r="BJ323" s="18">
        <v>0</v>
      </c>
      <c r="BK323" s="18">
        <v>9</v>
      </c>
      <c r="BL323" s="18">
        <v>97.5</v>
      </c>
      <c r="BM323" s="13">
        <f t="shared" si="0"/>
        <v>307.78</v>
      </c>
    </row>
    <row r="324" customHeight="1" spans="1:65">
      <c r="A324" s="18" t="s">
        <v>592</v>
      </c>
      <c r="B324" s="18" t="s">
        <v>125</v>
      </c>
      <c r="C324" s="13"/>
      <c r="D324" s="13"/>
      <c r="E324" s="18" t="s">
        <v>163</v>
      </c>
      <c r="F324" s="18" t="s">
        <v>68</v>
      </c>
      <c r="G324" s="18" t="s">
        <v>83</v>
      </c>
      <c r="H324" s="18" t="s">
        <v>138</v>
      </c>
      <c r="I324" s="18" t="s">
        <v>85</v>
      </c>
      <c r="J324" s="18">
        <v>5</v>
      </c>
      <c r="K324" s="16">
        <v>15.93</v>
      </c>
      <c r="L324" s="10"/>
      <c r="M324" s="16">
        <v>0</v>
      </c>
      <c r="N324" s="16">
        <v>0</v>
      </c>
      <c r="O324" s="18">
        <v>0</v>
      </c>
      <c r="P324" s="18" t="s">
        <v>133</v>
      </c>
      <c r="Q324" s="18">
        <v>2.829087</v>
      </c>
      <c r="R324" s="10"/>
      <c r="S324" s="16">
        <v>3</v>
      </c>
      <c r="T324" s="16">
        <v>10</v>
      </c>
      <c r="U324" s="18" t="s">
        <v>592</v>
      </c>
      <c r="V324" s="18" t="s">
        <v>125</v>
      </c>
      <c r="W324" s="13"/>
      <c r="X324" s="13"/>
      <c r="Y324" s="18" t="s">
        <v>163</v>
      </c>
      <c r="Z324" s="18" t="s">
        <v>68</v>
      </c>
      <c r="AA324" s="18" t="s">
        <v>83</v>
      </c>
      <c r="AB324" s="18" t="s">
        <v>138</v>
      </c>
      <c r="AC324" s="18" t="s">
        <v>85</v>
      </c>
      <c r="AD324" s="18">
        <v>26.86</v>
      </c>
      <c r="AE324" s="18">
        <v>0</v>
      </c>
      <c r="AF324" s="18">
        <v>0</v>
      </c>
      <c r="AG324" s="18">
        <v>0</v>
      </c>
      <c r="AH324" s="18">
        <v>1</v>
      </c>
      <c r="AI324" s="18">
        <v>0</v>
      </c>
      <c r="AJ324" s="18">
        <v>0</v>
      </c>
      <c r="AK324" s="18">
        <v>0</v>
      </c>
      <c r="AL324" s="18">
        <v>0</v>
      </c>
      <c r="AM324" s="18">
        <v>0</v>
      </c>
      <c r="AN324" s="18">
        <v>0</v>
      </c>
      <c r="AO324" s="18">
        <v>0</v>
      </c>
      <c r="AP324" s="18">
        <v>0</v>
      </c>
      <c r="AQ324" s="18">
        <v>0</v>
      </c>
      <c r="AR324" s="18">
        <v>0</v>
      </c>
      <c r="AS324" s="18">
        <v>0</v>
      </c>
      <c r="AT324" s="18">
        <v>0</v>
      </c>
      <c r="AU324" s="18">
        <v>0</v>
      </c>
      <c r="AV324" s="18">
        <v>0</v>
      </c>
      <c r="AW324" s="18">
        <v>0</v>
      </c>
      <c r="AX324" s="18">
        <v>0</v>
      </c>
      <c r="AY324" s="13"/>
      <c r="AZ324" s="18">
        <v>1</v>
      </c>
      <c r="BA324" s="18">
        <v>1</v>
      </c>
      <c r="BB324" s="18">
        <v>9.23</v>
      </c>
      <c r="BC324" s="18" t="s">
        <v>229</v>
      </c>
      <c r="BD324" s="13"/>
      <c r="BE324" s="13"/>
      <c r="BF324" s="13"/>
      <c r="BG324" s="18">
        <v>0</v>
      </c>
      <c r="BH324" s="18">
        <v>0</v>
      </c>
      <c r="BI324" s="13"/>
      <c r="BJ324" s="18">
        <v>0</v>
      </c>
      <c r="BK324" s="13"/>
      <c r="BL324" s="13"/>
      <c r="BM324" s="13">
        <f t="shared" si="0"/>
        <v>47.79</v>
      </c>
    </row>
    <row r="325" customHeight="1" spans="1:65">
      <c r="A325" s="18" t="s">
        <v>2302</v>
      </c>
      <c r="B325" s="18" t="s">
        <v>335</v>
      </c>
      <c r="C325" s="18" t="s">
        <v>972</v>
      </c>
      <c r="D325" s="13"/>
      <c r="E325" s="18" t="s">
        <v>255</v>
      </c>
      <c r="F325" s="18" t="s">
        <v>68</v>
      </c>
      <c r="G325" s="18" t="s">
        <v>83</v>
      </c>
      <c r="H325" s="18" t="s">
        <v>84</v>
      </c>
      <c r="I325" s="18" t="s">
        <v>85</v>
      </c>
      <c r="J325" s="18">
        <v>5</v>
      </c>
      <c r="K325" s="16">
        <v>161.99</v>
      </c>
      <c r="L325" s="16">
        <v>179.99</v>
      </c>
      <c r="M325" s="16">
        <v>10</v>
      </c>
      <c r="N325" s="16">
        <v>18</v>
      </c>
      <c r="O325" s="18">
        <v>1</v>
      </c>
      <c r="P325" s="18" t="s">
        <v>95</v>
      </c>
      <c r="Q325" s="18">
        <v>5.093689</v>
      </c>
      <c r="R325" s="10"/>
      <c r="S325" s="16">
        <v>1</v>
      </c>
      <c r="T325" s="16">
        <v>10</v>
      </c>
      <c r="U325" s="18" t="s">
        <v>2302</v>
      </c>
      <c r="V325" s="18" t="s">
        <v>335</v>
      </c>
      <c r="W325" s="18" t="s">
        <v>972</v>
      </c>
      <c r="X325" s="13"/>
      <c r="Y325" s="18" t="s">
        <v>255</v>
      </c>
      <c r="Z325" s="18" t="s">
        <v>68</v>
      </c>
      <c r="AA325" s="18" t="s">
        <v>83</v>
      </c>
      <c r="AB325" s="18" t="s">
        <v>84</v>
      </c>
      <c r="AC325" s="18" t="s">
        <v>85</v>
      </c>
      <c r="AD325" s="18">
        <v>0.467333333333812</v>
      </c>
      <c r="AE325" s="18">
        <v>0</v>
      </c>
      <c r="AF325" s="18">
        <v>0</v>
      </c>
      <c r="AG325" s="18">
        <v>1</v>
      </c>
      <c r="AH325" s="18">
        <v>0</v>
      </c>
      <c r="AI325" s="18">
        <v>1</v>
      </c>
      <c r="AJ325" s="18">
        <v>0</v>
      </c>
      <c r="AK325" s="18">
        <v>1</v>
      </c>
      <c r="AL325" s="18">
        <v>0</v>
      </c>
      <c r="AM325" s="18">
        <v>0</v>
      </c>
      <c r="AN325" s="18">
        <v>0</v>
      </c>
      <c r="AO325" s="18">
        <v>0</v>
      </c>
      <c r="AP325" s="18">
        <v>0</v>
      </c>
      <c r="AQ325" s="18">
        <v>0</v>
      </c>
      <c r="AR325" s="18">
        <v>0</v>
      </c>
      <c r="AS325" s="18">
        <v>0</v>
      </c>
      <c r="AT325" s="18">
        <v>1</v>
      </c>
      <c r="AU325" s="18">
        <v>0</v>
      </c>
      <c r="AV325" s="18">
        <v>0</v>
      </c>
      <c r="AW325" s="18">
        <v>0</v>
      </c>
      <c r="AX325" s="18">
        <v>0</v>
      </c>
      <c r="AY325" s="13"/>
      <c r="AZ325" s="18">
        <v>1</v>
      </c>
      <c r="BA325" s="18">
        <v>2</v>
      </c>
      <c r="BB325" s="18">
        <v>35.74</v>
      </c>
      <c r="BC325" s="18" t="s">
        <v>1345</v>
      </c>
      <c r="BD325" s="18" t="s">
        <v>337</v>
      </c>
      <c r="BE325" s="18" t="s">
        <v>98</v>
      </c>
      <c r="BF325" s="18" t="s">
        <v>77</v>
      </c>
      <c r="BG325" s="18">
        <v>168</v>
      </c>
      <c r="BH325" s="18">
        <v>51</v>
      </c>
      <c r="BI325" s="18">
        <v>0.7671</v>
      </c>
      <c r="BJ325" s="18">
        <v>0</v>
      </c>
      <c r="BK325" s="18">
        <v>11</v>
      </c>
      <c r="BL325" s="18">
        <v>97</v>
      </c>
      <c r="BM325" s="13">
        <f t="shared" si="0"/>
        <v>161.99</v>
      </c>
    </row>
    <row r="326" customHeight="1" spans="1:65">
      <c r="A326" s="18" t="s">
        <v>1804</v>
      </c>
      <c r="B326" s="18" t="s">
        <v>335</v>
      </c>
      <c r="C326" s="13"/>
      <c r="D326" s="13"/>
      <c r="E326" s="18" t="s">
        <v>81</v>
      </c>
      <c r="F326" s="18" t="s">
        <v>160</v>
      </c>
      <c r="G326" s="18" t="s">
        <v>83</v>
      </c>
      <c r="H326" s="18" t="s">
        <v>84</v>
      </c>
      <c r="I326" s="18" t="s">
        <v>85</v>
      </c>
      <c r="J326" s="18">
        <v>5</v>
      </c>
      <c r="K326" s="16">
        <v>211.59</v>
      </c>
      <c r="L326" s="16">
        <v>229.99</v>
      </c>
      <c r="M326" s="16">
        <v>8</v>
      </c>
      <c r="N326" s="16">
        <v>18.4</v>
      </c>
      <c r="O326" s="18">
        <v>1</v>
      </c>
      <c r="P326" s="18" t="s">
        <v>71</v>
      </c>
      <c r="Q326" s="18">
        <v>5.359365</v>
      </c>
      <c r="R326" s="16">
        <v>21.16</v>
      </c>
      <c r="S326" s="16">
        <v>17</v>
      </c>
      <c r="T326" s="16">
        <v>10</v>
      </c>
      <c r="U326" s="18" t="s">
        <v>1804</v>
      </c>
      <c r="V326" s="18" t="s">
        <v>335</v>
      </c>
      <c r="W326" s="13"/>
      <c r="X326" s="13"/>
      <c r="Y326" s="18" t="s">
        <v>81</v>
      </c>
      <c r="Z326" s="18" t="s">
        <v>160</v>
      </c>
      <c r="AA326" s="18" t="s">
        <v>83</v>
      </c>
      <c r="AB326" s="18" t="s">
        <v>84</v>
      </c>
      <c r="AC326" s="18" t="s">
        <v>85</v>
      </c>
      <c r="AD326" s="18">
        <v>-3.15933333333339</v>
      </c>
      <c r="AE326" s="18">
        <v>0</v>
      </c>
      <c r="AF326" s="18">
        <v>0</v>
      </c>
      <c r="AG326" s="18">
        <v>0</v>
      </c>
      <c r="AH326" s="18">
        <v>1</v>
      </c>
      <c r="AI326" s="18">
        <v>0</v>
      </c>
      <c r="AJ326" s="18">
        <v>0</v>
      </c>
      <c r="AK326" s="18">
        <v>1</v>
      </c>
      <c r="AL326" s="18">
        <v>0</v>
      </c>
      <c r="AM326" s="18">
        <v>0</v>
      </c>
      <c r="AN326" s="18">
        <v>0</v>
      </c>
      <c r="AO326" s="18">
        <v>0</v>
      </c>
      <c r="AP326" s="18">
        <v>0</v>
      </c>
      <c r="AQ326" s="18">
        <v>1</v>
      </c>
      <c r="AR326" s="18">
        <v>0</v>
      </c>
      <c r="AS326" s="18">
        <v>0</v>
      </c>
      <c r="AT326" s="18">
        <v>1</v>
      </c>
      <c r="AU326" s="18">
        <v>0</v>
      </c>
      <c r="AV326" s="18">
        <v>1</v>
      </c>
      <c r="AW326" s="18">
        <v>1</v>
      </c>
      <c r="AX326" s="18">
        <v>0</v>
      </c>
      <c r="AY326" s="18">
        <v>10</v>
      </c>
      <c r="AZ326" s="18">
        <v>1</v>
      </c>
      <c r="BA326" s="18">
        <v>3</v>
      </c>
      <c r="BB326" s="18">
        <v>57.16</v>
      </c>
      <c r="BC326" s="18" t="s">
        <v>1345</v>
      </c>
      <c r="BD326" s="18" t="s">
        <v>337</v>
      </c>
      <c r="BE326" s="18" t="s">
        <v>76</v>
      </c>
      <c r="BF326" s="18" t="s">
        <v>77</v>
      </c>
      <c r="BG326" s="18">
        <v>167</v>
      </c>
      <c r="BH326" s="18">
        <v>12</v>
      </c>
      <c r="BI326" s="18">
        <v>0.933</v>
      </c>
      <c r="BJ326" s="18">
        <v>0</v>
      </c>
      <c r="BK326" s="18">
        <v>5</v>
      </c>
      <c r="BL326" s="18">
        <v>98.6</v>
      </c>
      <c r="BM326" s="13">
        <f t="shared" si="0"/>
        <v>3597.03</v>
      </c>
    </row>
    <row r="327" customHeight="1" spans="1:65">
      <c r="A327" s="18" t="s">
        <v>1344</v>
      </c>
      <c r="B327" s="18" t="s">
        <v>335</v>
      </c>
      <c r="C327" s="13"/>
      <c r="D327" s="13"/>
      <c r="E327" s="18" t="s">
        <v>81</v>
      </c>
      <c r="F327" s="18" t="s">
        <v>160</v>
      </c>
      <c r="G327" s="18" t="s">
        <v>83</v>
      </c>
      <c r="H327" s="18" t="s">
        <v>84</v>
      </c>
      <c r="I327" s="18" t="s">
        <v>85</v>
      </c>
      <c r="J327" s="18">
        <v>5</v>
      </c>
      <c r="K327" s="16">
        <v>216.19</v>
      </c>
      <c r="L327" s="16">
        <v>229.99</v>
      </c>
      <c r="M327" s="16">
        <v>6</v>
      </c>
      <c r="N327" s="16">
        <v>13.8</v>
      </c>
      <c r="O327" s="18">
        <v>1</v>
      </c>
      <c r="P327" s="18" t="s">
        <v>71</v>
      </c>
      <c r="Q327" s="18">
        <v>5.380773</v>
      </c>
      <c r="R327" s="16">
        <v>21.62</v>
      </c>
      <c r="S327" s="16">
        <v>17</v>
      </c>
      <c r="T327" s="16">
        <v>10</v>
      </c>
      <c r="U327" s="18" t="s">
        <v>1344</v>
      </c>
      <c r="V327" s="18" t="s">
        <v>335</v>
      </c>
      <c r="W327" s="13"/>
      <c r="X327" s="13"/>
      <c r="Y327" s="18" t="s">
        <v>81</v>
      </c>
      <c r="Z327" s="18" t="s">
        <v>160</v>
      </c>
      <c r="AA327" s="18" t="s">
        <v>83</v>
      </c>
      <c r="AB327" s="18" t="s">
        <v>84</v>
      </c>
      <c r="AC327" s="18" t="s">
        <v>85</v>
      </c>
      <c r="AD327" s="18">
        <v>-6.45266666666663</v>
      </c>
      <c r="AE327" s="18">
        <v>0</v>
      </c>
      <c r="AF327" s="18">
        <v>0</v>
      </c>
      <c r="AG327" s="18">
        <v>0</v>
      </c>
      <c r="AH327" s="18">
        <v>1</v>
      </c>
      <c r="AI327" s="18">
        <v>0</v>
      </c>
      <c r="AJ327" s="18">
        <v>0</v>
      </c>
      <c r="AK327" s="18">
        <v>0</v>
      </c>
      <c r="AL327" s="18">
        <v>0</v>
      </c>
      <c r="AM327" s="18">
        <v>0</v>
      </c>
      <c r="AN327" s="18">
        <v>0</v>
      </c>
      <c r="AO327" s="18">
        <v>0</v>
      </c>
      <c r="AP327" s="18">
        <v>0</v>
      </c>
      <c r="AQ327" s="18">
        <v>1</v>
      </c>
      <c r="AR327" s="18">
        <v>0</v>
      </c>
      <c r="AS327" s="18">
        <v>0</v>
      </c>
      <c r="AT327" s="18">
        <v>1</v>
      </c>
      <c r="AU327" s="18">
        <v>0</v>
      </c>
      <c r="AV327" s="18">
        <v>1</v>
      </c>
      <c r="AW327" s="18">
        <v>1</v>
      </c>
      <c r="AX327" s="18">
        <v>0</v>
      </c>
      <c r="AY327" s="18">
        <v>10</v>
      </c>
      <c r="AZ327" s="18">
        <v>1</v>
      </c>
      <c r="BA327" s="18">
        <v>2</v>
      </c>
      <c r="BB327" s="18">
        <v>56.56</v>
      </c>
      <c r="BC327" s="18" t="s">
        <v>1345</v>
      </c>
      <c r="BD327" s="13"/>
      <c r="BE327" s="13"/>
      <c r="BF327" s="13"/>
      <c r="BG327" s="18">
        <v>0</v>
      </c>
      <c r="BH327" s="18">
        <v>0</v>
      </c>
      <c r="BI327" s="13"/>
      <c r="BJ327" s="18">
        <v>0</v>
      </c>
      <c r="BK327" s="18">
        <v>5</v>
      </c>
      <c r="BL327" s="18">
        <v>98.6</v>
      </c>
      <c r="BM327" s="13">
        <f t="shared" si="0"/>
        <v>3675.23</v>
      </c>
    </row>
    <row r="328" customHeight="1" spans="1:65">
      <c r="A328" s="18" t="s">
        <v>1348</v>
      </c>
      <c r="B328" s="18" t="s">
        <v>1349</v>
      </c>
      <c r="C328" s="13"/>
      <c r="D328" s="18">
        <v>6901425854602</v>
      </c>
      <c r="E328" s="18" t="s">
        <v>1350</v>
      </c>
      <c r="F328" s="18" t="s">
        <v>82</v>
      </c>
      <c r="G328" s="18" t="s">
        <v>83</v>
      </c>
      <c r="H328" s="18" t="s">
        <v>84</v>
      </c>
      <c r="I328" s="18" t="s">
        <v>85</v>
      </c>
      <c r="J328" s="18">
        <v>5</v>
      </c>
      <c r="K328" s="16">
        <v>115</v>
      </c>
      <c r="L328" s="10"/>
      <c r="M328" s="16">
        <v>0</v>
      </c>
      <c r="N328" s="16">
        <v>0</v>
      </c>
      <c r="O328" s="18">
        <v>0</v>
      </c>
      <c r="P328" s="18" t="s">
        <v>95</v>
      </c>
      <c r="Q328" s="18">
        <v>4.75359</v>
      </c>
      <c r="R328" s="10"/>
      <c r="S328" s="16">
        <v>3</v>
      </c>
      <c r="T328" s="16">
        <v>29</v>
      </c>
      <c r="U328" s="18" t="s">
        <v>1348</v>
      </c>
      <c r="V328" s="18" t="s">
        <v>1349</v>
      </c>
      <c r="W328" s="13"/>
      <c r="X328" s="18">
        <v>6901425854603</v>
      </c>
      <c r="Y328" s="18" t="s">
        <v>1350</v>
      </c>
      <c r="Z328" s="18" t="s">
        <v>82</v>
      </c>
      <c r="AA328" s="18" t="s">
        <v>83</v>
      </c>
      <c r="AB328" s="18" t="s">
        <v>84</v>
      </c>
      <c r="AC328" s="18" t="s">
        <v>85</v>
      </c>
      <c r="AD328" s="18">
        <v>225</v>
      </c>
      <c r="AE328" s="18">
        <v>1</v>
      </c>
      <c r="AF328" s="18">
        <v>0</v>
      </c>
      <c r="AG328" s="18">
        <v>0</v>
      </c>
      <c r="AH328" s="18">
        <v>1</v>
      </c>
      <c r="AI328" s="18">
        <v>0</v>
      </c>
      <c r="AJ328" s="18">
        <v>0</v>
      </c>
      <c r="AK328" s="18">
        <v>0</v>
      </c>
      <c r="AL328" s="18">
        <v>0</v>
      </c>
      <c r="AM328" s="18">
        <v>0</v>
      </c>
      <c r="AN328" s="18">
        <v>0</v>
      </c>
      <c r="AO328" s="18">
        <v>0</v>
      </c>
      <c r="AP328" s="18">
        <v>0</v>
      </c>
      <c r="AQ328" s="18">
        <v>0</v>
      </c>
      <c r="AR328" s="18">
        <v>0</v>
      </c>
      <c r="AS328" s="18">
        <v>0</v>
      </c>
      <c r="AT328" s="18">
        <v>1</v>
      </c>
      <c r="AU328" s="18">
        <v>0</v>
      </c>
      <c r="AV328" s="18">
        <v>0</v>
      </c>
      <c r="AW328" s="18">
        <v>0</v>
      </c>
      <c r="AX328" s="18">
        <v>0</v>
      </c>
      <c r="AY328" s="13"/>
      <c r="AZ328" s="18">
        <v>1</v>
      </c>
      <c r="BA328" s="18">
        <v>2</v>
      </c>
      <c r="BB328" s="18">
        <v>32.85</v>
      </c>
      <c r="BC328" s="18" t="s">
        <v>1351</v>
      </c>
      <c r="BD328" s="18" t="s">
        <v>169</v>
      </c>
      <c r="BE328" s="18" t="s">
        <v>113</v>
      </c>
      <c r="BF328" s="18" t="s">
        <v>77</v>
      </c>
      <c r="BG328" s="18">
        <v>162</v>
      </c>
      <c r="BH328" s="18">
        <v>59</v>
      </c>
      <c r="BI328" s="18">
        <v>0.733</v>
      </c>
      <c r="BJ328" s="18">
        <v>0</v>
      </c>
      <c r="BK328" s="18">
        <v>11</v>
      </c>
      <c r="BL328" s="18">
        <v>97</v>
      </c>
      <c r="BM328" s="13">
        <f t="shared" si="0"/>
        <v>345</v>
      </c>
    </row>
    <row r="329" customHeight="1" spans="1:65">
      <c r="A329" s="18" t="s">
        <v>2136</v>
      </c>
      <c r="B329" s="18" t="s">
        <v>1349</v>
      </c>
      <c r="C329" s="13"/>
      <c r="D329" s="18">
        <v>6901425854602</v>
      </c>
      <c r="E329" s="18" t="s">
        <v>1350</v>
      </c>
      <c r="F329" s="18" t="s">
        <v>82</v>
      </c>
      <c r="G329" s="18" t="s">
        <v>83</v>
      </c>
      <c r="H329" s="18" t="s">
        <v>84</v>
      </c>
      <c r="I329" s="18" t="s">
        <v>85</v>
      </c>
      <c r="J329" s="18">
        <v>5</v>
      </c>
      <c r="K329" s="16">
        <v>108.56</v>
      </c>
      <c r="L329" s="10"/>
      <c r="M329" s="16">
        <v>0</v>
      </c>
      <c r="N329" s="16">
        <v>0</v>
      </c>
      <c r="O329" s="18">
        <v>0</v>
      </c>
      <c r="P329" s="18" t="s">
        <v>95</v>
      </c>
      <c r="Q329" s="18">
        <v>4.696472</v>
      </c>
      <c r="R329" s="10"/>
      <c r="S329" s="16">
        <v>22</v>
      </c>
      <c r="T329" s="16">
        <v>39</v>
      </c>
      <c r="U329" s="18" t="s">
        <v>2136</v>
      </c>
      <c r="V329" s="18" t="s">
        <v>1349</v>
      </c>
      <c r="W329" s="13"/>
      <c r="X329" s="18">
        <v>6901425854603</v>
      </c>
      <c r="Y329" s="18" t="s">
        <v>1350</v>
      </c>
      <c r="Z329" s="18" t="s">
        <v>82</v>
      </c>
      <c r="AA329" s="18" t="s">
        <v>83</v>
      </c>
      <c r="AB329" s="18" t="s">
        <v>84</v>
      </c>
      <c r="AC329" s="18" t="s">
        <v>85</v>
      </c>
      <c r="AD329" s="18">
        <v>212.12</v>
      </c>
      <c r="AE329" s="18">
        <v>1</v>
      </c>
      <c r="AF329" s="18">
        <v>1</v>
      </c>
      <c r="AG329" s="18">
        <v>0</v>
      </c>
      <c r="AH329" s="18">
        <v>1</v>
      </c>
      <c r="AI329" s="18">
        <v>0</v>
      </c>
      <c r="AJ329" s="18">
        <v>0</v>
      </c>
      <c r="AK329" s="18">
        <v>0</v>
      </c>
      <c r="AL329" s="18">
        <v>0</v>
      </c>
      <c r="AM329" s="18">
        <v>0</v>
      </c>
      <c r="AN329" s="18">
        <v>0</v>
      </c>
      <c r="AO329" s="18">
        <v>0</v>
      </c>
      <c r="AP329" s="18">
        <v>0</v>
      </c>
      <c r="AQ329" s="18">
        <v>0</v>
      </c>
      <c r="AR329" s="18">
        <v>0</v>
      </c>
      <c r="AS329" s="18">
        <v>0</v>
      </c>
      <c r="AT329" s="18">
        <v>1</v>
      </c>
      <c r="AU329" s="18">
        <v>0</v>
      </c>
      <c r="AV329" s="18">
        <v>0</v>
      </c>
      <c r="AW329" s="18">
        <v>1</v>
      </c>
      <c r="AX329" s="18">
        <v>0</v>
      </c>
      <c r="AY329" s="13"/>
      <c r="AZ329" s="18">
        <v>1</v>
      </c>
      <c r="BA329" s="18">
        <v>2</v>
      </c>
      <c r="BB329" s="18">
        <v>43.53</v>
      </c>
      <c r="BC329" s="18" t="s">
        <v>1351</v>
      </c>
      <c r="BD329" s="18" t="s">
        <v>169</v>
      </c>
      <c r="BE329" s="18" t="s">
        <v>113</v>
      </c>
      <c r="BF329" s="18" t="s">
        <v>77</v>
      </c>
      <c r="BG329" s="18">
        <v>162</v>
      </c>
      <c r="BH329" s="18">
        <v>59</v>
      </c>
      <c r="BI329" s="18">
        <v>0.733</v>
      </c>
      <c r="BJ329" s="18">
        <v>0</v>
      </c>
      <c r="BK329" s="18">
        <v>11</v>
      </c>
      <c r="BL329" s="18">
        <v>97</v>
      </c>
      <c r="BM329" s="13">
        <f t="shared" si="0"/>
        <v>2388.32</v>
      </c>
    </row>
    <row r="330" customHeight="1" spans="1:65">
      <c r="A330" s="18" t="s">
        <v>1352</v>
      </c>
      <c r="B330" s="18" t="s">
        <v>125</v>
      </c>
      <c r="C330" s="13"/>
      <c r="D330" s="13"/>
      <c r="E330" s="18" t="s">
        <v>1353</v>
      </c>
      <c r="F330" s="18" t="s">
        <v>198</v>
      </c>
      <c r="G330" s="18" t="s">
        <v>83</v>
      </c>
      <c r="H330" s="18" t="s">
        <v>138</v>
      </c>
      <c r="I330" s="18" t="s">
        <v>85</v>
      </c>
      <c r="J330" s="18">
        <v>5</v>
      </c>
      <c r="K330" s="16">
        <v>11.46</v>
      </c>
      <c r="L330" s="16">
        <v>12.59</v>
      </c>
      <c r="M330" s="16">
        <v>8.98</v>
      </c>
      <c r="N330" s="16">
        <v>1.13</v>
      </c>
      <c r="O330" s="18">
        <v>1</v>
      </c>
      <c r="P330" s="18" t="s">
        <v>133</v>
      </c>
      <c r="Q330" s="18">
        <v>2.522524</v>
      </c>
      <c r="R330" s="10"/>
      <c r="S330" s="16">
        <v>82</v>
      </c>
      <c r="T330" s="16">
        <v>10</v>
      </c>
      <c r="U330" s="18" t="s">
        <v>1352</v>
      </c>
      <c r="V330" s="18" t="s">
        <v>125</v>
      </c>
      <c r="W330" s="13"/>
      <c r="X330" s="13"/>
      <c r="Y330" s="18" t="s">
        <v>1353</v>
      </c>
      <c r="Z330" s="18" t="s">
        <v>198</v>
      </c>
      <c r="AA330" s="18" t="s">
        <v>83</v>
      </c>
      <c r="AB330" s="18" t="s">
        <v>138</v>
      </c>
      <c r="AC330" s="18" t="s">
        <v>85</v>
      </c>
      <c r="AD330" s="18">
        <v>1.2333333333333</v>
      </c>
      <c r="AE330" s="18">
        <v>0</v>
      </c>
      <c r="AF330" s="18">
        <v>0</v>
      </c>
      <c r="AG330" s="18">
        <v>0</v>
      </c>
      <c r="AH330" s="18">
        <v>0</v>
      </c>
      <c r="AI330" s="18">
        <v>0</v>
      </c>
      <c r="AJ330" s="18">
        <v>0</v>
      </c>
      <c r="AK330" s="18">
        <v>0</v>
      </c>
      <c r="AL330" s="18">
        <v>0</v>
      </c>
      <c r="AM330" s="18">
        <v>0</v>
      </c>
      <c r="AN330" s="18">
        <v>0</v>
      </c>
      <c r="AO330" s="18">
        <v>0</v>
      </c>
      <c r="AP330" s="18">
        <v>0</v>
      </c>
      <c r="AQ330" s="18">
        <v>0</v>
      </c>
      <c r="AR330" s="18">
        <v>0</v>
      </c>
      <c r="AS330" s="18">
        <v>0</v>
      </c>
      <c r="AT330" s="18">
        <v>0</v>
      </c>
      <c r="AU330" s="18">
        <v>0</v>
      </c>
      <c r="AV330" s="18">
        <v>0</v>
      </c>
      <c r="AW330" s="18">
        <v>1</v>
      </c>
      <c r="AX330" s="18">
        <v>0</v>
      </c>
      <c r="AY330" s="13"/>
      <c r="AZ330" s="18">
        <v>3</v>
      </c>
      <c r="BA330" s="18">
        <v>0</v>
      </c>
      <c r="BB330" s="18">
        <v>68.2</v>
      </c>
      <c r="BC330" s="18" t="s">
        <v>1354</v>
      </c>
      <c r="BD330" s="18" t="s">
        <v>1304</v>
      </c>
      <c r="BE330" s="18" t="s">
        <v>128</v>
      </c>
      <c r="BF330" s="18" t="s">
        <v>77</v>
      </c>
      <c r="BG330" s="18">
        <v>2</v>
      </c>
      <c r="BH330" s="18">
        <v>27</v>
      </c>
      <c r="BI330" s="18">
        <v>0.069</v>
      </c>
      <c r="BJ330" s="18">
        <v>0</v>
      </c>
      <c r="BK330" s="18">
        <v>2</v>
      </c>
      <c r="BL330" s="18">
        <v>99.5</v>
      </c>
      <c r="BM330" s="13">
        <f t="shared" si="0"/>
        <v>939.72</v>
      </c>
    </row>
    <row r="331" customHeight="1" spans="1:65">
      <c r="A331" s="18" t="s">
        <v>1357</v>
      </c>
      <c r="B331" s="18" t="s">
        <v>1358</v>
      </c>
      <c r="C331" s="13"/>
      <c r="D331" s="13"/>
      <c r="E331" s="18" t="s">
        <v>438</v>
      </c>
      <c r="F331" s="18" t="s">
        <v>240</v>
      </c>
      <c r="G331" s="18" t="s">
        <v>83</v>
      </c>
      <c r="H331" s="18" t="s">
        <v>84</v>
      </c>
      <c r="I331" s="18" t="s">
        <v>203</v>
      </c>
      <c r="J331" s="18">
        <v>4</v>
      </c>
      <c r="K331" s="16">
        <v>16.99</v>
      </c>
      <c r="L331" s="10"/>
      <c r="M331" s="16">
        <v>0</v>
      </c>
      <c r="N331" s="16">
        <v>0</v>
      </c>
      <c r="O331" s="18">
        <v>0</v>
      </c>
      <c r="P331" s="18" t="s">
        <v>133</v>
      </c>
      <c r="Q331" s="18">
        <v>2.889816</v>
      </c>
      <c r="R331" s="10"/>
      <c r="S331" s="10"/>
      <c r="T331" s="10"/>
      <c r="U331" s="18" t="s">
        <v>1357</v>
      </c>
      <c r="V331" s="18" t="s">
        <v>1358</v>
      </c>
      <c r="W331" s="13"/>
      <c r="X331" s="13"/>
      <c r="Y331" s="18" t="s">
        <v>438</v>
      </c>
      <c r="Z331" s="18" t="s">
        <v>240</v>
      </c>
      <c r="AA331" s="18" t="s">
        <v>83</v>
      </c>
      <c r="AB331" s="18" t="s">
        <v>84</v>
      </c>
      <c r="AC331" s="18" t="s">
        <v>203</v>
      </c>
      <c r="AD331" s="18">
        <v>29.98</v>
      </c>
      <c r="AE331" s="18">
        <v>0</v>
      </c>
      <c r="AF331" s="18">
        <v>0</v>
      </c>
      <c r="AG331" s="18">
        <v>0</v>
      </c>
      <c r="AH331" s="18">
        <v>0</v>
      </c>
      <c r="AI331" s="18">
        <v>0</v>
      </c>
      <c r="AJ331" s="18">
        <v>0</v>
      </c>
      <c r="AK331" s="18">
        <v>0</v>
      </c>
      <c r="AL331" s="18">
        <v>0</v>
      </c>
      <c r="AM331" s="18">
        <v>0</v>
      </c>
      <c r="AN331" s="18">
        <v>0</v>
      </c>
      <c r="AO331" s="18">
        <v>0</v>
      </c>
      <c r="AP331" s="18">
        <v>0</v>
      </c>
      <c r="AQ331" s="18">
        <v>0</v>
      </c>
      <c r="AR331" s="18">
        <v>0</v>
      </c>
      <c r="AS331" s="18">
        <v>0</v>
      </c>
      <c r="AT331" s="18">
        <v>0</v>
      </c>
      <c r="AU331" s="18">
        <v>0</v>
      </c>
      <c r="AV331" s="18">
        <v>1</v>
      </c>
      <c r="AW331" s="18">
        <v>0</v>
      </c>
      <c r="AX331" s="18">
        <v>0</v>
      </c>
      <c r="AY331" s="13"/>
      <c r="AZ331" s="18">
        <v>1</v>
      </c>
      <c r="BA331" s="18">
        <v>0</v>
      </c>
      <c r="BB331" s="18">
        <v>27.45</v>
      </c>
      <c r="BC331" s="18" t="s">
        <v>1359</v>
      </c>
      <c r="BD331" s="18" t="s">
        <v>1360</v>
      </c>
      <c r="BE331" s="18" t="s">
        <v>1361</v>
      </c>
      <c r="BF331" s="18" t="s">
        <v>77</v>
      </c>
      <c r="BG331" s="18">
        <v>168</v>
      </c>
      <c r="BH331" s="18">
        <v>11</v>
      </c>
      <c r="BI331" s="18">
        <v>0.9385</v>
      </c>
      <c r="BJ331" s="18">
        <v>0</v>
      </c>
      <c r="BK331" s="18">
        <v>31</v>
      </c>
      <c r="BL331" s="18">
        <v>91.5</v>
      </c>
      <c r="BM331" s="13">
        <f t="shared" si="0"/>
        <v>0</v>
      </c>
    </row>
    <row r="332" customHeight="1" spans="1:65">
      <c r="A332" s="18" t="s">
        <v>1362</v>
      </c>
      <c r="B332" s="18" t="s">
        <v>1363</v>
      </c>
      <c r="C332" s="13"/>
      <c r="D332" s="18">
        <v>313085250209</v>
      </c>
      <c r="E332" s="18" t="s">
        <v>163</v>
      </c>
      <c r="F332" s="18" t="s">
        <v>82</v>
      </c>
      <c r="G332" s="18" t="s">
        <v>83</v>
      </c>
      <c r="H332" s="18" t="s">
        <v>84</v>
      </c>
      <c r="I332" s="18" t="s">
        <v>85</v>
      </c>
      <c r="J332" s="18">
        <v>5</v>
      </c>
      <c r="K332" s="16">
        <v>340.23</v>
      </c>
      <c r="L332" s="10"/>
      <c r="M332" s="16">
        <v>0</v>
      </c>
      <c r="N332" s="16">
        <v>0</v>
      </c>
      <c r="O332" s="18">
        <v>0</v>
      </c>
      <c r="P332" s="18" t="s">
        <v>71</v>
      </c>
      <c r="Q332" s="18">
        <v>5.832557</v>
      </c>
      <c r="R332" s="10"/>
      <c r="S332" s="16">
        <v>1</v>
      </c>
      <c r="T332" s="16">
        <v>6</v>
      </c>
      <c r="U332" s="18" t="s">
        <v>1362</v>
      </c>
      <c r="V332" s="18" t="s">
        <v>1363</v>
      </c>
      <c r="W332" s="13"/>
      <c r="X332" s="18">
        <v>313085250210</v>
      </c>
      <c r="Y332" s="18" t="s">
        <v>163</v>
      </c>
      <c r="Z332" s="18" t="s">
        <v>82</v>
      </c>
      <c r="AA332" s="18" t="s">
        <v>83</v>
      </c>
      <c r="AB332" s="18" t="s">
        <v>84</v>
      </c>
      <c r="AC332" s="18" t="s">
        <v>85</v>
      </c>
      <c r="AD332" s="18">
        <v>675.46</v>
      </c>
      <c r="AE332" s="18">
        <v>1</v>
      </c>
      <c r="AF332" s="18">
        <v>0</v>
      </c>
      <c r="AG332" s="18">
        <v>0</v>
      </c>
      <c r="AH332" s="18">
        <v>0</v>
      </c>
      <c r="AI332" s="18">
        <v>0</v>
      </c>
      <c r="AJ332" s="18">
        <v>0</v>
      </c>
      <c r="AK332" s="18">
        <v>1</v>
      </c>
      <c r="AL332" s="18">
        <v>0</v>
      </c>
      <c r="AM332" s="18">
        <v>0</v>
      </c>
      <c r="AN332" s="18">
        <v>0</v>
      </c>
      <c r="AO332" s="18">
        <v>0</v>
      </c>
      <c r="AP332" s="18">
        <v>0</v>
      </c>
      <c r="AQ332" s="18">
        <v>0</v>
      </c>
      <c r="AR332" s="18">
        <v>0</v>
      </c>
      <c r="AS332" s="18">
        <v>0</v>
      </c>
      <c r="AT332" s="18">
        <v>0</v>
      </c>
      <c r="AU332" s="18">
        <v>0</v>
      </c>
      <c r="AV332" s="18">
        <v>0</v>
      </c>
      <c r="AW332" s="18">
        <v>1</v>
      </c>
      <c r="AX332" s="18">
        <v>0</v>
      </c>
      <c r="AY332" s="13"/>
      <c r="AZ332" s="18">
        <v>1</v>
      </c>
      <c r="BA332" s="18">
        <v>4</v>
      </c>
      <c r="BB332" s="18">
        <v>34.58</v>
      </c>
      <c r="BC332" s="18" t="s">
        <v>1364</v>
      </c>
      <c r="BD332" s="18" t="s">
        <v>1274</v>
      </c>
      <c r="BE332" s="18" t="s">
        <v>756</v>
      </c>
      <c r="BF332" s="18" t="s">
        <v>77</v>
      </c>
      <c r="BG332" s="18">
        <v>208</v>
      </c>
      <c r="BH332" s="18">
        <v>11</v>
      </c>
      <c r="BI332" s="18">
        <v>0.9498</v>
      </c>
      <c r="BJ332" s="18">
        <v>0</v>
      </c>
      <c r="BK332" s="18">
        <v>14</v>
      </c>
      <c r="BL332" s="18">
        <v>96.2</v>
      </c>
      <c r="BM332" s="13">
        <f t="shared" si="0"/>
        <v>340.23</v>
      </c>
    </row>
    <row r="333" customHeight="1" spans="1:65">
      <c r="A333" s="18" t="s">
        <v>1365</v>
      </c>
      <c r="B333" s="18" t="s">
        <v>1366</v>
      </c>
      <c r="C333" s="13"/>
      <c r="D333" s="13"/>
      <c r="E333" s="18" t="s">
        <v>163</v>
      </c>
      <c r="F333" s="18" t="s">
        <v>82</v>
      </c>
      <c r="G333" s="18" t="s">
        <v>83</v>
      </c>
      <c r="H333" s="18" t="s">
        <v>84</v>
      </c>
      <c r="I333" s="18" t="s">
        <v>85</v>
      </c>
      <c r="J333" s="18">
        <v>5</v>
      </c>
      <c r="K333" s="16">
        <v>42</v>
      </c>
      <c r="L333" s="10"/>
      <c r="M333" s="16">
        <v>0</v>
      </c>
      <c r="N333" s="16">
        <v>0</v>
      </c>
      <c r="O333" s="18">
        <v>0</v>
      </c>
      <c r="P333" s="18" t="s">
        <v>86</v>
      </c>
      <c r="Q333" s="18">
        <v>3.7612</v>
      </c>
      <c r="R333" s="10"/>
      <c r="S333" s="16">
        <v>25</v>
      </c>
      <c r="T333" s="16">
        <v>5</v>
      </c>
      <c r="U333" s="18" t="s">
        <v>1365</v>
      </c>
      <c r="V333" s="18" t="s">
        <v>1366</v>
      </c>
      <c r="W333" s="13"/>
      <c r="X333" s="13"/>
      <c r="Y333" s="18" t="s">
        <v>163</v>
      </c>
      <c r="Z333" s="18" t="s">
        <v>82</v>
      </c>
      <c r="AA333" s="18" t="s">
        <v>83</v>
      </c>
      <c r="AB333" s="18" t="s">
        <v>84</v>
      </c>
      <c r="AC333" s="18" t="s">
        <v>85</v>
      </c>
      <c r="AD333" s="18">
        <v>79</v>
      </c>
      <c r="AE333" s="18">
        <v>0</v>
      </c>
      <c r="AF333" s="18">
        <v>0</v>
      </c>
      <c r="AG333" s="18">
        <v>0</v>
      </c>
      <c r="AH333" s="18">
        <v>1</v>
      </c>
      <c r="AI333" s="18">
        <v>0</v>
      </c>
      <c r="AJ333" s="18">
        <v>0</v>
      </c>
      <c r="AK333" s="18">
        <v>0</v>
      </c>
      <c r="AL333" s="18">
        <v>0</v>
      </c>
      <c r="AM333" s="18">
        <v>0</v>
      </c>
      <c r="AN333" s="18">
        <v>0</v>
      </c>
      <c r="AO333" s="18">
        <v>0</v>
      </c>
      <c r="AP333" s="18">
        <v>0</v>
      </c>
      <c r="AQ333" s="18">
        <v>0</v>
      </c>
      <c r="AR333" s="18">
        <v>0</v>
      </c>
      <c r="AS333" s="18">
        <v>1</v>
      </c>
      <c r="AT333" s="18">
        <v>0</v>
      </c>
      <c r="AU333" s="18">
        <v>0</v>
      </c>
      <c r="AV333" s="18">
        <v>0</v>
      </c>
      <c r="AW333" s="18">
        <v>0</v>
      </c>
      <c r="AX333" s="18">
        <v>0</v>
      </c>
      <c r="AY333" s="13"/>
      <c r="AZ333" s="18">
        <v>1</v>
      </c>
      <c r="BA333" s="18">
        <v>2</v>
      </c>
      <c r="BB333" s="18">
        <v>62.43</v>
      </c>
      <c r="BC333" s="18" t="s">
        <v>1367</v>
      </c>
      <c r="BD333" s="18" t="s">
        <v>444</v>
      </c>
      <c r="BE333" s="18" t="s">
        <v>166</v>
      </c>
      <c r="BF333" s="18" t="s">
        <v>77</v>
      </c>
      <c r="BG333" s="18">
        <v>168</v>
      </c>
      <c r="BH333" s="18">
        <v>11</v>
      </c>
      <c r="BI333" s="18">
        <v>0.9385</v>
      </c>
      <c r="BJ333" s="18">
        <v>0</v>
      </c>
      <c r="BK333" s="18">
        <v>11</v>
      </c>
      <c r="BL333" s="18">
        <v>97</v>
      </c>
      <c r="BM333" s="13">
        <f t="shared" si="0"/>
        <v>1050</v>
      </c>
    </row>
    <row r="334" customHeight="1" spans="1:65">
      <c r="A334" s="18" t="s">
        <v>1369</v>
      </c>
      <c r="B334" s="18" t="s">
        <v>1370</v>
      </c>
      <c r="C334" s="13"/>
      <c r="D334" s="13"/>
      <c r="E334" s="18" t="s">
        <v>1371</v>
      </c>
      <c r="F334" s="18" t="s">
        <v>240</v>
      </c>
      <c r="G334" s="18" t="s">
        <v>83</v>
      </c>
      <c r="H334" s="18" t="s">
        <v>84</v>
      </c>
      <c r="I334" s="18" t="s">
        <v>153</v>
      </c>
      <c r="J334" s="18">
        <v>2</v>
      </c>
      <c r="K334" s="16">
        <v>209.99</v>
      </c>
      <c r="L334" s="16">
        <v>249.99</v>
      </c>
      <c r="M334" s="16">
        <v>16</v>
      </c>
      <c r="N334" s="16">
        <v>40</v>
      </c>
      <c r="O334" s="18">
        <v>1</v>
      </c>
      <c r="P334" s="18" t="s">
        <v>71</v>
      </c>
      <c r="Q334" s="18">
        <v>5.351811</v>
      </c>
      <c r="R334" s="10"/>
      <c r="S334" s="10"/>
      <c r="T334" s="16">
        <v>2</v>
      </c>
      <c r="U334" s="18" t="s">
        <v>1369</v>
      </c>
      <c r="V334" s="18" t="s">
        <v>1370</v>
      </c>
      <c r="W334" s="13"/>
      <c r="X334" s="13"/>
      <c r="Y334" s="18" t="s">
        <v>1371</v>
      </c>
      <c r="Z334" s="18" t="s">
        <v>240</v>
      </c>
      <c r="AA334" s="18" t="s">
        <v>83</v>
      </c>
      <c r="AB334" s="18" t="s">
        <v>84</v>
      </c>
      <c r="AC334" s="18" t="s">
        <v>153</v>
      </c>
      <c r="AD334" s="18">
        <v>11.6006666666668</v>
      </c>
      <c r="AE334" s="18">
        <v>0</v>
      </c>
      <c r="AF334" s="18">
        <v>0</v>
      </c>
      <c r="AG334" s="18">
        <v>0</v>
      </c>
      <c r="AH334" s="18">
        <v>0</v>
      </c>
      <c r="AI334" s="18">
        <v>0</v>
      </c>
      <c r="AJ334" s="18">
        <v>0</v>
      </c>
      <c r="AK334" s="18">
        <v>0</v>
      </c>
      <c r="AL334" s="18">
        <v>0</v>
      </c>
      <c r="AM334" s="18">
        <v>0</v>
      </c>
      <c r="AN334" s="18">
        <v>0</v>
      </c>
      <c r="AO334" s="18">
        <v>0</v>
      </c>
      <c r="AP334" s="18">
        <v>0</v>
      </c>
      <c r="AQ334" s="18">
        <v>0</v>
      </c>
      <c r="AR334" s="18">
        <v>0</v>
      </c>
      <c r="AS334" s="18">
        <v>0</v>
      </c>
      <c r="AT334" s="18">
        <v>0</v>
      </c>
      <c r="AU334" s="18">
        <v>0</v>
      </c>
      <c r="AV334" s="18">
        <v>0</v>
      </c>
      <c r="AW334" s="18">
        <v>0</v>
      </c>
      <c r="AX334" s="18">
        <v>0</v>
      </c>
      <c r="AY334" s="13"/>
      <c r="AZ334" s="18">
        <v>1</v>
      </c>
      <c r="BA334" s="18">
        <v>0</v>
      </c>
      <c r="BB334" s="18">
        <v>30.27</v>
      </c>
      <c r="BC334" s="18" t="s">
        <v>1372</v>
      </c>
      <c r="BD334" s="18" t="s">
        <v>1373</v>
      </c>
      <c r="BE334" s="18" t="s">
        <v>941</v>
      </c>
      <c r="BF334" s="18" t="s">
        <v>77</v>
      </c>
      <c r="BG334" s="18">
        <v>167</v>
      </c>
      <c r="BH334" s="18">
        <v>16</v>
      </c>
      <c r="BI334" s="18">
        <v>0.9126</v>
      </c>
      <c r="BJ334" s="18">
        <v>0</v>
      </c>
      <c r="BK334" s="18">
        <v>55</v>
      </c>
      <c r="BL334" s="18">
        <v>84.9</v>
      </c>
      <c r="BM334" s="13">
        <f t="shared" si="0"/>
        <v>0</v>
      </c>
    </row>
    <row r="335" customHeight="1" spans="1:65">
      <c r="A335" s="18" t="s">
        <v>1375</v>
      </c>
      <c r="B335" s="18" t="s">
        <v>1376</v>
      </c>
      <c r="C335" s="13"/>
      <c r="D335" s="13"/>
      <c r="E335" s="18" t="s">
        <v>1377</v>
      </c>
      <c r="F335" s="18" t="s">
        <v>82</v>
      </c>
      <c r="G335" s="18" t="s">
        <v>83</v>
      </c>
      <c r="H335" s="18" t="s">
        <v>84</v>
      </c>
      <c r="I335" s="18" t="s">
        <v>203</v>
      </c>
      <c r="J335" s="18">
        <v>4</v>
      </c>
      <c r="K335" s="16">
        <v>600</v>
      </c>
      <c r="L335" s="10"/>
      <c r="M335" s="16">
        <v>0</v>
      </c>
      <c r="N335" s="16">
        <v>0</v>
      </c>
      <c r="O335" s="18">
        <v>0</v>
      </c>
      <c r="P335" s="18" t="s">
        <v>147</v>
      </c>
      <c r="Q335" s="18">
        <v>6.398595</v>
      </c>
      <c r="R335" s="10"/>
      <c r="S335" s="16">
        <v>2</v>
      </c>
      <c r="T335" s="16">
        <v>1</v>
      </c>
      <c r="U335" s="18" t="s">
        <v>1375</v>
      </c>
      <c r="V335" s="18" t="s">
        <v>1376</v>
      </c>
      <c r="W335" s="13"/>
      <c r="X335" s="13"/>
      <c r="Y335" s="18" t="s">
        <v>1377</v>
      </c>
      <c r="Z335" s="18" t="s">
        <v>82</v>
      </c>
      <c r="AA335" s="18" t="s">
        <v>83</v>
      </c>
      <c r="AB335" s="18" t="s">
        <v>84</v>
      </c>
      <c r="AC335" s="18" t="s">
        <v>203</v>
      </c>
      <c r="AD335" s="18">
        <v>1196</v>
      </c>
      <c r="AE335" s="18">
        <v>0</v>
      </c>
      <c r="AF335" s="18">
        <v>0</v>
      </c>
      <c r="AG335" s="18">
        <v>0</v>
      </c>
      <c r="AH335" s="18">
        <v>0</v>
      </c>
      <c r="AI335" s="18">
        <v>0</v>
      </c>
      <c r="AJ335" s="18">
        <v>0</v>
      </c>
      <c r="AK335" s="18">
        <v>1</v>
      </c>
      <c r="AL335" s="18">
        <v>0</v>
      </c>
      <c r="AM335" s="18">
        <v>0</v>
      </c>
      <c r="AN335" s="18">
        <v>0</v>
      </c>
      <c r="AO335" s="18">
        <v>0</v>
      </c>
      <c r="AP335" s="18">
        <v>0</v>
      </c>
      <c r="AQ335" s="18">
        <v>0</v>
      </c>
      <c r="AR335" s="18">
        <v>0</v>
      </c>
      <c r="AS335" s="18">
        <v>0</v>
      </c>
      <c r="AT335" s="18">
        <v>0</v>
      </c>
      <c r="AU335" s="18">
        <v>0</v>
      </c>
      <c r="AV335" s="18">
        <v>0</v>
      </c>
      <c r="AW335" s="18">
        <v>0</v>
      </c>
      <c r="AX335" s="18">
        <v>0</v>
      </c>
      <c r="AY335" s="13"/>
      <c r="AZ335" s="18">
        <v>1</v>
      </c>
      <c r="BA335" s="18">
        <v>1</v>
      </c>
      <c r="BB335" s="18">
        <v>56.34</v>
      </c>
      <c r="BC335" s="18" t="s">
        <v>1378</v>
      </c>
      <c r="BD335" s="18" t="s">
        <v>1379</v>
      </c>
      <c r="BE335" s="18" t="s">
        <v>166</v>
      </c>
      <c r="BF335" s="18" t="s">
        <v>77</v>
      </c>
      <c r="BG335" s="18">
        <v>168</v>
      </c>
      <c r="BH335" s="18">
        <v>11</v>
      </c>
      <c r="BI335" s="18">
        <v>0.9385</v>
      </c>
      <c r="BJ335" s="18">
        <v>0</v>
      </c>
      <c r="BK335" s="18">
        <v>4</v>
      </c>
      <c r="BL335" s="18">
        <v>98.9</v>
      </c>
      <c r="BM335" s="13">
        <f t="shared" si="0"/>
        <v>1200</v>
      </c>
    </row>
    <row r="336" customHeight="1" spans="1:65">
      <c r="A336" s="18" t="s">
        <v>1380</v>
      </c>
      <c r="B336" s="18" t="s">
        <v>1381</v>
      </c>
      <c r="C336" s="13"/>
      <c r="D336" s="13"/>
      <c r="E336" s="18" t="s">
        <v>81</v>
      </c>
      <c r="F336" s="18" t="s">
        <v>82</v>
      </c>
      <c r="G336" s="18" t="s">
        <v>83</v>
      </c>
      <c r="H336" s="18" t="s">
        <v>84</v>
      </c>
      <c r="I336" s="18" t="s">
        <v>85</v>
      </c>
      <c r="J336" s="18">
        <v>5</v>
      </c>
      <c r="K336" s="16">
        <v>34.98</v>
      </c>
      <c r="L336" s="10"/>
      <c r="M336" s="16">
        <v>0</v>
      </c>
      <c r="N336" s="16">
        <v>0</v>
      </c>
      <c r="O336" s="18">
        <v>0</v>
      </c>
      <c r="P336" s="18" t="s">
        <v>86</v>
      </c>
      <c r="Q336" s="18">
        <v>3.582963</v>
      </c>
      <c r="R336" s="10"/>
      <c r="S336" s="16">
        <v>354</v>
      </c>
      <c r="T336" s="16">
        <v>10</v>
      </c>
      <c r="U336" s="18" t="s">
        <v>1380</v>
      </c>
      <c r="V336" s="18" t="s">
        <v>1381</v>
      </c>
      <c r="W336" s="13"/>
      <c r="X336" s="13"/>
      <c r="Y336" s="18" t="s">
        <v>81</v>
      </c>
      <c r="Z336" s="18" t="s">
        <v>82</v>
      </c>
      <c r="AA336" s="18" t="s">
        <v>83</v>
      </c>
      <c r="AB336" s="18" t="s">
        <v>84</v>
      </c>
      <c r="AC336" s="18" t="s">
        <v>85</v>
      </c>
      <c r="AD336" s="18">
        <v>64.96</v>
      </c>
      <c r="AE336" s="18">
        <v>0</v>
      </c>
      <c r="AF336" s="18">
        <v>0</v>
      </c>
      <c r="AG336" s="18">
        <v>0</v>
      </c>
      <c r="AH336" s="18">
        <v>1</v>
      </c>
      <c r="AI336" s="18">
        <v>0</v>
      </c>
      <c r="AJ336" s="18">
        <v>0</v>
      </c>
      <c r="AK336" s="18">
        <v>1</v>
      </c>
      <c r="AL336" s="18">
        <v>0</v>
      </c>
      <c r="AM336" s="18">
        <v>0</v>
      </c>
      <c r="AN336" s="18">
        <v>0</v>
      </c>
      <c r="AO336" s="18">
        <v>0</v>
      </c>
      <c r="AP336" s="18">
        <v>0</v>
      </c>
      <c r="AQ336" s="18">
        <v>0</v>
      </c>
      <c r="AR336" s="18">
        <v>0</v>
      </c>
      <c r="AS336" s="18">
        <v>0</v>
      </c>
      <c r="AT336" s="18">
        <v>1</v>
      </c>
      <c r="AU336" s="18">
        <v>0</v>
      </c>
      <c r="AV336" s="18">
        <v>0</v>
      </c>
      <c r="AW336" s="18">
        <v>0</v>
      </c>
      <c r="AX336" s="18">
        <v>0</v>
      </c>
      <c r="AY336" s="13"/>
      <c r="AZ336" s="18">
        <v>1</v>
      </c>
      <c r="BA336" s="18">
        <v>3</v>
      </c>
      <c r="BB336" s="18">
        <v>68.48</v>
      </c>
      <c r="BC336" s="18" t="s">
        <v>1382</v>
      </c>
      <c r="BD336" s="18" t="s">
        <v>219</v>
      </c>
      <c r="BE336" s="18" t="s">
        <v>690</v>
      </c>
      <c r="BF336" s="18" t="s">
        <v>77</v>
      </c>
      <c r="BG336" s="18">
        <v>126</v>
      </c>
      <c r="BH336" s="18">
        <v>59</v>
      </c>
      <c r="BI336" s="18">
        <v>0.6811</v>
      </c>
      <c r="BJ336" s="18">
        <v>0</v>
      </c>
      <c r="BK336" s="18">
        <v>5</v>
      </c>
      <c r="BL336" s="18">
        <v>98.6</v>
      </c>
      <c r="BM336" s="13">
        <f t="shared" si="0"/>
        <v>12382.92</v>
      </c>
    </row>
    <row r="337" customHeight="1" spans="1:65">
      <c r="A337" s="18" t="s">
        <v>1383</v>
      </c>
      <c r="B337" s="18" t="s">
        <v>115</v>
      </c>
      <c r="C337" s="13"/>
      <c r="D337" s="13"/>
      <c r="E337" s="18" t="s">
        <v>601</v>
      </c>
      <c r="F337" s="18" t="s">
        <v>198</v>
      </c>
      <c r="G337" s="18" t="s">
        <v>117</v>
      </c>
      <c r="H337" s="18" t="s">
        <v>107</v>
      </c>
      <c r="I337" s="18" t="s">
        <v>203</v>
      </c>
      <c r="J337" s="18">
        <v>4</v>
      </c>
      <c r="K337" s="16">
        <v>28.99</v>
      </c>
      <c r="L337" s="10"/>
      <c r="M337" s="16">
        <v>0</v>
      </c>
      <c r="N337" s="16">
        <v>0</v>
      </c>
      <c r="O337" s="18">
        <v>0</v>
      </c>
      <c r="P337" s="18" t="s">
        <v>86</v>
      </c>
      <c r="Q337" s="18">
        <v>3.400864</v>
      </c>
      <c r="R337" s="10"/>
      <c r="S337" s="16">
        <v>825</v>
      </c>
      <c r="T337" s="16">
        <v>10</v>
      </c>
      <c r="U337" s="18" t="s">
        <v>1383</v>
      </c>
      <c r="V337" s="18" t="s">
        <v>115</v>
      </c>
      <c r="W337" s="13"/>
      <c r="X337" s="13"/>
      <c r="Y337" s="18" t="s">
        <v>601</v>
      </c>
      <c r="Z337" s="18" t="s">
        <v>198</v>
      </c>
      <c r="AA337" s="18" t="s">
        <v>117</v>
      </c>
      <c r="AB337" s="18" t="s">
        <v>107</v>
      </c>
      <c r="AC337" s="18" t="s">
        <v>203</v>
      </c>
      <c r="AD337" s="18">
        <v>53.98</v>
      </c>
      <c r="AE337" s="18">
        <v>0</v>
      </c>
      <c r="AF337" s="18">
        <v>0</v>
      </c>
      <c r="AG337" s="18">
        <v>0</v>
      </c>
      <c r="AH337" s="18">
        <v>0</v>
      </c>
      <c r="AI337" s="18">
        <v>0</v>
      </c>
      <c r="AJ337" s="18">
        <v>0</v>
      </c>
      <c r="AK337" s="18">
        <v>0</v>
      </c>
      <c r="AL337" s="18">
        <v>1</v>
      </c>
      <c r="AM337" s="18">
        <v>0</v>
      </c>
      <c r="AN337" s="18">
        <v>0</v>
      </c>
      <c r="AO337" s="18">
        <v>0</v>
      </c>
      <c r="AP337" s="18">
        <v>0</v>
      </c>
      <c r="AQ337" s="18">
        <v>0</v>
      </c>
      <c r="AR337" s="18">
        <v>0</v>
      </c>
      <c r="AS337" s="18">
        <v>0</v>
      </c>
      <c r="AT337" s="18">
        <v>0</v>
      </c>
      <c r="AU337" s="18">
        <v>0</v>
      </c>
      <c r="AV337" s="18">
        <v>0</v>
      </c>
      <c r="AW337" s="18">
        <v>1</v>
      </c>
      <c r="AX337" s="18">
        <v>0</v>
      </c>
      <c r="AY337" s="13"/>
      <c r="AZ337" s="18">
        <v>2</v>
      </c>
      <c r="BA337" s="18">
        <v>0</v>
      </c>
      <c r="BB337" s="18">
        <v>67.54</v>
      </c>
      <c r="BC337" s="18" t="s">
        <v>1384</v>
      </c>
      <c r="BD337" s="18" t="s">
        <v>1385</v>
      </c>
      <c r="BE337" s="18" t="s">
        <v>407</v>
      </c>
      <c r="BF337" s="18" t="s">
        <v>77</v>
      </c>
      <c r="BG337" s="18">
        <v>162</v>
      </c>
      <c r="BH337" s="18">
        <v>19</v>
      </c>
      <c r="BI337" s="18">
        <v>0.895</v>
      </c>
      <c r="BJ337" s="18">
        <v>0</v>
      </c>
      <c r="BK337" s="18">
        <v>24</v>
      </c>
      <c r="BL337" s="18">
        <v>93.4</v>
      </c>
      <c r="BM337" s="13">
        <f t="shared" si="0"/>
        <v>23916.75</v>
      </c>
    </row>
    <row r="338" customHeight="1" spans="1:65">
      <c r="A338" s="18" t="s">
        <v>230</v>
      </c>
      <c r="B338" s="18" t="s">
        <v>115</v>
      </c>
      <c r="C338" s="13"/>
      <c r="D338" s="13"/>
      <c r="E338" s="18" t="s">
        <v>209</v>
      </c>
      <c r="F338" s="18" t="s">
        <v>82</v>
      </c>
      <c r="G338" s="18" t="s">
        <v>117</v>
      </c>
      <c r="H338" s="18" t="s">
        <v>107</v>
      </c>
      <c r="I338" s="18" t="s">
        <v>153</v>
      </c>
      <c r="J338" s="18">
        <v>2</v>
      </c>
      <c r="K338" s="16">
        <v>85</v>
      </c>
      <c r="L338" s="10"/>
      <c r="M338" s="16">
        <v>0</v>
      </c>
      <c r="N338" s="16">
        <v>0</v>
      </c>
      <c r="O338" s="18">
        <v>0</v>
      </c>
      <c r="P338" s="18" t="s">
        <v>95</v>
      </c>
      <c r="Q338" s="18">
        <v>4.454347</v>
      </c>
      <c r="R338" s="10"/>
      <c r="S338" s="10"/>
      <c r="T338" s="10"/>
      <c r="U338" s="18" t="s">
        <v>230</v>
      </c>
      <c r="V338" s="18" t="s">
        <v>115</v>
      </c>
      <c r="W338" s="13"/>
      <c r="X338" s="13"/>
      <c r="Y338" s="18" t="s">
        <v>209</v>
      </c>
      <c r="Z338" s="18" t="s">
        <v>82</v>
      </c>
      <c r="AA338" s="18" t="s">
        <v>117</v>
      </c>
      <c r="AB338" s="18" t="s">
        <v>107</v>
      </c>
      <c r="AC338" s="18" t="s">
        <v>153</v>
      </c>
      <c r="AD338" s="18">
        <v>168</v>
      </c>
      <c r="AE338" s="18">
        <v>0</v>
      </c>
      <c r="AF338" s="18">
        <v>0</v>
      </c>
      <c r="AG338" s="18">
        <v>0</v>
      </c>
      <c r="AH338" s="18">
        <v>0</v>
      </c>
      <c r="AI338" s="18">
        <v>0</v>
      </c>
      <c r="AJ338" s="18">
        <v>0</v>
      </c>
      <c r="AK338" s="18">
        <v>0</v>
      </c>
      <c r="AL338" s="18">
        <v>0</v>
      </c>
      <c r="AM338" s="18">
        <v>0</v>
      </c>
      <c r="AN338" s="18">
        <v>0</v>
      </c>
      <c r="AO338" s="18">
        <v>0</v>
      </c>
      <c r="AP338" s="18">
        <v>0</v>
      </c>
      <c r="AQ338" s="18">
        <v>0</v>
      </c>
      <c r="AR338" s="18">
        <v>0</v>
      </c>
      <c r="AS338" s="18">
        <v>0</v>
      </c>
      <c r="AT338" s="18">
        <v>0</v>
      </c>
      <c r="AU338" s="18">
        <v>0</v>
      </c>
      <c r="AV338" s="18">
        <v>0</v>
      </c>
      <c r="AW338" s="18">
        <v>1</v>
      </c>
      <c r="AX338" s="18">
        <v>0</v>
      </c>
      <c r="AY338" s="13"/>
      <c r="AZ338" s="18">
        <v>1</v>
      </c>
      <c r="BA338" s="18">
        <v>0</v>
      </c>
      <c r="BB338" s="18">
        <v>0</v>
      </c>
      <c r="BC338" s="18" t="s">
        <v>232</v>
      </c>
      <c r="BD338" s="13"/>
      <c r="BE338" s="13"/>
      <c r="BF338" s="13"/>
      <c r="BG338" s="18">
        <v>0</v>
      </c>
      <c r="BH338" s="18">
        <v>0</v>
      </c>
      <c r="BI338" s="13"/>
      <c r="BJ338" s="18">
        <v>0</v>
      </c>
      <c r="BK338" s="13"/>
      <c r="BL338" s="13"/>
      <c r="BM338" s="13">
        <f t="shared" si="0"/>
        <v>0</v>
      </c>
    </row>
    <row r="339" customHeight="1" spans="1:65">
      <c r="A339" s="18" t="s">
        <v>1386</v>
      </c>
      <c r="B339" s="18" t="s">
        <v>1387</v>
      </c>
      <c r="C339" s="13"/>
      <c r="D339" s="13"/>
      <c r="E339" s="18" t="s">
        <v>1388</v>
      </c>
      <c r="F339" s="18" t="s">
        <v>240</v>
      </c>
      <c r="G339" s="18" t="s">
        <v>83</v>
      </c>
      <c r="H339" s="18" t="s">
        <v>84</v>
      </c>
      <c r="I339" s="18" t="s">
        <v>153</v>
      </c>
      <c r="J339" s="18">
        <v>2</v>
      </c>
      <c r="K339" s="16">
        <v>50</v>
      </c>
      <c r="L339" s="10"/>
      <c r="M339" s="16">
        <v>0</v>
      </c>
      <c r="N339" s="16">
        <v>0</v>
      </c>
      <c r="O339" s="18">
        <v>0</v>
      </c>
      <c r="P339" s="18" t="s">
        <v>86</v>
      </c>
      <c r="Q339" s="18">
        <v>3.931826</v>
      </c>
      <c r="R339" s="16">
        <v>6.25</v>
      </c>
      <c r="S339" s="10"/>
      <c r="T339" s="10"/>
      <c r="U339" s="18" t="s">
        <v>1386</v>
      </c>
      <c r="V339" s="18" t="s">
        <v>1387</v>
      </c>
      <c r="W339" s="13"/>
      <c r="X339" s="13"/>
      <c r="Y339" s="18" t="s">
        <v>1388</v>
      </c>
      <c r="Z339" s="18" t="s">
        <v>240</v>
      </c>
      <c r="AA339" s="18" t="s">
        <v>83</v>
      </c>
      <c r="AB339" s="18" t="s">
        <v>84</v>
      </c>
      <c r="AC339" s="18" t="s">
        <v>153</v>
      </c>
      <c r="AD339" s="18">
        <v>98</v>
      </c>
      <c r="AE339" s="18">
        <v>0</v>
      </c>
      <c r="AF339" s="18">
        <v>0</v>
      </c>
      <c r="AG339" s="18">
        <v>0</v>
      </c>
      <c r="AH339" s="18">
        <v>0</v>
      </c>
      <c r="AI339" s="18">
        <v>0</v>
      </c>
      <c r="AJ339" s="18">
        <v>0</v>
      </c>
      <c r="AK339" s="18">
        <v>0</v>
      </c>
      <c r="AL339" s="18">
        <v>0</v>
      </c>
      <c r="AM339" s="18">
        <v>0</v>
      </c>
      <c r="AN339" s="18">
        <v>0</v>
      </c>
      <c r="AO339" s="18">
        <v>0</v>
      </c>
      <c r="AP339" s="18">
        <v>0</v>
      </c>
      <c r="AQ339" s="18">
        <v>1</v>
      </c>
      <c r="AR339" s="18">
        <v>0</v>
      </c>
      <c r="AS339" s="18">
        <v>0</v>
      </c>
      <c r="AT339" s="18">
        <v>0</v>
      </c>
      <c r="AU339" s="18">
        <v>0</v>
      </c>
      <c r="AV339" s="18">
        <v>1</v>
      </c>
      <c r="AW339" s="18">
        <v>1</v>
      </c>
      <c r="AX339" s="18">
        <v>0</v>
      </c>
      <c r="AY339" s="18">
        <v>8</v>
      </c>
      <c r="AZ339" s="18">
        <v>1</v>
      </c>
      <c r="BA339" s="18">
        <v>1</v>
      </c>
      <c r="BB339" s="18">
        <v>0</v>
      </c>
      <c r="BC339" s="18" t="s">
        <v>1389</v>
      </c>
      <c r="BD339" s="18" t="s">
        <v>1390</v>
      </c>
      <c r="BE339" s="18" t="s">
        <v>1062</v>
      </c>
      <c r="BF339" s="18" t="s">
        <v>77</v>
      </c>
      <c r="BG339" s="18">
        <v>168</v>
      </c>
      <c r="BH339" s="18">
        <v>11</v>
      </c>
      <c r="BI339" s="18">
        <v>0.9385</v>
      </c>
      <c r="BJ339" s="18">
        <v>0</v>
      </c>
      <c r="BK339" s="13"/>
      <c r="BL339" s="13"/>
      <c r="BM339" s="13">
        <f t="shared" si="0"/>
        <v>0</v>
      </c>
    </row>
    <row r="340" customHeight="1" spans="1:65">
      <c r="A340" s="18" t="s">
        <v>1391</v>
      </c>
      <c r="B340" s="18" t="s">
        <v>125</v>
      </c>
      <c r="C340" s="18" t="s">
        <v>1392</v>
      </c>
      <c r="D340" s="13"/>
      <c r="E340" s="18" t="s">
        <v>163</v>
      </c>
      <c r="F340" s="18" t="s">
        <v>82</v>
      </c>
      <c r="G340" s="18" t="s">
        <v>83</v>
      </c>
      <c r="H340" s="18" t="s">
        <v>138</v>
      </c>
      <c r="I340" s="18" t="s">
        <v>85</v>
      </c>
      <c r="J340" s="18">
        <v>5</v>
      </c>
      <c r="K340" s="16">
        <v>16.99</v>
      </c>
      <c r="L340" s="10"/>
      <c r="M340" s="16">
        <v>0</v>
      </c>
      <c r="N340" s="16">
        <v>0</v>
      </c>
      <c r="O340" s="18">
        <v>0</v>
      </c>
      <c r="P340" s="18" t="s">
        <v>133</v>
      </c>
      <c r="Q340" s="18">
        <v>2.889816</v>
      </c>
      <c r="R340" s="10"/>
      <c r="S340" s="16">
        <v>1</v>
      </c>
      <c r="T340" s="16">
        <v>9</v>
      </c>
      <c r="U340" s="18" t="s">
        <v>1391</v>
      </c>
      <c r="V340" s="18" t="s">
        <v>125</v>
      </c>
      <c r="W340" s="18" t="s">
        <v>1392</v>
      </c>
      <c r="X340" s="13"/>
      <c r="Y340" s="18" t="s">
        <v>163</v>
      </c>
      <c r="Z340" s="18" t="s">
        <v>82</v>
      </c>
      <c r="AA340" s="18" t="s">
        <v>83</v>
      </c>
      <c r="AB340" s="18" t="s">
        <v>138</v>
      </c>
      <c r="AC340" s="18" t="s">
        <v>85</v>
      </c>
      <c r="AD340" s="18">
        <v>28.98</v>
      </c>
      <c r="AE340" s="18">
        <v>0</v>
      </c>
      <c r="AF340" s="18">
        <v>0</v>
      </c>
      <c r="AG340" s="18">
        <v>0</v>
      </c>
      <c r="AH340" s="18">
        <v>1</v>
      </c>
      <c r="AI340" s="18">
        <v>0</v>
      </c>
      <c r="AJ340" s="18">
        <v>0</v>
      </c>
      <c r="AK340" s="18">
        <v>0</v>
      </c>
      <c r="AL340" s="18">
        <v>0</v>
      </c>
      <c r="AM340" s="18">
        <v>0</v>
      </c>
      <c r="AN340" s="18">
        <v>0</v>
      </c>
      <c r="AO340" s="18">
        <v>0</v>
      </c>
      <c r="AP340" s="18">
        <v>0</v>
      </c>
      <c r="AQ340" s="18">
        <v>0</v>
      </c>
      <c r="AR340" s="18">
        <v>0</v>
      </c>
      <c r="AS340" s="18">
        <v>1</v>
      </c>
      <c r="AT340" s="18">
        <v>0</v>
      </c>
      <c r="AU340" s="18">
        <v>0</v>
      </c>
      <c r="AV340" s="18">
        <v>0</v>
      </c>
      <c r="AW340" s="18">
        <v>0</v>
      </c>
      <c r="AX340" s="18">
        <v>0</v>
      </c>
      <c r="AY340" s="13"/>
      <c r="AZ340" s="18">
        <v>1</v>
      </c>
      <c r="BA340" s="18">
        <v>2</v>
      </c>
      <c r="BB340" s="18">
        <v>32.26</v>
      </c>
      <c r="BC340" s="18" t="s">
        <v>1393</v>
      </c>
      <c r="BD340" s="18" t="s">
        <v>406</v>
      </c>
      <c r="BE340" s="18" t="s">
        <v>557</v>
      </c>
      <c r="BF340" s="18" t="s">
        <v>77</v>
      </c>
      <c r="BG340" s="18">
        <v>1</v>
      </c>
      <c r="BH340" s="18">
        <v>12</v>
      </c>
      <c r="BI340" s="18">
        <v>0.0769</v>
      </c>
      <c r="BJ340" s="18">
        <v>1</v>
      </c>
      <c r="BK340" s="18">
        <v>21</v>
      </c>
      <c r="BL340" s="18">
        <v>94.2</v>
      </c>
      <c r="BM340" s="13">
        <f t="shared" si="0"/>
        <v>16.99</v>
      </c>
    </row>
    <row r="341" customHeight="1" spans="1:65">
      <c r="A341" s="18" t="s">
        <v>1394</v>
      </c>
      <c r="B341" s="18" t="s">
        <v>125</v>
      </c>
      <c r="C341" s="13"/>
      <c r="D341" s="13"/>
      <c r="E341" s="18" t="s">
        <v>81</v>
      </c>
      <c r="F341" s="18" t="s">
        <v>82</v>
      </c>
      <c r="G341" s="18" t="s">
        <v>83</v>
      </c>
      <c r="H341" s="18" t="s">
        <v>138</v>
      </c>
      <c r="I341" s="18" t="s">
        <v>85</v>
      </c>
      <c r="J341" s="18">
        <v>5</v>
      </c>
      <c r="K341" s="16">
        <v>18.99</v>
      </c>
      <c r="L341" s="10"/>
      <c r="M341" s="16">
        <v>0</v>
      </c>
      <c r="N341" s="16">
        <v>0</v>
      </c>
      <c r="O341" s="18">
        <v>0</v>
      </c>
      <c r="P341" s="18" t="s">
        <v>133</v>
      </c>
      <c r="Q341" s="18">
        <v>2.995232</v>
      </c>
      <c r="R341" s="10"/>
      <c r="S341" s="16">
        <v>111</v>
      </c>
      <c r="T341" s="16">
        <v>10</v>
      </c>
      <c r="U341" s="18" t="s">
        <v>1394</v>
      </c>
      <c r="V341" s="18" t="s">
        <v>125</v>
      </c>
      <c r="W341" s="13"/>
      <c r="X341" s="13"/>
      <c r="Y341" s="18" t="s">
        <v>81</v>
      </c>
      <c r="Z341" s="18" t="s">
        <v>82</v>
      </c>
      <c r="AA341" s="18" t="s">
        <v>83</v>
      </c>
      <c r="AB341" s="18" t="s">
        <v>138</v>
      </c>
      <c r="AC341" s="18" t="s">
        <v>85</v>
      </c>
      <c r="AD341" s="18">
        <v>32.98</v>
      </c>
      <c r="AE341" s="18">
        <v>0</v>
      </c>
      <c r="AF341" s="18">
        <v>0</v>
      </c>
      <c r="AG341" s="18">
        <v>0</v>
      </c>
      <c r="AH341" s="18">
        <v>1</v>
      </c>
      <c r="AI341" s="18">
        <v>0</v>
      </c>
      <c r="AJ341" s="18">
        <v>0</v>
      </c>
      <c r="AK341" s="18">
        <v>0</v>
      </c>
      <c r="AL341" s="18">
        <v>0</v>
      </c>
      <c r="AM341" s="18">
        <v>0</v>
      </c>
      <c r="AN341" s="18">
        <v>0</v>
      </c>
      <c r="AO341" s="18">
        <v>0</v>
      </c>
      <c r="AP341" s="18">
        <v>0</v>
      </c>
      <c r="AQ341" s="18">
        <v>0</v>
      </c>
      <c r="AR341" s="18">
        <v>0</v>
      </c>
      <c r="AS341" s="18">
        <v>0</v>
      </c>
      <c r="AT341" s="18">
        <v>0</v>
      </c>
      <c r="AU341" s="18">
        <v>0</v>
      </c>
      <c r="AV341" s="18">
        <v>0</v>
      </c>
      <c r="AW341" s="18">
        <v>0</v>
      </c>
      <c r="AX341" s="18">
        <v>0</v>
      </c>
      <c r="AY341" s="13"/>
      <c r="AZ341" s="18">
        <v>1</v>
      </c>
      <c r="BA341" s="18">
        <v>1</v>
      </c>
      <c r="BB341" s="18">
        <v>66.22</v>
      </c>
      <c r="BC341" s="18" t="s">
        <v>1395</v>
      </c>
      <c r="BD341" s="18" t="s">
        <v>112</v>
      </c>
      <c r="BE341" s="18" t="s">
        <v>128</v>
      </c>
      <c r="BF341" s="18" t="s">
        <v>77</v>
      </c>
      <c r="BG341" s="18">
        <v>43</v>
      </c>
      <c r="BH341" s="18">
        <v>172</v>
      </c>
      <c r="BI341" s="18">
        <v>0.2</v>
      </c>
      <c r="BJ341" s="18">
        <v>0</v>
      </c>
      <c r="BK341" s="18">
        <v>6</v>
      </c>
      <c r="BL341" s="18">
        <v>98.4</v>
      </c>
      <c r="BM341" s="13">
        <f t="shared" si="0"/>
        <v>2107.89</v>
      </c>
    </row>
    <row r="342" customHeight="1" spans="1:65">
      <c r="A342" s="18" t="s">
        <v>1397</v>
      </c>
      <c r="B342" s="18" t="s">
        <v>739</v>
      </c>
      <c r="C342" s="13"/>
      <c r="D342" s="13"/>
      <c r="E342" s="18" t="s">
        <v>81</v>
      </c>
      <c r="F342" s="18" t="s">
        <v>82</v>
      </c>
      <c r="G342" s="18" t="s">
        <v>83</v>
      </c>
      <c r="H342" s="18" t="s">
        <v>84</v>
      </c>
      <c r="I342" s="18" t="s">
        <v>203</v>
      </c>
      <c r="J342" s="18">
        <v>4</v>
      </c>
      <c r="K342" s="16">
        <v>330</v>
      </c>
      <c r="L342" s="10"/>
      <c r="M342" s="16">
        <v>0</v>
      </c>
      <c r="N342" s="16">
        <v>0</v>
      </c>
      <c r="O342" s="18">
        <v>0</v>
      </c>
      <c r="P342" s="18" t="s">
        <v>71</v>
      </c>
      <c r="Q342" s="18">
        <v>5.802118</v>
      </c>
      <c r="R342" s="10"/>
      <c r="S342" s="10"/>
      <c r="T342" s="10"/>
      <c r="U342" s="18" t="s">
        <v>1397</v>
      </c>
      <c r="V342" s="18" t="s">
        <v>739</v>
      </c>
      <c r="W342" s="13"/>
      <c r="X342" s="13"/>
      <c r="Y342" s="18" t="s">
        <v>81</v>
      </c>
      <c r="Z342" s="18" t="s">
        <v>82</v>
      </c>
      <c r="AA342" s="18" t="s">
        <v>83</v>
      </c>
      <c r="AB342" s="18" t="s">
        <v>84</v>
      </c>
      <c r="AC342" s="18" t="s">
        <v>203</v>
      </c>
      <c r="AD342" s="18">
        <v>656</v>
      </c>
      <c r="AE342" s="18">
        <v>1</v>
      </c>
      <c r="AF342" s="18">
        <v>0</v>
      </c>
      <c r="AG342" s="18">
        <v>0</v>
      </c>
      <c r="AH342" s="18">
        <v>0</v>
      </c>
      <c r="AI342" s="18">
        <v>0</v>
      </c>
      <c r="AJ342" s="18">
        <v>0</v>
      </c>
      <c r="AK342" s="18">
        <v>0</v>
      </c>
      <c r="AL342" s="18">
        <v>0</v>
      </c>
      <c r="AM342" s="18">
        <v>0</v>
      </c>
      <c r="AN342" s="18">
        <v>0</v>
      </c>
      <c r="AO342" s="18">
        <v>0</v>
      </c>
      <c r="AP342" s="18">
        <v>0</v>
      </c>
      <c r="AQ342" s="18">
        <v>0</v>
      </c>
      <c r="AR342" s="18">
        <v>0</v>
      </c>
      <c r="AS342" s="18">
        <v>0</v>
      </c>
      <c r="AT342" s="18">
        <v>0</v>
      </c>
      <c r="AU342" s="18">
        <v>0</v>
      </c>
      <c r="AV342" s="18">
        <v>0</v>
      </c>
      <c r="AW342" s="18">
        <v>1</v>
      </c>
      <c r="AX342" s="18">
        <v>1</v>
      </c>
      <c r="AY342" s="13"/>
      <c r="AZ342" s="18">
        <v>1</v>
      </c>
      <c r="BA342" s="18">
        <v>1</v>
      </c>
      <c r="BB342" s="18">
        <v>0</v>
      </c>
      <c r="BC342" s="18" t="s">
        <v>1398</v>
      </c>
      <c r="BD342" s="18" t="s">
        <v>1399</v>
      </c>
      <c r="BE342" s="18" t="s">
        <v>1062</v>
      </c>
      <c r="BF342" s="18" t="s">
        <v>77</v>
      </c>
      <c r="BG342" s="18">
        <v>168</v>
      </c>
      <c r="BH342" s="18">
        <v>11</v>
      </c>
      <c r="BI342" s="18">
        <v>0.9385</v>
      </c>
      <c r="BJ342" s="18">
        <v>0</v>
      </c>
      <c r="BK342" s="13"/>
      <c r="BL342" s="13"/>
      <c r="BM342" s="13">
        <f t="shared" si="0"/>
        <v>0</v>
      </c>
    </row>
    <row r="343" customHeight="1" spans="1:65">
      <c r="A343" s="18" t="s">
        <v>1400</v>
      </c>
      <c r="B343" s="18" t="s">
        <v>1401</v>
      </c>
      <c r="C343" s="13"/>
      <c r="D343" s="13"/>
      <c r="E343" s="18" t="s">
        <v>1402</v>
      </c>
      <c r="F343" s="18" t="s">
        <v>82</v>
      </c>
      <c r="G343" s="18" t="s">
        <v>83</v>
      </c>
      <c r="H343" s="18" t="s">
        <v>84</v>
      </c>
      <c r="I343" s="18" t="s">
        <v>85</v>
      </c>
      <c r="J343" s="18">
        <v>5</v>
      </c>
      <c r="K343" s="16">
        <v>44.99</v>
      </c>
      <c r="L343" s="10"/>
      <c r="M343" s="16">
        <v>0</v>
      </c>
      <c r="N343" s="16">
        <v>0</v>
      </c>
      <c r="O343" s="18">
        <v>0</v>
      </c>
      <c r="P343" s="18" t="s">
        <v>86</v>
      </c>
      <c r="Q343" s="18">
        <v>3.828424</v>
      </c>
      <c r="R343" s="10"/>
      <c r="S343" s="16">
        <v>127</v>
      </c>
      <c r="T343" s="16">
        <v>10</v>
      </c>
      <c r="U343" s="18" t="s">
        <v>1400</v>
      </c>
      <c r="V343" s="18" t="s">
        <v>1401</v>
      </c>
      <c r="W343" s="13"/>
      <c r="X343" s="13"/>
      <c r="Y343" s="18" t="s">
        <v>1402</v>
      </c>
      <c r="Z343" s="18" t="s">
        <v>82</v>
      </c>
      <c r="AA343" s="18" t="s">
        <v>83</v>
      </c>
      <c r="AB343" s="18" t="s">
        <v>84</v>
      </c>
      <c r="AC343" s="18" t="s">
        <v>85</v>
      </c>
      <c r="AD343" s="18">
        <v>84.98</v>
      </c>
      <c r="AE343" s="18">
        <v>0</v>
      </c>
      <c r="AF343" s="18">
        <v>0</v>
      </c>
      <c r="AG343" s="18">
        <v>0</v>
      </c>
      <c r="AH343" s="18">
        <v>1</v>
      </c>
      <c r="AI343" s="18">
        <v>0</v>
      </c>
      <c r="AJ343" s="18">
        <v>0</v>
      </c>
      <c r="AK343" s="18">
        <v>0</v>
      </c>
      <c r="AL343" s="18">
        <v>0</v>
      </c>
      <c r="AM343" s="18">
        <v>0</v>
      </c>
      <c r="AN343" s="18">
        <v>0</v>
      </c>
      <c r="AO343" s="18">
        <v>0</v>
      </c>
      <c r="AP343" s="18">
        <v>0</v>
      </c>
      <c r="AQ343" s="18">
        <v>0</v>
      </c>
      <c r="AR343" s="18">
        <v>0</v>
      </c>
      <c r="AS343" s="18">
        <v>0</v>
      </c>
      <c r="AT343" s="18">
        <v>0</v>
      </c>
      <c r="AU343" s="18">
        <v>0</v>
      </c>
      <c r="AV343" s="18">
        <v>0</v>
      </c>
      <c r="AW343" s="18">
        <v>0</v>
      </c>
      <c r="AX343" s="18">
        <v>0</v>
      </c>
      <c r="AY343" s="13"/>
      <c r="AZ343" s="18">
        <v>1</v>
      </c>
      <c r="BA343" s="18">
        <v>1</v>
      </c>
      <c r="BB343" s="18">
        <v>66.93</v>
      </c>
      <c r="BC343" s="18" t="s">
        <v>1403</v>
      </c>
      <c r="BD343" s="18" t="s">
        <v>112</v>
      </c>
      <c r="BE343" s="18" t="s">
        <v>128</v>
      </c>
      <c r="BF343" s="18" t="s">
        <v>77</v>
      </c>
      <c r="BG343" s="18">
        <v>1</v>
      </c>
      <c r="BH343" s="18">
        <v>28</v>
      </c>
      <c r="BI343" s="18">
        <v>0.0345</v>
      </c>
      <c r="BJ343" s="18">
        <v>1</v>
      </c>
      <c r="BK343" s="18">
        <v>2</v>
      </c>
      <c r="BL343" s="18">
        <v>99.5</v>
      </c>
      <c r="BM343" s="13">
        <f t="shared" si="0"/>
        <v>5713.73</v>
      </c>
    </row>
    <row r="344" customHeight="1" spans="1:65">
      <c r="A344" s="18" t="s">
        <v>1404</v>
      </c>
      <c r="B344" s="18" t="s">
        <v>1405</v>
      </c>
      <c r="C344" s="13"/>
      <c r="D344" s="13"/>
      <c r="E344" s="18" t="s">
        <v>81</v>
      </c>
      <c r="F344" s="18" t="s">
        <v>82</v>
      </c>
      <c r="G344" s="18" t="s">
        <v>83</v>
      </c>
      <c r="H344" s="18" t="s">
        <v>84</v>
      </c>
      <c r="I344" s="18" t="s">
        <v>85</v>
      </c>
      <c r="J344" s="18">
        <v>5</v>
      </c>
      <c r="K344" s="16">
        <v>18.95</v>
      </c>
      <c r="L344" s="10"/>
      <c r="M344" s="16">
        <v>0</v>
      </c>
      <c r="N344" s="16">
        <v>0</v>
      </c>
      <c r="O344" s="18">
        <v>0</v>
      </c>
      <c r="P344" s="18" t="s">
        <v>133</v>
      </c>
      <c r="Q344" s="18">
        <v>2.993229</v>
      </c>
      <c r="R344" s="10"/>
      <c r="S344" s="16">
        <v>25</v>
      </c>
      <c r="T344" s="16">
        <v>10</v>
      </c>
      <c r="U344" s="18" t="s">
        <v>1404</v>
      </c>
      <c r="V344" s="18" t="s">
        <v>1405</v>
      </c>
      <c r="W344" s="13"/>
      <c r="X344" s="13"/>
      <c r="Y344" s="18" t="s">
        <v>81</v>
      </c>
      <c r="Z344" s="18" t="s">
        <v>82</v>
      </c>
      <c r="AA344" s="18" t="s">
        <v>83</v>
      </c>
      <c r="AB344" s="18" t="s">
        <v>84</v>
      </c>
      <c r="AC344" s="18" t="s">
        <v>85</v>
      </c>
      <c r="AD344" s="18">
        <v>32.9</v>
      </c>
      <c r="AE344" s="18">
        <v>0</v>
      </c>
      <c r="AF344" s="18">
        <v>0</v>
      </c>
      <c r="AG344" s="18">
        <v>0</v>
      </c>
      <c r="AH344" s="18">
        <v>0</v>
      </c>
      <c r="AI344" s="18">
        <v>0</v>
      </c>
      <c r="AJ344" s="18">
        <v>0</v>
      </c>
      <c r="AK344" s="18">
        <v>0</v>
      </c>
      <c r="AL344" s="18">
        <v>0</v>
      </c>
      <c r="AM344" s="18">
        <v>0</v>
      </c>
      <c r="AN344" s="18">
        <v>0</v>
      </c>
      <c r="AO344" s="18">
        <v>0</v>
      </c>
      <c r="AP344" s="18">
        <v>0</v>
      </c>
      <c r="AQ344" s="18">
        <v>0</v>
      </c>
      <c r="AR344" s="18">
        <v>0</v>
      </c>
      <c r="AS344" s="18">
        <v>0</v>
      </c>
      <c r="AT344" s="18">
        <v>0</v>
      </c>
      <c r="AU344" s="18">
        <v>1</v>
      </c>
      <c r="AV344" s="18">
        <v>0</v>
      </c>
      <c r="AW344" s="18">
        <v>0</v>
      </c>
      <c r="AX344" s="18">
        <v>0</v>
      </c>
      <c r="AY344" s="13"/>
      <c r="AZ344" s="18">
        <v>1</v>
      </c>
      <c r="BA344" s="18">
        <v>1</v>
      </c>
      <c r="BB344" s="18">
        <v>57.91</v>
      </c>
      <c r="BC344" s="18" t="s">
        <v>1406</v>
      </c>
      <c r="BD344" s="18" t="s">
        <v>793</v>
      </c>
      <c r="BE344" s="18" t="s">
        <v>113</v>
      </c>
      <c r="BF344" s="18" t="s">
        <v>77</v>
      </c>
      <c r="BG344" s="18">
        <v>167</v>
      </c>
      <c r="BH344" s="18">
        <v>13</v>
      </c>
      <c r="BI344" s="18">
        <v>0.9278</v>
      </c>
      <c r="BJ344" s="18">
        <v>0</v>
      </c>
      <c r="BK344" s="18">
        <v>8</v>
      </c>
      <c r="BL344" s="18">
        <v>97.8</v>
      </c>
      <c r="BM344" s="13">
        <f t="shared" si="0"/>
        <v>473.75</v>
      </c>
    </row>
    <row r="345" customHeight="1" spans="1:65">
      <c r="A345" s="18" t="s">
        <v>1798</v>
      </c>
      <c r="B345" s="18" t="s">
        <v>613</v>
      </c>
      <c r="C345" s="13"/>
      <c r="D345" s="13"/>
      <c r="E345" s="18" t="s">
        <v>559</v>
      </c>
      <c r="F345" s="18" t="s">
        <v>240</v>
      </c>
      <c r="G345" s="18" t="s">
        <v>83</v>
      </c>
      <c r="H345" s="18" t="s">
        <v>84</v>
      </c>
      <c r="I345" s="18" t="s">
        <v>153</v>
      </c>
      <c r="J345" s="18">
        <v>2</v>
      </c>
      <c r="K345" s="16">
        <v>199.99</v>
      </c>
      <c r="L345" s="10"/>
      <c r="M345" s="16">
        <v>0</v>
      </c>
      <c r="N345" s="16">
        <v>0</v>
      </c>
      <c r="O345" s="18">
        <v>0</v>
      </c>
      <c r="P345" s="18" t="s">
        <v>95</v>
      </c>
      <c r="Q345" s="18">
        <v>5.303255</v>
      </c>
      <c r="R345" s="16">
        <v>50</v>
      </c>
      <c r="S345" s="10"/>
      <c r="T345" s="10"/>
      <c r="U345" s="18" t="s">
        <v>1798</v>
      </c>
      <c r="V345" s="18" t="s">
        <v>613</v>
      </c>
      <c r="W345" s="13"/>
      <c r="X345" s="13"/>
      <c r="Y345" s="18" t="s">
        <v>559</v>
      </c>
      <c r="Z345" s="18" t="s">
        <v>240</v>
      </c>
      <c r="AA345" s="18" t="s">
        <v>83</v>
      </c>
      <c r="AB345" s="18" t="s">
        <v>84</v>
      </c>
      <c r="AC345" s="18" t="s">
        <v>153</v>
      </c>
      <c r="AD345" s="18">
        <v>397.98</v>
      </c>
      <c r="AE345" s="18">
        <v>0</v>
      </c>
      <c r="AF345" s="18">
        <v>0</v>
      </c>
      <c r="AG345" s="18">
        <v>1</v>
      </c>
      <c r="AH345" s="18">
        <v>0</v>
      </c>
      <c r="AI345" s="18">
        <v>1</v>
      </c>
      <c r="AJ345" s="18">
        <v>0</v>
      </c>
      <c r="AK345" s="18">
        <v>0</v>
      </c>
      <c r="AL345" s="18">
        <v>0</v>
      </c>
      <c r="AM345" s="18">
        <v>0</v>
      </c>
      <c r="AN345" s="18">
        <v>0</v>
      </c>
      <c r="AO345" s="18">
        <v>0</v>
      </c>
      <c r="AP345" s="18">
        <v>0</v>
      </c>
      <c r="AQ345" s="18">
        <v>1</v>
      </c>
      <c r="AR345" s="18">
        <v>0</v>
      </c>
      <c r="AS345" s="18">
        <v>0</v>
      </c>
      <c r="AT345" s="18">
        <v>0</v>
      </c>
      <c r="AU345" s="18">
        <v>0</v>
      </c>
      <c r="AV345" s="18">
        <v>1</v>
      </c>
      <c r="AW345" s="18">
        <v>1</v>
      </c>
      <c r="AX345" s="18">
        <v>0</v>
      </c>
      <c r="AY345" s="18">
        <v>4</v>
      </c>
      <c r="AZ345" s="18">
        <v>1</v>
      </c>
      <c r="BA345" s="18">
        <v>1</v>
      </c>
      <c r="BB345" s="18">
        <v>24.81</v>
      </c>
      <c r="BC345" s="18" t="s">
        <v>1414</v>
      </c>
      <c r="BD345" s="18" t="s">
        <v>1415</v>
      </c>
      <c r="BE345" s="18" t="s">
        <v>113</v>
      </c>
      <c r="BF345" s="18" t="s">
        <v>77</v>
      </c>
      <c r="BG345" s="18">
        <v>168</v>
      </c>
      <c r="BH345" s="18">
        <v>11</v>
      </c>
      <c r="BI345" s="18">
        <v>0.9385</v>
      </c>
      <c r="BJ345" s="18">
        <v>0</v>
      </c>
      <c r="BK345" s="18">
        <v>63</v>
      </c>
      <c r="BL345" s="18">
        <v>82.7</v>
      </c>
      <c r="BM345" s="13">
        <f t="shared" si="0"/>
        <v>0</v>
      </c>
    </row>
    <row r="346" customHeight="1" spans="1:65">
      <c r="A346" s="18" t="s">
        <v>1412</v>
      </c>
      <c r="B346" s="18" t="s">
        <v>1413</v>
      </c>
      <c r="C346" s="13"/>
      <c r="D346" s="13"/>
      <c r="E346" s="18" t="s">
        <v>239</v>
      </c>
      <c r="F346" s="18" t="s">
        <v>240</v>
      </c>
      <c r="G346" s="18" t="s">
        <v>83</v>
      </c>
      <c r="H346" s="18" t="s">
        <v>84</v>
      </c>
      <c r="I346" s="18" t="s">
        <v>153</v>
      </c>
      <c r="J346" s="18">
        <v>2</v>
      </c>
      <c r="K346" s="16">
        <v>126</v>
      </c>
      <c r="L346" s="16">
        <v>150</v>
      </c>
      <c r="M346" s="16">
        <v>16</v>
      </c>
      <c r="N346" s="16">
        <v>24</v>
      </c>
      <c r="O346" s="18">
        <v>1</v>
      </c>
      <c r="P346" s="18" t="s">
        <v>95</v>
      </c>
      <c r="Q346" s="18">
        <v>4.844187</v>
      </c>
      <c r="R346" s="16">
        <v>7.88</v>
      </c>
      <c r="S346" s="10"/>
      <c r="T346" s="10"/>
      <c r="U346" s="18" t="s">
        <v>2615</v>
      </c>
      <c r="V346" s="18" t="s">
        <v>1413</v>
      </c>
      <c r="W346" s="13"/>
      <c r="X346" s="13"/>
      <c r="Y346" s="18" t="s">
        <v>239</v>
      </c>
      <c r="Z346" s="18" t="s">
        <v>240</v>
      </c>
      <c r="AA346" s="18" t="s">
        <v>83</v>
      </c>
      <c r="AB346" s="18" t="s">
        <v>84</v>
      </c>
      <c r="AC346" s="18" t="s">
        <v>153</v>
      </c>
      <c r="AD346" s="18">
        <v>8.66666666666671</v>
      </c>
      <c r="AE346" s="18">
        <v>0</v>
      </c>
      <c r="AF346" s="18">
        <v>0</v>
      </c>
      <c r="AG346" s="18">
        <v>0</v>
      </c>
      <c r="AH346" s="18">
        <v>0</v>
      </c>
      <c r="AI346" s="18">
        <v>0</v>
      </c>
      <c r="AJ346" s="18">
        <v>0</v>
      </c>
      <c r="AK346" s="18">
        <v>0</v>
      </c>
      <c r="AL346" s="18">
        <v>0</v>
      </c>
      <c r="AM346" s="18">
        <v>0</v>
      </c>
      <c r="AN346" s="18">
        <v>0</v>
      </c>
      <c r="AO346" s="18">
        <v>0</v>
      </c>
      <c r="AP346" s="18">
        <v>0</v>
      </c>
      <c r="AQ346" s="18">
        <v>0</v>
      </c>
      <c r="AR346" s="18">
        <v>0</v>
      </c>
      <c r="AS346" s="18">
        <v>0</v>
      </c>
      <c r="AT346" s="18">
        <v>0</v>
      </c>
      <c r="AU346" s="18">
        <v>0</v>
      </c>
      <c r="AV346" s="18">
        <v>1</v>
      </c>
      <c r="AW346" s="18">
        <v>1</v>
      </c>
      <c r="AX346" s="18">
        <v>0</v>
      </c>
      <c r="AY346" s="18">
        <v>16</v>
      </c>
      <c r="AZ346" s="18">
        <v>1</v>
      </c>
      <c r="BA346" s="18">
        <v>0</v>
      </c>
      <c r="BB346" s="18">
        <v>33.81</v>
      </c>
      <c r="BC346" s="18" t="s">
        <v>1414</v>
      </c>
      <c r="BD346" s="18" t="s">
        <v>1415</v>
      </c>
      <c r="BE346" s="18" t="s">
        <v>113</v>
      </c>
      <c r="BF346" s="18" t="s">
        <v>77</v>
      </c>
      <c r="BG346" s="18">
        <v>162</v>
      </c>
      <c r="BH346" s="18">
        <v>20</v>
      </c>
      <c r="BI346" s="18">
        <v>0.8901</v>
      </c>
      <c r="BJ346" s="18">
        <v>0</v>
      </c>
      <c r="BK346" s="18">
        <v>12</v>
      </c>
      <c r="BL346" s="18">
        <v>96.7</v>
      </c>
      <c r="BM346" s="13">
        <f t="shared" si="0"/>
        <v>0</v>
      </c>
    </row>
    <row r="347" customHeight="1" spans="1:65">
      <c r="A347" s="18" t="s">
        <v>1416</v>
      </c>
      <c r="B347" s="18" t="s">
        <v>311</v>
      </c>
      <c r="C347" s="13"/>
      <c r="D347" s="13"/>
      <c r="E347" s="18" t="s">
        <v>312</v>
      </c>
      <c r="F347" s="18" t="s">
        <v>240</v>
      </c>
      <c r="G347" s="18" t="s">
        <v>83</v>
      </c>
      <c r="H347" s="18" t="s">
        <v>84</v>
      </c>
      <c r="I347" s="18" t="s">
        <v>85</v>
      </c>
      <c r="J347" s="18">
        <v>5</v>
      </c>
      <c r="K347" s="16">
        <v>68.99</v>
      </c>
      <c r="L347" s="10"/>
      <c r="M347" s="16">
        <v>0</v>
      </c>
      <c r="N347" s="16">
        <v>0</v>
      </c>
      <c r="O347" s="18">
        <v>0</v>
      </c>
      <c r="P347" s="18" t="s">
        <v>86</v>
      </c>
      <c r="Q347" s="18">
        <v>4.248352</v>
      </c>
      <c r="R347" s="16">
        <v>8.62</v>
      </c>
      <c r="S347" s="16">
        <v>22</v>
      </c>
      <c r="T347" s="16">
        <v>10</v>
      </c>
      <c r="U347" s="18" t="s">
        <v>1416</v>
      </c>
      <c r="V347" s="18" t="s">
        <v>311</v>
      </c>
      <c r="W347" s="13"/>
      <c r="X347" s="13"/>
      <c r="Y347" s="18" t="s">
        <v>312</v>
      </c>
      <c r="Z347" s="18" t="s">
        <v>240</v>
      </c>
      <c r="AA347" s="18" t="s">
        <v>83</v>
      </c>
      <c r="AB347" s="18" t="s">
        <v>84</v>
      </c>
      <c r="AC347" s="18" t="s">
        <v>85</v>
      </c>
      <c r="AD347" s="18">
        <v>132.98</v>
      </c>
      <c r="AE347" s="18">
        <v>0</v>
      </c>
      <c r="AF347" s="18">
        <v>0</v>
      </c>
      <c r="AG347" s="18">
        <v>0</v>
      </c>
      <c r="AH347" s="18">
        <v>0</v>
      </c>
      <c r="AI347" s="18">
        <v>0</v>
      </c>
      <c r="AJ347" s="18">
        <v>0</v>
      </c>
      <c r="AK347" s="18">
        <v>0</v>
      </c>
      <c r="AL347" s="18">
        <v>0</v>
      </c>
      <c r="AM347" s="18">
        <v>0</v>
      </c>
      <c r="AN347" s="18">
        <v>0</v>
      </c>
      <c r="AO347" s="18">
        <v>0</v>
      </c>
      <c r="AP347" s="18">
        <v>0</v>
      </c>
      <c r="AQ347" s="18">
        <v>1</v>
      </c>
      <c r="AR347" s="18">
        <v>0</v>
      </c>
      <c r="AS347" s="18">
        <v>0</v>
      </c>
      <c r="AT347" s="18">
        <v>0</v>
      </c>
      <c r="AU347" s="18">
        <v>0</v>
      </c>
      <c r="AV347" s="18">
        <v>1</v>
      </c>
      <c r="AW347" s="18">
        <v>1</v>
      </c>
      <c r="AX347" s="18">
        <v>0</v>
      </c>
      <c r="AY347" s="18">
        <v>8</v>
      </c>
      <c r="AZ347" s="18">
        <v>1</v>
      </c>
      <c r="BA347" s="18">
        <v>1</v>
      </c>
      <c r="BB347" s="18">
        <v>57.17</v>
      </c>
      <c r="BC347" s="18" t="s">
        <v>1417</v>
      </c>
      <c r="BD347" s="18" t="s">
        <v>225</v>
      </c>
      <c r="BE347" s="18" t="s">
        <v>91</v>
      </c>
      <c r="BF347" s="18" t="s">
        <v>77</v>
      </c>
      <c r="BG347" s="18">
        <v>168</v>
      </c>
      <c r="BH347" s="18">
        <v>54</v>
      </c>
      <c r="BI347" s="18">
        <v>0.7568</v>
      </c>
      <c r="BJ347" s="18">
        <v>0</v>
      </c>
      <c r="BK347" s="18">
        <v>4</v>
      </c>
      <c r="BL347" s="18">
        <v>98.9</v>
      </c>
      <c r="BM347" s="13">
        <f t="shared" si="0"/>
        <v>1517.78</v>
      </c>
    </row>
    <row r="348" customHeight="1" spans="1:65">
      <c r="A348" s="18" t="s">
        <v>1422</v>
      </c>
      <c r="B348" s="18" t="s">
        <v>613</v>
      </c>
      <c r="C348" s="13"/>
      <c r="D348" s="13"/>
      <c r="E348" s="18" t="s">
        <v>559</v>
      </c>
      <c r="F348" s="18" t="s">
        <v>240</v>
      </c>
      <c r="G348" s="18" t="s">
        <v>83</v>
      </c>
      <c r="H348" s="18" t="s">
        <v>84</v>
      </c>
      <c r="I348" s="18" t="s">
        <v>203</v>
      </c>
      <c r="J348" s="18">
        <v>4</v>
      </c>
      <c r="K348" s="16">
        <v>88</v>
      </c>
      <c r="L348" s="10"/>
      <c r="M348" s="16">
        <v>0</v>
      </c>
      <c r="N348" s="16">
        <v>0</v>
      </c>
      <c r="O348" s="18">
        <v>0</v>
      </c>
      <c r="P348" s="18" t="s">
        <v>95</v>
      </c>
      <c r="Q348" s="18">
        <v>4.488636</v>
      </c>
      <c r="R348" s="16">
        <v>22</v>
      </c>
      <c r="S348" s="10"/>
      <c r="T348" s="10"/>
      <c r="U348" s="18" t="s">
        <v>1422</v>
      </c>
      <c r="V348" s="18" t="s">
        <v>613</v>
      </c>
      <c r="W348" s="13"/>
      <c r="X348" s="13"/>
      <c r="Y348" s="18" t="s">
        <v>559</v>
      </c>
      <c r="Z348" s="18" t="s">
        <v>240</v>
      </c>
      <c r="AA348" s="18" t="s">
        <v>83</v>
      </c>
      <c r="AB348" s="18" t="s">
        <v>84</v>
      </c>
      <c r="AC348" s="18" t="s">
        <v>203</v>
      </c>
      <c r="AD348" s="18">
        <v>172</v>
      </c>
      <c r="AE348" s="18">
        <v>0</v>
      </c>
      <c r="AF348" s="18">
        <v>0</v>
      </c>
      <c r="AG348" s="18">
        <v>1</v>
      </c>
      <c r="AH348" s="18">
        <v>0</v>
      </c>
      <c r="AI348" s="18">
        <v>1</v>
      </c>
      <c r="AJ348" s="18">
        <v>0</v>
      </c>
      <c r="AK348" s="18">
        <v>0</v>
      </c>
      <c r="AL348" s="18">
        <v>0</v>
      </c>
      <c r="AM348" s="18">
        <v>0</v>
      </c>
      <c r="AN348" s="18">
        <v>0</v>
      </c>
      <c r="AO348" s="18">
        <v>0</v>
      </c>
      <c r="AP348" s="18">
        <v>0</v>
      </c>
      <c r="AQ348" s="18">
        <v>1</v>
      </c>
      <c r="AR348" s="18">
        <v>0</v>
      </c>
      <c r="AS348" s="18">
        <v>0</v>
      </c>
      <c r="AT348" s="18">
        <v>0</v>
      </c>
      <c r="AU348" s="18">
        <v>0</v>
      </c>
      <c r="AV348" s="18">
        <v>1</v>
      </c>
      <c r="AW348" s="18">
        <v>1</v>
      </c>
      <c r="AX348" s="18">
        <v>0</v>
      </c>
      <c r="AY348" s="18">
        <v>4</v>
      </c>
      <c r="AZ348" s="18">
        <v>1</v>
      </c>
      <c r="BA348" s="18">
        <v>1</v>
      </c>
      <c r="BB348" s="18">
        <v>18.33</v>
      </c>
      <c r="BC348" s="18" t="s">
        <v>1423</v>
      </c>
      <c r="BD348" s="18" t="s">
        <v>1415</v>
      </c>
      <c r="BE348" s="18" t="s">
        <v>128</v>
      </c>
      <c r="BF348" s="18" t="s">
        <v>77</v>
      </c>
      <c r="BG348" s="18">
        <v>1</v>
      </c>
      <c r="BH348" s="18">
        <v>11</v>
      </c>
      <c r="BI348" s="18">
        <v>0.0833</v>
      </c>
      <c r="BJ348" s="18">
        <v>1</v>
      </c>
      <c r="BK348" s="18">
        <v>142</v>
      </c>
      <c r="BL348" s="18">
        <v>61.1</v>
      </c>
      <c r="BM348" s="13">
        <f t="shared" si="0"/>
        <v>0</v>
      </c>
    </row>
    <row r="349" customHeight="1" spans="1:65">
      <c r="A349" s="18" t="s">
        <v>1424</v>
      </c>
      <c r="B349" s="18" t="s">
        <v>427</v>
      </c>
      <c r="C349" s="13"/>
      <c r="D349" s="18">
        <v>193108149785</v>
      </c>
      <c r="E349" s="18" t="s">
        <v>81</v>
      </c>
      <c r="F349" s="18" t="s">
        <v>160</v>
      </c>
      <c r="G349" s="18" t="s">
        <v>427</v>
      </c>
      <c r="H349" s="18" t="s">
        <v>107</v>
      </c>
      <c r="I349" s="18" t="s">
        <v>85</v>
      </c>
      <c r="J349" s="18">
        <v>5</v>
      </c>
      <c r="K349" s="16">
        <v>129.95</v>
      </c>
      <c r="L349" s="10"/>
      <c r="M349" s="16">
        <v>0</v>
      </c>
      <c r="N349" s="16">
        <v>0</v>
      </c>
      <c r="O349" s="18">
        <v>0</v>
      </c>
      <c r="P349" s="18" t="s">
        <v>95</v>
      </c>
      <c r="Q349" s="18">
        <v>4.874816</v>
      </c>
      <c r="R349" s="10"/>
      <c r="S349" s="16">
        <v>2</v>
      </c>
      <c r="T349" s="16">
        <v>4</v>
      </c>
      <c r="U349" s="18" t="s">
        <v>1424</v>
      </c>
      <c r="V349" s="18" t="s">
        <v>427</v>
      </c>
      <c r="W349" s="13"/>
      <c r="X349" s="18">
        <v>193108149786</v>
      </c>
      <c r="Y349" s="18" t="s">
        <v>81</v>
      </c>
      <c r="Z349" s="18" t="s">
        <v>160</v>
      </c>
      <c r="AA349" s="18" t="s">
        <v>427</v>
      </c>
      <c r="AB349" s="18" t="s">
        <v>107</v>
      </c>
      <c r="AC349" s="18" t="s">
        <v>85</v>
      </c>
      <c r="AD349" s="18">
        <v>254.9</v>
      </c>
      <c r="AE349" s="18">
        <v>0</v>
      </c>
      <c r="AF349" s="18">
        <v>1</v>
      </c>
      <c r="AG349" s="18">
        <v>0</v>
      </c>
      <c r="AH349" s="18">
        <v>0</v>
      </c>
      <c r="AI349" s="18">
        <v>0</v>
      </c>
      <c r="AJ349" s="18">
        <v>0</v>
      </c>
      <c r="AK349" s="18">
        <v>0</v>
      </c>
      <c r="AL349" s="18">
        <v>0</v>
      </c>
      <c r="AM349" s="18">
        <v>0</v>
      </c>
      <c r="AN349" s="18">
        <v>0</v>
      </c>
      <c r="AO349" s="18">
        <v>0</v>
      </c>
      <c r="AP349" s="18">
        <v>0</v>
      </c>
      <c r="AQ349" s="18">
        <v>0</v>
      </c>
      <c r="AR349" s="18">
        <v>0</v>
      </c>
      <c r="AS349" s="18">
        <v>0</v>
      </c>
      <c r="AT349" s="18">
        <v>0</v>
      </c>
      <c r="AU349" s="18">
        <v>0</v>
      </c>
      <c r="AV349" s="18">
        <v>0</v>
      </c>
      <c r="AW349" s="18">
        <v>0</v>
      </c>
      <c r="AX349" s="18">
        <v>0</v>
      </c>
      <c r="AY349" s="13"/>
      <c r="AZ349" s="18">
        <v>1</v>
      </c>
      <c r="BA349" s="18">
        <v>0</v>
      </c>
      <c r="BB349" s="18">
        <v>41.44</v>
      </c>
      <c r="BC349" s="18" t="s">
        <v>1425</v>
      </c>
      <c r="BD349" s="18" t="s">
        <v>1426</v>
      </c>
      <c r="BE349" s="18" t="s">
        <v>760</v>
      </c>
      <c r="BF349" s="18" t="s">
        <v>77</v>
      </c>
      <c r="BG349" s="18">
        <v>162</v>
      </c>
      <c r="BH349" s="18">
        <v>58</v>
      </c>
      <c r="BI349" s="18">
        <v>0.7364</v>
      </c>
      <c r="BJ349" s="18">
        <v>0</v>
      </c>
      <c r="BK349" s="18">
        <v>23</v>
      </c>
      <c r="BL349" s="18">
        <v>93.7</v>
      </c>
      <c r="BM349" s="13">
        <f t="shared" si="0"/>
        <v>259.9</v>
      </c>
    </row>
    <row r="350" customHeight="1" spans="1:65">
      <c r="A350" s="18" t="s">
        <v>233</v>
      </c>
      <c r="B350" s="18" t="s">
        <v>234</v>
      </c>
      <c r="C350" s="13"/>
      <c r="D350" s="13"/>
      <c r="E350" s="18" t="s">
        <v>235</v>
      </c>
      <c r="F350" s="18" t="s">
        <v>198</v>
      </c>
      <c r="G350" s="18" t="s">
        <v>83</v>
      </c>
      <c r="H350" s="18" t="s">
        <v>84</v>
      </c>
      <c r="I350" s="18" t="s">
        <v>85</v>
      </c>
      <c r="J350" s="18">
        <v>5</v>
      </c>
      <c r="K350" s="16">
        <v>14.99</v>
      </c>
      <c r="L350" s="10"/>
      <c r="M350" s="16">
        <v>0</v>
      </c>
      <c r="N350" s="16">
        <v>0</v>
      </c>
      <c r="O350" s="18">
        <v>0</v>
      </c>
      <c r="P350" s="18" t="s">
        <v>133</v>
      </c>
      <c r="Q350" s="18">
        <v>2.771964</v>
      </c>
      <c r="R350" s="10"/>
      <c r="S350" s="16">
        <v>37</v>
      </c>
      <c r="T350" s="16">
        <v>10</v>
      </c>
      <c r="U350" s="18" t="s">
        <v>233</v>
      </c>
      <c r="V350" s="18" t="s">
        <v>234</v>
      </c>
      <c r="W350" s="13"/>
      <c r="X350" s="13"/>
      <c r="Y350" s="18" t="s">
        <v>235</v>
      </c>
      <c r="Z350" s="18" t="s">
        <v>198</v>
      </c>
      <c r="AA350" s="18" t="s">
        <v>83</v>
      </c>
      <c r="AB350" s="18" t="s">
        <v>84</v>
      </c>
      <c r="AC350" s="18" t="s">
        <v>85</v>
      </c>
      <c r="AD350" s="18">
        <v>24.98</v>
      </c>
      <c r="AE350" s="18">
        <v>0</v>
      </c>
      <c r="AF350" s="18">
        <v>0</v>
      </c>
      <c r="AG350" s="18">
        <v>0</v>
      </c>
      <c r="AH350" s="18">
        <v>1</v>
      </c>
      <c r="AI350" s="18">
        <v>0</v>
      </c>
      <c r="AJ350" s="18">
        <v>0</v>
      </c>
      <c r="AK350" s="18">
        <v>0</v>
      </c>
      <c r="AL350" s="18">
        <v>0</v>
      </c>
      <c r="AM350" s="18">
        <v>0</v>
      </c>
      <c r="AN350" s="18">
        <v>0</v>
      </c>
      <c r="AO350" s="18">
        <v>0</v>
      </c>
      <c r="AP350" s="18">
        <v>0</v>
      </c>
      <c r="AQ350" s="18">
        <v>0</v>
      </c>
      <c r="AR350" s="18">
        <v>0</v>
      </c>
      <c r="AS350" s="18">
        <v>0</v>
      </c>
      <c r="AT350" s="18">
        <v>0</v>
      </c>
      <c r="AU350" s="18">
        <v>0</v>
      </c>
      <c r="AV350" s="18">
        <v>0</v>
      </c>
      <c r="AW350" s="18">
        <v>1</v>
      </c>
      <c r="AX350" s="18">
        <v>0</v>
      </c>
      <c r="AY350" s="13"/>
      <c r="AZ350" s="18">
        <v>1</v>
      </c>
      <c r="BA350" s="18">
        <v>1</v>
      </c>
      <c r="BB350" s="18">
        <v>49.64</v>
      </c>
      <c r="BC350" s="18" t="s">
        <v>236</v>
      </c>
      <c r="BD350" s="13"/>
      <c r="BE350" s="13"/>
      <c r="BF350" s="13"/>
      <c r="BG350" s="18">
        <v>0</v>
      </c>
      <c r="BH350" s="18">
        <v>0</v>
      </c>
      <c r="BI350" s="13"/>
      <c r="BJ350" s="18">
        <v>0</v>
      </c>
      <c r="BK350" s="18">
        <v>144</v>
      </c>
      <c r="BL350" s="18">
        <v>60.5</v>
      </c>
      <c r="BM350" s="13">
        <f t="shared" si="0"/>
        <v>554.63</v>
      </c>
    </row>
    <row r="351" customHeight="1" spans="1:65">
      <c r="A351" s="18" t="s">
        <v>1427</v>
      </c>
      <c r="B351" s="18" t="s">
        <v>115</v>
      </c>
      <c r="C351" s="18" t="s">
        <v>1428</v>
      </c>
      <c r="D351" s="13"/>
      <c r="E351" s="18" t="s">
        <v>122</v>
      </c>
      <c r="F351" s="18" t="s">
        <v>82</v>
      </c>
      <c r="G351" s="18" t="s">
        <v>117</v>
      </c>
      <c r="H351" s="18" t="s">
        <v>107</v>
      </c>
      <c r="I351" s="18" t="s">
        <v>85</v>
      </c>
      <c r="J351" s="18">
        <v>5</v>
      </c>
      <c r="K351" s="16">
        <v>20.99</v>
      </c>
      <c r="L351" s="10"/>
      <c r="M351" s="16">
        <v>0</v>
      </c>
      <c r="N351" s="16">
        <v>0</v>
      </c>
      <c r="O351" s="18">
        <v>0</v>
      </c>
      <c r="P351" s="18" t="s">
        <v>133</v>
      </c>
      <c r="Q351" s="18">
        <v>3.090588</v>
      </c>
      <c r="R351" s="10"/>
      <c r="S351" s="16">
        <v>8</v>
      </c>
      <c r="T351" s="16">
        <v>91</v>
      </c>
      <c r="U351" s="18" t="s">
        <v>2616</v>
      </c>
      <c r="V351" s="18" t="s">
        <v>115</v>
      </c>
      <c r="W351" s="18" t="s">
        <v>1428</v>
      </c>
      <c r="X351" s="13"/>
      <c r="Y351" s="18" t="s">
        <v>122</v>
      </c>
      <c r="Z351" s="18" t="s">
        <v>82</v>
      </c>
      <c r="AA351" s="18" t="s">
        <v>117</v>
      </c>
      <c r="AB351" s="18" t="s">
        <v>107</v>
      </c>
      <c r="AC351" s="18" t="s">
        <v>85</v>
      </c>
      <c r="AD351" s="18">
        <v>36.98</v>
      </c>
      <c r="AE351" s="18">
        <v>1</v>
      </c>
      <c r="AF351" s="18">
        <v>1</v>
      </c>
      <c r="AG351" s="18">
        <v>0</v>
      </c>
      <c r="AH351" s="18">
        <v>0</v>
      </c>
      <c r="AI351" s="18">
        <v>0</v>
      </c>
      <c r="AJ351" s="18">
        <v>0</v>
      </c>
      <c r="AK351" s="18">
        <v>0</v>
      </c>
      <c r="AL351" s="18">
        <v>0</v>
      </c>
      <c r="AM351" s="18">
        <v>0</v>
      </c>
      <c r="AN351" s="18">
        <v>0</v>
      </c>
      <c r="AO351" s="18">
        <v>0</v>
      </c>
      <c r="AP351" s="18">
        <v>0</v>
      </c>
      <c r="AQ351" s="18">
        <v>0</v>
      </c>
      <c r="AR351" s="18">
        <v>0</v>
      </c>
      <c r="AS351" s="18">
        <v>1</v>
      </c>
      <c r="AT351" s="18">
        <v>0</v>
      </c>
      <c r="AU351" s="18">
        <v>0</v>
      </c>
      <c r="AV351" s="18">
        <v>0</v>
      </c>
      <c r="AW351" s="18">
        <v>1</v>
      </c>
      <c r="AX351" s="18">
        <v>0</v>
      </c>
      <c r="AY351" s="13"/>
      <c r="AZ351" s="18">
        <v>2</v>
      </c>
      <c r="BA351" s="18">
        <v>1</v>
      </c>
      <c r="BB351" s="18">
        <v>32.81</v>
      </c>
      <c r="BC351" s="18" t="s">
        <v>1429</v>
      </c>
      <c r="BD351" s="18" t="s">
        <v>112</v>
      </c>
      <c r="BE351" s="18" t="s">
        <v>128</v>
      </c>
      <c r="BF351" s="18" t="s">
        <v>77</v>
      </c>
      <c r="BG351" s="18">
        <v>1</v>
      </c>
      <c r="BH351" s="18">
        <v>14</v>
      </c>
      <c r="BI351" s="18">
        <v>0.0667</v>
      </c>
      <c r="BJ351" s="18">
        <v>1</v>
      </c>
      <c r="BK351" s="18">
        <v>5</v>
      </c>
      <c r="BL351" s="18">
        <v>98.6</v>
      </c>
      <c r="BM351" s="13">
        <f t="shared" si="0"/>
        <v>167.92</v>
      </c>
    </row>
    <row r="352" customHeight="1" spans="1:65">
      <c r="A352" s="18" t="s">
        <v>1430</v>
      </c>
      <c r="B352" s="18" t="s">
        <v>195</v>
      </c>
      <c r="C352" s="13"/>
      <c r="D352" s="18">
        <v>843261113870</v>
      </c>
      <c r="E352" s="18" t="s">
        <v>195</v>
      </c>
      <c r="F352" s="18" t="s">
        <v>82</v>
      </c>
      <c r="G352" s="18" t="s">
        <v>83</v>
      </c>
      <c r="H352" s="18" t="s">
        <v>84</v>
      </c>
      <c r="I352" s="18" t="s">
        <v>85</v>
      </c>
      <c r="J352" s="18">
        <v>5</v>
      </c>
      <c r="K352" s="16">
        <v>58</v>
      </c>
      <c r="L352" s="10"/>
      <c r="M352" s="16">
        <v>0</v>
      </c>
      <c r="N352" s="16">
        <v>0</v>
      </c>
      <c r="O352" s="18">
        <v>0</v>
      </c>
      <c r="P352" s="18" t="s">
        <v>86</v>
      </c>
      <c r="Q352" s="18">
        <v>4.077537</v>
      </c>
      <c r="R352" s="10"/>
      <c r="S352" s="16">
        <v>6</v>
      </c>
      <c r="T352" s="16">
        <v>4</v>
      </c>
      <c r="U352" s="18" t="s">
        <v>1430</v>
      </c>
      <c r="V352" s="18" t="s">
        <v>195</v>
      </c>
      <c r="W352" s="13"/>
      <c r="X352" s="18">
        <v>843261113871</v>
      </c>
      <c r="Y352" s="18" t="s">
        <v>195</v>
      </c>
      <c r="Z352" s="18" t="s">
        <v>82</v>
      </c>
      <c r="AA352" s="18" t="s">
        <v>83</v>
      </c>
      <c r="AB352" s="18" t="s">
        <v>84</v>
      </c>
      <c r="AC352" s="18" t="s">
        <v>85</v>
      </c>
      <c r="AD352" s="18">
        <v>111</v>
      </c>
      <c r="AE352" s="18">
        <v>0</v>
      </c>
      <c r="AF352" s="18">
        <v>0</v>
      </c>
      <c r="AG352" s="18">
        <v>1</v>
      </c>
      <c r="AH352" s="18">
        <v>1</v>
      </c>
      <c r="AI352" s="18">
        <v>0</v>
      </c>
      <c r="AJ352" s="18">
        <v>0</v>
      </c>
      <c r="AK352" s="18">
        <v>0</v>
      </c>
      <c r="AL352" s="18">
        <v>0</v>
      </c>
      <c r="AM352" s="18">
        <v>0</v>
      </c>
      <c r="AN352" s="18">
        <v>0</v>
      </c>
      <c r="AO352" s="18">
        <v>0</v>
      </c>
      <c r="AP352" s="18">
        <v>0</v>
      </c>
      <c r="AQ352" s="18">
        <v>0</v>
      </c>
      <c r="AR352" s="18">
        <v>0</v>
      </c>
      <c r="AS352" s="18">
        <v>1</v>
      </c>
      <c r="AT352" s="18">
        <v>0</v>
      </c>
      <c r="AU352" s="18">
        <v>0</v>
      </c>
      <c r="AV352" s="18">
        <v>0</v>
      </c>
      <c r="AW352" s="18">
        <v>0</v>
      </c>
      <c r="AX352" s="18">
        <v>0</v>
      </c>
      <c r="AY352" s="13"/>
      <c r="AZ352" s="18">
        <v>1</v>
      </c>
      <c r="BA352" s="18">
        <v>1</v>
      </c>
      <c r="BB352" s="18">
        <v>24</v>
      </c>
      <c r="BC352" s="18" t="s">
        <v>1431</v>
      </c>
      <c r="BD352" s="18" t="s">
        <v>1432</v>
      </c>
      <c r="BE352" s="18" t="s">
        <v>1051</v>
      </c>
      <c r="BF352" s="18" t="s">
        <v>77</v>
      </c>
      <c r="BG352" s="18">
        <v>168</v>
      </c>
      <c r="BH352" s="18">
        <v>11</v>
      </c>
      <c r="BI352" s="18">
        <v>0.9385</v>
      </c>
      <c r="BJ352" s="18">
        <v>0</v>
      </c>
      <c r="BK352" s="13"/>
      <c r="BL352" s="13"/>
      <c r="BM352" s="13">
        <f t="shared" si="0"/>
        <v>348</v>
      </c>
    </row>
    <row r="353" customHeight="1" spans="1:65">
      <c r="A353" s="18" t="s">
        <v>1441</v>
      </c>
      <c r="B353" s="18" t="s">
        <v>104</v>
      </c>
      <c r="C353" s="18" t="s">
        <v>1442</v>
      </c>
      <c r="D353" s="18">
        <v>194644131579</v>
      </c>
      <c r="E353" s="18" t="s">
        <v>81</v>
      </c>
      <c r="F353" s="18" t="s">
        <v>82</v>
      </c>
      <c r="G353" s="18" t="s">
        <v>106</v>
      </c>
      <c r="H353" s="18" t="s">
        <v>107</v>
      </c>
      <c r="I353" s="18" t="s">
        <v>85</v>
      </c>
      <c r="J353" s="18">
        <v>5</v>
      </c>
      <c r="K353" s="16">
        <v>129.99</v>
      </c>
      <c r="L353" s="16">
        <v>229.99</v>
      </c>
      <c r="M353" s="16">
        <v>43.48</v>
      </c>
      <c r="N353" s="16">
        <v>100</v>
      </c>
      <c r="O353" s="18">
        <v>1</v>
      </c>
      <c r="P353" s="18" t="s">
        <v>95</v>
      </c>
      <c r="Q353" s="18">
        <v>4.875121</v>
      </c>
      <c r="R353" s="10"/>
      <c r="S353" s="16">
        <v>3</v>
      </c>
      <c r="T353" s="16">
        <v>7</v>
      </c>
      <c r="U353" s="18" t="s">
        <v>1441</v>
      </c>
      <c r="V353" s="18" t="s">
        <v>104</v>
      </c>
      <c r="W353" s="18" t="s">
        <v>2617</v>
      </c>
      <c r="X353" s="18">
        <v>194644131580</v>
      </c>
      <c r="Y353" s="18" t="s">
        <v>81</v>
      </c>
      <c r="Z353" s="18" t="s">
        <v>82</v>
      </c>
      <c r="AA353" s="18" t="s">
        <v>106</v>
      </c>
      <c r="AB353" s="18" t="s">
        <v>107</v>
      </c>
      <c r="AC353" s="18" t="s">
        <v>85</v>
      </c>
      <c r="AD353" s="18">
        <v>55.2620000000002</v>
      </c>
      <c r="AE353" s="18">
        <v>1</v>
      </c>
      <c r="AF353" s="18">
        <v>0</v>
      </c>
      <c r="AG353" s="18">
        <v>0</v>
      </c>
      <c r="AH353" s="18">
        <v>1</v>
      </c>
      <c r="AI353" s="18">
        <v>0</v>
      </c>
      <c r="AJ353" s="18">
        <v>0</v>
      </c>
      <c r="AK353" s="18">
        <v>0</v>
      </c>
      <c r="AL353" s="18">
        <v>0</v>
      </c>
      <c r="AM353" s="18">
        <v>0</v>
      </c>
      <c r="AN353" s="18">
        <v>0</v>
      </c>
      <c r="AO353" s="18">
        <v>0</v>
      </c>
      <c r="AP353" s="18">
        <v>0</v>
      </c>
      <c r="AQ353" s="18">
        <v>0</v>
      </c>
      <c r="AR353" s="18">
        <v>0</v>
      </c>
      <c r="AS353" s="18">
        <v>0</v>
      </c>
      <c r="AT353" s="18">
        <v>1</v>
      </c>
      <c r="AU353" s="18">
        <v>0</v>
      </c>
      <c r="AV353" s="18">
        <v>0</v>
      </c>
      <c r="AW353" s="18">
        <v>1</v>
      </c>
      <c r="AX353" s="18">
        <v>0</v>
      </c>
      <c r="AY353" s="13"/>
      <c r="AZ353" s="18">
        <v>2</v>
      </c>
      <c r="BA353" s="18">
        <v>2</v>
      </c>
      <c r="BB353" s="18">
        <v>54.89</v>
      </c>
      <c r="BC353" s="18" t="s">
        <v>1443</v>
      </c>
      <c r="BD353" s="18" t="s">
        <v>2065</v>
      </c>
      <c r="BE353" s="18" t="s">
        <v>77</v>
      </c>
      <c r="BF353" s="18" t="s">
        <v>77</v>
      </c>
      <c r="BG353" s="18">
        <v>162</v>
      </c>
      <c r="BH353" s="18">
        <v>20</v>
      </c>
      <c r="BI353" s="18">
        <v>0.8901</v>
      </c>
      <c r="BJ353" s="18">
        <v>0</v>
      </c>
      <c r="BK353" s="18">
        <v>2</v>
      </c>
      <c r="BL353" s="18">
        <v>99.5</v>
      </c>
      <c r="BM353" s="13">
        <f t="shared" si="0"/>
        <v>389.97</v>
      </c>
    </row>
    <row r="354" customHeight="1" spans="1:65">
      <c r="A354" s="18" t="s">
        <v>1446</v>
      </c>
      <c r="B354" s="18" t="s">
        <v>195</v>
      </c>
      <c r="C354" s="18" t="s">
        <v>1447</v>
      </c>
      <c r="D354" s="18">
        <v>815017020459</v>
      </c>
      <c r="E354" s="18" t="s">
        <v>163</v>
      </c>
      <c r="F354" s="18" t="s">
        <v>160</v>
      </c>
      <c r="G354" s="18" t="s">
        <v>83</v>
      </c>
      <c r="H354" s="18" t="s">
        <v>84</v>
      </c>
      <c r="I354" s="18" t="s">
        <v>203</v>
      </c>
      <c r="J354" s="18">
        <v>4</v>
      </c>
      <c r="K354" s="16">
        <v>139.51</v>
      </c>
      <c r="L354" s="10"/>
      <c r="M354" s="16">
        <v>0</v>
      </c>
      <c r="N354" s="16">
        <v>0</v>
      </c>
      <c r="O354" s="18">
        <v>0</v>
      </c>
      <c r="P354" s="18" t="s">
        <v>95</v>
      </c>
      <c r="Q354" s="18">
        <v>4.945279</v>
      </c>
      <c r="R354" s="10"/>
      <c r="S354" s="16">
        <v>1</v>
      </c>
      <c r="T354" s="16">
        <v>2</v>
      </c>
      <c r="U354" s="18" t="s">
        <v>2618</v>
      </c>
      <c r="V354" s="18" t="s">
        <v>195</v>
      </c>
      <c r="W354" s="18" t="s">
        <v>2619</v>
      </c>
      <c r="X354" s="18">
        <v>815017020460</v>
      </c>
      <c r="Y354" s="18" t="s">
        <v>163</v>
      </c>
      <c r="Z354" s="18" t="s">
        <v>160</v>
      </c>
      <c r="AA354" s="18" t="s">
        <v>83</v>
      </c>
      <c r="AB354" s="18" t="s">
        <v>84</v>
      </c>
      <c r="AC354" s="18" t="s">
        <v>203</v>
      </c>
      <c r="AD354" s="18">
        <v>275.02</v>
      </c>
      <c r="AE354" s="18">
        <v>0</v>
      </c>
      <c r="AF354" s="18">
        <v>0</v>
      </c>
      <c r="AG354" s="18">
        <v>0</v>
      </c>
      <c r="AH354" s="18">
        <v>0</v>
      </c>
      <c r="AI354" s="18">
        <v>0</v>
      </c>
      <c r="AJ354" s="18">
        <v>0</v>
      </c>
      <c r="AK354" s="18">
        <v>0</v>
      </c>
      <c r="AL354" s="18">
        <v>0</v>
      </c>
      <c r="AM354" s="18">
        <v>0</v>
      </c>
      <c r="AN354" s="18">
        <v>0</v>
      </c>
      <c r="AO354" s="18">
        <v>0</v>
      </c>
      <c r="AP354" s="18">
        <v>0</v>
      </c>
      <c r="AQ354" s="18">
        <v>0</v>
      </c>
      <c r="AR354" s="18">
        <v>0</v>
      </c>
      <c r="AS354" s="18">
        <v>0</v>
      </c>
      <c r="AT354" s="18">
        <v>0</v>
      </c>
      <c r="AU354" s="18">
        <v>0</v>
      </c>
      <c r="AV354" s="18">
        <v>0</v>
      </c>
      <c r="AW354" s="18">
        <v>1</v>
      </c>
      <c r="AX354" s="18">
        <v>0</v>
      </c>
      <c r="AY354" s="13"/>
      <c r="AZ354" s="18">
        <v>1</v>
      </c>
      <c r="BA354" s="18">
        <v>0</v>
      </c>
      <c r="BB354" s="18">
        <v>43.09</v>
      </c>
      <c r="BC354" s="18" t="s">
        <v>1448</v>
      </c>
      <c r="BD354" s="18" t="s">
        <v>1449</v>
      </c>
      <c r="BE354" s="18" t="s">
        <v>76</v>
      </c>
      <c r="BF354" s="18" t="s">
        <v>77</v>
      </c>
      <c r="BG354" s="18">
        <v>162</v>
      </c>
      <c r="BH354" s="18">
        <v>60</v>
      </c>
      <c r="BI354" s="18">
        <v>0.7297</v>
      </c>
      <c r="BJ354" s="18">
        <v>0</v>
      </c>
      <c r="BK354" s="18">
        <v>3</v>
      </c>
      <c r="BL354" s="18">
        <v>99.2</v>
      </c>
      <c r="BM354" s="13">
        <f t="shared" si="0"/>
        <v>139.51</v>
      </c>
    </row>
    <row r="355" customHeight="1" spans="1:65">
      <c r="A355" s="18" t="s">
        <v>1464</v>
      </c>
      <c r="B355" s="18" t="s">
        <v>1465</v>
      </c>
      <c r="C355" s="13"/>
      <c r="D355" s="13"/>
      <c r="E355" s="18" t="s">
        <v>438</v>
      </c>
      <c r="F355" s="18" t="s">
        <v>240</v>
      </c>
      <c r="G355" s="18" t="s">
        <v>83</v>
      </c>
      <c r="H355" s="18" t="s">
        <v>84</v>
      </c>
      <c r="I355" s="18" t="s">
        <v>153</v>
      </c>
      <c r="J355" s="18">
        <v>2</v>
      </c>
      <c r="K355" s="16">
        <v>46.76</v>
      </c>
      <c r="L355" s="16">
        <v>59.95</v>
      </c>
      <c r="M355" s="16">
        <v>22</v>
      </c>
      <c r="N355" s="16">
        <v>13.19</v>
      </c>
      <c r="O355" s="18">
        <v>1</v>
      </c>
      <c r="P355" s="18" t="s">
        <v>86</v>
      </c>
      <c r="Q355" s="18">
        <v>3.866188</v>
      </c>
      <c r="R355" s="10"/>
      <c r="S355" s="10"/>
      <c r="T355" s="10"/>
      <c r="U355" s="18" t="s">
        <v>1464</v>
      </c>
      <c r="V355" s="18" t="s">
        <v>1465</v>
      </c>
      <c r="W355" s="13"/>
      <c r="X355" s="13"/>
      <c r="Y355" s="18" t="s">
        <v>438</v>
      </c>
      <c r="Z355" s="18" t="s">
        <v>240</v>
      </c>
      <c r="AA355" s="18" t="s">
        <v>83</v>
      </c>
      <c r="AB355" s="18" t="s">
        <v>84</v>
      </c>
      <c r="AC355" s="18" t="s">
        <v>153</v>
      </c>
      <c r="AD355" s="18">
        <v>9.78400000000002</v>
      </c>
      <c r="AE355" s="18">
        <v>0</v>
      </c>
      <c r="AF355" s="18">
        <v>0</v>
      </c>
      <c r="AG355" s="18">
        <v>0</v>
      </c>
      <c r="AH355" s="18">
        <v>0</v>
      </c>
      <c r="AI355" s="18">
        <v>0</v>
      </c>
      <c r="AJ355" s="18">
        <v>0</v>
      </c>
      <c r="AK355" s="18">
        <v>0</v>
      </c>
      <c r="AL355" s="18">
        <v>0</v>
      </c>
      <c r="AM355" s="18">
        <v>0</v>
      </c>
      <c r="AN355" s="18">
        <v>0</v>
      </c>
      <c r="AO355" s="18">
        <v>0</v>
      </c>
      <c r="AP355" s="18">
        <v>0</v>
      </c>
      <c r="AQ355" s="18">
        <v>0</v>
      </c>
      <c r="AR355" s="18">
        <v>0</v>
      </c>
      <c r="AS355" s="18">
        <v>0</v>
      </c>
      <c r="AT355" s="18">
        <v>0</v>
      </c>
      <c r="AU355" s="18">
        <v>0</v>
      </c>
      <c r="AV355" s="18">
        <v>0</v>
      </c>
      <c r="AW355" s="18">
        <v>0</v>
      </c>
      <c r="AX355" s="18">
        <v>0</v>
      </c>
      <c r="AY355" s="13"/>
      <c r="AZ355" s="18">
        <v>1</v>
      </c>
      <c r="BA355" s="18">
        <v>0</v>
      </c>
      <c r="BB355" s="18">
        <v>6.6</v>
      </c>
      <c r="BC355" s="18" t="s">
        <v>1466</v>
      </c>
      <c r="BD355" s="18" t="s">
        <v>1467</v>
      </c>
      <c r="BE355" s="18" t="s">
        <v>1468</v>
      </c>
      <c r="BF355" s="18" t="s">
        <v>77</v>
      </c>
      <c r="BG355" s="18">
        <v>167</v>
      </c>
      <c r="BH355" s="18">
        <v>11</v>
      </c>
      <c r="BI355" s="18">
        <v>0.9382</v>
      </c>
      <c r="BJ355" s="18">
        <v>0</v>
      </c>
      <c r="BK355" s="13"/>
      <c r="BL355" s="13"/>
      <c r="BM355" s="13">
        <f t="shared" si="0"/>
        <v>0</v>
      </c>
    </row>
    <row r="356" customHeight="1" spans="1:65">
      <c r="A356" s="18" t="s">
        <v>1469</v>
      </c>
      <c r="B356" s="18" t="s">
        <v>404</v>
      </c>
      <c r="C356" s="18" t="s">
        <v>1470</v>
      </c>
      <c r="D356" s="18">
        <v>889490018937</v>
      </c>
      <c r="E356" s="18" t="s">
        <v>131</v>
      </c>
      <c r="F356" s="18" t="s">
        <v>132</v>
      </c>
      <c r="G356" s="18" t="s">
        <v>83</v>
      </c>
      <c r="H356" s="18" t="s">
        <v>84</v>
      </c>
      <c r="I356" s="18" t="s">
        <v>85</v>
      </c>
      <c r="J356" s="18">
        <v>5</v>
      </c>
      <c r="K356" s="16">
        <v>8.99</v>
      </c>
      <c r="L356" s="10"/>
      <c r="M356" s="16">
        <v>0</v>
      </c>
      <c r="N356" s="16">
        <v>0</v>
      </c>
      <c r="O356" s="18">
        <v>0</v>
      </c>
      <c r="P356" s="18" t="s">
        <v>133</v>
      </c>
      <c r="Q356" s="18">
        <v>2.301585</v>
      </c>
      <c r="R356" s="10"/>
      <c r="S356" s="16">
        <v>482</v>
      </c>
      <c r="T356" s="16">
        <v>6</v>
      </c>
      <c r="U356" s="18" t="s">
        <v>1469</v>
      </c>
      <c r="V356" s="18" t="s">
        <v>404</v>
      </c>
      <c r="W356" s="18" t="s">
        <v>2620</v>
      </c>
      <c r="X356" s="18">
        <v>889490018938</v>
      </c>
      <c r="Y356" s="18" t="s">
        <v>131</v>
      </c>
      <c r="Z356" s="18" t="s">
        <v>132</v>
      </c>
      <c r="AA356" s="18" t="s">
        <v>83</v>
      </c>
      <c r="AB356" s="18" t="s">
        <v>84</v>
      </c>
      <c r="AC356" s="18" t="s">
        <v>85</v>
      </c>
      <c r="AD356" s="18">
        <v>12.98</v>
      </c>
      <c r="AE356" s="18">
        <v>0</v>
      </c>
      <c r="AF356" s="18">
        <v>0</v>
      </c>
      <c r="AG356" s="18">
        <v>0</v>
      </c>
      <c r="AH356" s="18">
        <v>1</v>
      </c>
      <c r="AI356" s="18">
        <v>0</v>
      </c>
      <c r="AJ356" s="18">
        <v>0</v>
      </c>
      <c r="AK356" s="18">
        <v>0</v>
      </c>
      <c r="AL356" s="18">
        <v>0</v>
      </c>
      <c r="AM356" s="18">
        <v>0</v>
      </c>
      <c r="AN356" s="18">
        <v>0</v>
      </c>
      <c r="AO356" s="18">
        <v>0</v>
      </c>
      <c r="AP356" s="18">
        <v>0</v>
      </c>
      <c r="AQ356" s="18">
        <v>0</v>
      </c>
      <c r="AR356" s="18">
        <v>0</v>
      </c>
      <c r="AS356" s="18">
        <v>0</v>
      </c>
      <c r="AT356" s="18">
        <v>0</v>
      </c>
      <c r="AU356" s="18">
        <v>0</v>
      </c>
      <c r="AV356" s="18">
        <v>0</v>
      </c>
      <c r="AW356" s="18">
        <v>0</v>
      </c>
      <c r="AX356" s="18">
        <v>0</v>
      </c>
      <c r="AY356" s="13"/>
      <c r="AZ356" s="18">
        <v>1</v>
      </c>
      <c r="BA356" s="18">
        <v>1</v>
      </c>
      <c r="BB356" s="18">
        <v>68.85</v>
      </c>
      <c r="BC356" s="18" t="s">
        <v>1471</v>
      </c>
      <c r="BD356" s="18" t="s">
        <v>1472</v>
      </c>
      <c r="BE356" s="18" t="s">
        <v>407</v>
      </c>
      <c r="BF356" s="18" t="s">
        <v>77</v>
      </c>
      <c r="BG356" s="18">
        <v>162</v>
      </c>
      <c r="BH356" s="18">
        <v>60</v>
      </c>
      <c r="BI356" s="18">
        <v>0.7297</v>
      </c>
      <c r="BJ356" s="18">
        <v>0</v>
      </c>
      <c r="BK356" s="18">
        <v>8</v>
      </c>
      <c r="BL356" s="18">
        <v>97.8</v>
      </c>
      <c r="BM356" s="13">
        <f t="shared" si="0"/>
        <v>4333.18</v>
      </c>
    </row>
    <row r="357" customHeight="1" spans="1:65">
      <c r="A357" s="18" t="s">
        <v>1478</v>
      </c>
      <c r="B357" s="18" t="s">
        <v>427</v>
      </c>
      <c r="C357" s="13"/>
      <c r="D357" s="13"/>
      <c r="E357" s="18" t="s">
        <v>81</v>
      </c>
      <c r="F357" s="18" t="s">
        <v>82</v>
      </c>
      <c r="G357" s="18" t="s">
        <v>427</v>
      </c>
      <c r="H357" s="18" t="s">
        <v>107</v>
      </c>
      <c r="I357" s="18" t="s">
        <v>85</v>
      </c>
      <c r="J357" s="18">
        <v>5</v>
      </c>
      <c r="K357" s="16">
        <v>30</v>
      </c>
      <c r="L357" s="10"/>
      <c r="M357" s="16">
        <v>0</v>
      </c>
      <c r="N357" s="16">
        <v>0</v>
      </c>
      <c r="O357" s="18">
        <v>0</v>
      </c>
      <c r="P357" s="18" t="s">
        <v>86</v>
      </c>
      <c r="Q357" s="18">
        <v>3.433987</v>
      </c>
      <c r="R357" s="10"/>
      <c r="S357" s="16">
        <v>3</v>
      </c>
      <c r="T357" s="16">
        <v>6</v>
      </c>
      <c r="U357" s="18" t="s">
        <v>1478</v>
      </c>
      <c r="V357" s="18" t="s">
        <v>427</v>
      </c>
      <c r="W357" s="13"/>
      <c r="X357" s="13"/>
      <c r="Y357" s="18" t="s">
        <v>81</v>
      </c>
      <c r="Z357" s="18" t="s">
        <v>82</v>
      </c>
      <c r="AA357" s="18" t="s">
        <v>427</v>
      </c>
      <c r="AB357" s="18" t="s">
        <v>107</v>
      </c>
      <c r="AC357" s="18" t="s">
        <v>85</v>
      </c>
      <c r="AD357" s="18">
        <v>55</v>
      </c>
      <c r="AE357" s="18">
        <v>0</v>
      </c>
      <c r="AF357" s="18">
        <v>0</v>
      </c>
      <c r="AG357" s="18">
        <v>0</v>
      </c>
      <c r="AH357" s="18">
        <v>0</v>
      </c>
      <c r="AI357" s="18">
        <v>0</v>
      </c>
      <c r="AJ357" s="18">
        <v>0</v>
      </c>
      <c r="AK357" s="18">
        <v>1</v>
      </c>
      <c r="AL357" s="18">
        <v>0</v>
      </c>
      <c r="AM357" s="18">
        <v>0</v>
      </c>
      <c r="AN357" s="18">
        <v>0</v>
      </c>
      <c r="AO357" s="18">
        <v>0</v>
      </c>
      <c r="AP357" s="18">
        <v>0</v>
      </c>
      <c r="AQ357" s="18">
        <v>0</v>
      </c>
      <c r="AR357" s="18">
        <v>0</v>
      </c>
      <c r="AS357" s="18">
        <v>0</v>
      </c>
      <c r="AT357" s="18">
        <v>0</v>
      </c>
      <c r="AU357" s="18">
        <v>1</v>
      </c>
      <c r="AV357" s="18">
        <v>0</v>
      </c>
      <c r="AW357" s="18">
        <v>0</v>
      </c>
      <c r="AX357" s="18">
        <v>0</v>
      </c>
      <c r="AY357" s="13"/>
      <c r="AZ357" s="18">
        <v>1</v>
      </c>
      <c r="BA357" s="18">
        <v>1</v>
      </c>
      <c r="BB357" s="18">
        <v>43.09</v>
      </c>
      <c r="BC357" s="18" t="s">
        <v>1479</v>
      </c>
      <c r="BD357" s="13"/>
      <c r="BE357" s="13"/>
      <c r="BF357" s="13"/>
      <c r="BG357" s="18">
        <v>0</v>
      </c>
      <c r="BH357" s="18">
        <v>0</v>
      </c>
      <c r="BI357" s="13"/>
      <c r="BJ357" s="18">
        <v>0</v>
      </c>
      <c r="BK357" s="18">
        <v>3</v>
      </c>
      <c r="BL357" s="18">
        <v>99.2</v>
      </c>
      <c r="BM357" s="13">
        <f t="shared" si="0"/>
        <v>90</v>
      </c>
    </row>
    <row r="358" customHeight="1" spans="1:65">
      <c r="A358" s="18" t="s">
        <v>1480</v>
      </c>
      <c r="B358" s="18" t="s">
        <v>427</v>
      </c>
      <c r="C358" s="18" t="s">
        <v>1481</v>
      </c>
      <c r="D358" s="18">
        <v>193108145657</v>
      </c>
      <c r="E358" s="18" t="s">
        <v>81</v>
      </c>
      <c r="F358" s="18" t="s">
        <v>82</v>
      </c>
      <c r="G358" s="18" t="s">
        <v>427</v>
      </c>
      <c r="H358" s="18" t="s">
        <v>107</v>
      </c>
      <c r="I358" s="18" t="s">
        <v>85</v>
      </c>
      <c r="J358" s="18">
        <v>5</v>
      </c>
      <c r="K358" s="16">
        <v>36.99</v>
      </c>
      <c r="L358" s="10"/>
      <c r="M358" s="16">
        <v>0</v>
      </c>
      <c r="N358" s="16">
        <v>0</v>
      </c>
      <c r="O358" s="18">
        <v>0</v>
      </c>
      <c r="P358" s="18" t="s">
        <v>86</v>
      </c>
      <c r="Q358" s="18">
        <v>3.637323</v>
      </c>
      <c r="R358" s="10"/>
      <c r="S358" s="16">
        <v>3</v>
      </c>
      <c r="T358" s="16">
        <v>9</v>
      </c>
      <c r="U358" s="18" t="s">
        <v>1480</v>
      </c>
      <c r="V358" s="18" t="s">
        <v>427</v>
      </c>
      <c r="W358" s="18" t="s">
        <v>1481</v>
      </c>
      <c r="X358" s="18">
        <v>193108145658</v>
      </c>
      <c r="Y358" s="18" t="s">
        <v>81</v>
      </c>
      <c r="Z358" s="18" t="s">
        <v>82</v>
      </c>
      <c r="AA358" s="18" t="s">
        <v>427</v>
      </c>
      <c r="AB358" s="18" t="s">
        <v>107</v>
      </c>
      <c r="AC358" s="18" t="s">
        <v>85</v>
      </c>
      <c r="AD358" s="18">
        <v>68.98</v>
      </c>
      <c r="AE358" s="18">
        <v>0</v>
      </c>
      <c r="AF358" s="18">
        <v>0</v>
      </c>
      <c r="AG358" s="18">
        <v>0</v>
      </c>
      <c r="AH358" s="18">
        <v>1</v>
      </c>
      <c r="AI358" s="18">
        <v>0</v>
      </c>
      <c r="AJ358" s="18">
        <v>0</v>
      </c>
      <c r="AK358" s="18">
        <v>0</v>
      </c>
      <c r="AL358" s="18">
        <v>0</v>
      </c>
      <c r="AM358" s="18">
        <v>0</v>
      </c>
      <c r="AN358" s="18">
        <v>0</v>
      </c>
      <c r="AO358" s="18">
        <v>0</v>
      </c>
      <c r="AP358" s="18">
        <v>1</v>
      </c>
      <c r="AQ358" s="18">
        <v>0</v>
      </c>
      <c r="AR358" s="18">
        <v>0</v>
      </c>
      <c r="AS358" s="18">
        <v>0</v>
      </c>
      <c r="AT358" s="18">
        <v>1</v>
      </c>
      <c r="AU358" s="18">
        <v>0</v>
      </c>
      <c r="AV358" s="18">
        <v>0</v>
      </c>
      <c r="AW358" s="18">
        <v>0</v>
      </c>
      <c r="AX358" s="18">
        <v>0</v>
      </c>
      <c r="AY358" s="13"/>
      <c r="AZ358" s="18">
        <v>1</v>
      </c>
      <c r="BA358" s="18">
        <v>1</v>
      </c>
      <c r="BB358" s="18">
        <v>39.19</v>
      </c>
      <c r="BC358" s="18" t="s">
        <v>1482</v>
      </c>
      <c r="BD358" s="13"/>
      <c r="BE358" s="13"/>
      <c r="BF358" s="13"/>
      <c r="BG358" s="18">
        <v>0</v>
      </c>
      <c r="BH358" s="18">
        <v>0</v>
      </c>
      <c r="BI358" s="13"/>
      <c r="BJ358" s="18">
        <v>0</v>
      </c>
      <c r="BK358" s="18">
        <v>10</v>
      </c>
      <c r="BL358" s="18">
        <v>97.3</v>
      </c>
      <c r="BM358" s="13">
        <f t="shared" si="0"/>
        <v>110.97</v>
      </c>
    </row>
    <row r="359" customHeight="1" spans="1:65">
      <c r="A359" s="18" t="s">
        <v>1486</v>
      </c>
      <c r="B359" s="18" t="s">
        <v>125</v>
      </c>
      <c r="C359" s="13"/>
      <c r="D359" s="13"/>
      <c r="E359" s="18" t="s">
        <v>438</v>
      </c>
      <c r="F359" s="18" t="s">
        <v>82</v>
      </c>
      <c r="G359" s="18" t="s">
        <v>83</v>
      </c>
      <c r="H359" s="18" t="s">
        <v>138</v>
      </c>
      <c r="I359" s="18" t="s">
        <v>85</v>
      </c>
      <c r="J359" s="18">
        <v>5</v>
      </c>
      <c r="K359" s="16">
        <v>37.5</v>
      </c>
      <c r="L359" s="10"/>
      <c r="M359" s="16">
        <v>0</v>
      </c>
      <c r="N359" s="16">
        <v>0</v>
      </c>
      <c r="O359" s="18">
        <v>0</v>
      </c>
      <c r="P359" s="18" t="s">
        <v>86</v>
      </c>
      <c r="Q359" s="18">
        <v>3.650658</v>
      </c>
      <c r="R359" s="10"/>
      <c r="S359" s="16">
        <v>60</v>
      </c>
      <c r="T359" s="16">
        <v>10</v>
      </c>
      <c r="U359" s="18" t="s">
        <v>1486</v>
      </c>
      <c r="V359" s="18" t="s">
        <v>125</v>
      </c>
      <c r="W359" s="13"/>
      <c r="X359" s="13"/>
      <c r="Y359" s="18" t="s">
        <v>438</v>
      </c>
      <c r="Z359" s="18" t="s">
        <v>82</v>
      </c>
      <c r="AA359" s="18" t="s">
        <v>83</v>
      </c>
      <c r="AB359" s="18" t="s">
        <v>138</v>
      </c>
      <c r="AC359" s="18" t="s">
        <v>85</v>
      </c>
      <c r="AD359" s="18">
        <v>70</v>
      </c>
      <c r="AE359" s="18">
        <v>0</v>
      </c>
      <c r="AF359" s="18">
        <v>0</v>
      </c>
      <c r="AG359" s="18">
        <v>0</v>
      </c>
      <c r="AH359" s="18">
        <v>0</v>
      </c>
      <c r="AI359" s="18">
        <v>0</v>
      </c>
      <c r="AJ359" s="18">
        <v>0</v>
      </c>
      <c r="AK359" s="18">
        <v>0</v>
      </c>
      <c r="AL359" s="18">
        <v>0</v>
      </c>
      <c r="AM359" s="18">
        <v>0</v>
      </c>
      <c r="AN359" s="18">
        <v>0</v>
      </c>
      <c r="AO359" s="18">
        <v>0</v>
      </c>
      <c r="AP359" s="18">
        <v>0</v>
      </c>
      <c r="AQ359" s="18">
        <v>0</v>
      </c>
      <c r="AR359" s="18">
        <v>0</v>
      </c>
      <c r="AS359" s="18">
        <v>0</v>
      </c>
      <c r="AT359" s="18">
        <v>0</v>
      </c>
      <c r="AU359" s="18">
        <v>0</v>
      </c>
      <c r="AV359" s="18">
        <v>0</v>
      </c>
      <c r="AW359" s="18">
        <v>0</v>
      </c>
      <c r="AX359" s="18">
        <v>0</v>
      </c>
      <c r="AY359" s="13"/>
      <c r="AZ359" s="18">
        <v>1</v>
      </c>
      <c r="BA359" s="18">
        <v>0</v>
      </c>
      <c r="BB359" s="18">
        <v>63.71</v>
      </c>
      <c r="BC359" s="18" t="s">
        <v>1487</v>
      </c>
      <c r="BD359" s="18" t="s">
        <v>1488</v>
      </c>
      <c r="BE359" s="18" t="s">
        <v>393</v>
      </c>
      <c r="BF359" s="18" t="s">
        <v>77</v>
      </c>
      <c r="BG359" s="18">
        <v>1</v>
      </c>
      <c r="BH359" s="18">
        <v>76</v>
      </c>
      <c r="BI359" s="18">
        <v>0.013</v>
      </c>
      <c r="BJ359" s="18">
        <v>1</v>
      </c>
      <c r="BK359" s="18">
        <v>7</v>
      </c>
      <c r="BL359" s="18">
        <v>98.1</v>
      </c>
      <c r="BM359" s="13">
        <f t="shared" si="0"/>
        <v>2250</v>
      </c>
    </row>
    <row r="360" customHeight="1" spans="1:65">
      <c r="A360" s="18" t="s">
        <v>1489</v>
      </c>
      <c r="B360" s="18" t="s">
        <v>344</v>
      </c>
      <c r="C360" s="18" t="s">
        <v>1490</v>
      </c>
      <c r="D360" s="13"/>
      <c r="E360" s="18" t="s">
        <v>163</v>
      </c>
      <c r="F360" s="18" t="s">
        <v>82</v>
      </c>
      <c r="G360" s="18" t="s">
        <v>346</v>
      </c>
      <c r="H360" s="18" t="s">
        <v>107</v>
      </c>
      <c r="I360" s="18" t="s">
        <v>85</v>
      </c>
      <c r="J360" s="18">
        <v>5</v>
      </c>
      <c r="K360" s="16">
        <v>31.99</v>
      </c>
      <c r="L360" s="10"/>
      <c r="M360" s="16">
        <v>0</v>
      </c>
      <c r="N360" s="16">
        <v>0</v>
      </c>
      <c r="O360" s="18">
        <v>0</v>
      </c>
      <c r="P360" s="18" t="s">
        <v>86</v>
      </c>
      <c r="Q360" s="18">
        <v>3.496204</v>
      </c>
      <c r="R360" s="10"/>
      <c r="S360" s="16">
        <v>7</v>
      </c>
      <c r="T360" s="16">
        <v>3</v>
      </c>
      <c r="U360" s="18" t="s">
        <v>2621</v>
      </c>
      <c r="V360" s="18" t="s">
        <v>344</v>
      </c>
      <c r="W360" s="18" t="s">
        <v>2622</v>
      </c>
      <c r="X360" s="13"/>
      <c r="Y360" s="18" t="s">
        <v>163</v>
      </c>
      <c r="Z360" s="18" t="s">
        <v>82</v>
      </c>
      <c r="AA360" s="18" t="s">
        <v>346</v>
      </c>
      <c r="AB360" s="18" t="s">
        <v>107</v>
      </c>
      <c r="AC360" s="18" t="s">
        <v>85</v>
      </c>
      <c r="AD360" s="18">
        <v>58.98</v>
      </c>
      <c r="AE360" s="18">
        <v>0</v>
      </c>
      <c r="AF360" s="18">
        <v>0</v>
      </c>
      <c r="AG360" s="18">
        <v>0</v>
      </c>
      <c r="AH360" s="18">
        <v>0</v>
      </c>
      <c r="AI360" s="18">
        <v>0</v>
      </c>
      <c r="AJ360" s="18">
        <v>0</v>
      </c>
      <c r="AK360" s="18">
        <v>0</v>
      </c>
      <c r="AL360" s="18">
        <v>0</v>
      </c>
      <c r="AM360" s="18">
        <v>0</v>
      </c>
      <c r="AN360" s="18">
        <v>0</v>
      </c>
      <c r="AO360" s="18">
        <v>0</v>
      </c>
      <c r="AP360" s="18">
        <v>0</v>
      </c>
      <c r="AQ360" s="18">
        <v>0</v>
      </c>
      <c r="AR360" s="18">
        <v>0</v>
      </c>
      <c r="AS360" s="18">
        <v>0</v>
      </c>
      <c r="AT360" s="18">
        <v>0</v>
      </c>
      <c r="AU360" s="18">
        <v>0</v>
      </c>
      <c r="AV360" s="18">
        <v>0</v>
      </c>
      <c r="AW360" s="18">
        <v>0</v>
      </c>
      <c r="AX360" s="18">
        <v>0</v>
      </c>
      <c r="AY360" s="13"/>
      <c r="AZ360" s="18">
        <v>1</v>
      </c>
      <c r="BA360" s="18">
        <v>0</v>
      </c>
      <c r="BB360" s="18">
        <v>56.68</v>
      </c>
      <c r="BC360" s="18" t="s">
        <v>1491</v>
      </c>
      <c r="BD360" s="18" t="s">
        <v>1492</v>
      </c>
      <c r="BE360" s="18" t="s">
        <v>557</v>
      </c>
      <c r="BF360" s="18" t="s">
        <v>77</v>
      </c>
      <c r="BG360" s="18">
        <v>168</v>
      </c>
      <c r="BH360" s="18">
        <v>11</v>
      </c>
      <c r="BI360" s="18">
        <v>0.9385</v>
      </c>
      <c r="BJ360" s="18">
        <v>0</v>
      </c>
      <c r="BK360" s="18">
        <v>16</v>
      </c>
      <c r="BL360" s="18">
        <v>95.6</v>
      </c>
      <c r="BM360" s="13">
        <f t="shared" si="0"/>
        <v>223.93</v>
      </c>
    </row>
    <row r="361" customHeight="1" spans="1:65">
      <c r="A361" s="18" t="s">
        <v>237</v>
      </c>
      <c r="B361" s="18" t="s">
        <v>238</v>
      </c>
      <c r="C361" s="13"/>
      <c r="D361" s="13"/>
      <c r="E361" s="18" t="s">
        <v>239</v>
      </c>
      <c r="F361" s="18" t="s">
        <v>240</v>
      </c>
      <c r="G361" s="18" t="s">
        <v>83</v>
      </c>
      <c r="H361" s="18" t="s">
        <v>84</v>
      </c>
      <c r="I361" s="18" t="s">
        <v>153</v>
      </c>
      <c r="J361" s="18">
        <v>2</v>
      </c>
      <c r="K361" s="16">
        <v>140</v>
      </c>
      <c r="L361" s="10"/>
      <c r="M361" s="16">
        <v>0</v>
      </c>
      <c r="N361" s="16">
        <v>0</v>
      </c>
      <c r="O361" s="18">
        <v>0</v>
      </c>
      <c r="P361" s="18" t="s">
        <v>95</v>
      </c>
      <c r="Q361" s="18">
        <v>4.94876</v>
      </c>
      <c r="R361" s="10"/>
      <c r="S361" s="16">
        <v>1</v>
      </c>
      <c r="T361" s="16">
        <v>5</v>
      </c>
      <c r="U361" s="18" t="s">
        <v>237</v>
      </c>
      <c r="V361" s="18" t="s">
        <v>238</v>
      </c>
      <c r="W361" s="13"/>
      <c r="X361" s="13"/>
      <c r="Y361" s="18" t="s">
        <v>239</v>
      </c>
      <c r="Z361" s="18" t="s">
        <v>240</v>
      </c>
      <c r="AA361" s="18" t="s">
        <v>83</v>
      </c>
      <c r="AB361" s="18" t="s">
        <v>84</v>
      </c>
      <c r="AC361" s="18" t="s">
        <v>153</v>
      </c>
      <c r="AD361" s="18">
        <v>278</v>
      </c>
      <c r="AE361" s="18">
        <v>0</v>
      </c>
      <c r="AF361" s="18">
        <v>0</v>
      </c>
      <c r="AG361" s="18">
        <v>0</v>
      </c>
      <c r="AH361" s="18">
        <v>0</v>
      </c>
      <c r="AI361" s="18">
        <v>0</v>
      </c>
      <c r="AJ361" s="18">
        <v>0</v>
      </c>
      <c r="AK361" s="18">
        <v>0</v>
      </c>
      <c r="AL361" s="18">
        <v>0</v>
      </c>
      <c r="AM361" s="18">
        <v>0</v>
      </c>
      <c r="AN361" s="18">
        <v>0</v>
      </c>
      <c r="AO361" s="18">
        <v>0</v>
      </c>
      <c r="AP361" s="18">
        <v>0</v>
      </c>
      <c r="AQ361" s="18">
        <v>1</v>
      </c>
      <c r="AR361" s="18">
        <v>0</v>
      </c>
      <c r="AS361" s="18">
        <v>0</v>
      </c>
      <c r="AT361" s="18">
        <v>0</v>
      </c>
      <c r="AU361" s="18">
        <v>0</v>
      </c>
      <c r="AV361" s="18">
        <v>1</v>
      </c>
      <c r="AW361" s="18">
        <v>0</v>
      </c>
      <c r="AX361" s="18">
        <v>0</v>
      </c>
      <c r="AY361" s="13"/>
      <c r="AZ361" s="18">
        <v>1</v>
      </c>
      <c r="BA361" s="18">
        <v>1</v>
      </c>
      <c r="BB361" s="18">
        <v>33.46</v>
      </c>
      <c r="BC361" s="18" t="s">
        <v>241</v>
      </c>
      <c r="BD361" s="18" t="s">
        <v>242</v>
      </c>
      <c r="BE361" s="18" t="s">
        <v>243</v>
      </c>
      <c r="BF361" s="18" t="s">
        <v>77</v>
      </c>
      <c r="BG361" s="18">
        <v>168</v>
      </c>
      <c r="BH361" s="18">
        <v>11</v>
      </c>
      <c r="BI361" s="18">
        <v>0.9385</v>
      </c>
      <c r="BJ361" s="18">
        <v>0</v>
      </c>
      <c r="BK361" s="18">
        <v>39</v>
      </c>
      <c r="BL361" s="18">
        <v>89.3</v>
      </c>
      <c r="BM361" s="13">
        <f t="shared" si="0"/>
        <v>140</v>
      </c>
    </row>
    <row r="362" customHeight="1" spans="1:65">
      <c r="A362" s="18" t="s">
        <v>1493</v>
      </c>
      <c r="B362" s="18" t="s">
        <v>144</v>
      </c>
      <c r="C362" s="13"/>
      <c r="D362" s="13"/>
      <c r="E362" s="19" t="s">
        <v>1494</v>
      </c>
      <c r="F362" s="18" t="s">
        <v>1224</v>
      </c>
      <c r="G362" s="18" t="s">
        <v>83</v>
      </c>
      <c r="H362" s="18" t="s">
        <v>84</v>
      </c>
      <c r="I362" s="18" t="s">
        <v>85</v>
      </c>
      <c r="J362" s="18">
        <v>5</v>
      </c>
      <c r="K362" s="16">
        <v>14.99</v>
      </c>
      <c r="L362" s="10"/>
      <c r="M362" s="16">
        <v>0</v>
      </c>
      <c r="N362" s="16">
        <v>0</v>
      </c>
      <c r="O362" s="18">
        <v>0</v>
      </c>
      <c r="P362" s="18" t="s">
        <v>133</v>
      </c>
      <c r="Q362" s="18">
        <v>2.771964</v>
      </c>
      <c r="R362" s="10"/>
      <c r="S362" s="16">
        <v>43</v>
      </c>
      <c r="T362" s="16">
        <v>7</v>
      </c>
      <c r="U362" s="18" t="s">
        <v>1493</v>
      </c>
      <c r="V362" s="18" t="s">
        <v>144</v>
      </c>
      <c r="W362" s="13"/>
      <c r="X362" s="13"/>
      <c r="Y362" s="19" t="s">
        <v>1494</v>
      </c>
      <c r="Z362" s="18" t="s">
        <v>1224</v>
      </c>
      <c r="AA362" s="18" t="s">
        <v>83</v>
      </c>
      <c r="AB362" s="18" t="s">
        <v>84</v>
      </c>
      <c r="AC362" s="18" t="s">
        <v>85</v>
      </c>
      <c r="AD362" s="18">
        <v>24.98</v>
      </c>
      <c r="AE362" s="18">
        <v>0</v>
      </c>
      <c r="AF362" s="18">
        <v>0</v>
      </c>
      <c r="AG362" s="18">
        <v>0</v>
      </c>
      <c r="AH362" s="18">
        <v>0</v>
      </c>
      <c r="AI362" s="18">
        <v>0</v>
      </c>
      <c r="AJ362" s="18">
        <v>0</v>
      </c>
      <c r="AK362" s="18">
        <v>0</v>
      </c>
      <c r="AL362" s="18">
        <v>0</v>
      </c>
      <c r="AM362" s="18">
        <v>0</v>
      </c>
      <c r="AN362" s="18">
        <v>0</v>
      </c>
      <c r="AO362" s="18">
        <v>0</v>
      </c>
      <c r="AP362" s="18">
        <v>0</v>
      </c>
      <c r="AQ362" s="18">
        <v>0</v>
      </c>
      <c r="AR362" s="18">
        <v>0</v>
      </c>
      <c r="AS362" s="18">
        <v>0</v>
      </c>
      <c r="AT362" s="18">
        <v>0</v>
      </c>
      <c r="AU362" s="18">
        <v>0</v>
      </c>
      <c r="AV362" s="18">
        <v>0</v>
      </c>
      <c r="AW362" s="18">
        <v>0</v>
      </c>
      <c r="AX362" s="18">
        <v>0</v>
      </c>
      <c r="AY362" s="13"/>
      <c r="AZ362" s="18">
        <v>1</v>
      </c>
      <c r="BA362" s="18">
        <v>1</v>
      </c>
      <c r="BB362" s="18">
        <v>34.4</v>
      </c>
      <c r="BC362" s="18" t="s">
        <v>1495</v>
      </c>
      <c r="BD362" s="18" t="s">
        <v>1496</v>
      </c>
      <c r="BE362" s="18" t="s">
        <v>128</v>
      </c>
      <c r="BF362" s="18" t="s">
        <v>77</v>
      </c>
      <c r="BG362" s="18">
        <v>168</v>
      </c>
      <c r="BH362" s="18">
        <v>11</v>
      </c>
      <c r="BI362" s="18">
        <v>0.9385</v>
      </c>
      <c r="BJ362" s="18">
        <v>0</v>
      </c>
      <c r="BK362" s="13"/>
      <c r="BL362" s="13"/>
      <c r="BM362" s="13">
        <f t="shared" si="0"/>
        <v>644.57</v>
      </c>
    </row>
    <row r="363" customHeight="1" spans="1:65">
      <c r="A363" s="18" t="s">
        <v>1502</v>
      </c>
      <c r="B363" s="18" t="s">
        <v>1503</v>
      </c>
      <c r="C363" s="13"/>
      <c r="D363" s="13"/>
      <c r="E363" s="18" t="s">
        <v>1504</v>
      </c>
      <c r="F363" s="18" t="s">
        <v>198</v>
      </c>
      <c r="G363" s="18" t="s">
        <v>83</v>
      </c>
      <c r="H363" s="18" t="s">
        <v>84</v>
      </c>
      <c r="I363" s="18" t="s">
        <v>85</v>
      </c>
      <c r="J363" s="18">
        <v>5</v>
      </c>
      <c r="K363" s="16">
        <v>9.99</v>
      </c>
      <c r="L363" s="16">
        <v>14.99</v>
      </c>
      <c r="M363" s="16">
        <v>33.36</v>
      </c>
      <c r="N363" s="16">
        <v>5</v>
      </c>
      <c r="O363" s="18">
        <v>1</v>
      </c>
      <c r="P363" s="18" t="s">
        <v>133</v>
      </c>
      <c r="Q363" s="18">
        <v>2.396986</v>
      </c>
      <c r="R363" s="10"/>
      <c r="S363" s="16">
        <v>84</v>
      </c>
      <c r="T363" s="16">
        <v>10</v>
      </c>
      <c r="U363" s="18" t="s">
        <v>1502</v>
      </c>
      <c r="V363" s="18" t="s">
        <v>1503</v>
      </c>
      <c r="W363" s="13"/>
      <c r="X363" s="13"/>
      <c r="Y363" s="18" t="s">
        <v>1504</v>
      </c>
      <c r="Z363" s="18" t="s">
        <v>198</v>
      </c>
      <c r="AA363" s="18" t="s">
        <v>83</v>
      </c>
      <c r="AB363" s="18" t="s">
        <v>84</v>
      </c>
      <c r="AC363" s="18" t="s">
        <v>85</v>
      </c>
      <c r="AD363" s="18">
        <v>9.89666666666671</v>
      </c>
      <c r="AE363" s="18">
        <v>0</v>
      </c>
      <c r="AF363" s="18">
        <v>0</v>
      </c>
      <c r="AG363" s="18">
        <v>0</v>
      </c>
      <c r="AH363" s="18">
        <v>0</v>
      </c>
      <c r="AI363" s="18">
        <v>0</v>
      </c>
      <c r="AJ363" s="18">
        <v>0</v>
      </c>
      <c r="AK363" s="18">
        <v>0</v>
      </c>
      <c r="AL363" s="18">
        <v>0</v>
      </c>
      <c r="AM363" s="18">
        <v>0</v>
      </c>
      <c r="AN363" s="18">
        <v>0</v>
      </c>
      <c r="AO363" s="18">
        <v>0</v>
      </c>
      <c r="AP363" s="18">
        <v>0</v>
      </c>
      <c r="AQ363" s="18">
        <v>0</v>
      </c>
      <c r="AR363" s="18">
        <v>0</v>
      </c>
      <c r="AS363" s="18">
        <v>0</v>
      </c>
      <c r="AT363" s="18">
        <v>1</v>
      </c>
      <c r="AU363" s="18">
        <v>0</v>
      </c>
      <c r="AV363" s="18">
        <v>0</v>
      </c>
      <c r="AW363" s="18">
        <v>0</v>
      </c>
      <c r="AX363" s="18">
        <v>0</v>
      </c>
      <c r="AY363" s="13"/>
      <c r="AZ363" s="18">
        <v>1</v>
      </c>
      <c r="BA363" s="18">
        <v>0</v>
      </c>
      <c r="BB363" s="18">
        <v>74.85</v>
      </c>
      <c r="BC363" s="18" t="s">
        <v>1505</v>
      </c>
      <c r="BD363" s="18" t="s">
        <v>1506</v>
      </c>
      <c r="BE363" s="18" t="s">
        <v>226</v>
      </c>
      <c r="BF363" s="18" t="s">
        <v>77</v>
      </c>
      <c r="BG363" s="18">
        <v>1</v>
      </c>
      <c r="BH363" s="18">
        <v>30</v>
      </c>
      <c r="BI363" s="18">
        <v>0.0323</v>
      </c>
      <c r="BJ363" s="18">
        <v>1</v>
      </c>
      <c r="BK363" s="18">
        <v>11</v>
      </c>
      <c r="BL363" s="18">
        <v>97</v>
      </c>
      <c r="BM363" s="13">
        <f t="shared" si="0"/>
        <v>839.16</v>
      </c>
    </row>
    <row r="364" customHeight="1" spans="1:65">
      <c r="A364" s="18" t="s">
        <v>1510</v>
      </c>
      <c r="B364" s="18" t="s">
        <v>1511</v>
      </c>
      <c r="C364" s="13"/>
      <c r="D364" s="13"/>
      <c r="E364" s="18" t="s">
        <v>1512</v>
      </c>
      <c r="F364" s="19" t="s">
        <v>1337</v>
      </c>
      <c r="G364" s="18" t="s">
        <v>117</v>
      </c>
      <c r="H364" s="18" t="s">
        <v>84</v>
      </c>
      <c r="I364" s="18" t="s">
        <v>85</v>
      </c>
      <c r="J364" s="18">
        <v>5</v>
      </c>
      <c r="K364" s="16">
        <v>20.49</v>
      </c>
      <c r="L364" s="10"/>
      <c r="M364" s="16">
        <v>0</v>
      </c>
      <c r="N364" s="16">
        <v>0</v>
      </c>
      <c r="O364" s="18">
        <v>0</v>
      </c>
      <c r="P364" s="18" t="s">
        <v>133</v>
      </c>
      <c r="Q364" s="18">
        <v>3.067588</v>
      </c>
      <c r="R364" s="10"/>
      <c r="S364" s="16">
        <v>427</v>
      </c>
      <c r="T364" s="16">
        <v>10</v>
      </c>
      <c r="U364" s="18" t="s">
        <v>1510</v>
      </c>
      <c r="V364" s="18" t="s">
        <v>1511</v>
      </c>
      <c r="W364" s="13"/>
      <c r="X364" s="13"/>
      <c r="Y364" s="18" t="s">
        <v>1512</v>
      </c>
      <c r="Z364" s="18" t="s">
        <v>1337</v>
      </c>
      <c r="AA364" s="18" t="s">
        <v>117</v>
      </c>
      <c r="AB364" s="18" t="s">
        <v>84</v>
      </c>
      <c r="AC364" s="18" t="s">
        <v>85</v>
      </c>
      <c r="AD364" s="18">
        <v>35.98</v>
      </c>
      <c r="AE364" s="18">
        <v>0</v>
      </c>
      <c r="AF364" s="18">
        <v>0</v>
      </c>
      <c r="AG364" s="18">
        <v>0</v>
      </c>
      <c r="AH364" s="18">
        <v>0</v>
      </c>
      <c r="AI364" s="18">
        <v>0</v>
      </c>
      <c r="AJ364" s="18">
        <v>0</v>
      </c>
      <c r="AK364" s="18">
        <v>0</v>
      </c>
      <c r="AL364" s="18">
        <v>0</v>
      </c>
      <c r="AM364" s="18">
        <v>0</v>
      </c>
      <c r="AN364" s="18">
        <v>0</v>
      </c>
      <c r="AO364" s="18">
        <v>0</v>
      </c>
      <c r="AP364" s="18">
        <v>0</v>
      </c>
      <c r="AQ364" s="18">
        <v>0</v>
      </c>
      <c r="AR364" s="18">
        <v>0</v>
      </c>
      <c r="AS364" s="18">
        <v>0</v>
      </c>
      <c r="AT364" s="18">
        <v>0</v>
      </c>
      <c r="AU364" s="18">
        <v>1</v>
      </c>
      <c r="AV364" s="18">
        <v>0</v>
      </c>
      <c r="AW364" s="18">
        <v>0</v>
      </c>
      <c r="AX364" s="18">
        <v>0</v>
      </c>
      <c r="AY364" s="13"/>
      <c r="AZ364" s="18">
        <v>1</v>
      </c>
      <c r="BA364" s="18">
        <v>0</v>
      </c>
      <c r="BB364" s="18">
        <v>60.29</v>
      </c>
      <c r="BC364" s="18" t="s">
        <v>1513</v>
      </c>
      <c r="BD364" s="18" t="s">
        <v>1514</v>
      </c>
      <c r="BE364" s="18" t="s">
        <v>142</v>
      </c>
      <c r="BF364" s="18" t="s">
        <v>77</v>
      </c>
      <c r="BG364" s="18">
        <v>169</v>
      </c>
      <c r="BH364" s="18">
        <v>11</v>
      </c>
      <c r="BI364" s="18">
        <v>0.9389</v>
      </c>
      <c r="BJ364" s="18">
        <v>0</v>
      </c>
      <c r="BK364" s="18">
        <v>107</v>
      </c>
      <c r="BL364" s="18">
        <v>70.7</v>
      </c>
      <c r="BM364" s="13">
        <f t="shared" si="0"/>
        <v>8749.23</v>
      </c>
    </row>
    <row r="365" customHeight="1" spans="1:65">
      <c r="A365" s="18" t="s">
        <v>1521</v>
      </c>
      <c r="B365" s="18" t="s">
        <v>1522</v>
      </c>
      <c r="C365" s="13"/>
      <c r="D365" s="18">
        <v>705353045271</v>
      </c>
      <c r="E365" s="18" t="s">
        <v>163</v>
      </c>
      <c r="F365" s="18" t="s">
        <v>160</v>
      </c>
      <c r="G365" s="18" t="s">
        <v>83</v>
      </c>
      <c r="H365" s="18" t="s">
        <v>84</v>
      </c>
      <c r="I365" s="18" t="s">
        <v>85</v>
      </c>
      <c r="J365" s="18">
        <v>5</v>
      </c>
      <c r="K365" s="16">
        <v>172.95</v>
      </c>
      <c r="L365" s="10"/>
      <c r="M365" s="16">
        <v>0</v>
      </c>
      <c r="N365" s="16">
        <v>0</v>
      </c>
      <c r="O365" s="18">
        <v>0</v>
      </c>
      <c r="P365" s="18" t="s">
        <v>95</v>
      </c>
      <c r="Q365" s="18">
        <v>5.158768</v>
      </c>
      <c r="R365" s="16">
        <v>21.62</v>
      </c>
      <c r="S365" s="16">
        <v>1</v>
      </c>
      <c r="T365" s="16">
        <v>1</v>
      </c>
      <c r="U365" s="18" t="s">
        <v>1521</v>
      </c>
      <c r="V365" s="18" t="s">
        <v>1522</v>
      </c>
      <c r="W365" s="13"/>
      <c r="X365" s="18">
        <v>705353045272</v>
      </c>
      <c r="Y365" s="18" t="s">
        <v>163</v>
      </c>
      <c r="Z365" s="18" t="s">
        <v>160</v>
      </c>
      <c r="AA365" s="18" t="s">
        <v>83</v>
      </c>
      <c r="AB365" s="18" t="s">
        <v>84</v>
      </c>
      <c r="AC365" s="18" t="s">
        <v>85</v>
      </c>
      <c r="AD365" s="18">
        <v>340.9</v>
      </c>
      <c r="AE365" s="18">
        <v>0</v>
      </c>
      <c r="AF365" s="18">
        <v>0</v>
      </c>
      <c r="AG365" s="18">
        <v>0</v>
      </c>
      <c r="AH365" s="18">
        <v>0</v>
      </c>
      <c r="AI365" s="18">
        <v>0</v>
      </c>
      <c r="AJ365" s="18">
        <v>0</v>
      </c>
      <c r="AK365" s="18">
        <v>0</v>
      </c>
      <c r="AL365" s="18">
        <v>0</v>
      </c>
      <c r="AM365" s="18">
        <v>0</v>
      </c>
      <c r="AN365" s="18">
        <v>0</v>
      </c>
      <c r="AO365" s="18">
        <v>0</v>
      </c>
      <c r="AP365" s="18">
        <v>0</v>
      </c>
      <c r="AQ365" s="18">
        <v>1</v>
      </c>
      <c r="AR365" s="18">
        <v>0</v>
      </c>
      <c r="AS365" s="18">
        <v>0</v>
      </c>
      <c r="AT365" s="18">
        <v>1</v>
      </c>
      <c r="AU365" s="18">
        <v>1</v>
      </c>
      <c r="AV365" s="18">
        <v>1</v>
      </c>
      <c r="AW365" s="18">
        <v>1</v>
      </c>
      <c r="AX365" s="18">
        <v>0</v>
      </c>
      <c r="AY365" s="18">
        <v>8</v>
      </c>
      <c r="AZ365" s="18">
        <v>1</v>
      </c>
      <c r="BA365" s="18">
        <v>1</v>
      </c>
      <c r="BB365" s="18">
        <v>49.85</v>
      </c>
      <c r="BC365" s="18" t="s">
        <v>1523</v>
      </c>
      <c r="BD365" s="18" t="s">
        <v>940</v>
      </c>
      <c r="BE365" s="18" t="s">
        <v>1308</v>
      </c>
      <c r="BF365" s="18" t="s">
        <v>77</v>
      </c>
      <c r="BG365" s="18">
        <v>1</v>
      </c>
      <c r="BH365" s="18">
        <v>15</v>
      </c>
      <c r="BI365" s="18">
        <v>0.0625</v>
      </c>
      <c r="BJ365" s="18">
        <v>1</v>
      </c>
      <c r="BK365" s="18">
        <v>2</v>
      </c>
      <c r="BL365" s="18">
        <v>99.5</v>
      </c>
      <c r="BM365" s="13">
        <f t="shared" si="0"/>
        <v>172.95</v>
      </c>
    </row>
    <row r="366" customHeight="1" spans="1:65">
      <c r="A366" s="18" t="s">
        <v>1524</v>
      </c>
      <c r="B366" s="18" t="s">
        <v>195</v>
      </c>
      <c r="C366" s="18" t="s">
        <v>1525</v>
      </c>
      <c r="D366" s="13"/>
      <c r="E366" s="18" t="s">
        <v>81</v>
      </c>
      <c r="F366" s="18" t="s">
        <v>160</v>
      </c>
      <c r="G366" s="18" t="s">
        <v>83</v>
      </c>
      <c r="H366" s="18" t="s">
        <v>84</v>
      </c>
      <c r="I366" s="18" t="s">
        <v>85</v>
      </c>
      <c r="J366" s="18">
        <v>5</v>
      </c>
      <c r="K366" s="16">
        <v>129.95</v>
      </c>
      <c r="L366" s="10"/>
      <c r="M366" s="16">
        <v>0</v>
      </c>
      <c r="N366" s="16">
        <v>0</v>
      </c>
      <c r="O366" s="18">
        <v>0</v>
      </c>
      <c r="P366" s="18" t="s">
        <v>95</v>
      </c>
      <c r="Q366" s="18">
        <v>4.874816</v>
      </c>
      <c r="R366" s="10"/>
      <c r="S366" s="16">
        <v>1</v>
      </c>
      <c r="T366" s="16">
        <v>1</v>
      </c>
      <c r="U366" s="18" t="s">
        <v>1524</v>
      </c>
      <c r="V366" s="18" t="s">
        <v>195</v>
      </c>
      <c r="W366" s="18" t="s">
        <v>2623</v>
      </c>
      <c r="X366" s="13"/>
      <c r="Y366" s="18" t="s">
        <v>81</v>
      </c>
      <c r="Z366" s="18" t="s">
        <v>160</v>
      </c>
      <c r="AA366" s="18" t="s">
        <v>83</v>
      </c>
      <c r="AB366" s="18" t="s">
        <v>84</v>
      </c>
      <c r="AC366" s="18" t="s">
        <v>85</v>
      </c>
      <c r="AD366" s="18">
        <v>254.9</v>
      </c>
      <c r="AE366" s="18">
        <v>0</v>
      </c>
      <c r="AF366" s="18">
        <v>0</v>
      </c>
      <c r="AG366" s="18">
        <v>0</v>
      </c>
      <c r="AH366" s="18">
        <v>0</v>
      </c>
      <c r="AI366" s="18">
        <v>0</v>
      </c>
      <c r="AJ366" s="18">
        <v>0</v>
      </c>
      <c r="AK366" s="18">
        <v>0</v>
      </c>
      <c r="AL366" s="18">
        <v>0</v>
      </c>
      <c r="AM366" s="18">
        <v>0</v>
      </c>
      <c r="AN366" s="18">
        <v>0</v>
      </c>
      <c r="AO366" s="18">
        <v>0</v>
      </c>
      <c r="AP366" s="18">
        <v>0</v>
      </c>
      <c r="AQ366" s="18">
        <v>0</v>
      </c>
      <c r="AR366" s="18">
        <v>0</v>
      </c>
      <c r="AS366" s="18">
        <v>0</v>
      </c>
      <c r="AT366" s="18">
        <v>1</v>
      </c>
      <c r="AU366" s="18">
        <v>0</v>
      </c>
      <c r="AV366" s="18">
        <v>0</v>
      </c>
      <c r="AW366" s="18">
        <v>0</v>
      </c>
      <c r="AX366" s="18">
        <v>0</v>
      </c>
      <c r="AY366" s="13"/>
      <c r="AZ366" s="18">
        <v>1</v>
      </c>
      <c r="BA366" s="18">
        <v>0</v>
      </c>
      <c r="BB366" s="18">
        <v>20</v>
      </c>
      <c r="BC366" s="18" t="s">
        <v>1526</v>
      </c>
      <c r="BD366" s="18" t="s">
        <v>1527</v>
      </c>
      <c r="BE366" s="18" t="s">
        <v>1528</v>
      </c>
      <c r="BF366" s="18" t="s">
        <v>77</v>
      </c>
      <c r="BG366" s="18">
        <v>168</v>
      </c>
      <c r="BH366" s="18">
        <v>11</v>
      </c>
      <c r="BI366" s="18">
        <v>0.9385</v>
      </c>
      <c r="BJ366" s="18">
        <v>0</v>
      </c>
      <c r="BK366" s="13"/>
      <c r="BL366" s="13"/>
      <c r="BM366" s="13">
        <f t="shared" si="0"/>
        <v>129.95</v>
      </c>
    </row>
    <row r="367" customHeight="1" spans="1:65">
      <c r="A367" s="18" t="s">
        <v>1538</v>
      </c>
      <c r="B367" s="18" t="s">
        <v>104</v>
      </c>
      <c r="C367" s="18" t="s">
        <v>1539</v>
      </c>
      <c r="D367" s="13"/>
      <c r="E367" s="18" t="s">
        <v>81</v>
      </c>
      <c r="F367" s="18" t="s">
        <v>82</v>
      </c>
      <c r="G367" s="18" t="s">
        <v>106</v>
      </c>
      <c r="H367" s="18" t="s">
        <v>107</v>
      </c>
      <c r="I367" s="18" t="s">
        <v>85</v>
      </c>
      <c r="J367" s="18">
        <v>5</v>
      </c>
      <c r="K367" s="16">
        <v>279.95</v>
      </c>
      <c r="L367" s="10"/>
      <c r="M367" s="16">
        <v>0</v>
      </c>
      <c r="N367" s="16">
        <v>0</v>
      </c>
      <c r="O367" s="18">
        <v>0</v>
      </c>
      <c r="P367" s="18" t="s">
        <v>71</v>
      </c>
      <c r="Q367" s="18">
        <v>5.638177</v>
      </c>
      <c r="R367" s="10"/>
      <c r="S367" s="16">
        <v>15</v>
      </c>
      <c r="T367" s="16">
        <v>10</v>
      </c>
      <c r="U367" s="18" t="s">
        <v>1538</v>
      </c>
      <c r="V367" s="18" t="s">
        <v>104</v>
      </c>
      <c r="W367" s="18" t="s">
        <v>2624</v>
      </c>
      <c r="X367" s="13"/>
      <c r="Y367" s="18" t="s">
        <v>81</v>
      </c>
      <c r="Z367" s="18" t="s">
        <v>82</v>
      </c>
      <c r="AA367" s="18" t="s">
        <v>106</v>
      </c>
      <c r="AB367" s="18" t="s">
        <v>107</v>
      </c>
      <c r="AC367" s="18" t="s">
        <v>85</v>
      </c>
      <c r="AD367" s="18">
        <v>554.9</v>
      </c>
      <c r="AE367" s="18">
        <v>0</v>
      </c>
      <c r="AF367" s="18">
        <v>0</v>
      </c>
      <c r="AG367" s="18">
        <v>0</v>
      </c>
      <c r="AH367" s="18">
        <v>1</v>
      </c>
      <c r="AI367" s="18">
        <v>0</v>
      </c>
      <c r="AJ367" s="18">
        <v>0</v>
      </c>
      <c r="AK367" s="18">
        <v>0</v>
      </c>
      <c r="AL367" s="18">
        <v>0</v>
      </c>
      <c r="AM367" s="18">
        <v>0</v>
      </c>
      <c r="AN367" s="18">
        <v>0</v>
      </c>
      <c r="AO367" s="18">
        <v>0</v>
      </c>
      <c r="AP367" s="18">
        <v>1</v>
      </c>
      <c r="AQ367" s="18">
        <v>0</v>
      </c>
      <c r="AR367" s="18">
        <v>0</v>
      </c>
      <c r="AS367" s="18">
        <v>0</v>
      </c>
      <c r="AT367" s="18">
        <v>1</v>
      </c>
      <c r="AU367" s="18">
        <v>0</v>
      </c>
      <c r="AV367" s="18">
        <v>0</v>
      </c>
      <c r="AW367" s="18">
        <v>1</v>
      </c>
      <c r="AX367" s="18">
        <v>0</v>
      </c>
      <c r="AY367" s="13"/>
      <c r="AZ367" s="18">
        <v>1</v>
      </c>
      <c r="BA367" s="18">
        <v>1</v>
      </c>
      <c r="BB367" s="18">
        <v>53.85</v>
      </c>
      <c r="BC367" s="18" t="s">
        <v>1540</v>
      </c>
      <c r="BD367" s="13"/>
      <c r="BE367" s="13"/>
      <c r="BF367" s="13"/>
      <c r="BG367" s="18">
        <v>0</v>
      </c>
      <c r="BH367" s="18">
        <v>0</v>
      </c>
      <c r="BI367" s="13"/>
      <c r="BJ367" s="18">
        <v>0</v>
      </c>
      <c r="BK367" s="18">
        <v>2</v>
      </c>
      <c r="BL367" s="18">
        <v>99.5</v>
      </c>
      <c r="BM367" s="13">
        <f t="shared" si="0"/>
        <v>4199.25</v>
      </c>
    </row>
    <row r="368" customHeight="1" spans="1:65">
      <c r="A368" s="18" t="s">
        <v>1543</v>
      </c>
      <c r="B368" s="18" t="s">
        <v>1544</v>
      </c>
      <c r="C368" s="13"/>
      <c r="D368" s="13"/>
      <c r="E368" s="18" t="s">
        <v>1402</v>
      </c>
      <c r="F368" s="18" t="s">
        <v>82</v>
      </c>
      <c r="G368" s="18" t="s">
        <v>83</v>
      </c>
      <c r="H368" s="18" t="s">
        <v>84</v>
      </c>
      <c r="I368" s="18" t="s">
        <v>85</v>
      </c>
      <c r="J368" s="18">
        <v>5</v>
      </c>
      <c r="K368" s="16">
        <v>44.99</v>
      </c>
      <c r="L368" s="10"/>
      <c r="M368" s="16">
        <v>0</v>
      </c>
      <c r="N368" s="16">
        <v>0</v>
      </c>
      <c r="O368" s="18">
        <v>0</v>
      </c>
      <c r="P368" s="18" t="s">
        <v>86</v>
      </c>
      <c r="Q368" s="18">
        <v>3.828424</v>
      </c>
      <c r="R368" s="10"/>
      <c r="S368" s="16">
        <v>78</v>
      </c>
      <c r="T368" s="16">
        <v>10</v>
      </c>
      <c r="U368" s="18" t="s">
        <v>1543</v>
      </c>
      <c r="V368" s="18" t="s">
        <v>1544</v>
      </c>
      <c r="W368" s="13"/>
      <c r="X368" s="13"/>
      <c r="Y368" s="18" t="s">
        <v>1402</v>
      </c>
      <c r="Z368" s="18" t="s">
        <v>82</v>
      </c>
      <c r="AA368" s="18" t="s">
        <v>83</v>
      </c>
      <c r="AB368" s="18" t="s">
        <v>84</v>
      </c>
      <c r="AC368" s="18" t="s">
        <v>85</v>
      </c>
      <c r="AD368" s="18">
        <v>84.98</v>
      </c>
      <c r="AE368" s="18">
        <v>0</v>
      </c>
      <c r="AF368" s="18">
        <v>0</v>
      </c>
      <c r="AG368" s="18">
        <v>0</v>
      </c>
      <c r="AH368" s="18">
        <v>1</v>
      </c>
      <c r="AI368" s="18">
        <v>0</v>
      </c>
      <c r="AJ368" s="18">
        <v>0</v>
      </c>
      <c r="AK368" s="18">
        <v>0</v>
      </c>
      <c r="AL368" s="18">
        <v>0</v>
      </c>
      <c r="AM368" s="18">
        <v>0</v>
      </c>
      <c r="AN368" s="18">
        <v>0</v>
      </c>
      <c r="AO368" s="18">
        <v>0</v>
      </c>
      <c r="AP368" s="18">
        <v>0</v>
      </c>
      <c r="AQ368" s="18">
        <v>0</v>
      </c>
      <c r="AR368" s="18">
        <v>0</v>
      </c>
      <c r="AS368" s="18">
        <v>0</v>
      </c>
      <c r="AT368" s="18">
        <v>0</v>
      </c>
      <c r="AU368" s="18">
        <v>1</v>
      </c>
      <c r="AV368" s="18">
        <v>0</v>
      </c>
      <c r="AW368" s="18">
        <v>0</v>
      </c>
      <c r="AX368" s="18">
        <v>0</v>
      </c>
      <c r="AY368" s="13"/>
      <c r="AZ368" s="18">
        <v>1</v>
      </c>
      <c r="BA368" s="18">
        <v>2</v>
      </c>
      <c r="BB368" s="18">
        <v>65.31</v>
      </c>
      <c r="BC368" s="18" t="s">
        <v>1545</v>
      </c>
      <c r="BD368" s="18" t="s">
        <v>112</v>
      </c>
      <c r="BE368" s="18" t="s">
        <v>128</v>
      </c>
      <c r="BF368" s="18" t="s">
        <v>77</v>
      </c>
      <c r="BG368" s="18">
        <v>1</v>
      </c>
      <c r="BH368" s="18">
        <v>28</v>
      </c>
      <c r="BI368" s="18">
        <v>0.0345</v>
      </c>
      <c r="BJ368" s="18">
        <v>1</v>
      </c>
      <c r="BK368" s="18">
        <v>2</v>
      </c>
      <c r="BL368" s="18">
        <v>99.5</v>
      </c>
      <c r="BM368" s="13">
        <f t="shared" si="0"/>
        <v>3509.22</v>
      </c>
    </row>
    <row r="369" customHeight="1" spans="1:65">
      <c r="A369" s="18" t="s">
        <v>1551</v>
      </c>
      <c r="B369" s="18" t="s">
        <v>1552</v>
      </c>
      <c r="C369" s="18" t="s">
        <v>1553</v>
      </c>
      <c r="D369" s="18">
        <v>4893993199266</v>
      </c>
      <c r="E369" s="18" t="s">
        <v>1554</v>
      </c>
      <c r="F369" s="18" t="s">
        <v>198</v>
      </c>
      <c r="G369" s="18" t="s">
        <v>83</v>
      </c>
      <c r="H369" s="18" t="s">
        <v>84</v>
      </c>
      <c r="I369" s="18" t="s">
        <v>85</v>
      </c>
      <c r="J369" s="18">
        <v>5</v>
      </c>
      <c r="K369" s="16">
        <v>199.95</v>
      </c>
      <c r="L369" s="10"/>
      <c r="M369" s="16">
        <v>0</v>
      </c>
      <c r="N369" s="16">
        <v>0</v>
      </c>
      <c r="O369" s="18">
        <v>0</v>
      </c>
      <c r="P369" s="18" t="s">
        <v>95</v>
      </c>
      <c r="Q369" s="18">
        <v>5.303056</v>
      </c>
      <c r="R369" s="10"/>
      <c r="S369" s="16">
        <v>50</v>
      </c>
      <c r="T369" s="16">
        <v>6</v>
      </c>
      <c r="U369" s="18" t="s">
        <v>2625</v>
      </c>
      <c r="V369" s="18" t="s">
        <v>1552</v>
      </c>
      <c r="W369" s="18" t="s">
        <v>1553</v>
      </c>
      <c r="X369" s="18">
        <v>4893993199267</v>
      </c>
      <c r="Y369" s="18" t="s">
        <v>1554</v>
      </c>
      <c r="Z369" s="18" t="s">
        <v>198</v>
      </c>
      <c r="AA369" s="18" t="s">
        <v>83</v>
      </c>
      <c r="AB369" s="18" t="s">
        <v>84</v>
      </c>
      <c r="AC369" s="18" t="s">
        <v>85</v>
      </c>
      <c r="AD369" s="18">
        <v>394.9</v>
      </c>
      <c r="AE369" s="18">
        <v>0</v>
      </c>
      <c r="AF369" s="18">
        <v>0</v>
      </c>
      <c r="AG369" s="18">
        <v>0</v>
      </c>
      <c r="AH369" s="18">
        <v>0</v>
      </c>
      <c r="AI369" s="18">
        <v>0</v>
      </c>
      <c r="AJ369" s="18">
        <v>0</v>
      </c>
      <c r="AK369" s="18">
        <v>0</v>
      </c>
      <c r="AL369" s="18">
        <v>0</v>
      </c>
      <c r="AM369" s="18">
        <v>1</v>
      </c>
      <c r="AN369" s="18">
        <v>0</v>
      </c>
      <c r="AO369" s="18">
        <v>0</v>
      </c>
      <c r="AP369" s="18">
        <v>0</v>
      </c>
      <c r="AQ369" s="18">
        <v>0</v>
      </c>
      <c r="AR369" s="18">
        <v>0</v>
      </c>
      <c r="AS369" s="18">
        <v>0</v>
      </c>
      <c r="AT369" s="18">
        <v>0</v>
      </c>
      <c r="AU369" s="18">
        <v>0</v>
      </c>
      <c r="AV369" s="18">
        <v>0</v>
      </c>
      <c r="AW369" s="18">
        <v>1</v>
      </c>
      <c r="AX369" s="18">
        <v>0</v>
      </c>
      <c r="AY369" s="13"/>
      <c r="AZ369" s="18">
        <v>1</v>
      </c>
      <c r="BA369" s="18">
        <v>1</v>
      </c>
      <c r="BB369" s="18">
        <v>62.75</v>
      </c>
      <c r="BC369" s="18" t="s">
        <v>1555</v>
      </c>
      <c r="BD369" s="18" t="s">
        <v>1556</v>
      </c>
      <c r="BE369" s="18" t="s">
        <v>627</v>
      </c>
      <c r="BF369" s="18" t="s">
        <v>77</v>
      </c>
      <c r="BG369" s="18">
        <v>168</v>
      </c>
      <c r="BH369" s="18">
        <v>11</v>
      </c>
      <c r="BI369" s="18">
        <v>0.9385</v>
      </c>
      <c r="BJ369" s="18">
        <v>0</v>
      </c>
      <c r="BK369" s="18">
        <v>36</v>
      </c>
      <c r="BL369" s="18">
        <v>90.1</v>
      </c>
      <c r="BM369" s="13">
        <f t="shared" si="0"/>
        <v>9997.5</v>
      </c>
    </row>
    <row r="370" customHeight="1" spans="1:65">
      <c r="A370" s="18" t="s">
        <v>1558</v>
      </c>
      <c r="B370" s="18" t="s">
        <v>335</v>
      </c>
      <c r="C370" s="13"/>
      <c r="D370" s="13"/>
      <c r="E370" s="18" t="s">
        <v>81</v>
      </c>
      <c r="F370" s="18" t="s">
        <v>160</v>
      </c>
      <c r="G370" s="18" t="s">
        <v>83</v>
      </c>
      <c r="H370" s="18" t="s">
        <v>84</v>
      </c>
      <c r="I370" s="18" t="s">
        <v>85</v>
      </c>
      <c r="J370" s="18">
        <v>5</v>
      </c>
      <c r="K370" s="16">
        <v>409.99</v>
      </c>
      <c r="L370" s="10"/>
      <c r="M370" s="16">
        <v>0</v>
      </c>
      <c r="N370" s="16">
        <v>0</v>
      </c>
      <c r="O370" s="18">
        <v>0</v>
      </c>
      <c r="P370" s="18" t="s">
        <v>71</v>
      </c>
      <c r="Q370" s="18">
        <v>6.018569</v>
      </c>
      <c r="R370" s="16">
        <v>41</v>
      </c>
      <c r="S370" s="16">
        <v>8</v>
      </c>
      <c r="T370" s="16">
        <v>10</v>
      </c>
      <c r="U370" s="18" t="s">
        <v>1558</v>
      </c>
      <c r="V370" s="18" t="s">
        <v>335</v>
      </c>
      <c r="W370" s="13"/>
      <c r="X370" s="13"/>
      <c r="Y370" s="18" t="s">
        <v>81</v>
      </c>
      <c r="Z370" s="18" t="s">
        <v>160</v>
      </c>
      <c r="AA370" s="18" t="s">
        <v>83</v>
      </c>
      <c r="AB370" s="18" t="s">
        <v>84</v>
      </c>
      <c r="AC370" s="18" t="s">
        <v>85</v>
      </c>
      <c r="AD370" s="18">
        <v>814.98</v>
      </c>
      <c r="AE370" s="18">
        <v>0</v>
      </c>
      <c r="AF370" s="18">
        <v>0</v>
      </c>
      <c r="AG370" s="18">
        <v>0</v>
      </c>
      <c r="AH370" s="18">
        <v>1</v>
      </c>
      <c r="AI370" s="18">
        <v>0</v>
      </c>
      <c r="AJ370" s="18">
        <v>0</v>
      </c>
      <c r="AK370" s="18">
        <v>0</v>
      </c>
      <c r="AL370" s="18">
        <v>0</v>
      </c>
      <c r="AM370" s="18">
        <v>0</v>
      </c>
      <c r="AN370" s="18">
        <v>0</v>
      </c>
      <c r="AO370" s="18">
        <v>0</v>
      </c>
      <c r="AP370" s="18">
        <v>0</v>
      </c>
      <c r="AQ370" s="18">
        <v>1</v>
      </c>
      <c r="AR370" s="18">
        <v>0</v>
      </c>
      <c r="AS370" s="18">
        <v>0</v>
      </c>
      <c r="AT370" s="18">
        <v>1</v>
      </c>
      <c r="AU370" s="18">
        <v>0</v>
      </c>
      <c r="AV370" s="18">
        <v>1</v>
      </c>
      <c r="AW370" s="18">
        <v>1</v>
      </c>
      <c r="AX370" s="18">
        <v>0</v>
      </c>
      <c r="AY370" s="18">
        <v>10</v>
      </c>
      <c r="AZ370" s="18">
        <v>1</v>
      </c>
      <c r="BA370" s="18">
        <v>2</v>
      </c>
      <c r="BB370" s="18">
        <v>47.36</v>
      </c>
      <c r="BC370" s="18" t="s">
        <v>1559</v>
      </c>
      <c r="BD370" s="18" t="s">
        <v>337</v>
      </c>
      <c r="BE370" s="18" t="s">
        <v>98</v>
      </c>
      <c r="BF370" s="18" t="s">
        <v>77</v>
      </c>
      <c r="BG370" s="18">
        <v>167</v>
      </c>
      <c r="BH370" s="18">
        <v>12</v>
      </c>
      <c r="BI370" s="18">
        <v>0.933</v>
      </c>
      <c r="BJ370" s="18">
        <v>0</v>
      </c>
      <c r="BK370" s="18">
        <v>5</v>
      </c>
      <c r="BL370" s="18">
        <v>98.6</v>
      </c>
      <c r="BM370" s="13">
        <f t="shared" si="0"/>
        <v>3279.92</v>
      </c>
    </row>
    <row r="371" customHeight="1" spans="1:65">
      <c r="A371" s="18" t="s">
        <v>1652</v>
      </c>
      <c r="B371" s="18" t="s">
        <v>1349</v>
      </c>
      <c r="C371" s="13"/>
      <c r="D371" s="13"/>
      <c r="E371" s="18" t="s">
        <v>250</v>
      </c>
      <c r="F371" s="18" t="s">
        <v>82</v>
      </c>
      <c r="G371" s="18" t="s">
        <v>83</v>
      </c>
      <c r="H371" s="18" t="s">
        <v>84</v>
      </c>
      <c r="I371" s="18" t="s">
        <v>85</v>
      </c>
      <c r="J371" s="18">
        <v>5</v>
      </c>
      <c r="K371" s="16">
        <v>115</v>
      </c>
      <c r="L371" s="10"/>
      <c r="M371" s="16">
        <v>0</v>
      </c>
      <c r="N371" s="16">
        <v>0</v>
      </c>
      <c r="O371" s="18">
        <v>0</v>
      </c>
      <c r="P371" s="18" t="s">
        <v>95</v>
      </c>
      <c r="Q371" s="18">
        <v>4.75359</v>
      </c>
      <c r="R371" s="10"/>
      <c r="S371" s="16">
        <v>2</v>
      </c>
      <c r="T371" s="16">
        <v>10</v>
      </c>
      <c r="U371" s="18" t="s">
        <v>1652</v>
      </c>
      <c r="V371" s="18" t="s">
        <v>1349</v>
      </c>
      <c r="W371" s="13"/>
      <c r="X371" s="13"/>
      <c r="Y371" s="18" t="s">
        <v>250</v>
      </c>
      <c r="Z371" s="18" t="s">
        <v>82</v>
      </c>
      <c r="AA371" s="18" t="s">
        <v>83</v>
      </c>
      <c r="AB371" s="18" t="s">
        <v>84</v>
      </c>
      <c r="AC371" s="18" t="s">
        <v>85</v>
      </c>
      <c r="AD371" s="18">
        <v>225</v>
      </c>
      <c r="AE371" s="18">
        <v>1</v>
      </c>
      <c r="AF371" s="18">
        <v>0</v>
      </c>
      <c r="AG371" s="18">
        <v>0</v>
      </c>
      <c r="AH371" s="18">
        <v>1</v>
      </c>
      <c r="AI371" s="18">
        <v>0</v>
      </c>
      <c r="AJ371" s="18">
        <v>0</v>
      </c>
      <c r="AK371" s="18">
        <v>0</v>
      </c>
      <c r="AL371" s="18">
        <v>0</v>
      </c>
      <c r="AM371" s="18">
        <v>0</v>
      </c>
      <c r="AN371" s="18">
        <v>0</v>
      </c>
      <c r="AO371" s="18">
        <v>0</v>
      </c>
      <c r="AP371" s="18">
        <v>0</v>
      </c>
      <c r="AQ371" s="18">
        <v>0</v>
      </c>
      <c r="AR371" s="18">
        <v>0</v>
      </c>
      <c r="AS371" s="18">
        <v>0</v>
      </c>
      <c r="AT371" s="18">
        <v>1</v>
      </c>
      <c r="AU371" s="18">
        <v>0</v>
      </c>
      <c r="AV371" s="18">
        <v>0</v>
      </c>
      <c r="AW371" s="18">
        <v>0</v>
      </c>
      <c r="AX371" s="18">
        <v>0</v>
      </c>
      <c r="AY371" s="13"/>
      <c r="AZ371" s="18">
        <v>1</v>
      </c>
      <c r="BA371" s="18">
        <v>2</v>
      </c>
      <c r="BB371" s="18">
        <v>34.45</v>
      </c>
      <c r="BC371" s="18" t="s">
        <v>1566</v>
      </c>
      <c r="BD371" s="18" t="s">
        <v>169</v>
      </c>
      <c r="BE371" s="18" t="s">
        <v>128</v>
      </c>
      <c r="BF371" s="18" t="s">
        <v>77</v>
      </c>
      <c r="BG371" s="18">
        <v>162</v>
      </c>
      <c r="BH371" s="18">
        <v>56</v>
      </c>
      <c r="BI371" s="18">
        <v>0.7431</v>
      </c>
      <c r="BJ371" s="18">
        <v>0</v>
      </c>
      <c r="BK371" s="18">
        <v>27</v>
      </c>
      <c r="BL371" s="18">
        <v>92.6</v>
      </c>
      <c r="BM371" s="13">
        <f t="shared" si="0"/>
        <v>230</v>
      </c>
    </row>
    <row r="372" customHeight="1" spans="1:65">
      <c r="A372" s="18" t="s">
        <v>1564</v>
      </c>
      <c r="B372" s="18" t="s">
        <v>1197</v>
      </c>
      <c r="C372" s="13"/>
      <c r="D372" s="18">
        <v>6901425847949</v>
      </c>
      <c r="E372" s="19" t="s">
        <v>1565</v>
      </c>
      <c r="F372" s="18" t="s">
        <v>160</v>
      </c>
      <c r="G372" s="18" t="s">
        <v>1197</v>
      </c>
      <c r="H372" s="18" t="s">
        <v>69</v>
      </c>
      <c r="I372" s="18" t="s">
        <v>85</v>
      </c>
      <c r="J372" s="18">
        <v>5</v>
      </c>
      <c r="K372" s="16">
        <v>134.99</v>
      </c>
      <c r="L372" s="10"/>
      <c r="M372" s="16">
        <v>0</v>
      </c>
      <c r="N372" s="16">
        <v>0</v>
      </c>
      <c r="O372" s="18">
        <v>0</v>
      </c>
      <c r="P372" s="18" t="s">
        <v>95</v>
      </c>
      <c r="Q372" s="18">
        <v>4.912581</v>
      </c>
      <c r="R372" s="16">
        <v>16.87</v>
      </c>
      <c r="S372" s="16">
        <v>2</v>
      </c>
      <c r="T372" s="16">
        <v>8</v>
      </c>
      <c r="U372" s="18" t="s">
        <v>1564</v>
      </c>
      <c r="V372" s="18" t="s">
        <v>1197</v>
      </c>
      <c r="W372" s="13"/>
      <c r="X372" s="18">
        <v>6901425847950</v>
      </c>
      <c r="Y372" s="19" t="s">
        <v>2626</v>
      </c>
      <c r="Z372" s="18" t="s">
        <v>160</v>
      </c>
      <c r="AA372" s="18" t="s">
        <v>1197</v>
      </c>
      <c r="AB372" s="18" t="s">
        <v>69</v>
      </c>
      <c r="AC372" s="18" t="s">
        <v>85</v>
      </c>
      <c r="AD372" s="18">
        <v>264.98</v>
      </c>
      <c r="AE372" s="18">
        <v>0</v>
      </c>
      <c r="AF372" s="18">
        <v>1</v>
      </c>
      <c r="AG372" s="18">
        <v>0</v>
      </c>
      <c r="AH372" s="18">
        <v>1</v>
      </c>
      <c r="AI372" s="18">
        <v>0</v>
      </c>
      <c r="AJ372" s="18">
        <v>0</v>
      </c>
      <c r="AK372" s="18">
        <v>0</v>
      </c>
      <c r="AL372" s="18">
        <v>0</v>
      </c>
      <c r="AM372" s="18">
        <v>0</v>
      </c>
      <c r="AN372" s="18">
        <v>0</v>
      </c>
      <c r="AO372" s="18">
        <v>0</v>
      </c>
      <c r="AP372" s="18">
        <v>0</v>
      </c>
      <c r="AQ372" s="18">
        <v>0</v>
      </c>
      <c r="AR372" s="18">
        <v>0</v>
      </c>
      <c r="AS372" s="18">
        <v>0</v>
      </c>
      <c r="AT372" s="18">
        <v>0</v>
      </c>
      <c r="AU372" s="18">
        <v>0</v>
      </c>
      <c r="AV372" s="18">
        <v>0</v>
      </c>
      <c r="AW372" s="18">
        <v>1</v>
      </c>
      <c r="AX372" s="18">
        <v>0</v>
      </c>
      <c r="AY372" s="18">
        <v>8</v>
      </c>
      <c r="AZ372" s="18">
        <v>1</v>
      </c>
      <c r="BA372" s="18">
        <v>1</v>
      </c>
      <c r="BB372" s="18">
        <v>35.45</v>
      </c>
      <c r="BC372" s="18" t="s">
        <v>1566</v>
      </c>
      <c r="BD372" s="18" t="s">
        <v>1506</v>
      </c>
      <c r="BE372" s="18" t="s">
        <v>226</v>
      </c>
      <c r="BF372" s="18" t="s">
        <v>77</v>
      </c>
      <c r="BG372" s="18">
        <v>162</v>
      </c>
      <c r="BH372" s="18">
        <v>20</v>
      </c>
      <c r="BI372" s="18">
        <v>0.8901</v>
      </c>
      <c r="BJ372" s="18">
        <v>0</v>
      </c>
      <c r="BK372" s="18">
        <v>31</v>
      </c>
      <c r="BL372" s="18">
        <v>91.5</v>
      </c>
      <c r="BM372" s="13">
        <f t="shared" si="0"/>
        <v>269.98</v>
      </c>
    </row>
    <row r="373" customHeight="1" spans="1:65">
      <c r="A373" s="18" t="s">
        <v>2407</v>
      </c>
      <c r="B373" s="18" t="s">
        <v>245</v>
      </c>
      <c r="C373" s="18" t="s">
        <v>2408</v>
      </c>
      <c r="D373" s="13"/>
      <c r="E373" s="18" t="s">
        <v>250</v>
      </c>
      <c r="F373" s="18" t="s">
        <v>160</v>
      </c>
      <c r="G373" s="18" t="s">
        <v>83</v>
      </c>
      <c r="H373" s="18" t="s">
        <v>84</v>
      </c>
      <c r="I373" s="18" t="s">
        <v>85</v>
      </c>
      <c r="J373" s="18">
        <v>5</v>
      </c>
      <c r="K373" s="16">
        <v>144.49</v>
      </c>
      <c r="L373" s="16">
        <v>169.99</v>
      </c>
      <c r="M373" s="16">
        <v>15</v>
      </c>
      <c r="N373" s="16">
        <v>25.5</v>
      </c>
      <c r="O373" s="18">
        <v>1</v>
      </c>
      <c r="P373" s="18" t="s">
        <v>95</v>
      </c>
      <c r="Q373" s="18">
        <v>4.980107</v>
      </c>
      <c r="R373" s="16">
        <v>18.06</v>
      </c>
      <c r="S373" s="16">
        <v>59</v>
      </c>
      <c r="T373" s="16">
        <v>10</v>
      </c>
      <c r="U373" s="18" t="s">
        <v>2407</v>
      </c>
      <c r="V373" s="18" t="s">
        <v>245</v>
      </c>
      <c r="W373" s="18" t="s">
        <v>2408</v>
      </c>
      <c r="X373" s="13"/>
      <c r="Y373" s="18" t="s">
        <v>250</v>
      </c>
      <c r="Z373" s="18" t="s">
        <v>160</v>
      </c>
      <c r="AA373" s="18" t="s">
        <v>83</v>
      </c>
      <c r="AB373" s="18" t="s">
        <v>84</v>
      </c>
      <c r="AC373" s="18" t="s">
        <v>85</v>
      </c>
      <c r="AD373" s="18">
        <v>6.9673333333335</v>
      </c>
      <c r="AE373" s="18">
        <v>0</v>
      </c>
      <c r="AF373" s="18">
        <v>0</v>
      </c>
      <c r="AG373" s="18">
        <v>1</v>
      </c>
      <c r="AH373" s="18">
        <v>0</v>
      </c>
      <c r="AI373" s="18">
        <v>1</v>
      </c>
      <c r="AJ373" s="18">
        <v>0</v>
      </c>
      <c r="AK373" s="18">
        <v>0</v>
      </c>
      <c r="AL373" s="18">
        <v>0</v>
      </c>
      <c r="AM373" s="18">
        <v>0</v>
      </c>
      <c r="AN373" s="18">
        <v>1</v>
      </c>
      <c r="AO373" s="18">
        <v>0</v>
      </c>
      <c r="AP373" s="18">
        <v>0</v>
      </c>
      <c r="AQ373" s="18">
        <v>1</v>
      </c>
      <c r="AR373" s="18">
        <v>0</v>
      </c>
      <c r="AS373" s="18">
        <v>0</v>
      </c>
      <c r="AT373" s="18">
        <v>1</v>
      </c>
      <c r="AU373" s="18">
        <v>0</v>
      </c>
      <c r="AV373" s="18">
        <v>1</v>
      </c>
      <c r="AW373" s="18">
        <v>1</v>
      </c>
      <c r="AX373" s="18">
        <v>0</v>
      </c>
      <c r="AY373" s="18">
        <v>8</v>
      </c>
      <c r="AZ373" s="18">
        <v>1</v>
      </c>
      <c r="BA373" s="18">
        <v>2</v>
      </c>
      <c r="BB373" s="18">
        <v>68.13</v>
      </c>
      <c r="BC373" s="18" t="s">
        <v>247</v>
      </c>
      <c r="BD373" s="18" t="s">
        <v>175</v>
      </c>
      <c r="BE373" s="18" t="s">
        <v>91</v>
      </c>
      <c r="BF373" s="18" t="s">
        <v>77</v>
      </c>
      <c r="BG373" s="18">
        <v>161</v>
      </c>
      <c r="BH373" s="18">
        <v>61</v>
      </c>
      <c r="BI373" s="18">
        <v>0.7252</v>
      </c>
      <c r="BJ373" s="18">
        <v>0</v>
      </c>
      <c r="BK373" s="18">
        <v>7</v>
      </c>
      <c r="BL373" s="18">
        <v>98.1</v>
      </c>
      <c r="BM373" s="13">
        <f t="shared" si="0"/>
        <v>8524.91</v>
      </c>
    </row>
    <row r="374" customHeight="1" spans="1:65">
      <c r="A374" s="18" t="s">
        <v>244</v>
      </c>
      <c r="B374" s="18" t="s">
        <v>245</v>
      </c>
      <c r="C374" s="18" t="s">
        <v>246</v>
      </c>
      <c r="D374" s="13"/>
      <c r="E374" s="18" t="s">
        <v>239</v>
      </c>
      <c r="F374" s="18" t="s">
        <v>160</v>
      </c>
      <c r="G374" s="18" t="s">
        <v>83</v>
      </c>
      <c r="H374" s="18" t="s">
        <v>84</v>
      </c>
      <c r="I374" s="18" t="s">
        <v>85</v>
      </c>
      <c r="J374" s="18">
        <v>5</v>
      </c>
      <c r="K374" s="16">
        <v>47.59</v>
      </c>
      <c r="L374" s="16">
        <v>55.99</v>
      </c>
      <c r="M374" s="16">
        <v>15</v>
      </c>
      <c r="N374" s="16">
        <v>8.4</v>
      </c>
      <c r="O374" s="18">
        <v>1</v>
      </c>
      <c r="P374" s="18" t="s">
        <v>86</v>
      </c>
      <c r="Q374" s="18">
        <v>3.883418</v>
      </c>
      <c r="R374" s="16">
        <v>5.95</v>
      </c>
      <c r="S374" s="16">
        <v>2484</v>
      </c>
      <c r="T374" s="16">
        <v>10</v>
      </c>
      <c r="U374" s="18" t="s">
        <v>244</v>
      </c>
      <c r="V374" s="18" t="s">
        <v>245</v>
      </c>
      <c r="W374" s="18" t="s">
        <v>2627</v>
      </c>
      <c r="X374" s="13"/>
      <c r="Y374" s="18" t="s">
        <v>239</v>
      </c>
      <c r="Z374" s="18" t="s">
        <v>160</v>
      </c>
      <c r="AA374" s="18" t="s">
        <v>83</v>
      </c>
      <c r="AB374" s="18" t="s">
        <v>84</v>
      </c>
      <c r="AC374" s="18" t="s">
        <v>85</v>
      </c>
      <c r="AD374" s="18">
        <v>4.30733333333336</v>
      </c>
      <c r="AE374" s="18">
        <v>0</v>
      </c>
      <c r="AF374" s="18">
        <v>0</v>
      </c>
      <c r="AG374" s="18">
        <v>0</v>
      </c>
      <c r="AH374" s="18">
        <v>0</v>
      </c>
      <c r="AI374" s="18">
        <v>0</v>
      </c>
      <c r="AJ374" s="18">
        <v>0</v>
      </c>
      <c r="AK374" s="18">
        <v>0</v>
      </c>
      <c r="AL374" s="18">
        <v>0</v>
      </c>
      <c r="AM374" s="18">
        <v>0</v>
      </c>
      <c r="AN374" s="18">
        <v>0</v>
      </c>
      <c r="AO374" s="18">
        <v>0</v>
      </c>
      <c r="AP374" s="18">
        <v>0</v>
      </c>
      <c r="AQ374" s="18">
        <v>1</v>
      </c>
      <c r="AR374" s="18">
        <v>0</v>
      </c>
      <c r="AS374" s="18">
        <v>0</v>
      </c>
      <c r="AT374" s="18">
        <v>0</v>
      </c>
      <c r="AU374" s="18">
        <v>0</v>
      </c>
      <c r="AV374" s="18">
        <v>1</v>
      </c>
      <c r="AW374" s="18">
        <v>1</v>
      </c>
      <c r="AX374" s="18">
        <v>0</v>
      </c>
      <c r="AY374" s="18">
        <v>8</v>
      </c>
      <c r="AZ374" s="18">
        <v>1</v>
      </c>
      <c r="BA374" s="18">
        <v>1</v>
      </c>
      <c r="BB374" s="18">
        <v>73.86</v>
      </c>
      <c r="BC374" s="18" t="s">
        <v>247</v>
      </c>
      <c r="BD374" s="18" t="s">
        <v>175</v>
      </c>
      <c r="BE374" s="18" t="s">
        <v>91</v>
      </c>
      <c r="BF374" s="18" t="s">
        <v>77</v>
      </c>
      <c r="BG374" s="18">
        <v>162</v>
      </c>
      <c r="BH374" s="18">
        <v>60</v>
      </c>
      <c r="BI374" s="18">
        <v>0.7297</v>
      </c>
      <c r="BJ374" s="18">
        <v>0</v>
      </c>
      <c r="BK374" s="18">
        <v>6</v>
      </c>
      <c r="BL374" s="18">
        <v>98.4</v>
      </c>
      <c r="BM374" s="13">
        <f t="shared" si="0"/>
        <v>118213.56</v>
      </c>
    </row>
    <row r="375" customHeight="1" spans="1:65">
      <c r="A375" s="18" t="s">
        <v>1567</v>
      </c>
      <c r="B375" s="18" t="s">
        <v>448</v>
      </c>
      <c r="C375" s="18" t="s">
        <v>1568</v>
      </c>
      <c r="D375" s="18">
        <v>7331021065765</v>
      </c>
      <c r="E375" s="18" t="s">
        <v>255</v>
      </c>
      <c r="F375" s="18" t="s">
        <v>68</v>
      </c>
      <c r="G375" s="18" t="s">
        <v>83</v>
      </c>
      <c r="H375" s="18" t="s">
        <v>450</v>
      </c>
      <c r="I375" s="18" t="s">
        <v>203</v>
      </c>
      <c r="J375" s="18">
        <v>4</v>
      </c>
      <c r="K375" s="16">
        <v>97</v>
      </c>
      <c r="L375" s="10"/>
      <c r="M375" s="16">
        <v>0</v>
      </c>
      <c r="N375" s="16">
        <v>0</v>
      </c>
      <c r="O375" s="18">
        <v>0</v>
      </c>
      <c r="P375" s="18" t="s">
        <v>95</v>
      </c>
      <c r="Q375" s="18">
        <v>4.584967</v>
      </c>
      <c r="R375" s="10"/>
      <c r="S375" s="16">
        <v>1</v>
      </c>
      <c r="T375" s="16">
        <v>10</v>
      </c>
      <c r="U375" s="18" t="s">
        <v>1567</v>
      </c>
      <c r="V375" s="18" t="s">
        <v>448</v>
      </c>
      <c r="W375" s="18" t="s">
        <v>2628</v>
      </c>
      <c r="X375" s="18">
        <v>7331021065766</v>
      </c>
      <c r="Y375" s="18" t="s">
        <v>255</v>
      </c>
      <c r="Z375" s="18" t="s">
        <v>68</v>
      </c>
      <c r="AA375" s="18" t="s">
        <v>83</v>
      </c>
      <c r="AB375" s="18" t="s">
        <v>450</v>
      </c>
      <c r="AC375" s="18" t="s">
        <v>203</v>
      </c>
      <c r="AD375" s="18">
        <v>190</v>
      </c>
      <c r="AE375" s="18">
        <v>0</v>
      </c>
      <c r="AF375" s="18">
        <v>0</v>
      </c>
      <c r="AG375" s="18">
        <v>0</v>
      </c>
      <c r="AH375" s="18">
        <v>0</v>
      </c>
      <c r="AI375" s="18">
        <v>0</v>
      </c>
      <c r="AJ375" s="18">
        <v>0</v>
      </c>
      <c r="AK375" s="18">
        <v>0</v>
      </c>
      <c r="AL375" s="18">
        <v>0</v>
      </c>
      <c r="AM375" s="18">
        <v>0</v>
      </c>
      <c r="AN375" s="18">
        <v>0</v>
      </c>
      <c r="AO375" s="18">
        <v>0</v>
      </c>
      <c r="AP375" s="18">
        <v>0</v>
      </c>
      <c r="AQ375" s="18">
        <v>0</v>
      </c>
      <c r="AR375" s="18">
        <v>0</v>
      </c>
      <c r="AS375" s="18">
        <v>0</v>
      </c>
      <c r="AT375" s="18">
        <v>1</v>
      </c>
      <c r="AU375" s="18">
        <v>0</v>
      </c>
      <c r="AV375" s="18">
        <v>0</v>
      </c>
      <c r="AW375" s="18">
        <v>0</v>
      </c>
      <c r="AX375" s="18">
        <v>0</v>
      </c>
      <c r="AY375" s="13"/>
      <c r="AZ375" s="18">
        <v>1</v>
      </c>
      <c r="BA375" s="18">
        <v>0</v>
      </c>
      <c r="BB375" s="18">
        <v>3.64</v>
      </c>
      <c r="BC375" s="18" t="s">
        <v>1569</v>
      </c>
      <c r="BD375" s="18" t="s">
        <v>1570</v>
      </c>
      <c r="BE375" s="18" t="s">
        <v>627</v>
      </c>
      <c r="BF375" s="18" t="s">
        <v>77</v>
      </c>
      <c r="BG375" s="18">
        <v>168</v>
      </c>
      <c r="BH375" s="18">
        <v>11</v>
      </c>
      <c r="BI375" s="18">
        <v>0.9385</v>
      </c>
      <c r="BJ375" s="18">
        <v>0</v>
      </c>
      <c r="BK375" s="13"/>
      <c r="BL375" s="13"/>
      <c r="BM375" s="13">
        <f t="shared" si="0"/>
        <v>97</v>
      </c>
    </row>
    <row r="376" customHeight="1" spans="1:65">
      <c r="A376" s="18" t="s">
        <v>1578</v>
      </c>
      <c r="B376" s="18" t="s">
        <v>125</v>
      </c>
      <c r="C376" s="13"/>
      <c r="D376" s="13"/>
      <c r="E376" s="18" t="s">
        <v>239</v>
      </c>
      <c r="F376" s="18" t="s">
        <v>240</v>
      </c>
      <c r="G376" s="18" t="s">
        <v>83</v>
      </c>
      <c r="H376" s="18" t="s">
        <v>138</v>
      </c>
      <c r="I376" s="18" t="s">
        <v>153</v>
      </c>
      <c r="J376" s="18">
        <v>2</v>
      </c>
      <c r="K376" s="16">
        <v>119.91</v>
      </c>
      <c r="L376" s="16">
        <v>157.77</v>
      </c>
      <c r="M376" s="16">
        <v>24</v>
      </c>
      <c r="N376" s="16">
        <v>37.86</v>
      </c>
      <c r="O376" s="18">
        <v>1</v>
      </c>
      <c r="P376" s="18" t="s">
        <v>95</v>
      </c>
      <c r="Q376" s="18">
        <v>4.795046</v>
      </c>
      <c r="R376" s="16">
        <v>14.99</v>
      </c>
      <c r="S376" s="10"/>
      <c r="T376" s="10"/>
      <c r="U376" s="18" t="s">
        <v>1578</v>
      </c>
      <c r="V376" s="18" t="s">
        <v>125</v>
      </c>
      <c r="W376" s="13"/>
      <c r="X376" s="13"/>
      <c r="Y376" s="18" t="s">
        <v>239</v>
      </c>
      <c r="Z376" s="18" t="s">
        <v>240</v>
      </c>
      <c r="AA376" s="18" t="s">
        <v>83</v>
      </c>
      <c r="AB376" s="18" t="s">
        <v>138</v>
      </c>
      <c r="AC376" s="18" t="s">
        <v>153</v>
      </c>
      <c r="AD376" s="18">
        <v>18.598</v>
      </c>
      <c r="AE376" s="18">
        <v>0</v>
      </c>
      <c r="AF376" s="18">
        <v>0</v>
      </c>
      <c r="AG376" s="18">
        <v>0</v>
      </c>
      <c r="AH376" s="18">
        <v>0</v>
      </c>
      <c r="AI376" s="18">
        <v>0</v>
      </c>
      <c r="AJ376" s="18">
        <v>0</v>
      </c>
      <c r="AK376" s="18">
        <v>0</v>
      </c>
      <c r="AL376" s="18">
        <v>0</v>
      </c>
      <c r="AM376" s="18">
        <v>0</v>
      </c>
      <c r="AN376" s="18">
        <v>0</v>
      </c>
      <c r="AO376" s="18">
        <v>0</v>
      </c>
      <c r="AP376" s="18">
        <v>0</v>
      </c>
      <c r="AQ376" s="18">
        <v>0</v>
      </c>
      <c r="AR376" s="18">
        <v>0</v>
      </c>
      <c r="AS376" s="18">
        <v>0</v>
      </c>
      <c r="AT376" s="18">
        <v>0</v>
      </c>
      <c r="AU376" s="18">
        <v>0</v>
      </c>
      <c r="AV376" s="18">
        <v>0</v>
      </c>
      <c r="AW376" s="18">
        <v>1</v>
      </c>
      <c r="AX376" s="18">
        <v>0</v>
      </c>
      <c r="AY376" s="18">
        <v>8</v>
      </c>
      <c r="AZ376" s="18">
        <v>1</v>
      </c>
      <c r="BA376" s="18">
        <v>0</v>
      </c>
      <c r="BB376" s="18">
        <v>7.2</v>
      </c>
      <c r="BC376" s="18" t="s">
        <v>1579</v>
      </c>
      <c r="BD376" s="18" t="s">
        <v>1580</v>
      </c>
      <c r="BE376" s="18" t="s">
        <v>576</v>
      </c>
      <c r="BF376" s="18" t="s">
        <v>77</v>
      </c>
      <c r="BG376" s="18">
        <v>162</v>
      </c>
      <c r="BH376" s="18">
        <v>59</v>
      </c>
      <c r="BI376" s="18">
        <v>0.733</v>
      </c>
      <c r="BJ376" s="18">
        <v>0</v>
      </c>
      <c r="BK376" s="18">
        <v>1738</v>
      </c>
      <c r="BL376" s="18">
        <v>0</v>
      </c>
      <c r="BM376" s="13">
        <f t="shared" si="0"/>
        <v>0</v>
      </c>
    </row>
    <row r="377" customHeight="1" spans="1:65">
      <c r="A377" s="18" t="s">
        <v>1767</v>
      </c>
      <c r="B377" s="18" t="s">
        <v>1768</v>
      </c>
      <c r="C377" s="13"/>
      <c r="D377" s="13"/>
      <c r="E377" s="18" t="s">
        <v>239</v>
      </c>
      <c r="F377" s="18" t="s">
        <v>240</v>
      </c>
      <c r="G377" s="18" t="s">
        <v>83</v>
      </c>
      <c r="H377" s="18" t="s">
        <v>84</v>
      </c>
      <c r="I377" s="18" t="s">
        <v>153</v>
      </c>
      <c r="J377" s="18">
        <v>2</v>
      </c>
      <c r="K377" s="16">
        <v>89</v>
      </c>
      <c r="L377" s="10"/>
      <c r="M377" s="16">
        <v>0</v>
      </c>
      <c r="N377" s="16">
        <v>0</v>
      </c>
      <c r="O377" s="18">
        <v>0</v>
      </c>
      <c r="P377" s="18" t="s">
        <v>95</v>
      </c>
      <c r="Q377" s="18">
        <v>4.49981</v>
      </c>
      <c r="R377" s="10"/>
      <c r="S377" s="10"/>
      <c r="T377" s="10"/>
      <c r="U377" s="18" t="s">
        <v>1767</v>
      </c>
      <c r="V377" s="18" t="s">
        <v>1768</v>
      </c>
      <c r="W377" s="13"/>
      <c r="X377" s="13"/>
      <c r="Y377" s="18" t="s">
        <v>239</v>
      </c>
      <c r="Z377" s="18" t="s">
        <v>240</v>
      </c>
      <c r="AA377" s="18" t="s">
        <v>83</v>
      </c>
      <c r="AB377" s="18" t="s">
        <v>84</v>
      </c>
      <c r="AC377" s="18" t="s">
        <v>153</v>
      </c>
      <c r="AD377" s="18">
        <v>176</v>
      </c>
      <c r="AE377" s="18">
        <v>0</v>
      </c>
      <c r="AF377" s="18">
        <v>0</v>
      </c>
      <c r="AG377" s="18">
        <v>0</v>
      </c>
      <c r="AH377" s="18">
        <v>0</v>
      </c>
      <c r="AI377" s="18">
        <v>0</v>
      </c>
      <c r="AJ377" s="18">
        <v>0</v>
      </c>
      <c r="AK377" s="18">
        <v>0</v>
      </c>
      <c r="AL377" s="18">
        <v>0</v>
      </c>
      <c r="AM377" s="18">
        <v>0</v>
      </c>
      <c r="AN377" s="18">
        <v>0</v>
      </c>
      <c r="AO377" s="18">
        <v>0</v>
      </c>
      <c r="AP377" s="18">
        <v>0</v>
      </c>
      <c r="AQ377" s="18">
        <v>1</v>
      </c>
      <c r="AR377" s="18">
        <v>0</v>
      </c>
      <c r="AS377" s="18">
        <v>0</v>
      </c>
      <c r="AT377" s="18">
        <v>0</v>
      </c>
      <c r="AU377" s="18">
        <v>0</v>
      </c>
      <c r="AV377" s="18">
        <v>1</v>
      </c>
      <c r="AW377" s="18">
        <v>0</v>
      </c>
      <c r="AX377" s="18">
        <v>0</v>
      </c>
      <c r="AY377" s="13"/>
      <c r="AZ377" s="18">
        <v>1</v>
      </c>
      <c r="BA377" s="18">
        <v>1</v>
      </c>
      <c r="BB377" s="18">
        <v>0</v>
      </c>
      <c r="BC377" s="18" t="s">
        <v>1583</v>
      </c>
      <c r="BD377" s="18" t="s">
        <v>1584</v>
      </c>
      <c r="BE377" s="18" t="s">
        <v>650</v>
      </c>
      <c r="BF377" s="18" t="s">
        <v>77</v>
      </c>
      <c r="BG377" s="18">
        <v>168</v>
      </c>
      <c r="BH377" s="18">
        <v>11</v>
      </c>
      <c r="BI377" s="18">
        <v>0.9385</v>
      </c>
      <c r="BJ377" s="18">
        <v>0</v>
      </c>
      <c r="BK377" s="13"/>
      <c r="BL377" s="13"/>
      <c r="BM377" s="13">
        <f t="shared" si="0"/>
        <v>0</v>
      </c>
    </row>
    <row r="378" customHeight="1" spans="1:65">
      <c r="A378" s="18" t="s">
        <v>1581</v>
      </c>
      <c r="B378" s="18" t="s">
        <v>1582</v>
      </c>
      <c r="C378" s="13"/>
      <c r="D378" s="13"/>
      <c r="E378" s="18" t="s">
        <v>559</v>
      </c>
      <c r="F378" s="18" t="s">
        <v>240</v>
      </c>
      <c r="G378" s="18" t="s">
        <v>83</v>
      </c>
      <c r="H378" s="18" t="s">
        <v>84</v>
      </c>
      <c r="I378" s="18" t="s">
        <v>153</v>
      </c>
      <c r="J378" s="18">
        <v>2</v>
      </c>
      <c r="K378" s="16">
        <v>270</v>
      </c>
      <c r="L378" s="10"/>
      <c r="M378" s="16">
        <v>0</v>
      </c>
      <c r="N378" s="16">
        <v>0</v>
      </c>
      <c r="O378" s="18">
        <v>0</v>
      </c>
      <c r="P378" s="18" t="s">
        <v>71</v>
      </c>
      <c r="Q378" s="18">
        <v>5.602119</v>
      </c>
      <c r="R378" s="10"/>
      <c r="S378" s="10"/>
      <c r="T378" s="10"/>
      <c r="U378" s="18" t="s">
        <v>1581</v>
      </c>
      <c r="V378" s="18" t="s">
        <v>1582</v>
      </c>
      <c r="W378" s="13"/>
      <c r="X378" s="13"/>
      <c r="Y378" s="18" t="s">
        <v>559</v>
      </c>
      <c r="Z378" s="18" t="s">
        <v>240</v>
      </c>
      <c r="AA378" s="18" t="s">
        <v>83</v>
      </c>
      <c r="AB378" s="18" t="s">
        <v>84</v>
      </c>
      <c r="AC378" s="18" t="s">
        <v>153</v>
      </c>
      <c r="AD378" s="18">
        <v>538</v>
      </c>
      <c r="AE378" s="18">
        <v>0</v>
      </c>
      <c r="AF378" s="18">
        <v>0</v>
      </c>
      <c r="AG378" s="18">
        <v>0</v>
      </c>
      <c r="AH378" s="18">
        <v>0</v>
      </c>
      <c r="AI378" s="18">
        <v>0</v>
      </c>
      <c r="AJ378" s="18">
        <v>0</v>
      </c>
      <c r="AK378" s="18">
        <v>0</v>
      </c>
      <c r="AL378" s="18">
        <v>0</v>
      </c>
      <c r="AM378" s="18">
        <v>0</v>
      </c>
      <c r="AN378" s="18">
        <v>0</v>
      </c>
      <c r="AO378" s="18">
        <v>0</v>
      </c>
      <c r="AP378" s="18">
        <v>0</v>
      </c>
      <c r="AQ378" s="18">
        <v>0</v>
      </c>
      <c r="AR378" s="18">
        <v>0</v>
      </c>
      <c r="AS378" s="18">
        <v>0</v>
      </c>
      <c r="AT378" s="18">
        <v>0</v>
      </c>
      <c r="AU378" s="18">
        <v>0</v>
      </c>
      <c r="AV378" s="18">
        <v>1</v>
      </c>
      <c r="AW378" s="18">
        <v>0</v>
      </c>
      <c r="AX378" s="18">
        <v>0</v>
      </c>
      <c r="AY378" s="13"/>
      <c r="AZ378" s="18">
        <v>1</v>
      </c>
      <c r="BA378" s="18">
        <v>0</v>
      </c>
      <c r="BB378" s="18">
        <v>28.92</v>
      </c>
      <c r="BC378" s="18" t="s">
        <v>1583</v>
      </c>
      <c r="BD378" s="18" t="s">
        <v>1584</v>
      </c>
      <c r="BE378" s="18" t="s">
        <v>1585</v>
      </c>
      <c r="BF378" s="18" t="s">
        <v>77</v>
      </c>
      <c r="BG378" s="18">
        <v>14</v>
      </c>
      <c r="BH378" s="18">
        <v>11</v>
      </c>
      <c r="BI378" s="18">
        <v>0.56</v>
      </c>
      <c r="BJ378" s="18">
        <v>0</v>
      </c>
      <c r="BK378" s="18">
        <v>13</v>
      </c>
      <c r="BL378" s="18">
        <v>96.4</v>
      </c>
      <c r="BM378" s="13">
        <f t="shared" si="0"/>
        <v>0</v>
      </c>
    </row>
    <row r="379" customHeight="1" spans="1:65">
      <c r="A379" s="18" t="s">
        <v>1586</v>
      </c>
      <c r="B379" s="18" t="s">
        <v>1587</v>
      </c>
      <c r="C379" s="13"/>
      <c r="D379" s="13"/>
      <c r="E379" s="18" t="s">
        <v>209</v>
      </c>
      <c r="F379" s="18" t="s">
        <v>240</v>
      </c>
      <c r="G379" s="18" t="s">
        <v>83</v>
      </c>
      <c r="H379" s="18" t="s">
        <v>84</v>
      </c>
      <c r="I379" s="18" t="s">
        <v>153</v>
      </c>
      <c r="J379" s="18">
        <v>2</v>
      </c>
      <c r="K379" s="16">
        <v>14.99</v>
      </c>
      <c r="L379" s="10"/>
      <c r="M379" s="16">
        <v>0</v>
      </c>
      <c r="N379" s="16">
        <v>0</v>
      </c>
      <c r="O379" s="18">
        <v>0</v>
      </c>
      <c r="P379" s="18" t="s">
        <v>133</v>
      </c>
      <c r="Q379" s="18">
        <v>2.771964</v>
      </c>
      <c r="R379" s="10"/>
      <c r="S379" s="10"/>
      <c r="T379" s="10"/>
      <c r="U379" s="18" t="s">
        <v>1586</v>
      </c>
      <c r="V379" s="18" t="s">
        <v>1587</v>
      </c>
      <c r="W379" s="13"/>
      <c r="X379" s="13"/>
      <c r="Y379" s="18" t="s">
        <v>209</v>
      </c>
      <c r="Z379" s="18" t="s">
        <v>240</v>
      </c>
      <c r="AA379" s="18" t="s">
        <v>83</v>
      </c>
      <c r="AB379" s="18" t="s">
        <v>84</v>
      </c>
      <c r="AC379" s="18" t="s">
        <v>153</v>
      </c>
      <c r="AD379" s="18">
        <v>27.98</v>
      </c>
      <c r="AE379" s="18">
        <v>0</v>
      </c>
      <c r="AF379" s="18">
        <v>0</v>
      </c>
      <c r="AG379" s="18">
        <v>0</v>
      </c>
      <c r="AH379" s="18">
        <v>0</v>
      </c>
      <c r="AI379" s="18">
        <v>0</v>
      </c>
      <c r="AJ379" s="18">
        <v>0</v>
      </c>
      <c r="AK379" s="18">
        <v>0</v>
      </c>
      <c r="AL379" s="18">
        <v>0</v>
      </c>
      <c r="AM379" s="18">
        <v>0</v>
      </c>
      <c r="AN379" s="18">
        <v>0</v>
      </c>
      <c r="AO379" s="18">
        <v>0</v>
      </c>
      <c r="AP379" s="18">
        <v>0</v>
      </c>
      <c r="AQ379" s="18">
        <v>0</v>
      </c>
      <c r="AR379" s="18">
        <v>0</v>
      </c>
      <c r="AS379" s="18">
        <v>0</v>
      </c>
      <c r="AT379" s="18">
        <v>0</v>
      </c>
      <c r="AU379" s="18">
        <v>0</v>
      </c>
      <c r="AV379" s="18">
        <v>0</v>
      </c>
      <c r="AW379" s="18">
        <v>0</v>
      </c>
      <c r="AX379" s="18">
        <v>0</v>
      </c>
      <c r="AY379" s="13"/>
      <c r="AZ379" s="18">
        <v>1</v>
      </c>
      <c r="BA379" s="18">
        <v>0</v>
      </c>
      <c r="BB379" s="18">
        <v>17.91</v>
      </c>
      <c r="BC379" s="18" t="s">
        <v>1588</v>
      </c>
      <c r="BD379" s="18" t="s">
        <v>1589</v>
      </c>
      <c r="BE379" s="18" t="s">
        <v>1590</v>
      </c>
      <c r="BF379" s="18" t="s">
        <v>77</v>
      </c>
      <c r="BG379" s="18">
        <v>168</v>
      </c>
      <c r="BH379" s="18">
        <v>11</v>
      </c>
      <c r="BI379" s="18">
        <v>0.9385</v>
      </c>
      <c r="BJ379" s="18">
        <v>0</v>
      </c>
      <c r="BK379" s="18">
        <v>147</v>
      </c>
      <c r="BL379" s="18">
        <v>59.7</v>
      </c>
      <c r="BM379" s="13">
        <f t="shared" si="0"/>
        <v>0</v>
      </c>
    </row>
    <row r="380" customHeight="1" spans="1:65">
      <c r="A380" s="18" t="s">
        <v>1591</v>
      </c>
      <c r="B380" s="19" t="s">
        <v>1592</v>
      </c>
      <c r="C380" s="13"/>
      <c r="D380" s="13"/>
      <c r="E380" s="18" t="s">
        <v>1593</v>
      </c>
      <c r="F380" s="18" t="s">
        <v>240</v>
      </c>
      <c r="G380" s="18" t="s">
        <v>83</v>
      </c>
      <c r="H380" s="18" t="s">
        <v>84</v>
      </c>
      <c r="I380" s="18" t="s">
        <v>85</v>
      </c>
      <c r="J380" s="18">
        <v>5</v>
      </c>
      <c r="K380" s="16">
        <v>40</v>
      </c>
      <c r="L380" s="10"/>
      <c r="M380" s="16">
        <v>0</v>
      </c>
      <c r="N380" s="16">
        <v>0</v>
      </c>
      <c r="O380" s="18">
        <v>0</v>
      </c>
      <c r="P380" s="18" t="s">
        <v>86</v>
      </c>
      <c r="Q380" s="18">
        <v>3.713572</v>
      </c>
      <c r="R380" s="10"/>
      <c r="S380" s="10"/>
      <c r="T380" s="16">
        <v>3</v>
      </c>
      <c r="U380" s="18" t="s">
        <v>1591</v>
      </c>
      <c r="V380" s="19" t="s">
        <v>1592</v>
      </c>
      <c r="W380" s="13"/>
      <c r="X380" s="13"/>
      <c r="Y380" s="18" t="s">
        <v>1593</v>
      </c>
      <c r="Z380" s="18" t="s">
        <v>240</v>
      </c>
      <c r="AA380" s="18" t="s">
        <v>83</v>
      </c>
      <c r="AB380" s="18" t="s">
        <v>84</v>
      </c>
      <c r="AC380" s="18" t="s">
        <v>85</v>
      </c>
      <c r="AD380" s="18">
        <v>75</v>
      </c>
      <c r="AE380" s="18">
        <v>0</v>
      </c>
      <c r="AF380" s="18">
        <v>0</v>
      </c>
      <c r="AG380" s="18">
        <v>0</v>
      </c>
      <c r="AH380" s="18">
        <v>0</v>
      </c>
      <c r="AI380" s="18">
        <v>0</v>
      </c>
      <c r="AJ380" s="18">
        <v>0</v>
      </c>
      <c r="AK380" s="18">
        <v>0</v>
      </c>
      <c r="AL380" s="18">
        <v>0</v>
      </c>
      <c r="AM380" s="18">
        <v>0</v>
      </c>
      <c r="AN380" s="18">
        <v>0</v>
      </c>
      <c r="AO380" s="18">
        <v>0</v>
      </c>
      <c r="AP380" s="18">
        <v>0</v>
      </c>
      <c r="AQ380" s="18">
        <v>0</v>
      </c>
      <c r="AR380" s="18">
        <v>0</v>
      </c>
      <c r="AS380" s="18">
        <v>0</v>
      </c>
      <c r="AT380" s="18">
        <v>0</v>
      </c>
      <c r="AU380" s="18">
        <v>0</v>
      </c>
      <c r="AV380" s="18">
        <v>0</v>
      </c>
      <c r="AW380" s="18">
        <v>0</v>
      </c>
      <c r="AX380" s="18">
        <v>0</v>
      </c>
      <c r="AY380" s="13"/>
      <c r="AZ380" s="18">
        <v>1</v>
      </c>
      <c r="BA380" s="18">
        <v>0</v>
      </c>
      <c r="BB380" s="18">
        <v>0</v>
      </c>
      <c r="BC380" s="18" t="s">
        <v>1594</v>
      </c>
      <c r="BD380" s="18" t="s">
        <v>1595</v>
      </c>
      <c r="BE380" s="18" t="s">
        <v>128</v>
      </c>
      <c r="BF380" s="18" t="s">
        <v>77</v>
      </c>
      <c r="BG380" s="18">
        <v>162</v>
      </c>
      <c r="BH380" s="18">
        <v>58</v>
      </c>
      <c r="BI380" s="18">
        <v>0.7364</v>
      </c>
      <c r="BJ380" s="18">
        <v>0</v>
      </c>
      <c r="BK380" s="13"/>
      <c r="BL380" s="13"/>
      <c r="BM380" s="13">
        <f t="shared" si="0"/>
        <v>0</v>
      </c>
    </row>
    <row r="381" customHeight="1" spans="1:65">
      <c r="A381" s="18" t="s">
        <v>1690</v>
      </c>
      <c r="B381" s="18" t="s">
        <v>427</v>
      </c>
      <c r="C381" s="18" t="s">
        <v>1691</v>
      </c>
      <c r="D381" s="18">
        <v>193108146531</v>
      </c>
      <c r="E381" s="18" t="s">
        <v>81</v>
      </c>
      <c r="F381" s="18" t="s">
        <v>160</v>
      </c>
      <c r="G381" s="18" t="s">
        <v>427</v>
      </c>
      <c r="H381" s="18" t="s">
        <v>107</v>
      </c>
      <c r="I381" s="18" t="s">
        <v>85</v>
      </c>
      <c r="J381" s="18">
        <v>5</v>
      </c>
      <c r="K381" s="16">
        <v>122.99</v>
      </c>
      <c r="L381" s="10"/>
      <c r="M381" s="16">
        <v>0</v>
      </c>
      <c r="N381" s="16">
        <v>0</v>
      </c>
      <c r="O381" s="18">
        <v>0</v>
      </c>
      <c r="P381" s="18" t="s">
        <v>95</v>
      </c>
      <c r="Q381" s="18">
        <v>4.820201</v>
      </c>
      <c r="R381" s="10"/>
      <c r="S381" s="16">
        <v>2</v>
      </c>
      <c r="T381" s="16">
        <v>5</v>
      </c>
      <c r="U381" s="18" t="s">
        <v>1690</v>
      </c>
      <c r="V381" s="18" t="s">
        <v>427</v>
      </c>
      <c r="W381" s="18" t="s">
        <v>1691</v>
      </c>
      <c r="X381" s="18">
        <v>193108146532</v>
      </c>
      <c r="Y381" s="18" t="s">
        <v>81</v>
      </c>
      <c r="Z381" s="18" t="s">
        <v>160</v>
      </c>
      <c r="AA381" s="18" t="s">
        <v>427</v>
      </c>
      <c r="AB381" s="18" t="s">
        <v>107</v>
      </c>
      <c r="AC381" s="18" t="s">
        <v>85</v>
      </c>
      <c r="AD381" s="18">
        <v>240.98</v>
      </c>
      <c r="AE381" s="18">
        <v>1</v>
      </c>
      <c r="AF381" s="18">
        <v>0</v>
      </c>
      <c r="AG381" s="18">
        <v>0</v>
      </c>
      <c r="AH381" s="18">
        <v>1</v>
      </c>
      <c r="AI381" s="18">
        <v>0</v>
      </c>
      <c r="AJ381" s="18">
        <v>0</v>
      </c>
      <c r="AK381" s="18">
        <v>0</v>
      </c>
      <c r="AL381" s="18">
        <v>0</v>
      </c>
      <c r="AM381" s="18">
        <v>0</v>
      </c>
      <c r="AN381" s="18">
        <v>0</v>
      </c>
      <c r="AO381" s="18">
        <v>0</v>
      </c>
      <c r="AP381" s="18">
        <v>1</v>
      </c>
      <c r="AQ381" s="18">
        <v>0</v>
      </c>
      <c r="AR381" s="18">
        <v>0</v>
      </c>
      <c r="AS381" s="18">
        <v>0</v>
      </c>
      <c r="AT381" s="18">
        <v>0</v>
      </c>
      <c r="AU381" s="18">
        <v>0</v>
      </c>
      <c r="AV381" s="18">
        <v>0</v>
      </c>
      <c r="AW381" s="18">
        <v>1</v>
      </c>
      <c r="AX381" s="18">
        <v>0</v>
      </c>
      <c r="AY381" s="13"/>
      <c r="AZ381" s="18">
        <v>3</v>
      </c>
      <c r="BA381" s="18">
        <v>2</v>
      </c>
      <c r="BB381" s="18">
        <v>40.86</v>
      </c>
      <c r="BC381" s="18" t="s">
        <v>1599</v>
      </c>
      <c r="BD381" s="18" t="s">
        <v>1600</v>
      </c>
      <c r="BE381" s="18" t="s">
        <v>673</v>
      </c>
      <c r="BF381" s="18" t="s">
        <v>77</v>
      </c>
      <c r="BG381" s="18">
        <v>168</v>
      </c>
      <c r="BH381" s="18">
        <v>11</v>
      </c>
      <c r="BI381" s="18">
        <v>0.9385</v>
      </c>
      <c r="BJ381" s="18">
        <v>0</v>
      </c>
      <c r="BK381" s="18">
        <v>7</v>
      </c>
      <c r="BL381" s="18">
        <v>98.1</v>
      </c>
      <c r="BM381" s="13">
        <f t="shared" si="0"/>
        <v>245.98</v>
      </c>
    </row>
    <row r="382" customHeight="1" spans="1:65">
      <c r="A382" s="18" t="s">
        <v>1598</v>
      </c>
      <c r="B382" s="18" t="s">
        <v>195</v>
      </c>
      <c r="C382" s="13"/>
      <c r="D382" s="18">
        <v>843261113962</v>
      </c>
      <c r="E382" s="18" t="s">
        <v>209</v>
      </c>
      <c r="F382" s="18" t="s">
        <v>160</v>
      </c>
      <c r="G382" s="18" t="s">
        <v>83</v>
      </c>
      <c r="H382" s="18" t="s">
        <v>84</v>
      </c>
      <c r="I382" s="18" t="s">
        <v>85</v>
      </c>
      <c r="J382" s="18">
        <v>5</v>
      </c>
      <c r="K382" s="16">
        <v>98.99</v>
      </c>
      <c r="L382" s="10"/>
      <c r="M382" s="16">
        <v>0</v>
      </c>
      <c r="N382" s="16">
        <v>0</v>
      </c>
      <c r="O382" s="18">
        <v>0</v>
      </c>
      <c r="P382" s="18" t="s">
        <v>95</v>
      </c>
      <c r="Q382" s="18">
        <v>4.60507</v>
      </c>
      <c r="R382" s="10"/>
      <c r="S382" s="16">
        <v>8</v>
      </c>
      <c r="T382" s="16">
        <v>3</v>
      </c>
      <c r="U382" s="18" t="s">
        <v>1598</v>
      </c>
      <c r="V382" s="18" t="s">
        <v>195</v>
      </c>
      <c r="W382" s="13"/>
      <c r="X382" s="18">
        <v>843261113963</v>
      </c>
      <c r="Y382" s="18" t="s">
        <v>209</v>
      </c>
      <c r="Z382" s="18" t="s">
        <v>160</v>
      </c>
      <c r="AA382" s="18" t="s">
        <v>83</v>
      </c>
      <c r="AB382" s="18" t="s">
        <v>84</v>
      </c>
      <c r="AC382" s="18" t="s">
        <v>85</v>
      </c>
      <c r="AD382" s="18">
        <v>192.98</v>
      </c>
      <c r="AE382" s="18">
        <v>0</v>
      </c>
      <c r="AF382" s="18">
        <v>0</v>
      </c>
      <c r="AG382" s="18">
        <v>0</v>
      </c>
      <c r="AH382" s="18">
        <v>0</v>
      </c>
      <c r="AI382" s="18">
        <v>0</v>
      </c>
      <c r="AJ382" s="18">
        <v>0</v>
      </c>
      <c r="AK382" s="18">
        <v>0</v>
      </c>
      <c r="AL382" s="18">
        <v>0</v>
      </c>
      <c r="AM382" s="18">
        <v>0</v>
      </c>
      <c r="AN382" s="18">
        <v>0</v>
      </c>
      <c r="AO382" s="18">
        <v>0</v>
      </c>
      <c r="AP382" s="18">
        <v>0</v>
      </c>
      <c r="AQ382" s="18">
        <v>0</v>
      </c>
      <c r="AR382" s="18">
        <v>0</v>
      </c>
      <c r="AS382" s="18">
        <v>0</v>
      </c>
      <c r="AT382" s="18">
        <v>0</v>
      </c>
      <c r="AU382" s="18">
        <v>1</v>
      </c>
      <c r="AV382" s="18">
        <v>0</v>
      </c>
      <c r="AW382" s="18">
        <v>1</v>
      </c>
      <c r="AX382" s="18">
        <v>0</v>
      </c>
      <c r="AY382" s="13"/>
      <c r="AZ382" s="18">
        <v>1</v>
      </c>
      <c r="BA382" s="18">
        <v>0</v>
      </c>
      <c r="BB382" s="18">
        <v>58.19</v>
      </c>
      <c r="BC382" s="18" t="s">
        <v>1599</v>
      </c>
      <c r="BD382" s="18" t="s">
        <v>1600</v>
      </c>
      <c r="BE382" s="18" t="s">
        <v>262</v>
      </c>
      <c r="BF382" s="18" t="s">
        <v>77</v>
      </c>
      <c r="BG382" s="18">
        <v>168</v>
      </c>
      <c r="BH382" s="18">
        <v>11</v>
      </c>
      <c r="BI382" s="18">
        <v>0.9385</v>
      </c>
      <c r="BJ382" s="18">
        <v>0</v>
      </c>
      <c r="BK382" s="18">
        <v>11</v>
      </c>
      <c r="BL382" s="18">
        <v>97</v>
      </c>
      <c r="BM382" s="13">
        <f t="shared" si="0"/>
        <v>791.92</v>
      </c>
    </row>
    <row r="383" customHeight="1" spans="1:65">
      <c r="A383" s="18" t="s">
        <v>1602</v>
      </c>
      <c r="B383" s="18" t="s">
        <v>125</v>
      </c>
      <c r="C383" s="13"/>
      <c r="D383" s="13"/>
      <c r="E383" s="18" t="s">
        <v>1603</v>
      </c>
      <c r="F383" s="18" t="s">
        <v>132</v>
      </c>
      <c r="G383" s="18" t="s">
        <v>83</v>
      </c>
      <c r="H383" s="18" t="s">
        <v>138</v>
      </c>
      <c r="I383" s="18" t="s">
        <v>85</v>
      </c>
      <c r="J383" s="18">
        <v>5</v>
      </c>
      <c r="K383" s="16">
        <v>12.95</v>
      </c>
      <c r="L383" s="10"/>
      <c r="M383" s="16">
        <v>0</v>
      </c>
      <c r="N383" s="16">
        <v>0</v>
      </c>
      <c r="O383" s="18">
        <v>0</v>
      </c>
      <c r="P383" s="18" t="s">
        <v>133</v>
      </c>
      <c r="Q383" s="18">
        <v>2.63548</v>
      </c>
      <c r="R383" s="10"/>
      <c r="S383" s="16">
        <v>170</v>
      </c>
      <c r="T383" s="16">
        <v>13</v>
      </c>
      <c r="U383" s="18" t="s">
        <v>1602</v>
      </c>
      <c r="V383" s="18" t="s">
        <v>125</v>
      </c>
      <c r="W383" s="13"/>
      <c r="X383" s="13"/>
      <c r="Y383" s="18" t="s">
        <v>1603</v>
      </c>
      <c r="Z383" s="18" t="s">
        <v>132</v>
      </c>
      <c r="AA383" s="18" t="s">
        <v>83</v>
      </c>
      <c r="AB383" s="18" t="s">
        <v>138</v>
      </c>
      <c r="AC383" s="18" t="s">
        <v>85</v>
      </c>
      <c r="AD383" s="18">
        <v>20.9</v>
      </c>
      <c r="AE383" s="18">
        <v>0</v>
      </c>
      <c r="AF383" s="18">
        <v>0</v>
      </c>
      <c r="AG383" s="18">
        <v>0</v>
      </c>
      <c r="AH383" s="18">
        <v>1</v>
      </c>
      <c r="AI383" s="18">
        <v>0</v>
      </c>
      <c r="AJ383" s="18">
        <v>0</v>
      </c>
      <c r="AK383" s="18">
        <v>0</v>
      </c>
      <c r="AL383" s="18">
        <v>0</v>
      </c>
      <c r="AM383" s="18">
        <v>0</v>
      </c>
      <c r="AN383" s="18">
        <v>0</v>
      </c>
      <c r="AO383" s="18">
        <v>0</v>
      </c>
      <c r="AP383" s="18">
        <v>0</v>
      </c>
      <c r="AQ383" s="18">
        <v>0</v>
      </c>
      <c r="AR383" s="18">
        <v>0</v>
      </c>
      <c r="AS383" s="18">
        <v>0</v>
      </c>
      <c r="AT383" s="18">
        <v>0</v>
      </c>
      <c r="AU383" s="18">
        <v>0</v>
      </c>
      <c r="AV383" s="18">
        <v>0</v>
      </c>
      <c r="AW383" s="18">
        <v>0</v>
      </c>
      <c r="AX383" s="18">
        <v>0</v>
      </c>
      <c r="AY383" s="13"/>
      <c r="AZ383" s="18">
        <v>1</v>
      </c>
      <c r="BA383" s="18">
        <v>1</v>
      </c>
      <c r="BB383" s="18">
        <v>54.26</v>
      </c>
      <c r="BC383" s="18" t="s">
        <v>1604</v>
      </c>
      <c r="BD383" s="18" t="s">
        <v>1054</v>
      </c>
      <c r="BE383" s="18" t="s">
        <v>262</v>
      </c>
      <c r="BF383" s="18" t="s">
        <v>77</v>
      </c>
      <c r="BG383" s="18">
        <v>169</v>
      </c>
      <c r="BH383" s="18">
        <v>11</v>
      </c>
      <c r="BI383" s="18">
        <v>0.9389</v>
      </c>
      <c r="BJ383" s="18">
        <v>0</v>
      </c>
      <c r="BK383" s="18">
        <v>157</v>
      </c>
      <c r="BL383" s="18">
        <v>57</v>
      </c>
      <c r="BM383" s="13">
        <f t="shared" si="0"/>
        <v>2201.5</v>
      </c>
    </row>
    <row r="384" customHeight="1" spans="1:65">
      <c r="A384" s="18" t="s">
        <v>1606</v>
      </c>
      <c r="B384" s="18" t="s">
        <v>125</v>
      </c>
      <c r="C384" s="18" t="s">
        <v>1607</v>
      </c>
      <c r="D384" s="13"/>
      <c r="E384" s="18" t="s">
        <v>1606</v>
      </c>
      <c r="F384" s="18" t="s">
        <v>132</v>
      </c>
      <c r="G384" s="18" t="s">
        <v>83</v>
      </c>
      <c r="H384" s="18" t="s">
        <v>138</v>
      </c>
      <c r="I384" s="18" t="s">
        <v>85</v>
      </c>
      <c r="J384" s="18">
        <v>5</v>
      </c>
      <c r="K384" s="16">
        <v>9.99</v>
      </c>
      <c r="L384" s="10"/>
      <c r="M384" s="16">
        <v>0</v>
      </c>
      <c r="N384" s="16">
        <v>0</v>
      </c>
      <c r="O384" s="18">
        <v>0</v>
      </c>
      <c r="P384" s="18" t="s">
        <v>133</v>
      </c>
      <c r="Q384" s="18">
        <v>2.396986</v>
      </c>
      <c r="R384" s="10"/>
      <c r="S384" s="16">
        <v>383</v>
      </c>
      <c r="T384" s="16">
        <v>10</v>
      </c>
      <c r="U384" s="18" t="s">
        <v>1606</v>
      </c>
      <c r="V384" s="18" t="s">
        <v>125</v>
      </c>
      <c r="W384" s="18" t="s">
        <v>1607</v>
      </c>
      <c r="X384" s="13"/>
      <c r="Y384" s="18" t="s">
        <v>1606</v>
      </c>
      <c r="Z384" s="18" t="s">
        <v>132</v>
      </c>
      <c r="AA384" s="18" t="s">
        <v>83</v>
      </c>
      <c r="AB384" s="18" t="s">
        <v>138</v>
      </c>
      <c r="AC384" s="18" t="s">
        <v>85</v>
      </c>
      <c r="AD384" s="18">
        <v>14.98</v>
      </c>
      <c r="AE384" s="18">
        <v>0</v>
      </c>
      <c r="AF384" s="18">
        <v>0</v>
      </c>
      <c r="AG384" s="18">
        <v>0</v>
      </c>
      <c r="AH384" s="18">
        <v>0</v>
      </c>
      <c r="AI384" s="18">
        <v>0</v>
      </c>
      <c r="AJ384" s="18">
        <v>0</v>
      </c>
      <c r="AK384" s="18">
        <v>0</v>
      </c>
      <c r="AL384" s="18">
        <v>0</v>
      </c>
      <c r="AM384" s="18">
        <v>0</v>
      </c>
      <c r="AN384" s="18">
        <v>0</v>
      </c>
      <c r="AO384" s="18">
        <v>0</v>
      </c>
      <c r="AP384" s="18">
        <v>0</v>
      </c>
      <c r="AQ384" s="18">
        <v>0</v>
      </c>
      <c r="AR384" s="18">
        <v>0</v>
      </c>
      <c r="AS384" s="18">
        <v>0</v>
      </c>
      <c r="AT384" s="18">
        <v>0</v>
      </c>
      <c r="AU384" s="18">
        <v>0</v>
      </c>
      <c r="AV384" s="18">
        <v>0</v>
      </c>
      <c r="AW384" s="18">
        <v>0</v>
      </c>
      <c r="AX384" s="18">
        <v>0</v>
      </c>
      <c r="AY384" s="13"/>
      <c r="AZ384" s="18">
        <v>1</v>
      </c>
      <c r="BA384" s="18">
        <v>0</v>
      </c>
      <c r="BB384" s="18">
        <v>56.32</v>
      </c>
      <c r="BC384" s="18" t="s">
        <v>1608</v>
      </c>
      <c r="BD384" s="18" t="s">
        <v>1609</v>
      </c>
      <c r="BE384" s="18" t="s">
        <v>150</v>
      </c>
      <c r="BF384" s="18" t="s">
        <v>77</v>
      </c>
      <c r="BG384" s="18">
        <v>169</v>
      </c>
      <c r="BH384" s="18">
        <v>11</v>
      </c>
      <c r="BI384" s="18">
        <v>0.9389</v>
      </c>
      <c r="BJ384" s="18">
        <v>0</v>
      </c>
      <c r="BK384" s="18">
        <v>154</v>
      </c>
      <c r="BL384" s="18">
        <v>57.8</v>
      </c>
      <c r="BM384" s="13">
        <f t="shared" si="0"/>
        <v>3826.17</v>
      </c>
    </row>
    <row r="385" customHeight="1" spans="1:65">
      <c r="A385" s="18" t="s">
        <v>2140</v>
      </c>
      <c r="B385" s="18" t="s">
        <v>125</v>
      </c>
      <c r="C385" s="18" t="s">
        <v>1607</v>
      </c>
      <c r="D385" s="13"/>
      <c r="E385" s="18" t="s">
        <v>1606</v>
      </c>
      <c r="F385" s="18" t="s">
        <v>132</v>
      </c>
      <c r="G385" s="18" t="s">
        <v>83</v>
      </c>
      <c r="H385" s="18" t="s">
        <v>138</v>
      </c>
      <c r="I385" s="18" t="s">
        <v>85</v>
      </c>
      <c r="J385" s="18">
        <v>5</v>
      </c>
      <c r="K385" s="16">
        <v>49.99</v>
      </c>
      <c r="L385" s="10"/>
      <c r="M385" s="16">
        <v>0</v>
      </c>
      <c r="N385" s="16">
        <v>0</v>
      </c>
      <c r="O385" s="18">
        <v>0</v>
      </c>
      <c r="P385" s="18" t="s">
        <v>86</v>
      </c>
      <c r="Q385" s="18">
        <v>3.93163</v>
      </c>
      <c r="R385" s="10"/>
      <c r="S385" s="16">
        <v>35</v>
      </c>
      <c r="T385" s="16">
        <v>10</v>
      </c>
      <c r="U385" s="18" t="s">
        <v>2140</v>
      </c>
      <c r="V385" s="18" t="s">
        <v>125</v>
      </c>
      <c r="W385" s="18" t="s">
        <v>1607</v>
      </c>
      <c r="X385" s="13"/>
      <c r="Y385" s="18" t="s">
        <v>1606</v>
      </c>
      <c r="Z385" s="18" t="s">
        <v>132</v>
      </c>
      <c r="AA385" s="18" t="s">
        <v>83</v>
      </c>
      <c r="AB385" s="18" t="s">
        <v>138</v>
      </c>
      <c r="AC385" s="18" t="s">
        <v>85</v>
      </c>
      <c r="AD385" s="18">
        <v>94.98</v>
      </c>
      <c r="AE385" s="18">
        <v>0</v>
      </c>
      <c r="AF385" s="18">
        <v>0</v>
      </c>
      <c r="AG385" s="18">
        <v>0</v>
      </c>
      <c r="AH385" s="18">
        <v>0</v>
      </c>
      <c r="AI385" s="18">
        <v>0</v>
      </c>
      <c r="AJ385" s="18">
        <v>0</v>
      </c>
      <c r="AK385" s="18">
        <v>0</v>
      </c>
      <c r="AL385" s="18">
        <v>0</v>
      </c>
      <c r="AM385" s="18">
        <v>0</v>
      </c>
      <c r="AN385" s="18">
        <v>0</v>
      </c>
      <c r="AO385" s="18">
        <v>0</v>
      </c>
      <c r="AP385" s="18">
        <v>0</v>
      </c>
      <c r="AQ385" s="18">
        <v>0</v>
      </c>
      <c r="AR385" s="18">
        <v>0</v>
      </c>
      <c r="AS385" s="18">
        <v>0</v>
      </c>
      <c r="AT385" s="18">
        <v>0</v>
      </c>
      <c r="AU385" s="18">
        <v>0</v>
      </c>
      <c r="AV385" s="18">
        <v>0</v>
      </c>
      <c r="AW385" s="18">
        <v>1</v>
      </c>
      <c r="AX385" s="18">
        <v>0</v>
      </c>
      <c r="AY385" s="13"/>
      <c r="AZ385" s="18">
        <v>10</v>
      </c>
      <c r="BA385" s="18">
        <v>0</v>
      </c>
      <c r="BB385" s="18">
        <v>31.11</v>
      </c>
      <c r="BC385" s="18" t="s">
        <v>1608</v>
      </c>
      <c r="BD385" s="18" t="s">
        <v>1609</v>
      </c>
      <c r="BE385" s="18" t="s">
        <v>136</v>
      </c>
      <c r="BF385" s="18" t="s">
        <v>77</v>
      </c>
      <c r="BG385" s="18">
        <v>170</v>
      </c>
      <c r="BH385" s="18">
        <v>11</v>
      </c>
      <c r="BI385" s="18">
        <v>0.9392</v>
      </c>
      <c r="BJ385" s="18">
        <v>0</v>
      </c>
      <c r="BK385" s="13"/>
      <c r="BL385" s="13"/>
      <c r="BM385" s="13">
        <f t="shared" si="0"/>
        <v>1749.65</v>
      </c>
    </row>
    <row r="386" customHeight="1" spans="1:65">
      <c r="A386" s="18" t="s">
        <v>1614</v>
      </c>
      <c r="B386" s="18" t="s">
        <v>1615</v>
      </c>
      <c r="C386" s="13"/>
      <c r="D386" s="13"/>
      <c r="E386" s="18" t="s">
        <v>67</v>
      </c>
      <c r="F386" s="18" t="s">
        <v>240</v>
      </c>
      <c r="G386" s="18" t="s">
        <v>83</v>
      </c>
      <c r="H386" s="18" t="s">
        <v>84</v>
      </c>
      <c r="I386" s="18" t="s">
        <v>153</v>
      </c>
      <c r="J386" s="18">
        <v>2</v>
      </c>
      <c r="K386" s="16">
        <v>112.5</v>
      </c>
      <c r="L386" s="10"/>
      <c r="M386" s="16">
        <v>0</v>
      </c>
      <c r="N386" s="16">
        <v>0</v>
      </c>
      <c r="O386" s="18">
        <v>0</v>
      </c>
      <c r="P386" s="18" t="s">
        <v>95</v>
      </c>
      <c r="Q386" s="18">
        <v>4.731803</v>
      </c>
      <c r="R386" s="16">
        <v>28.12</v>
      </c>
      <c r="S386" s="10"/>
      <c r="T386" s="10"/>
      <c r="U386" s="18" t="s">
        <v>1614</v>
      </c>
      <c r="V386" s="18" t="s">
        <v>1615</v>
      </c>
      <c r="W386" s="13"/>
      <c r="X386" s="13"/>
      <c r="Y386" s="18" t="s">
        <v>67</v>
      </c>
      <c r="Z386" s="18" t="s">
        <v>240</v>
      </c>
      <c r="AA386" s="18" t="s">
        <v>83</v>
      </c>
      <c r="AB386" s="18" t="s">
        <v>84</v>
      </c>
      <c r="AC386" s="18" t="s">
        <v>153</v>
      </c>
      <c r="AD386" s="18">
        <v>223</v>
      </c>
      <c r="AE386" s="18">
        <v>0</v>
      </c>
      <c r="AF386" s="18">
        <v>0</v>
      </c>
      <c r="AG386" s="18">
        <v>0</v>
      </c>
      <c r="AH386" s="18">
        <v>0</v>
      </c>
      <c r="AI386" s="18">
        <v>0</v>
      </c>
      <c r="AJ386" s="18">
        <v>0</v>
      </c>
      <c r="AK386" s="18">
        <v>0</v>
      </c>
      <c r="AL386" s="18">
        <v>0</v>
      </c>
      <c r="AM386" s="18">
        <v>0</v>
      </c>
      <c r="AN386" s="18">
        <v>0</v>
      </c>
      <c r="AO386" s="18">
        <v>0</v>
      </c>
      <c r="AP386" s="18">
        <v>0</v>
      </c>
      <c r="AQ386" s="18">
        <v>1</v>
      </c>
      <c r="AR386" s="18">
        <v>0</v>
      </c>
      <c r="AS386" s="18">
        <v>0</v>
      </c>
      <c r="AT386" s="18">
        <v>0</v>
      </c>
      <c r="AU386" s="18">
        <v>0</v>
      </c>
      <c r="AV386" s="18">
        <v>1</v>
      </c>
      <c r="AW386" s="18">
        <v>1</v>
      </c>
      <c r="AX386" s="18">
        <v>0</v>
      </c>
      <c r="AY386" s="18">
        <v>4</v>
      </c>
      <c r="AZ386" s="18">
        <v>1</v>
      </c>
      <c r="BA386" s="18">
        <v>1</v>
      </c>
      <c r="BB386" s="18">
        <v>1.8</v>
      </c>
      <c r="BC386" s="18" t="s">
        <v>1616</v>
      </c>
      <c r="BD386" s="18" t="s">
        <v>698</v>
      </c>
      <c r="BE386" s="18" t="s">
        <v>166</v>
      </c>
      <c r="BF386" s="18" t="s">
        <v>77</v>
      </c>
      <c r="BG386" s="18">
        <v>168</v>
      </c>
      <c r="BH386" s="18">
        <v>11</v>
      </c>
      <c r="BI386" s="18">
        <v>0.9385</v>
      </c>
      <c r="BJ386" s="18">
        <v>0</v>
      </c>
      <c r="BK386" s="18">
        <v>343</v>
      </c>
      <c r="BL386" s="18">
        <v>6</v>
      </c>
      <c r="BM386" s="13">
        <f t="shared" si="0"/>
        <v>0</v>
      </c>
    </row>
    <row r="387" customHeight="1" spans="1:65">
      <c r="A387" s="18" t="s">
        <v>1617</v>
      </c>
      <c r="B387" s="18" t="s">
        <v>65</v>
      </c>
      <c r="C387" s="18" t="s">
        <v>1618</v>
      </c>
      <c r="D387" s="18">
        <v>695529052168</v>
      </c>
      <c r="E387" s="18" t="s">
        <v>255</v>
      </c>
      <c r="F387" s="18" t="s">
        <v>82</v>
      </c>
      <c r="G387" s="18" t="s">
        <v>65</v>
      </c>
      <c r="H387" s="18" t="s">
        <v>69</v>
      </c>
      <c r="I387" s="18" t="s">
        <v>203</v>
      </c>
      <c r="J387" s="18">
        <v>4</v>
      </c>
      <c r="K387" s="16">
        <v>80</v>
      </c>
      <c r="L387" s="10"/>
      <c r="M387" s="16">
        <v>0</v>
      </c>
      <c r="N387" s="16">
        <v>0</v>
      </c>
      <c r="O387" s="18">
        <v>0</v>
      </c>
      <c r="P387" s="18" t="s">
        <v>95</v>
      </c>
      <c r="Q387" s="18">
        <v>4.394449</v>
      </c>
      <c r="R387" s="10"/>
      <c r="S387" s="10"/>
      <c r="T387" s="10"/>
      <c r="U387" s="18" t="s">
        <v>1617</v>
      </c>
      <c r="V387" s="18" t="s">
        <v>65</v>
      </c>
      <c r="W387" s="18" t="s">
        <v>1618</v>
      </c>
      <c r="X387" s="18">
        <v>695529052169</v>
      </c>
      <c r="Y387" s="18" t="s">
        <v>255</v>
      </c>
      <c r="Z387" s="18" t="s">
        <v>82</v>
      </c>
      <c r="AA387" s="18" t="s">
        <v>65</v>
      </c>
      <c r="AB387" s="18" t="s">
        <v>69</v>
      </c>
      <c r="AC387" s="18" t="s">
        <v>203</v>
      </c>
      <c r="AD387" s="18">
        <v>156</v>
      </c>
      <c r="AE387" s="18">
        <v>0</v>
      </c>
      <c r="AF387" s="18">
        <v>0</v>
      </c>
      <c r="AG387" s="18">
        <v>1</v>
      </c>
      <c r="AH387" s="18">
        <v>0</v>
      </c>
      <c r="AI387" s="18">
        <v>1</v>
      </c>
      <c r="AJ387" s="18">
        <v>0</v>
      </c>
      <c r="AK387" s="18">
        <v>0</v>
      </c>
      <c r="AL387" s="18">
        <v>0</v>
      </c>
      <c r="AM387" s="18">
        <v>0</v>
      </c>
      <c r="AN387" s="18">
        <v>0</v>
      </c>
      <c r="AO387" s="18">
        <v>0</v>
      </c>
      <c r="AP387" s="18">
        <v>0</v>
      </c>
      <c r="AQ387" s="18">
        <v>0</v>
      </c>
      <c r="AR387" s="18">
        <v>0</v>
      </c>
      <c r="AS387" s="18">
        <v>0</v>
      </c>
      <c r="AT387" s="18">
        <v>0</v>
      </c>
      <c r="AU387" s="18">
        <v>0</v>
      </c>
      <c r="AV387" s="18">
        <v>0</v>
      </c>
      <c r="AW387" s="18">
        <v>0</v>
      </c>
      <c r="AX387" s="18">
        <v>0</v>
      </c>
      <c r="AY387" s="13"/>
      <c r="AZ387" s="18">
        <v>1</v>
      </c>
      <c r="BA387" s="18">
        <v>0</v>
      </c>
      <c r="BB387" s="18">
        <v>0</v>
      </c>
      <c r="BC387" s="18" t="s">
        <v>1619</v>
      </c>
      <c r="BD387" s="18" t="s">
        <v>278</v>
      </c>
      <c r="BE387" s="18" t="s">
        <v>1620</v>
      </c>
      <c r="BF387" s="18" t="s">
        <v>77</v>
      </c>
      <c r="BG387" s="18">
        <v>168</v>
      </c>
      <c r="BH387" s="18">
        <v>11</v>
      </c>
      <c r="BI387" s="18">
        <v>0.9385</v>
      </c>
      <c r="BJ387" s="18">
        <v>0</v>
      </c>
      <c r="BK387" s="13"/>
      <c r="BL387" s="13"/>
      <c r="BM387" s="13">
        <f t="shared" si="0"/>
        <v>0</v>
      </c>
    </row>
    <row r="388" customHeight="1" spans="1:65">
      <c r="A388" s="18" t="s">
        <v>2263</v>
      </c>
      <c r="B388" s="18" t="s">
        <v>171</v>
      </c>
      <c r="C388" s="18" t="s">
        <v>1498</v>
      </c>
      <c r="D388" s="13"/>
      <c r="E388" s="18" t="s">
        <v>1883</v>
      </c>
      <c r="F388" s="18" t="s">
        <v>82</v>
      </c>
      <c r="G388" s="18" t="s">
        <v>83</v>
      </c>
      <c r="H388" s="18" t="s">
        <v>84</v>
      </c>
      <c r="I388" s="18" t="s">
        <v>85</v>
      </c>
      <c r="J388" s="18">
        <v>5</v>
      </c>
      <c r="K388" s="16">
        <v>53.99</v>
      </c>
      <c r="L388" s="10"/>
      <c r="M388" s="16">
        <v>0</v>
      </c>
      <c r="N388" s="16">
        <v>0</v>
      </c>
      <c r="O388" s="18">
        <v>0</v>
      </c>
      <c r="P388" s="18" t="s">
        <v>86</v>
      </c>
      <c r="Q388" s="18">
        <v>4.007151</v>
      </c>
      <c r="R388" s="10"/>
      <c r="S388" s="16">
        <v>319</v>
      </c>
      <c r="T388" s="16">
        <v>100</v>
      </c>
      <c r="U388" s="18" t="s">
        <v>2263</v>
      </c>
      <c r="V388" s="18" t="s">
        <v>171</v>
      </c>
      <c r="W388" s="18" t="s">
        <v>1498</v>
      </c>
      <c r="X388" s="13"/>
      <c r="Y388" s="18" t="s">
        <v>1499</v>
      </c>
      <c r="Z388" s="18" t="s">
        <v>82</v>
      </c>
      <c r="AA388" s="18" t="s">
        <v>83</v>
      </c>
      <c r="AB388" s="18" t="s">
        <v>84</v>
      </c>
      <c r="AC388" s="18" t="s">
        <v>85</v>
      </c>
      <c r="AD388" s="18">
        <v>102.98</v>
      </c>
      <c r="AE388" s="18">
        <v>0</v>
      </c>
      <c r="AF388" s="18">
        <v>0</v>
      </c>
      <c r="AG388" s="18">
        <v>0</v>
      </c>
      <c r="AH388" s="18">
        <v>0</v>
      </c>
      <c r="AI388" s="18">
        <v>0</v>
      </c>
      <c r="AJ388" s="18">
        <v>0</v>
      </c>
      <c r="AK388" s="18">
        <v>0</v>
      </c>
      <c r="AL388" s="18">
        <v>0</v>
      </c>
      <c r="AM388" s="18">
        <v>0</v>
      </c>
      <c r="AN388" s="18">
        <v>0</v>
      </c>
      <c r="AO388" s="18">
        <v>0</v>
      </c>
      <c r="AP388" s="18">
        <v>0</v>
      </c>
      <c r="AQ388" s="18">
        <v>0</v>
      </c>
      <c r="AR388" s="18">
        <v>0</v>
      </c>
      <c r="AS388" s="18">
        <v>0</v>
      </c>
      <c r="AT388" s="18">
        <v>1</v>
      </c>
      <c r="AU388" s="18">
        <v>0</v>
      </c>
      <c r="AV388" s="18">
        <v>0</v>
      </c>
      <c r="AW388" s="18">
        <v>1</v>
      </c>
      <c r="AX388" s="18">
        <v>0</v>
      </c>
      <c r="AY388" s="13"/>
      <c r="AZ388" s="18">
        <v>1</v>
      </c>
      <c r="BA388" s="18">
        <v>1</v>
      </c>
      <c r="BB388" s="18">
        <v>59.79</v>
      </c>
      <c r="BC388" s="18" t="s">
        <v>251</v>
      </c>
      <c r="BD388" s="18" t="s">
        <v>175</v>
      </c>
      <c r="BE388" s="18" t="s">
        <v>226</v>
      </c>
      <c r="BF388" s="18" t="s">
        <v>77</v>
      </c>
      <c r="BG388" s="18">
        <v>162</v>
      </c>
      <c r="BH388" s="18">
        <v>60</v>
      </c>
      <c r="BI388" s="18">
        <v>0.7297</v>
      </c>
      <c r="BJ388" s="18">
        <v>0</v>
      </c>
      <c r="BK388" s="18">
        <v>8</v>
      </c>
      <c r="BL388" s="18">
        <v>97.8</v>
      </c>
      <c r="BM388" s="13">
        <f t="shared" si="0"/>
        <v>17222.81</v>
      </c>
    </row>
    <row r="389" customHeight="1" spans="1:65">
      <c r="A389" s="18" t="s">
        <v>2254</v>
      </c>
      <c r="B389" s="18" t="s">
        <v>171</v>
      </c>
      <c r="C389" s="18" t="s">
        <v>2255</v>
      </c>
      <c r="D389" s="13"/>
      <c r="E389" s="18" t="s">
        <v>2256</v>
      </c>
      <c r="F389" s="18" t="s">
        <v>160</v>
      </c>
      <c r="G389" s="18" t="s">
        <v>83</v>
      </c>
      <c r="H389" s="18" t="s">
        <v>84</v>
      </c>
      <c r="I389" s="18" t="s">
        <v>85</v>
      </c>
      <c r="J389" s="18">
        <v>5</v>
      </c>
      <c r="K389" s="16">
        <v>117.59</v>
      </c>
      <c r="L389" s="10"/>
      <c r="M389" s="16">
        <v>0</v>
      </c>
      <c r="N389" s="16">
        <v>0</v>
      </c>
      <c r="O389" s="18">
        <v>0</v>
      </c>
      <c r="P389" s="18" t="s">
        <v>95</v>
      </c>
      <c r="Q389" s="18">
        <v>4.775672</v>
      </c>
      <c r="R389" s="10"/>
      <c r="S389" s="16">
        <v>13</v>
      </c>
      <c r="T389" s="16">
        <v>20</v>
      </c>
      <c r="U389" s="18" t="s">
        <v>2254</v>
      </c>
      <c r="V389" s="18" t="s">
        <v>171</v>
      </c>
      <c r="W389" s="18" t="s">
        <v>2255</v>
      </c>
      <c r="X389" s="13"/>
      <c r="Y389" s="18" t="s">
        <v>2256</v>
      </c>
      <c r="Z389" s="18" t="s">
        <v>160</v>
      </c>
      <c r="AA389" s="18" t="s">
        <v>83</v>
      </c>
      <c r="AB389" s="18" t="s">
        <v>84</v>
      </c>
      <c r="AC389" s="18" t="s">
        <v>85</v>
      </c>
      <c r="AD389" s="18">
        <v>230.18</v>
      </c>
      <c r="AE389" s="18">
        <v>1</v>
      </c>
      <c r="AF389" s="18">
        <v>1</v>
      </c>
      <c r="AG389" s="18">
        <v>0</v>
      </c>
      <c r="AH389" s="18">
        <v>1</v>
      </c>
      <c r="AI389" s="18">
        <v>0</v>
      </c>
      <c r="AJ389" s="18">
        <v>0</v>
      </c>
      <c r="AK389" s="18">
        <v>0</v>
      </c>
      <c r="AL389" s="18">
        <v>0</v>
      </c>
      <c r="AM389" s="18">
        <v>0</v>
      </c>
      <c r="AN389" s="18">
        <v>1</v>
      </c>
      <c r="AO389" s="18">
        <v>0</v>
      </c>
      <c r="AP389" s="18">
        <v>0</v>
      </c>
      <c r="AQ389" s="18">
        <v>0</v>
      </c>
      <c r="AR389" s="18">
        <v>0</v>
      </c>
      <c r="AS389" s="18">
        <v>0</v>
      </c>
      <c r="AT389" s="18">
        <v>0</v>
      </c>
      <c r="AU389" s="18">
        <v>0</v>
      </c>
      <c r="AV389" s="18">
        <v>0</v>
      </c>
      <c r="AW389" s="18">
        <v>1</v>
      </c>
      <c r="AX389" s="18">
        <v>0</v>
      </c>
      <c r="AY389" s="13"/>
      <c r="AZ389" s="18">
        <v>1</v>
      </c>
      <c r="BA389" s="18">
        <v>3</v>
      </c>
      <c r="BB389" s="18">
        <v>45.43</v>
      </c>
      <c r="BC389" s="18" t="s">
        <v>251</v>
      </c>
      <c r="BD389" s="18" t="s">
        <v>175</v>
      </c>
      <c r="BE389" s="18" t="s">
        <v>226</v>
      </c>
      <c r="BF389" s="18" t="s">
        <v>77</v>
      </c>
      <c r="BG389" s="18">
        <v>162</v>
      </c>
      <c r="BH389" s="18">
        <v>60</v>
      </c>
      <c r="BI389" s="18">
        <v>0.7297</v>
      </c>
      <c r="BJ389" s="18">
        <v>0</v>
      </c>
      <c r="BK389" s="18">
        <v>4</v>
      </c>
      <c r="BL389" s="18">
        <v>98.9</v>
      </c>
      <c r="BM389" s="13">
        <f t="shared" si="0"/>
        <v>1528.67</v>
      </c>
    </row>
    <row r="390" customHeight="1" spans="1:65">
      <c r="A390" s="18" t="s">
        <v>2177</v>
      </c>
      <c r="B390" s="18" t="s">
        <v>245</v>
      </c>
      <c r="C390" s="18" t="s">
        <v>2178</v>
      </c>
      <c r="D390" s="13"/>
      <c r="E390" s="18" t="s">
        <v>250</v>
      </c>
      <c r="F390" s="18" t="s">
        <v>160</v>
      </c>
      <c r="G390" s="18" t="s">
        <v>83</v>
      </c>
      <c r="H390" s="18" t="s">
        <v>84</v>
      </c>
      <c r="I390" s="18" t="s">
        <v>85</v>
      </c>
      <c r="J390" s="18">
        <v>5</v>
      </c>
      <c r="K390" s="16">
        <v>114.39</v>
      </c>
      <c r="L390" s="10"/>
      <c r="M390" s="16">
        <v>0</v>
      </c>
      <c r="N390" s="16">
        <v>0</v>
      </c>
      <c r="O390" s="18">
        <v>0</v>
      </c>
      <c r="P390" s="18" t="s">
        <v>95</v>
      </c>
      <c r="Q390" s="18">
        <v>4.748318</v>
      </c>
      <c r="R390" s="16">
        <v>7.15</v>
      </c>
      <c r="S390" s="16">
        <v>369</v>
      </c>
      <c r="T390" s="16">
        <v>100</v>
      </c>
      <c r="U390" s="18" t="s">
        <v>2177</v>
      </c>
      <c r="V390" s="18" t="s">
        <v>245</v>
      </c>
      <c r="W390" s="18" t="s">
        <v>2178</v>
      </c>
      <c r="X390" s="13"/>
      <c r="Y390" s="18" t="s">
        <v>250</v>
      </c>
      <c r="Z390" s="18" t="s">
        <v>160</v>
      </c>
      <c r="AA390" s="18" t="s">
        <v>83</v>
      </c>
      <c r="AB390" s="18" t="s">
        <v>84</v>
      </c>
      <c r="AC390" s="18" t="s">
        <v>85</v>
      </c>
      <c r="AD390" s="18">
        <v>223.78</v>
      </c>
      <c r="AE390" s="18">
        <v>0</v>
      </c>
      <c r="AF390" s="18">
        <v>0</v>
      </c>
      <c r="AG390" s="18">
        <v>0</v>
      </c>
      <c r="AH390" s="18">
        <v>0</v>
      </c>
      <c r="AI390" s="18">
        <v>0</v>
      </c>
      <c r="AJ390" s="18">
        <v>0</v>
      </c>
      <c r="AK390" s="18">
        <v>0</v>
      </c>
      <c r="AL390" s="18">
        <v>0</v>
      </c>
      <c r="AM390" s="18">
        <v>0</v>
      </c>
      <c r="AN390" s="18">
        <v>0</v>
      </c>
      <c r="AO390" s="18">
        <v>0</v>
      </c>
      <c r="AP390" s="18">
        <v>0</v>
      </c>
      <c r="AQ390" s="18">
        <v>1</v>
      </c>
      <c r="AR390" s="18">
        <v>0</v>
      </c>
      <c r="AS390" s="18">
        <v>0</v>
      </c>
      <c r="AT390" s="18">
        <v>1</v>
      </c>
      <c r="AU390" s="18">
        <v>0</v>
      </c>
      <c r="AV390" s="18">
        <v>1</v>
      </c>
      <c r="AW390" s="18">
        <v>1</v>
      </c>
      <c r="AX390" s="18">
        <v>0</v>
      </c>
      <c r="AY390" s="18">
        <v>16</v>
      </c>
      <c r="AZ390" s="18">
        <v>1</v>
      </c>
      <c r="BA390" s="18">
        <v>2</v>
      </c>
      <c r="BB390" s="18">
        <v>60.81</v>
      </c>
      <c r="BC390" s="18" t="s">
        <v>251</v>
      </c>
      <c r="BD390" s="18" t="s">
        <v>175</v>
      </c>
      <c r="BE390" s="18" t="s">
        <v>226</v>
      </c>
      <c r="BF390" s="18" t="s">
        <v>77</v>
      </c>
      <c r="BG390" s="18">
        <v>162</v>
      </c>
      <c r="BH390" s="18">
        <v>60</v>
      </c>
      <c r="BI390" s="18">
        <v>0.7297</v>
      </c>
      <c r="BJ390" s="18">
        <v>0</v>
      </c>
      <c r="BK390" s="18">
        <v>8</v>
      </c>
      <c r="BL390" s="18">
        <v>97.8</v>
      </c>
      <c r="BM390" s="13">
        <f t="shared" si="0"/>
        <v>42209.91</v>
      </c>
    </row>
    <row r="391" customHeight="1" spans="1:65">
      <c r="A391" s="18" t="s">
        <v>2179</v>
      </c>
      <c r="B391" s="18" t="s">
        <v>245</v>
      </c>
      <c r="C391" s="18" t="s">
        <v>2180</v>
      </c>
      <c r="D391" s="13"/>
      <c r="E391" s="18" t="s">
        <v>255</v>
      </c>
      <c r="F391" s="18" t="s">
        <v>160</v>
      </c>
      <c r="G391" s="18" t="s">
        <v>83</v>
      </c>
      <c r="H391" s="18" t="s">
        <v>84</v>
      </c>
      <c r="I391" s="18" t="s">
        <v>85</v>
      </c>
      <c r="J391" s="18">
        <v>5</v>
      </c>
      <c r="K391" s="16">
        <v>139.79</v>
      </c>
      <c r="L391" s="10"/>
      <c r="M391" s="16">
        <v>0</v>
      </c>
      <c r="N391" s="16">
        <v>0</v>
      </c>
      <c r="O391" s="18">
        <v>0</v>
      </c>
      <c r="P391" s="18" t="s">
        <v>95</v>
      </c>
      <c r="Q391" s="18">
        <v>4.947269</v>
      </c>
      <c r="R391" s="10"/>
      <c r="S391" s="16">
        <v>1</v>
      </c>
      <c r="T391" s="16">
        <v>30</v>
      </c>
      <c r="U391" s="18" t="s">
        <v>2179</v>
      </c>
      <c r="V391" s="18" t="s">
        <v>245</v>
      </c>
      <c r="W391" s="18" t="s">
        <v>2180</v>
      </c>
      <c r="X391" s="13"/>
      <c r="Y391" s="18" t="s">
        <v>255</v>
      </c>
      <c r="Z391" s="18" t="s">
        <v>160</v>
      </c>
      <c r="AA391" s="18" t="s">
        <v>83</v>
      </c>
      <c r="AB391" s="18" t="s">
        <v>84</v>
      </c>
      <c r="AC391" s="18" t="s">
        <v>85</v>
      </c>
      <c r="AD391" s="18">
        <v>274.58</v>
      </c>
      <c r="AE391" s="18">
        <v>0</v>
      </c>
      <c r="AF391" s="18">
        <v>0</v>
      </c>
      <c r="AG391" s="18">
        <v>1</v>
      </c>
      <c r="AH391" s="18">
        <v>0</v>
      </c>
      <c r="AI391" s="18">
        <v>1</v>
      </c>
      <c r="AJ391" s="18">
        <v>0</v>
      </c>
      <c r="AK391" s="18">
        <v>1</v>
      </c>
      <c r="AL391" s="18">
        <v>0</v>
      </c>
      <c r="AM391" s="18">
        <v>0</v>
      </c>
      <c r="AN391" s="18">
        <v>1</v>
      </c>
      <c r="AO391" s="18">
        <v>0</v>
      </c>
      <c r="AP391" s="18">
        <v>0</v>
      </c>
      <c r="AQ391" s="18">
        <v>0</v>
      </c>
      <c r="AR391" s="18">
        <v>0</v>
      </c>
      <c r="AS391" s="18">
        <v>0</v>
      </c>
      <c r="AT391" s="18">
        <v>0</v>
      </c>
      <c r="AU391" s="18">
        <v>0</v>
      </c>
      <c r="AV391" s="18">
        <v>0</v>
      </c>
      <c r="AW391" s="18">
        <v>0</v>
      </c>
      <c r="AX391" s="18">
        <v>0</v>
      </c>
      <c r="AY391" s="13"/>
      <c r="AZ391" s="18">
        <v>1</v>
      </c>
      <c r="BA391" s="18">
        <v>4</v>
      </c>
      <c r="BB391" s="18">
        <v>31.14</v>
      </c>
      <c r="BC391" s="18" t="s">
        <v>251</v>
      </c>
      <c r="BD391" s="18" t="s">
        <v>175</v>
      </c>
      <c r="BE391" s="18" t="s">
        <v>226</v>
      </c>
      <c r="BF391" s="18" t="s">
        <v>77</v>
      </c>
      <c r="BG391" s="18">
        <v>162</v>
      </c>
      <c r="BH391" s="18">
        <v>60</v>
      </c>
      <c r="BI391" s="18">
        <v>0.7297</v>
      </c>
      <c r="BJ391" s="18">
        <v>0</v>
      </c>
      <c r="BK391" s="18">
        <v>2</v>
      </c>
      <c r="BL391" s="18">
        <v>99.5</v>
      </c>
      <c r="BM391" s="13">
        <f t="shared" si="0"/>
        <v>139.79</v>
      </c>
    </row>
    <row r="392" customHeight="1" spans="1:65">
      <c r="A392" s="18" t="s">
        <v>2292</v>
      </c>
      <c r="B392" s="18" t="s">
        <v>245</v>
      </c>
      <c r="C392" s="18" t="s">
        <v>2293</v>
      </c>
      <c r="D392" s="13"/>
      <c r="E392" s="18" t="s">
        <v>239</v>
      </c>
      <c r="F392" s="18" t="s">
        <v>160</v>
      </c>
      <c r="G392" s="18" t="s">
        <v>83</v>
      </c>
      <c r="H392" s="18" t="s">
        <v>84</v>
      </c>
      <c r="I392" s="18" t="s">
        <v>85</v>
      </c>
      <c r="J392" s="18">
        <v>5</v>
      </c>
      <c r="K392" s="16">
        <v>51.99</v>
      </c>
      <c r="L392" s="10"/>
      <c r="M392" s="16">
        <v>0</v>
      </c>
      <c r="N392" s="16">
        <v>0</v>
      </c>
      <c r="O392" s="18">
        <v>0</v>
      </c>
      <c r="P392" s="18" t="s">
        <v>86</v>
      </c>
      <c r="Q392" s="18">
        <v>3.970103</v>
      </c>
      <c r="R392" s="16">
        <v>6.5</v>
      </c>
      <c r="S392" s="16">
        <v>414</v>
      </c>
      <c r="T392" s="16">
        <v>100</v>
      </c>
      <c r="U392" s="18" t="s">
        <v>2292</v>
      </c>
      <c r="V392" s="18" t="s">
        <v>245</v>
      </c>
      <c r="W392" s="18" t="s">
        <v>2293</v>
      </c>
      <c r="X392" s="13"/>
      <c r="Y392" s="18" t="s">
        <v>239</v>
      </c>
      <c r="Z392" s="18" t="s">
        <v>160</v>
      </c>
      <c r="AA392" s="18" t="s">
        <v>83</v>
      </c>
      <c r="AB392" s="18" t="s">
        <v>84</v>
      </c>
      <c r="AC392" s="18" t="s">
        <v>85</v>
      </c>
      <c r="AD392" s="18">
        <v>98.98</v>
      </c>
      <c r="AE392" s="18">
        <v>0</v>
      </c>
      <c r="AF392" s="18">
        <v>0</v>
      </c>
      <c r="AG392" s="18">
        <v>0</v>
      </c>
      <c r="AH392" s="18">
        <v>0</v>
      </c>
      <c r="AI392" s="18">
        <v>0</v>
      </c>
      <c r="AJ392" s="18">
        <v>0</v>
      </c>
      <c r="AK392" s="18">
        <v>0</v>
      </c>
      <c r="AL392" s="18">
        <v>0</v>
      </c>
      <c r="AM392" s="18">
        <v>0</v>
      </c>
      <c r="AN392" s="18">
        <v>0</v>
      </c>
      <c r="AO392" s="18">
        <v>0</v>
      </c>
      <c r="AP392" s="18">
        <v>0</v>
      </c>
      <c r="AQ392" s="18">
        <v>1</v>
      </c>
      <c r="AR392" s="18">
        <v>0</v>
      </c>
      <c r="AS392" s="18">
        <v>0</v>
      </c>
      <c r="AT392" s="18">
        <v>0</v>
      </c>
      <c r="AU392" s="18">
        <v>0</v>
      </c>
      <c r="AV392" s="18">
        <v>1</v>
      </c>
      <c r="AW392" s="18">
        <v>1</v>
      </c>
      <c r="AX392" s="18">
        <v>0</v>
      </c>
      <c r="AY392" s="18">
        <v>8</v>
      </c>
      <c r="AZ392" s="18">
        <v>1</v>
      </c>
      <c r="BA392" s="18">
        <v>1</v>
      </c>
      <c r="BB392" s="18">
        <v>61.65</v>
      </c>
      <c r="BC392" s="18" t="s">
        <v>251</v>
      </c>
      <c r="BD392" s="18" t="s">
        <v>175</v>
      </c>
      <c r="BE392" s="18" t="s">
        <v>226</v>
      </c>
      <c r="BF392" s="18" t="s">
        <v>77</v>
      </c>
      <c r="BG392" s="18">
        <v>162</v>
      </c>
      <c r="BH392" s="18">
        <v>60</v>
      </c>
      <c r="BI392" s="18">
        <v>0.7297</v>
      </c>
      <c r="BJ392" s="18">
        <v>0</v>
      </c>
      <c r="BK392" s="18">
        <v>7</v>
      </c>
      <c r="BL392" s="18">
        <v>98.1</v>
      </c>
      <c r="BM392" s="13">
        <f t="shared" si="0"/>
        <v>21523.86</v>
      </c>
    </row>
    <row r="393" customHeight="1" spans="1:65">
      <c r="A393" s="18" t="s">
        <v>2101</v>
      </c>
      <c r="B393" s="18" t="s">
        <v>171</v>
      </c>
      <c r="C393" s="18" t="s">
        <v>2102</v>
      </c>
      <c r="D393" s="13"/>
      <c r="E393" s="18" t="s">
        <v>1883</v>
      </c>
      <c r="F393" s="18" t="s">
        <v>160</v>
      </c>
      <c r="G393" s="18" t="s">
        <v>83</v>
      </c>
      <c r="H393" s="18" t="s">
        <v>84</v>
      </c>
      <c r="I393" s="18" t="s">
        <v>85</v>
      </c>
      <c r="J393" s="18">
        <v>5</v>
      </c>
      <c r="K393" s="16">
        <v>108.03</v>
      </c>
      <c r="L393" s="10"/>
      <c r="M393" s="16">
        <v>0</v>
      </c>
      <c r="N393" s="16">
        <v>0</v>
      </c>
      <c r="O393" s="18">
        <v>0</v>
      </c>
      <c r="P393" s="18" t="s">
        <v>95</v>
      </c>
      <c r="Q393" s="18">
        <v>4.691623</v>
      </c>
      <c r="R393" s="16">
        <v>13.5</v>
      </c>
      <c r="S393" s="16">
        <v>53</v>
      </c>
      <c r="T393" s="16">
        <v>100</v>
      </c>
      <c r="U393" s="18" t="s">
        <v>2101</v>
      </c>
      <c r="V393" s="18" t="s">
        <v>171</v>
      </c>
      <c r="W393" s="18" t="s">
        <v>2102</v>
      </c>
      <c r="X393" s="13"/>
      <c r="Y393" s="18" t="s">
        <v>1883</v>
      </c>
      <c r="Z393" s="18" t="s">
        <v>160</v>
      </c>
      <c r="AA393" s="18" t="s">
        <v>83</v>
      </c>
      <c r="AB393" s="18" t="s">
        <v>84</v>
      </c>
      <c r="AC393" s="18" t="s">
        <v>85</v>
      </c>
      <c r="AD393" s="18">
        <v>211.06</v>
      </c>
      <c r="AE393" s="18">
        <v>0</v>
      </c>
      <c r="AF393" s="18">
        <v>0</v>
      </c>
      <c r="AG393" s="18">
        <v>0</v>
      </c>
      <c r="AH393" s="18">
        <v>0</v>
      </c>
      <c r="AI393" s="18">
        <v>0</v>
      </c>
      <c r="AJ393" s="18">
        <v>0</v>
      </c>
      <c r="AK393" s="18">
        <v>0</v>
      </c>
      <c r="AL393" s="18">
        <v>0</v>
      </c>
      <c r="AM393" s="18">
        <v>0</v>
      </c>
      <c r="AN393" s="18">
        <v>0</v>
      </c>
      <c r="AO393" s="18">
        <v>0</v>
      </c>
      <c r="AP393" s="18">
        <v>0</v>
      </c>
      <c r="AQ393" s="18">
        <v>1</v>
      </c>
      <c r="AR393" s="18">
        <v>0</v>
      </c>
      <c r="AS393" s="18">
        <v>0</v>
      </c>
      <c r="AT393" s="18">
        <v>1</v>
      </c>
      <c r="AU393" s="18">
        <v>0</v>
      </c>
      <c r="AV393" s="18">
        <v>1</v>
      </c>
      <c r="AW393" s="18">
        <v>1</v>
      </c>
      <c r="AX393" s="18">
        <v>0</v>
      </c>
      <c r="AY393" s="18">
        <v>8</v>
      </c>
      <c r="AZ393" s="18">
        <v>1</v>
      </c>
      <c r="BA393" s="18">
        <v>1</v>
      </c>
      <c r="BB393" s="18">
        <v>43.53</v>
      </c>
      <c r="BC393" s="18" t="s">
        <v>251</v>
      </c>
      <c r="BD393" s="18" t="s">
        <v>175</v>
      </c>
      <c r="BE393" s="18" t="s">
        <v>91</v>
      </c>
      <c r="BF393" s="18" t="s">
        <v>77</v>
      </c>
      <c r="BG393" s="18">
        <v>161</v>
      </c>
      <c r="BH393" s="18">
        <v>61</v>
      </c>
      <c r="BI393" s="18">
        <v>0.7252</v>
      </c>
      <c r="BJ393" s="18">
        <v>0</v>
      </c>
      <c r="BK393" s="18">
        <v>4</v>
      </c>
      <c r="BL393" s="18">
        <v>98.9</v>
      </c>
      <c r="BM393" s="13">
        <f t="shared" si="0"/>
        <v>5725.59</v>
      </c>
    </row>
    <row r="394" customHeight="1" spans="1:65">
      <c r="A394" s="18" t="s">
        <v>2376</v>
      </c>
      <c r="B394" s="18" t="s">
        <v>171</v>
      </c>
      <c r="C394" s="18" t="s">
        <v>2377</v>
      </c>
      <c r="D394" s="13"/>
      <c r="E394" s="18" t="s">
        <v>1883</v>
      </c>
      <c r="F394" s="18" t="s">
        <v>160</v>
      </c>
      <c r="G394" s="18" t="s">
        <v>83</v>
      </c>
      <c r="H394" s="18" t="s">
        <v>84</v>
      </c>
      <c r="I394" s="18" t="s">
        <v>85</v>
      </c>
      <c r="J394" s="18">
        <v>5</v>
      </c>
      <c r="K394" s="16">
        <v>89.59</v>
      </c>
      <c r="L394" s="10"/>
      <c r="M394" s="16">
        <v>0</v>
      </c>
      <c r="N394" s="16">
        <v>0</v>
      </c>
      <c r="O394" s="18">
        <v>0</v>
      </c>
      <c r="P394" s="18" t="s">
        <v>95</v>
      </c>
      <c r="Q394" s="18">
        <v>4.506344</v>
      </c>
      <c r="R394" s="10"/>
      <c r="S394" s="16">
        <v>206</v>
      </c>
      <c r="T394" s="16">
        <v>100</v>
      </c>
      <c r="U394" s="18" t="s">
        <v>2376</v>
      </c>
      <c r="V394" s="18" t="s">
        <v>171</v>
      </c>
      <c r="W394" s="18" t="s">
        <v>2377</v>
      </c>
      <c r="X394" s="13"/>
      <c r="Y394" s="18" t="s">
        <v>2378</v>
      </c>
      <c r="Z394" s="18" t="s">
        <v>160</v>
      </c>
      <c r="AA394" s="18" t="s">
        <v>83</v>
      </c>
      <c r="AB394" s="18" t="s">
        <v>84</v>
      </c>
      <c r="AC394" s="18" t="s">
        <v>85</v>
      </c>
      <c r="AD394" s="18">
        <v>174.18</v>
      </c>
      <c r="AE394" s="18">
        <v>0</v>
      </c>
      <c r="AF394" s="18">
        <v>0</v>
      </c>
      <c r="AG394" s="18">
        <v>1</v>
      </c>
      <c r="AH394" s="18">
        <v>0</v>
      </c>
      <c r="AI394" s="18">
        <v>1</v>
      </c>
      <c r="AJ394" s="18">
        <v>0</v>
      </c>
      <c r="AK394" s="18">
        <v>0</v>
      </c>
      <c r="AL394" s="18">
        <v>0</v>
      </c>
      <c r="AM394" s="18">
        <v>0</v>
      </c>
      <c r="AN394" s="18">
        <v>1</v>
      </c>
      <c r="AO394" s="18">
        <v>0</v>
      </c>
      <c r="AP394" s="18">
        <v>0</v>
      </c>
      <c r="AQ394" s="18">
        <v>0</v>
      </c>
      <c r="AR394" s="18">
        <v>0</v>
      </c>
      <c r="AS394" s="18">
        <v>0</v>
      </c>
      <c r="AT394" s="18">
        <v>1</v>
      </c>
      <c r="AU394" s="18">
        <v>0</v>
      </c>
      <c r="AV394" s="18">
        <v>0</v>
      </c>
      <c r="AW394" s="18">
        <v>0</v>
      </c>
      <c r="AX394" s="18">
        <v>0</v>
      </c>
      <c r="AY394" s="13"/>
      <c r="AZ394" s="18">
        <v>1</v>
      </c>
      <c r="BA394" s="18">
        <v>1</v>
      </c>
      <c r="BB394" s="18">
        <v>56.03</v>
      </c>
      <c r="BC394" s="18" t="s">
        <v>251</v>
      </c>
      <c r="BD394" s="18" t="s">
        <v>175</v>
      </c>
      <c r="BE394" s="18" t="s">
        <v>91</v>
      </c>
      <c r="BF394" s="18" t="s">
        <v>77</v>
      </c>
      <c r="BG394" s="18">
        <v>162</v>
      </c>
      <c r="BH394" s="18">
        <v>60</v>
      </c>
      <c r="BI394" s="18">
        <v>0.7297</v>
      </c>
      <c r="BJ394" s="18">
        <v>0</v>
      </c>
      <c r="BK394" s="18">
        <v>11</v>
      </c>
      <c r="BL394" s="18">
        <v>97</v>
      </c>
      <c r="BM394" s="13">
        <f t="shared" si="0"/>
        <v>18455.54</v>
      </c>
    </row>
    <row r="395" customHeight="1" spans="1:65">
      <c r="A395" s="18" t="s">
        <v>248</v>
      </c>
      <c r="B395" s="18" t="s">
        <v>171</v>
      </c>
      <c r="C395" s="18" t="s">
        <v>249</v>
      </c>
      <c r="D395" s="13"/>
      <c r="E395" s="18" t="s">
        <v>250</v>
      </c>
      <c r="F395" s="18" t="s">
        <v>160</v>
      </c>
      <c r="G395" s="18" t="s">
        <v>83</v>
      </c>
      <c r="H395" s="18" t="s">
        <v>84</v>
      </c>
      <c r="I395" s="18" t="s">
        <v>85</v>
      </c>
      <c r="J395" s="18">
        <v>5</v>
      </c>
      <c r="K395" s="16">
        <v>676.49</v>
      </c>
      <c r="L395" s="10"/>
      <c r="M395" s="16">
        <v>0</v>
      </c>
      <c r="N395" s="16">
        <v>0</v>
      </c>
      <c r="O395" s="18">
        <v>0</v>
      </c>
      <c r="P395" s="18" t="s">
        <v>147</v>
      </c>
      <c r="Q395" s="18">
        <v>6.518395</v>
      </c>
      <c r="R395" s="16">
        <v>21.14</v>
      </c>
      <c r="S395" s="16">
        <v>8</v>
      </c>
      <c r="T395" s="16">
        <v>20</v>
      </c>
      <c r="U395" s="18" t="s">
        <v>248</v>
      </c>
      <c r="V395" s="18" t="s">
        <v>171</v>
      </c>
      <c r="W395" s="18" t="s">
        <v>249</v>
      </c>
      <c r="X395" s="13"/>
      <c r="Y395" s="18" t="s">
        <v>250</v>
      </c>
      <c r="Z395" s="18" t="s">
        <v>160</v>
      </c>
      <c r="AA395" s="18" t="s">
        <v>83</v>
      </c>
      <c r="AB395" s="18" t="s">
        <v>84</v>
      </c>
      <c r="AC395" s="18" t="s">
        <v>85</v>
      </c>
      <c r="AD395" s="18">
        <v>1347.98</v>
      </c>
      <c r="AE395" s="18">
        <v>0</v>
      </c>
      <c r="AF395" s="18">
        <v>0</v>
      </c>
      <c r="AG395" s="18">
        <v>1</v>
      </c>
      <c r="AH395" s="18">
        <v>0</v>
      </c>
      <c r="AI395" s="18">
        <v>1</v>
      </c>
      <c r="AJ395" s="18">
        <v>0</v>
      </c>
      <c r="AK395" s="18">
        <v>0</v>
      </c>
      <c r="AL395" s="18">
        <v>0</v>
      </c>
      <c r="AM395" s="18">
        <v>0</v>
      </c>
      <c r="AN395" s="18">
        <v>0</v>
      </c>
      <c r="AO395" s="18">
        <v>0</v>
      </c>
      <c r="AP395" s="18">
        <v>0</v>
      </c>
      <c r="AQ395" s="18">
        <v>1</v>
      </c>
      <c r="AR395" s="18">
        <v>0</v>
      </c>
      <c r="AS395" s="18">
        <v>0</v>
      </c>
      <c r="AT395" s="18">
        <v>0</v>
      </c>
      <c r="AU395" s="18">
        <v>0</v>
      </c>
      <c r="AV395" s="18">
        <v>1</v>
      </c>
      <c r="AW395" s="18">
        <v>1</v>
      </c>
      <c r="AX395" s="18">
        <v>0</v>
      </c>
      <c r="AY395" s="18">
        <v>32</v>
      </c>
      <c r="AZ395" s="18">
        <v>1</v>
      </c>
      <c r="BA395" s="18">
        <v>3</v>
      </c>
      <c r="BB395" s="18">
        <v>40.44</v>
      </c>
      <c r="BC395" s="18" t="s">
        <v>251</v>
      </c>
      <c r="BD395" s="18" t="s">
        <v>175</v>
      </c>
      <c r="BE395" s="18" t="s">
        <v>91</v>
      </c>
      <c r="BF395" s="18" t="s">
        <v>77</v>
      </c>
      <c r="BG395" s="18">
        <v>161</v>
      </c>
      <c r="BH395" s="18">
        <v>61</v>
      </c>
      <c r="BI395" s="18">
        <v>0.7252</v>
      </c>
      <c r="BJ395" s="18">
        <v>0</v>
      </c>
      <c r="BK395" s="18">
        <v>12</v>
      </c>
      <c r="BL395" s="18">
        <v>96.7</v>
      </c>
      <c r="BM395" s="13">
        <f t="shared" si="0"/>
        <v>5411.92</v>
      </c>
    </row>
    <row r="396" customHeight="1" spans="1:65">
      <c r="A396" s="18" t="s">
        <v>1219</v>
      </c>
      <c r="B396" s="18" t="s">
        <v>171</v>
      </c>
      <c r="C396" s="18" t="s">
        <v>1220</v>
      </c>
      <c r="D396" s="13"/>
      <c r="E396" s="18" t="s">
        <v>250</v>
      </c>
      <c r="F396" s="18" t="s">
        <v>160</v>
      </c>
      <c r="G396" s="18" t="s">
        <v>83</v>
      </c>
      <c r="H396" s="18" t="s">
        <v>84</v>
      </c>
      <c r="I396" s="18" t="s">
        <v>85</v>
      </c>
      <c r="J396" s="18">
        <v>5</v>
      </c>
      <c r="K396" s="16">
        <v>233.99</v>
      </c>
      <c r="L396" s="10"/>
      <c r="M396" s="16">
        <v>0</v>
      </c>
      <c r="N396" s="16">
        <v>0</v>
      </c>
      <c r="O396" s="18">
        <v>0</v>
      </c>
      <c r="P396" s="18" t="s">
        <v>71</v>
      </c>
      <c r="Q396" s="18">
        <v>5.459543</v>
      </c>
      <c r="R396" s="16">
        <v>29.25</v>
      </c>
      <c r="S396" s="16">
        <v>90</v>
      </c>
      <c r="T396" s="16">
        <v>30</v>
      </c>
      <c r="U396" s="18" t="s">
        <v>1219</v>
      </c>
      <c r="V396" s="18" t="s">
        <v>171</v>
      </c>
      <c r="W396" s="18" t="s">
        <v>1220</v>
      </c>
      <c r="X396" s="13"/>
      <c r="Y396" s="18" t="s">
        <v>250</v>
      </c>
      <c r="Z396" s="18" t="s">
        <v>160</v>
      </c>
      <c r="AA396" s="18" t="s">
        <v>83</v>
      </c>
      <c r="AB396" s="18" t="s">
        <v>84</v>
      </c>
      <c r="AC396" s="18" t="s">
        <v>85</v>
      </c>
      <c r="AD396" s="18">
        <v>462.98</v>
      </c>
      <c r="AE396" s="18">
        <v>0</v>
      </c>
      <c r="AF396" s="18">
        <v>0</v>
      </c>
      <c r="AG396" s="18">
        <v>1</v>
      </c>
      <c r="AH396" s="18">
        <v>0</v>
      </c>
      <c r="AI396" s="18">
        <v>1</v>
      </c>
      <c r="AJ396" s="18">
        <v>0</v>
      </c>
      <c r="AK396" s="18">
        <v>0</v>
      </c>
      <c r="AL396" s="18">
        <v>0</v>
      </c>
      <c r="AM396" s="18">
        <v>0</v>
      </c>
      <c r="AN396" s="18">
        <v>0</v>
      </c>
      <c r="AO396" s="18">
        <v>0</v>
      </c>
      <c r="AP396" s="18">
        <v>0</v>
      </c>
      <c r="AQ396" s="18">
        <v>1</v>
      </c>
      <c r="AR396" s="18">
        <v>0</v>
      </c>
      <c r="AS396" s="18">
        <v>0</v>
      </c>
      <c r="AT396" s="18">
        <v>0</v>
      </c>
      <c r="AU396" s="18">
        <v>0</v>
      </c>
      <c r="AV396" s="18">
        <v>1</v>
      </c>
      <c r="AW396" s="18">
        <v>1</v>
      </c>
      <c r="AX396" s="18">
        <v>0</v>
      </c>
      <c r="AY396" s="18">
        <v>8</v>
      </c>
      <c r="AZ396" s="18">
        <v>1</v>
      </c>
      <c r="BA396" s="18">
        <v>3</v>
      </c>
      <c r="BB396" s="18">
        <v>48</v>
      </c>
      <c r="BC396" s="18" t="s">
        <v>251</v>
      </c>
      <c r="BD396" s="18" t="s">
        <v>175</v>
      </c>
      <c r="BE396" s="18" t="s">
        <v>91</v>
      </c>
      <c r="BF396" s="18" t="s">
        <v>77</v>
      </c>
      <c r="BG396" s="18">
        <v>161</v>
      </c>
      <c r="BH396" s="18">
        <v>61</v>
      </c>
      <c r="BI396" s="18">
        <v>0.7252</v>
      </c>
      <c r="BJ396" s="18">
        <v>0</v>
      </c>
      <c r="BK396" s="18">
        <v>146</v>
      </c>
      <c r="BL396" s="18">
        <v>60</v>
      </c>
      <c r="BM396" s="13">
        <f t="shared" si="0"/>
        <v>21059.1</v>
      </c>
    </row>
    <row r="397" customHeight="1" spans="1:65">
      <c r="A397" s="18" t="s">
        <v>1299</v>
      </c>
      <c r="B397" s="18" t="s">
        <v>171</v>
      </c>
      <c r="C397" s="18" t="s">
        <v>1300</v>
      </c>
      <c r="D397" s="13"/>
      <c r="E397" s="18" t="s">
        <v>250</v>
      </c>
      <c r="F397" s="18" t="s">
        <v>160</v>
      </c>
      <c r="G397" s="18" t="s">
        <v>83</v>
      </c>
      <c r="H397" s="18" t="s">
        <v>84</v>
      </c>
      <c r="I397" s="18" t="s">
        <v>85</v>
      </c>
      <c r="J397" s="18">
        <v>5</v>
      </c>
      <c r="K397" s="16">
        <v>125.55</v>
      </c>
      <c r="L397" s="10"/>
      <c r="M397" s="16">
        <v>0</v>
      </c>
      <c r="N397" s="16">
        <v>0</v>
      </c>
      <c r="O397" s="18">
        <v>0</v>
      </c>
      <c r="P397" s="18" t="s">
        <v>95</v>
      </c>
      <c r="Q397" s="18">
        <v>4.840637</v>
      </c>
      <c r="R397" s="16">
        <v>31.39</v>
      </c>
      <c r="S397" s="16">
        <v>106</v>
      </c>
      <c r="T397" s="16">
        <v>100</v>
      </c>
      <c r="U397" s="18" t="s">
        <v>1299</v>
      </c>
      <c r="V397" s="18" t="s">
        <v>171</v>
      </c>
      <c r="W397" s="18" t="s">
        <v>1300</v>
      </c>
      <c r="X397" s="13"/>
      <c r="Y397" s="18" t="s">
        <v>250</v>
      </c>
      <c r="Z397" s="18" t="s">
        <v>160</v>
      </c>
      <c r="AA397" s="18" t="s">
        <v>83</v>
      </c>
      <c r="AB397" s="18" t="s">
        <v>84</v>
      </c>
      <c r="AC397" s="18" t="s">
        <v>85</v>
      </c>
      <c r="AD397" s="18">
        <v>246.1</v>
      </c>
      <c r="AE397" s="18">
        <v>0</v>
      </c>
      <c r="AF397" s="18">
        <v>0</v>
      </c>
      <c r="AG397" s="18">
        <v>0</v>
      </c>
      <c r="AH397" s="18">
        <v>1</v>
      </c>
      <c r="AI397" s="18">
        <v>0</v>
      </c>
      <c r="AJ397" s="18">
        <v>0</v>
      </c>
      <c r="AK397" s="18">
        <v>0</v>
      </c>
      <c r="AL397" s="18">
        <v>0</v>
      </c>
      <c r="AM397" s="18">
        <v>0</v>
      </c>
      <c r="AN397" s="18">
        <v>1</v>
      </c>
      <c r="AO397" s="18">
        <v>0</v>
      </c>
      <c r="AP397" s="18">
        <v>0</v>
      </c>
      <c r="AQ397" s="18">
        <v>1</v>
      </c>
      <c r="AR397" s="18">
        <v>0</v>
      </c>
      <c r="AS397" s="18">
        <v>0</v>
      </c>
      <c r="AT397" s="18">
        <v>0</v>
      </c>
      <c r="AU397" s="18">
        <v>0</v>
      </c>
      <c r="AV397" s="18">
        <v>1</v>
      </c>
      <c r="AW397" s="18">
        <v>1</v>
      </c>
      <c r="AX397" s="18">
        <v>0</v>
      </c>
      <c r="AY397" s="18">
        <v>4</v>
      </c>
      <c r="AZ397" s="18">
        <v>1</v>
      </c>
      <c r="BA397" s="18">
        <v>3</v>
      </c>
      <c r="BB397" s="18">
        <v>49.68</v>
      </c>
      <c r="BC397" s="18" t="s">
        <v>251</v>
      </c>
      <c r="BD397" s="18" t="s">
        <v>175</v>
      </c>
      <c r="BE397" s="18" t="s">
        <v>91</v>
      </c>
      <c r="BF397" s="18" t="s">
        <v>77</v>
      </c>
      <c r="BG397" s="18">
        <v>162</v>
      </c>
      <c r="BH397" s="18">
        <v>60</v>
      </c>
      <c r="BI397" s="18">
        <v>0.7297</v>
      </c>
      <c r="BJ397" s="18">
        <v>0</v>
      </c>
      <c r="BK397" s="18">
        <v>11</v>
      </c>
      <c r="BL397" s="18">
        <v>97</v>
      </c>
      <c r="BM397" s="13">
        <f t="shared" si="0"/>
        <v>13308.3</v>
      </c>
    </row>
    <row r="398" customHeight="1" spans="1:65">
      <c r="A398" s="18" t="s">
        <v>1731</v>
      </c>
      <c r="B398" s="18" t="s">
        <v>171</v>
      </c>
      <c r="C398" s="18" t="s">
        <v>1732</v>
      </c>
      <c r="D398" s="13"/>
      <c r="E398" s="18" t="s">
        <v>250</v>
      </c>
      <c r="F398" s="18" t="s">
        <v>160</v>
      </c>
      <c r="G398" s="18" t="s">
        <v>83</v>
      </c>
      <c r="H398" s="18" t="s">
        <v>84</v>
      </c>
      <c r="I398" s="18" t="s">
        <v>85</v>
      </c>
      <c r="J398" s="18">
        <v>5</v>
      </c>
      <c r="K398" s="16">
        <v>99.89</v>
      </c>
      <c r="L398" s="10"/>
      <c r="M398" s="16">
        <v>0</v>
      </c>
      <c r="N398" s="16">
        <v>0</v>
      </c>
      <c r="O398" s="18">
        <v>0</v>
      </c>
      <c r="P398" s="18" t="s">
        <v>95</v>
      </c>
      <c r="Q398" s="18">
        <v>4.614031</v>
      </c>
      <c r="R398" s="16">
        <v>12.49</v>
      </c>
      <c r="S398" s="16">
        <v>246</v>
      </c>
      <c r="T398" s="16">
        <v>100</v>
      </c>
      <c r="U398" s="18" t="s">
        <v>1731</v>
      </c>
      <c r="V398" s="18" t="s">
        <v>171</v>
      </c>
      <c r="W398" s="18" t="s">
        <v>1732</v>
      </c>
      <c r="X398" s="13"/>
      <c r="Y398" s="18" t="s">
        <v>250</v>
      </c>
      <c r="Z398" s="18" t="s">
        <v>160</v>
      </c>
      <c r="AA398" s="18" t="s">
        <v>83</v>
      </c>
      <c r="AB398" s="18" t="s">
        <v>84</v>
      </c>
      <c r="AC398" s="18" t="s">
        <v>85</v>
      </c>
      <c r="AD398" s="18">
        <v>194.78</v>
      </c>
      <c r="AE398" s="18">
        <v>0</v>
      </c>
      <c r="AF398" s="18">
        <v>0</v>
      </c>
      <c r="AG398" s="18">
        <v>0</v>
      </c>
      <c r="AH398" s="18">
        <v>0</v>
      </c>
      <c r="AI398" s="18">
        <v>0</v>
      </c>
      <c r="AJ398" s="18">
        <v>0</v>
      </c>
      <c r="AK398" s="18">
        <v>0</v>
      </c>
      <c r="AL398" s="18">
        <v>0</v>
      </c>
      <c r="AM398" s="18">
        <v>0</v>
      </c>
      <c r="AN398" s="18">
        <v>0</v>
      </c>
      <c r="AO398" s="18">
        <v>0</v>
      </c>
      <c r="AP398" s="18">
        <v>0</v>
      </c>
      <c r="AQ398" s="18">
        <v>1</v>
      </c>
      <c r="AR398" s="18">
        <v>0</v>
      </c>
      <c r="AS398" s="18">
        <v>0</v>
      </c>
      <c r="AT398" s="18">
        <v>1</v>
      </c>
      <c r="AU398" s="18">
        <v>0</v>
      </c>
      <c r="AV398" s="18">
        <v>1</v>
      </c>
      <c r="AW398" s="18">
        <v>1</v>
      </c>
      <c r="AX398" s="18">
        <v>0</v>
      </c>
      <c r="AY398" s="18">
        <v>8</v>
      </c>
      <c r="AZ398" s="18">
        <v>1</v>
      </c>
      <c r="BA398" s="18">
        <v>2</v>
      </c>
      <c r="BB398" s="18">
        <v>58.29</v>
      </c>
      <c r="BC398" s="18" t="s">
        <v>251</v>
      </c>
      <c r="BD398" s="18" t="s">
        <v>175</v>
      </c>
      <c r="BE398" s="18" t="s">
        <v>91</v>
      </c>
      <c r="BF398" s="18" t="s">
        <v>77</v>
      </c>
      <c r="BG398" s="18">
        <v>161</v>
      </c>
      <c r="BH398" s="18">
        <v>61</v>
      </c>
      <c r="BI398" s="18">
        <v>0.7252</v>
      </c>
      <c r="BJ398" s="18">
        <v>0</v>
      </c>
      <c r="BK398" s="18">
        <v>2</v>
      </c>
      <c r="BL398" s="18">
        <v>99.5</v>
      </c>
      <c r="BM398" s="13">
        <f t="shared" si="0"/>
        <v>24572.94</v>
      </c>
    </row>
    <row r="399" customHeight="1" spans="1:65">
      <c r="A399" s="18" t="s">
        <v>2249</v>
      </c>
      <c r="B399" s="18" t="s">
        <v>171</v>
      </c>
      <c r="C399" s="18" t="s">
        <v>2250</v>
      </c>
      <c r="D399" s="13"/>
      <c r="E399" s="18" t="s">
        <v>250</v>
      </c>
      <c r="F399" s="18" t="s">
        <v>160</v>
      </c>
      <c r="G399" s="18" t="s">
        <v>83</v>
      </c>
      <c r="H399" s="18" t="s">
        <v>84</v>
      </c>
      <c r="I399" s="18" t="s">
        <v>85</v>
      </c>
      <c r="J399" s="18">
        <v>5</v>
      </c>
      <c r="K399" s="16">
        <v>182.24</v>
      </c>
      <c r="L399" s="10"/>
      <c r="M399" s="16">
        <v>0</v>
      </c>
      <c r="N399" s="16">
        <v>0</v>
      </c>
      <c r="O399" s="18">
        <v>0</v>
      </c>
      <c r="P399" s="18" t="s">
        <v>95</v>
      </c>
      <c r="Q399" s="18">
        <v>5.210797</v>
      </c>
      <c r="R399" s="16">
        <v>22.78</v>
      </c>
      <c r="S399" s="16">
        <v>161</v>
      </c>
      <c r="T399" s="16">
        <v>99</v>
      </c>
      <c r="U399" s="18" t="s">
        <v>2249</v>
      </c>
      <c r="V399" s="18" t="s">
        <v>171</v>
      </c>
      <c r="W399" s="18" t="s">
        <v>2250</v>
      </c>
      <c r="X399" s="13"/>
      <c r="Y399" s="18" t="s">
        <v>250</v>
      </c>
      <c r="Z399" s="18" t="s">
        <v>160</v>
      </c>
      <c r="AA399" s="18" t="s">
        <v>83</v>
      </c>
      <c r="AB399" s="18" t="s">
        <v>84</v>
      </c>
      <c r="AC399" s="18" t="s">
        <v>85</v>
      </c>
      <c r="AD399" s="18">
        <v>359.48</v>
      </c>
      <c r="AE399" s="18">
        <v>0</v>
      </c>
      <c r="AF399" s="18">
        <v>0</v>
      </c>
      <c r="AG399" s="18">
        <v>0</v>
      </c>
      <c r="AH399" s="18">
        <v>0</v>
      </c>
      <c r="AI399" s="18">
        <v>0</v>
      </c>
      <c r="AJ399" s="18">
        <v>0</v>
      </c>
      <c r="AK399" s="18">
        <v>0</v>
      </c>
      <c r="AL399" s="18">
        <v>0</v>
      </c>
      <c r="AM399" s="18">
        <v>0</v>
      </c>
      <c r="AN399" s="18">
        <v>0</v>
      </c>
      <c r="AO399" s="18">
        <v>0</v>
      </c>
      <c r="AP399" s="18">
        <v>0</v>
      </c>
      <c r="AQ399" s="18">
        <v>1</v>
      </c>
      <c r="AR399" s="18">
        <v>0</v>
      </c>
      <c r="AS399" s="18">
        <v>0</v>
      </c>
      <c r="AT399" s="18">
        <v>1</v>
      </c>
      <c r="AU399" s="18">
        <v>0</v>
      </c>
      <c r="AV399" s="18">
        <v>1</v>
      </c>
      <c r="AW399" s="18">
        <v>1</v>
      </c>
      <c r="AX399" s="18">
        <v>0</v>
      </c>
      <c r="AY399" s="18">
        <v>8</v>
      </c>
      <c r="AZ399" s="18">
        <v>1</v>
      </c>
      <c r="BA399" s="18">
        <v>1</v>
      </c>
      <c r="BB399" s="18">
        <v>53.87</v>
      </c>
      <c r="BC399" s="18" t="s">
        <v>251</v>
      </c>
      <c r="BD399" s="18" t="s">
        <v>175</v>
      </c>
      <c r="BE399" s="18" t="s">
        <v>91</v>
      </c>
      <c r="BF399" s="18" t="s">
        <v>77</v>
      </c>
      <c r="BG399" s="18">
        <v>161</v>
      </c>
      <c r="BH399" s="18">
        <v>61</v>
      </c>
      <c r="BI399" s="18">
        <v>0.7252</v>
      </c>
      <c r="BJ399" s="18">
        <v>0</v>
      </c>
      <c r="BK399" s="18">
        <v>11</v>
      </c>
      <c r="BL399" s="18">
        <v>97</v>
      </c>
      <c r="BM399" s="13">
        <f t="shared" si="0"/>
        <v>29340.64</v>
      </c>
    </row>
    <row r="400" customHeight="1" spans="1:65">
      <c r="A400" s="18" t="s">
        <v>2346</v>
      </c>
      <c r="B400" s="18" t="s">
        <v>171</v>
      </c>
      <c r="C400" s="18" t="s">
        <v>2347</v>
      </c>
      <c r="D400" s="13"/>
      <c r="E400" s="18" t="s">
        <v>250</v>
      </c>
      <c r="F400" s="18" t="s">
        <v>160</v>
      </c>
      <c r="G400" s="18" t="s">
        <v>83</v>
      </c>
      <c r="H400" s="18" t="s">
        <v>84</v>
      </c>
      <c r="I400" s="18" t="s">
        <v>85</v>
      </c>
      <c r="J400" s="18">
        <v>5</v>
      </c>
      <c r="K400" s="16">
        <v>17.49</v>
      </c>
      <c r="L400" s="10"/>
      <c r="M400" s="16">
        <v>0</v>
      </c>
      <c r="N400" s="16">
        <v>0</v>
      </c>
      <c r="O400" s="18">
        <v>0</v>
      </c>
      <c r="P400" s="18" t="s">
        <v>133</v>
      </c>
      <c r="Q400" s="18">
        <v>2.91723</v>
      </c>
      <c r="R400" s="10"/>
      <c r="S400" s="16">
        <v>261</v>
      </c>
      <c r="T400" s="16">
        <v>100</v>
      </c>
      <c r="U400" s="18" t="s">
        <v>2346</v>
      </c>
      <c r="V400" s="18" t="s">
        <v>171</v>
      </c>
      <c r="W400" s="18" t="s">
        <v>2347</v>
      </c>
      <c r="X400" s="13"/>
      <c r="Y400" s="18" t="s">
        <v>250</v>
      </c>
      <c r="Z400" s="18" t="s">
        <v>160</v>
      </c>
      <c r="AA400" s="18" t="s">
        <v>83</v>
      </c>
      <c r="AB400" s="18" t="s">
        <v>84</v>
      </c>
      <c r="AC400" s="18" t="s">
        <v>85</v>
      </c>
      <c r="AD400" s="18">
        <v>29.98</v>
      </c>
      <c r="AE400" s="18">
        <v>0</v>
      </c>
      <c r="AF400" s="18">
        <v>0</v>
      </c>
      <c r="AG400" s="18">
        <v>0</v>
      </c>
      <c r="AH400" s="18">
        <v>0</v>
      </c>
      <c r="AI400" s="18">
        <v>0</v>
      </c>
      <c r="AJ400" s="18">
        <v>0</v>
      </c>
      <c r="AK400" s="18">
        <v>0</v>
      </c>
      <c r="AL400" s="18">
        <v>0</v>
      </c>
      <c r="AM400" s="18">
        <v>0</v>
      </c>
      <c r="AN400" s="18">
        <v>0</v>
      </c>
      <c r="AO400" s="18">
        <v>0</v>
      </c>
      <c r="AP400" s="18">
        <v>0</v>
      </c>
      <c r="AQ400" s="18">
        <v>1</v>
      </c>
      <c r="AR400" s="18">
        <v>0</v>
      </c>
      <c r="AS400" s="18">
        <v>0</v>
      </c>
      <c r="AT400" s="18">
        <v>1</v>
      </c>
      <c r="AU400" s="18">
        <v>0</v>
      </c>
      <c r="AV400" s="18">
        <v>1</v>
      </c>
      <c r="AW400" s="18">
        <v>0</v>
      </c>
      <c r="AX400" s="18">
        <v>0</v>
      </c>
      <c r="AY400" s="13"/>
      <c r="AZ400" s="18">
        <v>1</v>
      </c>
      <c r="BA400" s="18">
        <v>1</v>
      </c>
      <c r="BB400" s="18">
        <v>58.44</v>
      </c>
      <c r="BC400" s="18" t="s">
        <v>251</v>
      </c>
      <c r="BD400" s="18" t="s">
        <v>175</v>
      </c>
      <c r="BE400" s="18" t="s">
        <v>91</v>
      </c>
      <c r="BF400" s="18" t="s">
        <v>77</v>
      </c>
      <c r="BG400" s="18">
        <v>162</v>
      </c>
      <c r="BH400" s="18">
        <v>60</v>
      </c>
      <c r="BI400" s="18">
        <v>0.7297</v>
      </c>
      <c r="BJ400" s="18">
        <v>0</v>
      </c>
      <c r="BK400" s="18">
        <v>6</v>
      </c>
      <c r="BL400" s="18">
        <v>98.4</v>
      </c>
      <c r="BM400" s="13">
        <f t="shared" si="0"/>
        <v>4564.89</v>
      </c>
    </row>
    <row r="401" customHeight="1" spans="1:65">
      <c r="A401" s="18" t="s">
        <v>2374</v>
      </c>
      <c r="B401" s="18" t="s">
        <v>171</v>
      </c>
      <c r="C401" s="18" t="s">
        <v>2375</v>
      </c>
      <c r="D401" s="13"/>
      <c r="E401" s="18" t="s">
        <v>250</v>
      </c>
      <c r="F401" s="18" t="s">
        <v>160</v>
      </c>
      <c r="G401" s="18" t="s">
        <v>83</v>
      </c>
      <c r="H401" s="18" t="s">
        <v>84</v>
      </c>
      <c r="I401" s="18" t="s">
        <v>85</v>
      </c>
      <c r="J401" s="18">
        <v>5</v>
      </c>
      <c r="K401" s="16">
        <v>63.99</v>
      </c>
      <c r="L401" s="16">
        <v>75.74</v>
      </c>
      <c r="M401" s="16">
        <v>15.51</v>
      </c>
      <c r="N401" s="16">
        <v>11.75</v>
      </c>
      <c r="O401" s="18">
        <v>1</v>
      </c>
      <c r="P401" s="18" t="s">
        <v>86</v>
      </c>
      <c r="Q401" s="18">
        <v>4.174233</v>
      </c>
      <c r="R401" s="10"/>
      <c r="S401" s="16">
        <v>336</v>
      </c>
      <c r="T401" s="16">
        <v>200</v>
      </c>
      <c r="U401" s="18" t="s">
        <v>2374</v>
      </c>
      <c r="V401" s="18" t="s">
        <v>171</v>
      </c>
      <c r="W401" s="18" t="s">
        <v>2375</v>
      </c>
      <c r="X401" s="13"/>
      <c r="Y401" s="18" t="s">
        <v>250</v>
      </c>
      <c r="Z401" s="18" t="s">
        <v>160</v>
      </c>
      <c r="AA401" s="18" t="s">
        <v>83</v>
      </c>
      <c r="AB401" s="18" t="s">
        <v>84</v>
      </c>
      <c r="AC401" s="18" t="s">
        <v>85</v>
      </c>
      <c r="AD401" s="18">
        <v>5.13666666666671</v>
      </c>
      <c r="AE401" s="18">
        <v>0</v>
      </c>
      <c r="AF401" s="18">
        <v>0</v>
      </c>
      <c r="AG401" s="18">
        <v>1</v>
      </c>
      <c r="AH401" s="18">
        <v>0</v>
      </c>
      <c r="AI401" s="18">
        <v>1</v>
      </c>
      <c r="AJ401" s="18">
        <v>0</v>
      </c>
      <c r="AK401" s="18">
        <v>0</v>
      </c>
      <c r="AL401" s="18">
        <v>0</v>
      </c>
      <c r="AM401" s="18">
        <v>0</v>
      </c>
      <c r="AN401" s="18">
        <v>1</v>
      </c>
      <c r="AO401" s="18">
        <v>0</v>
      </c>
      <c r="AP401" s="18">
        <v>0</v>
      </c>
      <c r="AQ401" s="18">
        <v>0</v>
      </c>
      <c r="AR401" s="18">
        <v>0</v>
      </c>
      <c r="AS401" s="18">
        <v>0</v>
      </c>
      <c r="AT401" s="18">
        <v>1</v>
      </c>
      <c r="AU401" s="18">
        <v>0</v>
      </c>
      <c r="AV401" s="18">
        <v>0</v>
      </c>
      <c r="AW401" s="18">
        <v>0</v>
      </c>
      <c r="AX401" s="18">
        <v>0</v>
      </c>
      <c r="AY401" s="13"/>
      <c r="AZ401" s="18">
        <v>1</v>
      </c>
      <c r="BA401" s="18">
        <v>3</v>
      </c>
      <c r="BB401" s="18">
        <v>59.31</v>
      </c>
      <c r="BC401" s="18" t="s">
        <v>251</v>
      </c>
      <c r="BD401" s="18" t="s">
        <v>175</v>
      </c>
      <c r="BE401" s="18" t="s">
        <v>91</v>
      </c>
      <c r="BF401" s="18" t="s">
        <v>77</v>
      </c>
      <c r="BG401" s="18">
        <v>162</v>
      </c>
      <c r="BH401" s="18">
        <v>60</v>
      </c>
      <c r="BI401" s="18">
        <v>0.7297</v>
      </c>
      <c r="BJ401" s="18">
        <v>0</v>
      </c>
      <c r="BK401" s="18">
        <v>5</v>
      </c>
      <c r="BL401" s="18">
        <v>98.6</v>
      </c>
      <c r="BM401" s="13">
        <f t="shared" si="0"/>
        <v>21500.64</v>
      </c>
    </row>
    <row r="402" customHeight="1" spans="1:65">
      <c r="A402" s="18" t="s">
        <v>2452</v>
      </c>
      <c r="B402" s="18" t="s">
        <v>171</v>
      </c>
      <c r="C402" s="18" t="s">
        <v>2453</v>
      </c>
      <c r="D402" s="13"/>
      <c r="E402" s="18" t="s">
        <v>250</v>
      </c>
      <c r="F402" s="18" t="s">
        <v>160</v>
      </c>
      <c r="G402" s="18" t="s">
        <v>83</v>
      </c>
      <c r="H402" s="18" t="s">
        <v>84</v>
      </c>
      <c r="I402" s="18" t="s">
        <v>85</v>
      </c>
      <c r="J402" s="18">
        <v>5</v>
      </c>
      <c r="K402" s="16">
        <v>155.39</v>
      </c>
      <c r="L402" s="10"/>
      <c r="M402" s="16">
        <v>0</v>
      </c>
      <c r="N402" s="16">
        <v>0</v>
      </c>
      <c r="O402" s="18">
        <v>0</v>
      </c>
      <c r="P402" s="18" t="s">
        <v>95</v>
      </c>
      <c r="Q402" s="18">
        <v>5.052353</v>
      </c>
      <c r="R402" s="16">
        <v>19.42</v>
      </c>
      <c r="S402" s="16">
        <v>297</v>
      </c>
      <c r="T402" s="16">
        <v>100</v>
      </c>
      <c r="U402" s="18" t="s">
        <v>2452</v>
      </c>
      <c r="V402" s="18" t="s">
        <v>171</v>
      </c>
      <c r="W402" s="18" t="s">
        <v>2453</v>
      </c>
      <c r="X402" s="13"/>
      <c r="Y402" s="18" t="s">
        <v>250</v>
      </c>
      <c r="Z402" s="18" t="s">
        <v>160</v>
      </c>
      <c r="AA402" s="18" t="s">
        <v>83</v>
      </c>
      <c r="AB402" s="18" t="s">
        <v>84</v>
      </c>
      <c r="AC402" s="18" t="s">
        <v>85</v>
      </c>
      <c r="AD402" s="18">
        <v>305.78</v>
      </c>
      <c r="AE402" s="18">
        <v>0</v>
      </c>
      <c r="AF402" s="18">
        <v>0</v>
      </c>
      <c r="AG402" s="18">
        <v>0</v>
      </c>
      <c r="AH402" s="18">
        <v>0</v>
      </c>
      <c r="AI402" s="18">
        <v>0</v>
      </c>
      <c r="AJ402" s="18">
        <v>0</v>
      </c>
      <c r="AK402" s="18">
        <v>0</v>
      </c>
      <c r="AL402" s="18">
        <v>0</v>
      </c>
      <c r="AM402" s="18">
        <v>0</v>
      </c>
      <c r="AN402" s="18">
        <v>0</v>
      </c>
      <c r="AO402" s="18">
        <v>0</v>
      </c>
      <c r="AP402" s="18">
        <v>0</v>
      </c>
      <c r="AQ402" s="18">
        <v>1</v>
      </c>
      <c r="AR402" s="18">
        <v>0</v>
      </c>
      <c r="AS402" s="18">
        <v>0</v>
      </c>
      <c r="AT402" s="18">
        <v>1</v>
      </c>
      <c r="AU402" s="18">
        <v>0</v>
      </c>
      <c r="AV402" s="18">
        <v>1</v>
      </c>
      <c r="AW402" s="18">
        <v>1</v>
      </c>
      <c r="AX402" s="18">
        <v>0</v>
      </c>
      <c r="AY402" s="18">
        <v>8</v>
      </c>
      <c r="AZ402" s="18">
        <v>1</v>
      </c>
      <c r="BA402" s="18">
        <v>1</v>
      </c>
      <c r="BB402" s="18">
        <v>39.61</v>
      </c>
      <c r="BC402" s="18" t="s">
        <v>251</v>
      </c>
      <c r="BD402" s="18" t="s">
        <v>175</v>
      </c>
      <c r="BE402" s="18" t="s">
        <v>91</v>
      </c>
      <c r="BF402" s="18" t="s">
        <v>77</v>
      </c>
      <c r="BG402" s="18">
        <v>161</v>
      </c>
      <c r="BH402" s="18">
        <v>61</v>
      </c>
      <c r="BI402" s="18">
        <v>0.7252</v>
      </c>
      <c r="BJ402" s="18">
        <v>0</v>
      </c>
      <c r="BK402" s="18">
        <v>247</v>
      </c>
      <c r="BL402" s="18">
        <v>32.3</v>
      </c>
      <c r="BM402" s="13">
        <f t="shared" si="0"/>
        <v>46150.83</v>
      </c>
    </row>
    <row r="403" customHeight="1" spans="1:65">
      <c r="A403" s="18" t="s">
        <v>500</v>
      </c>
      <c r="B403" s="18" t="s">
        <v>171</v>
      </c>
      <c r="C403" s="19" t="s">
        <v>501</v>
      </c>
      <c r="D403" s="13"/>
      <c r="E403" s="18" t="s">
        <v>502</v>
      </c>
      <c r="F403" s="18" t="s">
        <v>160</v>
      </c>
      <c r="G403" s="18" t="s">
        <v>83</v>
      </c>
      <c r="H403" s="18" t="s">
        <v>84</v>
      </c>
      <c r="I403" s="18" t="s">
        <v>85</v>
      </c>
      <c r="J403" s="18">
        <v>5</v>
      </c>
      <c r="K403" s="16">
        <v>34.99</v>
      </c>
      <c r="L403" s="10"/>
      <c r="M403" s="16">
        <v>0</v>
      </c>
      <c r="N403" s="16">
        <v>0</v>
      </c>
      <c r="O403" s="18">
        <v>0</v>
      </c>
      <c r="P403" s="18" t="s">
        <v>86</v>
      </c>
      <c r="Q403" s="18">
        <v>3.583241</v>
      </c>
      <c r="R403" s="10"/>
      <c r="S403" s="16">
        <v>724</v>
      </c>
      <c r="T403" s="16">
        <v>200</v>
      </c>
      <c r="U403" s="18" t="s">
        <v>500</v>
      </c>
      <c r="V403" s="18" t="s">
        <v>171</v>
      </c>
      <c r="W403" s="19" t="s">
        <v>501</v>
      </c>
      <c r="X403" s="13"/>
      <c r="Y403" s="18" t="s">
        <v>502</v>
      </c>
      <c r="Z403" s="18" t="s">
        <v>160</v>
      </c>
      <c r="AA403" s="18" t="s">
        <v>83</v>
      </c>
      <c r="AB403" s="18" t="s">
        <v>84</v>
      </c>
      <c r="AC403" s="18" t="s">
        <v>85</v>
      </c>
      <c r="AD403" s="18">
        <v>64.98</v>
      </c>
      <c r="AE403" s="18">
        <v>0</v>
      </c>
      <c r="AF403" s="18">
        <v>0</v>
      </c>
      <c r="AG403" s="18">
        <v>1</v>
      </c>
      <c r="AH403" s="18">
        <v>0</v>
      </c>
      <c r="AI403" s="18">
        <v>1</v>
      </c>
      <c r="AJ403" s="18">
        <v>0</v>
      </c>
      <c r="AK403" s="18">
        <v>0</v>
      </c>
      <c r="AL403" s="18">
        <v>0</v>
      </c>
      <c r="AM403" s="18">
        <v>0</v>
      </c>
      <c r="AN403" s="18">
        <v>0</v>
      </c>
      <c r="AO403" s="18">
        <v>0</v>
      </c>
      <c r="AP403" s="18">
        <v>0</v>
      </c>
      <c r="AQ403" s="18">
        <v>0</v>
      </c>
      <c r="AR403" s="18">
        <v>0</v>
      </c>
      <c r="AS403" s="18">
        <v>0</v>
      </c>
      <c r="AT403" s="18">
        <v>1</v>
      </c>
      <c r="AU403" s="18">
        <v>0</v>
      </c>
      <c r="AV403" s="18">
        <v>0</v>
      </c>
      <c r="AW403" s="18">
        <v>0</v>
      </c>
      <c r="AX403" s="18">
        <v>0</v>
      </c>
      <c r="AY403" s="13"/>
      <c r="AZ403" s="18">
        <v>1</v>
      </c>
      <c r="BA403" s="18">
        <v>2</v>
      </c>
      <c r="BB403" s="18">
        <v>61.19</v>
      </c>
      <c r="BC403" s="18" t="s">
        <v>251</v>
      </c>
      <c r="BD403" s="18" t="s">
        <v>175</v>
      </c>
      <c r="BE403" s="18" t="s">
        <v>91</v>
      </c>
      <c r="BF403" s="18" t="s">
        <v>77</v>
      </c>
      <c r="BG403" s="18">
        <v>162</v>
      </c>
      <c r="BH403" s="18">
        <v>60</v>
      </c>
      <c r="BI403" s="18">
        <v>0.7297</v>
      </c>
      <c r="BJ403" s="18">
        <v>0</v>
      </c>
      <c r="BK403" s="18">
        <v>2</v>
      </c>
      <c r="BL403" s="18">
        <v>99.5</v>
      </c>
      <c r="BM403" s="13">
        <f t="shared" si="0"/>
        <v>25332.76</v>
      </c>
    </row>
    <row r="404" customHeight="1" spans="1:65">
      <c r="A404" s="18" t="s">
        <v>1729</v>
      </c>
      <c r="B404" s="18" t="s">
        <v>171</v>
      </c>
      <c r="C404" s="18" t="s">
        <v>1730</v>
      </c>
      <c r="D404" s="13"/>
      <c r="E404" s="18" t="s">
        <v>131</v>
      </c>
      <c r="F404" s="18" t="s">
        <v>132</v>
      </c>
      <c r="G404" s="18" t="s">
        <v>83</v>
      </c>
      <c r="H404" s="18" t="s">
        <v>84</v>
      </c>
      <c r="I404" s="18" t="s">
        <v>85</v>
      </c>
      <c r="J404" s="18">
        <v>5</v>
      </c>
      <c r="K404" s="16">
        <v>24.99</v>
      </c>
      <c r="L404" s="10"/>
      <c r="M404" s="16">
        <v>0</v>
      </c>
      <c r="N404" s="16">
        <v>0</v>
      </c>
      <c r="O404" s="18">
        <v>0</v>
      </c>
      <c r="P404" s="18" t="s">
        <v>133</v>
      </c>
      <c r="Q404" s="18">
        <v>3.257712</v>
      </c>
      <c r="R404" s="10"/>
      <c r="S404" s="16">
        <v>3522</v>
      </c>
      <c r="T404" s="16">
        <v>100</v>
      </c>
      <c r="U404" s="18" t="s">
        <v>1729</v>
      </c>
      <c r="V404" s="18" t="s">
        <v>171</v>
      </c>
      <c r="W404" s="18" t="s">
        <v>2629</v>
      </c>
      <c r="X404" s="13"/>
      <c r="Y404" s="18" t="s">
        <v>131</v>
      </c>
      <c r="Z404" s="18" t="s">
        <v>132</v>
      </c>
      <c r="AA404" s="18" t="s">
        <v>83</v>
      </c>
      <c r="AB404" s="18" t="s">
        <v>84</v>
      </c>
      <c r="AC404" s="18" t="s">
        <v>85</v>
      </c>
      <c r="AD404" s="18">
        <v>44.98</v>
      </c>
      <c r="AE404" s="18">
        <v>0</v>
      </c>
      <c r="AF404" s="18">
        <v>0</v>
      </c>
      <c r="AG404" s="18">
        <v>0</v>
      </c>
      <c r="AH404" s="18">
        <v>0</v>
      </c>
      <c r="AI404" s="18">
        <v>0</v>
      </c>
      <c r="AJ404" s="18">
        <v>0</v>
      </c>
      <c r="AK404" s="18">
        <v>0</v>
      </c>
      <c r="AL404" s="18">
        <v>0</v>
      </c>
      <c r="AM404" s="18">
        <v>0</v>
      </c>
      <c r="AN404" s="18">
        <v>0</v>
      </c>
      <c r="AO404" s="18">
        <v>0</v>
      </c>
      <c r="AP404" s="18">
        <v>0</v>
      </c>
      <c r="AQ404" s="18">
        <v>0</v>
      </c>
      <c r="AR404" s="18">
        <v>0</v>
      </c>
      <c r="AS404" s="18">
        <v>0</v>
      </c>
      <c r="AT404" s="18">
        <v>0</v>
      </c>
      <c r="AU404" s="18">
        <v>0</v>
      </c>
      <c r="AV404" s="18">
        <v>0</v>
      </c>
      <c r="AW404" s="18">
        <v>1</v>
      </c>
      <c r="AX404" s="18">
        <v>0</v>
      </c>
      <c r="AY404" s="13"/>
      <c r="AZ404" s="18">
        <v>4</v>
      </c>
      <c r="BA404" s="18">
        <v>0</v>
      </c>
      <c r="BB404" s="18">
        <v>68.75</v>
      </c>
      <c r="BC404" s="18" t="s">
        <v>251</v>
      </c>
      <c r="BD404" s="18" t="s">
        <v>175</v>
      </c>
      <c r="BE404" s="18" t="s">
        <v>91</v>
      </c>
      <c r="BF404" s="18" t="s">
        <v>77</v>
      </c>
      <c r="BG404" s="18">
        <v>162</v>
      </c>
      <c r="BH404" s="18">
        <v>60</v>
      </c>
      <c r="BI404" s="18">
        <v>0.7297</v>
      </c>
      <c r="BJ404" s="18">
        <v>0</v>
      </c>
      <c r="BK404" s="18">
        <v>2</v>
      </c>
      <c r="BL404" s="18">
        <v>99.5</v>
      </c>
      <c r="BM404" s="13">
        <f t="shared" si="0"/>
        <v>88014.78</v>
      </c>
    </row>
    <row r="405" customHeight="1" spans="1:65">
      <c r="A405" s="18" t="s">
        <v>2155</v>
      </c>
      <c r="B405" s="18" t="s">
        <v>171</v>
      </c>
      <c r="C405" s="18" t="s">
        <v>333</v>
      </c>
      <c r="D405" s="13"/>
      <c r="E405" s="18" t="s">
        <v>131</v>
      </c>
      <c r="F405" s="18" t="s">
        <v>132</v>
      </c>
      <c r="G405" s="18" t="s">
        <v>83</v>
      </c>
      <c r="H405" s="18" t="s">
        <v>84</v>
      </c>
      <c r="I405" s="18" t="s">
        <v>85</v>
      </c>
      <c r="J405" s="18">
        <v>5</v>
      </c>
      <c r="K405" s="16">
        <v>24.99</v>
      </c>
      <c r="L405" s="10"/>
      <c r="M405" s="16">
        <v>0</v>
      </c>
      <c r="N405" s="16">
        <v>0</v>
      </c>
      <c r="O405" s="18">
        <v>0</v>
      </c>
      <c r="P405" s="18" t="s">
        <v>133</v>
      </c>
      <c r="Q405" s="18">
        <v>3.257712</v>
      </c>
      <c r="R405" s="10"/>
      <c r="S405" s="16">
        <v>1144</v>
      </c>
      <c r="T405" s="16">
        <v>10</v>
      </c>
      <c r="U405" s="18" t="s">
        <v>2630</v>
      </c>
      <c r="V405" s="18" t="s">
        <v>171</v>
      </c>
      <c r="W405" s="18" t="s">
        <v>2556</v>
      </c>
      <c r="X405" s="13"/>
      <c r="Y405" s="18" t="s">
        <v>131</v>
      </c>
      <c r="Z405" s="18" t="s">
        <v>132</v>
      </c>
      <c r="AA405" s="18" t="s">
        <v>83</v>
      </c>
      <c r="AB405" s="18" t="s">
        <v>84</v>
      </c>
      <c r="AC405" s="18" t="s">
        <v>85</v>
      </c>
      <c r="AD405" s="18">
        <v>44.98</v>
      </c>
      <c r="AE405" s="18">
        <v>0</v>
      </c>
      <c r="AF405" s="18">
        <v>0</v>
      </c>
      <c r="AG405" s="18">
        <v>0</v>
      </c>
      <c r="AH405" s="18">
        <v>0</v>
      </c>
      <c r="AI405" s="18">
        <v>0</v>
      </c>
      <c r="AJ405" s="18">
        <v>0</v>
      </c>
      <c r="AK405" s="18">
        <v>0</v>
      </c>
      <c r="AL405" s="18">
        <v>0</v>
      </c>
      <c r="AM405" s="18">
        <v>0</v>
      </c>
      <c r="AN405" s="18">
        <v>0</v>
      </c>
      <c r="AO405" s="18">
        <v>0</v>
      </c>
      <c r="AP405" s="18">
        <v>0</v>
      </c>
      <c r="AQ405" s="18">
        <v>0</v>
      </c>
      <c r="AR405" s="18">
        <v>0</v>
      </c>
      <c r="AS405" s="18">
        <v>0</v>
      </c>
      <c r="AT405" s="18">
        <v>0</v>
      </c>
      <c r="AU405" s="18">
        <v>0</v>
      </c>
      <c r="AV405" s="18">
        <v>0</v>
      </c>
      <c r="AW405" s="18">
        <v>1</v>
      </c>
      <c r="AX405" s="18">
        <v>0</v>
      </c>
      <c r="AY405" s="13"/>
      <c r="AZ405" s="18">
        <v>1</v>
      </c>
      <c r="BA405" s="18">
        <v>0</v>
      </c>
      <c r="BB405" s="18">
        <v>69.17</v>
      </c>
      <c r="BC405" s="18" t="s">
        <v>251</v>
      </c>
      <c r="BD405" s="18" t="s">
        <v>175</v>
      </c>
      <c r="BE405" s="18" t="s">
        <v>91</v>
      </c>
      <c r="BF405" s="18" t="s">
        <v>77</v>
      </c>
      <c r="BG405" s="18">
        <v>162</v>
      </c>
      <c r="BH405" s="18">
        <v>60</v>
      </c>
      <c r="BI405" s="18">
        <v>0.7297</v>
      </c>
      <c r="BJ405" s="18">
        <v>0</v>
      </c>
      <c r="BK405" s="18">
        <v>6</v>
      </c>
      <c r="BL405" s="18">
        <v>98.4</v>
      </c>
      <c r="BM405" s="13">
        <f t="shared" si="0"/>
        <v>28588.56</v>
      </c>
    </row>
    <row r="406" customHeight="1" spans="1:65">
      <c r="A406" s="18" t="s">
        <v>1818</v>
      </c>
      <c r="B406" s="18" t="s">
        <v>171</v>
      </c>
      <c r="C406" s="18" t="s">
        <v>1819</v>
      </c>
      <c r="D406" s="13"/>
      <c r="E406" s="18" t="s">
        <v>81</v>
      </c>
      <c r="F406" s="18" t="s">
        <v>160</v>
      </c>
      <c r="G406" s="18" t="s">
        <v>83</v>
      </c>
      <c r="H406" s="18" t="s">
        <v>84</v>
      </c>
      <c r="I406" s="18" t="s">
        <v>85</v>
      </c>
      <c r="J406" s="18">
        <v>5</v>
      </c>
      <c r="K406" s="16">
        <v>199.49</v>
      </c>
      <c r="L406" s="16">
        <v>284.99</v>
      </c>
      <c r="M406" s="16">
        <v>30</v>
      </c>
      <c r="N406" s="16">
        <v>85.5</v>
      </c>
      <c r="O406" s="18">
        <v>1</v>
      </c>
      <c r="P406" s="18" t="s">
        <v>95</v>
      </c>
      <c r="Q406" s="18">
        <v>5.300764</v>
      </c>
      <c r="R406" s="10"/>
      <c r="S406" s="16">
        <v>3</v>
      </c>
      <c r="T406" s="16">
        <v>47</v>
      </c>
      <c r="U406" s="18" t="s">
        <v>1818</v>
      </c>
      <c r="V406" s="18" t="s">
        <v>171</v>
      </c>
      <c r="W406" s="18" t="s">
        <v>1819</v>
      </c>
      <c r="X406" s="13"/>
      <c r="Y406" s="18" t="s">
        <v>81</v>
      </c>
      <c r="Z406" s="18" t="s">
        <v>160</v>
      </c>
      <c r="AA406" s="18" t="s">
        <v>83</v>
      </c>
      <c r="AB406" s="18" t="s">
        <v>84</v>
      </c>
      <c r="AC406" s="18" t="s">
        <v>85</v>
      </c>
      <c r="AD406" s="18">
        <v>39.3006666666664</v>
      </c>
      <c r="AE406" s="18">
        <v>1</v>
      </c>
      <c r="AF406" s="18">
        <v>1</v>
      </c>
      <c r="AG406" s="18">
        <v>0</v>
      </c>
      <c r="AH406" s="18">
        <v>1</v>
      </c>
      <c r="AI406" s="18">
        <v>0</v>
      </c>
      <c r="AJ406" s="18">
        <v>0</v>
      </c>
      <c r="AK406" s="18">
        <v>0</v>
      </c>
      <c r="AL406" s="18">
        <v>0</v>
      </c>
      <c r="AM406" s="18">
        <v>0</v>
      </c>
      <c r="AN406" s="18">
        <v>0</v>
      </c>
      <c r="AO406" s="18">
        <v>0</v>
      </c>
      <c r="AP406" s="18">
        <v>0</v>
      </c>
      <c r="AQ406" s="18">
        <v>0</v>
      </c>
      <c r="AR406" s="18">
        <v>0</v>
      </c>
      <c r="AS406" s="18">
        <v>0</v>
      </c>
      <c r="AT406" s="18">
        <v>1</v>
      </c>
      <c r="AU406" s="18">
        <v>0</v>
      </c>
      <c r="AV406" s="18">
        <v>0</v>
      </c>
      <c r="AW406" s="18">
        <v>1</v>
      </c>
      <c r="AX406" s="18">
        <v>0</v>
      </c>
      <c r="AY406" s="13"/>
      <c r="AZ406" s="18">
        <v>1</v>
      </c>
      <c r="BA406" s="18">
        <v>2</v>
      </c>
      <c r="BB406" s="18">
        <v>40.5</v>
      </c>
      <c r="BC406" s="18" t="s">
        <v>251</v>
      </c>
      <c r="BD406" s="18" t="s">
        <v>175</v>
      </c>
      <c r="BE406" s="18" t="s">
        <v>91</v>
      </c>
      <c r="BF406" s="18" t="s">
        <v>77</v>
      </c>
      <c r="BG406" s="18">
        <v>162</v>
      </c>
      <c r="BH406" s="18">
        <v>60</v>
      </c>
      <c r="BI406" s="18">
        <v>0.7297</v>
      </c>
      <c r="BJ406" s="18">
        <v>0</v>
      </c>
      <c r="BK406" s="18">
        <v>11</v>
      </c>
      <c r="BL406" s="18">
        <v>97</v>
      </c>
      <c r="BM406" s="13">
        <f t="shared" si="0"/>
        <v>598.47</v>
      </c>
    </row>
    <row r="407" customHeight="1" spans="1:65">
      <c r="A407" s="18" t="s">
        <v>803</v>
      </c>
      <c r="B407" s="18" t="s">
        <v>171</v>
      </c>
      <c r="C407" s="18" t="s">
        <v>804</v>
      </c>
      <c r="D407" s="13"/>
      <c r="E407" s="18" t="s">
        <v>2132</v>
      </c>
      <c r="F407" s="18" t="s">
        <v>160</v>
      </c>
      <c r="G407" s="18" t="s">
        <v>83</v>
      </c>
      <c r="H407" s="18" t="s">
        <v>84</v>
      </c>
      <c r="I407" s="18" t="s">
        <v>85</v>
      </c>
      <c r="J407" s="18">
        <v>5</v>
      </c>
      <c r="K407" s="16">
        <v>59.19</v>
      </c>
      <c r="L407" s="10"/>
      <c r="M407" s="16">
        <v>0</v>
      </c>
      <c r="N407" s="16">
        <v>0</v>
      </c>
      <c r="O407" s="18">
        <v>0</v>
      </c>
      <c r="P407" s="18" t="s">
        <v>86</v>
      </c>
      <c r="Q407" s="18">
        <v>4.097506</v>
      </c>
      <c r="R407" s="16">
        <v>7.4</v>
      </c>
      <c r="S407" s="16">
        <v>72</v>
      </c>
      <c r="T407" s="16">
        <v>100</v>
      </c>
      <c r="U407" s="18" t="s">
        <v>803</v>
      </c>
      <c r="V407" s="18" t="s">
        <v>171</v>
      </c>
      <c r="W407" s="18" t="s">
        <v>804</v>
      </c>
      <c r="X407" s="13"/>
      <c r="Y407" s="18" t="s">
        <v>805</v>
      </c>
      <c r="Z407" s="18" t="s">
        <v>160</v>
      </c>
      <c r="AA407" s="18" t="s">
        <v>83</v>
      </c>
      <c r="AB407" s="18" t="s">
        <v>84</v>
      </c>
      <c r="AC407" s="18" t="s">
        <v>85</v>
      </c>
      <c r="AD407" s="18">
        <v>113.38</v>
      </c>
      <c r="AE407" s="18">
        <v>0</v>
      </c>
      <c r="AF407" s="18">
        <v>0</v>
      </c>
      <c r="AG407" s="18">
        <v>0</v>
      </c>
      <c r="AH407" s="18">
        <v>0</v>
      </c>
      <c r="AI407" s="18">
        <v>0</v>
      </c>
      <c r="AJ407" s="18">
        <v>0</v>
      </c>
      <c r="AK407" s="18">
        <v>0</v>
      </c>
      <c r="AL407" s="18">
        <v>0</v>
      </c>
      <c r="AM407" s="18">
        <v>1</v>
      </c>
      <c r="AN407" s="18">
        <v>0</v>
      </c>
      <c r="AO407" s="18">
        <v>0</v>
      </c>
      <c r="AP407" s="18">
        <v>0</v>
      </c>
      <c r="AQ407" s="18">
        <v>1</v>
      </c>
      <c r="AR407" s="18">
        <v>0</v>
      </c>
      <c r="AS407" s="18">
        <v>0</v>
      </c>
      <c r="AT407" s="18">
        <v>0</v>
      </c>
      <c r="AU407" s="18">
        <v>0</v>
      </c>
      <c r="AV407" s="18">
        <v>1</v>
      </c>
      <c r="AW407" s="18">
        <v>1</v>
      </c>
      <c r="AX407" s="18">
        <v>0</v>
      </c>
      <c r="AY407" s="18">
        <v>8</v>
      </c>
      <c r="AZ407" s="18">
        <v>1</v>
      </c>
      <c r="BA407" s="18">
        <v>2</v>
      </c>
      <c r="BB407" s="18">
        <v>46.41</v>
      </c>
      <c r="BC407" s="18" t="s">
        <v>251</v>
      </c>
      <c r="BD407" s="18" t="s">
        <v>175</v>
      </c>
      <c r="BE407" s="18" t="s">
        <v>91</v>
      </c>
      <c r="BF407" s="18" t="s">
        <v>77</v>
      </c>
      <c r="BG407" s="18">
        <v>161</v>
      </c>
      <c r="BH407" s="18">
        <v>61</v>
      </c>
      <c r="BI407" s="18">
        <v>0.7252</v>
      </c>
      <c r="BJ407" s="18">
        <v>0</v>
      </c>
      <c r="BK407" s="18">
        <v>4</v>
      </c>
      <c r="BL407" s="18">
        <v>98.9</v>
      </c>
      <c r="BM407" s="13">
        <f t="shared" si="0"/>
        <v>4261.68</v>
      </c>
    </row>
    <row r="408" customHeight="1" spans="1:65">
      <c r="A408" s="18" t="s">
        <v>1086</v>
      </c>
      <c r="B408" s="18" t="s">
        <v>171</v>
      </c>
      <c r="C408" s="18" t="s">
        <v>1087</v>
      </c>
      <c r="D408" s="13"/>
      <c r="E408" s="18" t="s">
        <v>2132</v>
      </c>
      <c r="F408" s="18" t="s">
        <v>160</v>
      </c>
      <c r="G408" s="18" t="s">
        <v>83</v>
      </c>
      <c r="H408" s="18" t="s">
        <v>84</v>
      </c>
      <c r="I408" s="18" t="s">
        <v>85</v>
      </c>
      <c r="J408" s="18">
        <v>5</v>
      </c>
      <c r="K408" s="16">
        <v>125.79</v>
      </c>
      <c r="L408" s="10"/>
      <c r="M408" s="16">
        <v>0</v>
      </c>
      <c r="N408" s="16">
        <v>0</v>
      </c>
      <c r="O408" s="18">
        <v>0</v>
      </c>
      <c r="P408" s="18" t="s">
        <v>95</v>
      </c>
      <c r="Q408" s="18">
        <v>4.842532</v>
      </c>
      <c r="R408" s="10"/>
      <c r="S408" s="16">
        <v>153</v>
      </c>
      <c r="T408" s="16">
        <v>10</v>
      </c>
      <c r="U408" s="18" t="s">
        <v>1086</v>
      </c>
      <c r="V408" s="18" t="s">
        <v>171</v>
      </c>
      <c r="W408" s="18" t="s">
        <v>2631</v>
      </c>
      <c r="X408" s="13"/>
      <c r="Y408" s="18" t="s">
        <v>805</v>
      </c>
      <c r="Z408" s="18" t="s">
        <v>160</v>
      </c>
      <c r="AA408" s="18" t="s">
        <v>83</v>
      </c>
      <c r="AB408" s="18" t="s">
        <v>84</v>
      </c>
      <c r="AC408" s="18" t="s">
        <v>85</v>
      </c>
      <c r="AD408" s="18">
        <v>246.58</v>
      </c>
      <c r="AE408" s="18">
        <v>0</v>
      </c>
      <c r="AF408" s="18">
        <v>0</v>
      </c>
      <c r="AG408" s="18">
        <v>0</v>
      </c>
      <c r="AH408" s="18">
        <v>0</v>
      </c>
      <c r="AI408" s="18">
        <v>0</v>
      </c>
      <c r="AJ408" s="18">
        <v>0</v>
      </c>
      <c r="AK408" s="18">
        <v>0</v>
      </c>
      <c r="AL408" s="18">
        <v>0</v>
      </c>
      <c r="AM408" s="18">
        <v>0</v>
      </c>
      <c r="AN408" s="18">
        <v>0</v>
      </c>
      <c r="AO408" s="18">
        <v>0</v>
      </c>
      <c r="AP408" s="18">
        <v>0</v>
      </c>
      <c r="AQ408" s="18">
        <v>1</v>
      </c>
      <c r="AR408" s="18">
        <v>0</v>
      </c>
      <c r="AS408" s="18">
        <v>0</v>
      </c>
      <c r="AT408" s="18">
        <v>1</v>
      </c>
      <c r="AU408" s="18">
        <v>0</v>
      </c>
      <c r="AV408" s="18">
        <v>1</v>
      </c>
      <c r="AW408" s="18">
        <v>1</v>
      </c>
      <c r="AX408" s="18">
        <v>0</v>
      </c>
      <c r="AY408" s="13"/>
      <c r="AZ408" s="18">
        <v>4</v>
      </c>
      <c r="BA408" s="18">
        <v>3</v>
      </c>
      <c r="BB408" s="18">
        <v>66.65</v>
      </c>
      <c r="BC408" s="18" t="s">
        <v>251</v>
      </c>
      <c r="BD408" s="18" t="s">
        <v>175</v>
      </c>
      <c r="BE408" s="18" t="s">
        <v>91</v>
      </c>
      <c r="BF408" s="18" t="s">
        <v>77</v>
      </c>
      <c r="BG408" s="18">
        <v>161</v>
      </c>
      <c r="BH408" s="18">
        <v>61</v>
      </c>
      <c r="BI408" s="18">
        <v>0.7252</v>
      </c>
      <c r="BJ408" s="18">
        <v>0</v>
      </c>
      <c r="BK408" s="18">
        <v>11</v>
      </c>
      <c r="BL408" s="18">
        <v>97</v>
      </c>
      <c r="BM408" s="13">
        <f t="shared" si="0"/>
        <v>19245.87</v>
      </c>
    </row>
    <row r="409" customHeight="1" spans="1:65">
      <c r="A409" s="18" t="s">
        <v>1396</v>
      </c>
      <c r="B409" s="18" t="s">
        <v>171</v>
      </c>
      <c r="C409" s="13"/>
      <c r="D409" s="13"/>
      <c r="E409" s="18" t="s">
        <v>209</v>
      </c>
      <c r="F409" s="18" t="s">
        <v>160</v>
      </c>
      <c r="G409" s="18" t="s">
        <v>83</v>
      </c>
      <c r="H409" s="18" t="s">
        <v>84</v>
      </c>
      <c r="I409" s="18" t="s">
        <v>85</v>
      </c>
      <c r="J409" s="18">
        <v>5</v>
      </c>
      <c r="K409" s="16">
        <v>153.99</v>
      </c>
      <c r="L409" s="10"/>
      <c r="M409" s="16">
        <v>0</v>
      </c>
      <c r="N409" s="16">
        <v>0</v>
      </c>
      <c r="O409" s="18">
        <v>0</v>
      </c>
      <c r="P409" s="18" t="s">
        <v>95</v>
      </c>
      <c r="Q409" s="18">
        <v>5.043361</v>
      </c>
      <c r="R409" s="16">
        <v>19.25</v>
      </c>
      <c r="S409" s="16">
        <v>24</v>
      </c>
      <c r="T409" s="16">
        <v>20</v>
      </c>
      <c r="U409" s="18" t="s">
        <v>1396</v>
      </c>
      <c r="V409" s="18" t="s">
        <v>171</v>
      </c>
      <c r="W409" s="13"/>
      <c r="X409" s="13"/>
      <c r="Y409" s="18" t="s">
        <v>209</v>
      </c>
      <c r="Z409" s="18" t="s">
        <v>160</v>
      </c>
      <c r="AA409" s="18" t="s">
        <v>83</v>
      </c>
      <c r="AB409" s="18" t="s">
        <v>84</v>
      </c>
      <c r="AC409" s="18" t="s">
        <v>85</v>
      </c>
      <c r="AD409" s="18">
        <v>302.98</v>
      </c>
      <c r="AE409" s="18">
        <v>0</v>
      </c>
      <c r="AF409" s="18">
        <v>0</v>
      </c>
      <c r="AG409" s="18">
        <v>0</v>
      </c>
      <c r="AH409" s="18">
        <v>0</v>
      </c>
      <c r="AI409" s="18">
        <v>0</v>
      </c>
      <c r="AJ409" s="18">
        <v>0</v>
      </c>
      <c r="AK409" s="18">
        <v>0</v>
      </c>
      <c r="AL409" s="18">
        <v>0</v>
      </c>
      <c r="AM409" s="18">
        <v>0</v>
      </c>
      <c r="AN409" s="18">
        <v>0</v>
      </c>
      <c r="AO409" s="18">
        <v>0</v>
      </c>
      <c r="AP409" s="18">
        <v>0</v>
      </c>
      <c r="AQ409" s="18">
        <v>1</v>
      </c>
      <c r="AR409" s="18">
        <v>0</v>
      </c>
      <c r="AS409" s="18">
        <v>0</v>
      </c>
      <c r="AT409" s="18">
        <v>1</v>
      </c>
      <c r="AU409" s="18">
        <v>0</v>
      </c>
      <c r="AV409" s="18">
        <v>1</v>
      </c>
      <c r="AW409" s="18">
        <v>1</v>
      </c>
      <c r="AX409" s="18">
        <v>0</v>
      </c>
      <c r="AY409" s="18">
        <v>8</v>
      </c>
      <c r="AZ409" s="18">
        <v>1</v>
      </c>
      <c r="BA409" s="18">
        <v>3</v>
      </c>
      <c r="BB409" s="18">
        <v>46.24</v>
      </c>
      <c r="BC409" s="18" t="s">
        <v>251</v>
      </c>
      <c r="BD409" s="18" t="s">
        <v>175</v>
      </c>
      <c r="BE409" s="18" t="s">
        <v>91</v>
      </c>
      <c r="BF409" s="18" t="s">
        <v>77</v>
      </c>
      <c r="BG409" s="18">
        <v>161</v>
      </c>
      <c r="BH409" s="18">
        <v>61</v>
      </c>
      <c r="BI409" s="18">
        <v>0.7252</v>
      </c>
      <c r="BJ409" s="18">
        <v>0</v>
      </c>
      <c r="BK409" s="18">
        <v>68</v>
      </c>
      <c r="BL409" s="18">
        <v>81.4</v>
      </c>
      <c r="BM409" s="13">
        <f t="shared" si="0"/>
        <v>3695.76</v>
      </c>
    </row>
    <row r="410" customHeight="1" spans="1:65">
      <c r="A410" s="18" t="s">
        <v>621</v>
      </c>
      <c r="B410" s="18" t="s">
        <v>171</v>
      </c>
      <c r="C410" s="18" t="s">
        <v>622</v>
      </c>
      <c r="D410" s="13"/>
      <c r="E410" s="18" t="s">
        <v>255</v>
      </c>
      <c r="F410" s="18" t="s">
        <v>82</v>
      </c>
      <c r="G410" s="18" t="s">
        <v>83</v>
      </c>
      <c r="H410" s="18" t="s">
        <v>84</v>
      </c>
      <c r="I410" s="18" t="s">
        <v>85</v>
      </c>
      <c r="J410" s="18">
        <v>5</v>
      </c>
      <c r="K410" s="16">
        <v>69.59</v>
      </c>
      <c r="L410" s="10"/>
      <c r="M410" s="16">
        <v>0</v>
      </c>
      <c r="N410" s="16">
        <v>0</v>
      </c>
      <c r="O410" s="18">
        <v>0</v>
      </c>
      <c r="P410" s="18" t="s">
        <v>86</v>
      </c>
      <c r="Q410" s="18">
        <v>4.256888</v>
      </c>
      <c r="R410" s="10"/>
      <c r="S410" s="16">
        <v>60</v>
      </c>
      <c r="T410" s="16">
        <v>119</v>
      </c>
      <c r="U410" s="18" t="s">
        <v>621</v>
      </c>
      <c r="V410" s="18" t="s">
        <v>171</v>
      </c>
      <c r="W410" s="18" t="s">
        <v>622</v>
      </c>
      <c r="X410" s="13"/>
      <c r="Y410" s="18" t="s">
        <v>255</v>
      </c>
      <c r="Z410" s="18" t="s">
        <v>82</v>
      </c>
      <c r="AA410" s="18" t="s">
        <v>83</v>
      </c>
      <c r="AB410" s="18" t="s">
        <v>84</v>
      </c>
      <c r="AC410" s="18" t="s">
        <v>85</v>
      </c>
      <c r="AD410" s="18">
        <v>134.18</v>
      </c>
      <c r="AE410" s="18">
        <v>0</v>
      </c>
      <c r="AF410" s="18">
        <v>0</v>
      </c>
      <c r="AG410" s="18">
        <v>1</v>
      </c>
      <c r="AH410" s="18">
        <v>0</v>
      </c>
      <c r="AI410" s="18">
        <v>1</v>
      </c>
      <c r="AJ410" s="18">
        <v>0</v>
      </c>
      <c r="AK410" s="18">
        <v>0</v>
      </c>
      <c r="AL410" s="18">
        <v>0</v>
      </c>
      <c r="AM410" s="18">
        <v>0</v>
      </c>
      <c r="AN410" s="18">
        <v>1</v>
      </c>
      <c r="AO410" s="18">
        <v>0</v>
      </c>
      <c r="AP410" s="18">
        <v>0</v>
      </c>
      <c r="AQ410" s="18">
        <v>0</v>
      </c>
      <c r="AR410" s="18">
        <v>0</v>
      </c>
      <c r="AS410" s="18">
        <v>0</v>
      </c>
      <c r="AT410" s="18">
        <v>1</v>
      </c>
      <c r="AU410" s="18">
        <v>0</v>
      </c>
      <c r="AV410" s="18">
        <v>0</v>
      </c>
      <c r="AW410" s="18">
        <v>0</v>
      </c>
      <c r="AX410" s="18">
        <v>0</v>
      </c>
      <c r="AY410" s="13"/>
      <c r="AZ410" s="18">
        <v>1</v>
      </c>
      <c r="BA410" s="18">
        <v>3</v>
      </c>
      <c r="BB410" s="18">
        <v>43.17</v>
      </c>
      <c r="BC410" s="18" t="s">
        <v>251</v>
      </c>
      <c r="BD410" s="18" t="s">
        <v>175</v>
      </c>
      <c r="BE410" s="18" t="s">
        <v>91</v>
      </c>
      <c r="BF410" s="18" t="s">
        <v>77</v>
      </c>
      <c r="BG410" s="18">
        <v>162</v>
      </c>
      <c r="BH410" s="18">
        <v>60</v>
      </c>
      <c r="BI410" s="18">
        <v>0.7297</v>
      </c>
      <c r="BJ410" s="18">
        <v>0</v>
      </c>
      <c r="BK410" s="18">
        <v>3</v>
      </c>
      <c r="BL410" s="18">
        <v>99.2</v>
      </c>
      <c r="BM410" s="13">
        <f t="shared" si="0"/>
        <v>4175.4</v>
      </c>
    </row>
    <row r="411" customHeight="1" spans="1:65">
      <c r="A411" s="18" t="s">
        <v>1165</v>
      </c>
      <c r="B411" s="18" t="s">
        <v>171</v>
      </c>
      <c r="C411" s="18" t="s">
        <v>1166</v>
      </c>
      <c r="D411" s="13"/>
      <c r="E411" s="18" t="s">
        <v>255</v>
      </c>
      <c r="F411" s="18" t="s">
        <v>160</v>
      </c>
      <c r="G411" s="18" t="s">
        <v>83</v>
      </c>
      <c r="H411" s="18" t="s">
        <v>84</v>
      </c>
      <c r="I411" s="18" t="s">
        <v>85</v>
      </c>
      <c r="J411" s="18">
        <v>5</v>
      </c>
      <c r="K411" s="16">
        <v>26.38</v>
      </c>
      <c r="L411" s="10"/>
      <c r="M411" s="16">
        <v>0</v>
      </c>
      <c r="N411" s="16">
        <v>0</v>
      </c>
      <c r="O411" s="18">
        <v>0</v>
      </c>
      <c r="P411" s="18" t="s">
        <v>86</v>
      </c>
      <c r="Q411" s="18">
        <v>3.309813</v>
      </c>
      <c r="R411" s="10"/>
      <c r="S411" s="16">
        <v>65</v>
      </c>
      <c r="T411" s="16">
        <v>100</v>
      </c>
      <c r="U411" s="18" t="s">
        <v>1165</v>
      </c>
      <c r="V411" s="18" t="s">
        <v>171</v>
      </c>
      <c r="W411" s="18" t="s">
        <v>1166</v>
      </c>
      <c r="X411" s="13"/>
      <c r="Y411" s="18" t="s">
        <v>255</v>
      </c>
      <c r="Z411" s="18" t="s">
        <v>160</v>
      </c>
      <c r="AA411" s="18" t="s">
        <v>83</v>
      </c>
      <c r="AB411" s="18" t="s">
        <v>84</v>
      </c>
      <c r="AC411" s="18" t="s">
        <v>85</v>
      </c>
      <c r="AD411" s="18">
        <v>47.76</v>
      </c>
      <c r="AE411" s="18">
        <v>0</v>
      </c>
      <c r="AF411" s="18">
        <v>0</v>
      </c>
      <c r="AG411" s="18">
        <v>0</v>
      </c>
      <c r="AH411" s="18">
        <v>0</v>
      </c>
      <c r="AI411" s="18">
        <v>0</v>
      </c>
      <c r="AJ411" s="18">
        <v>0</v>
      </c>
      <c r="AK411" s="18">
        <v>0</v>
      </c>
      <c r="AL411" s="18">
        <v>0</v>
      </c>
      <c r="AM411" s="18">
        <v>0</v>
      </c>
      <c r="AN411" s="18">
        <v>0</v>
      </c>
      <c r="AO411" s="18">
        <v>0</v>
      </c>
      <c r="AP411" s="18">
        <v>0</v>
      </c>
      <c r="AQ411" s="18">
        <v>0</v>
      </c>
      <c r="AR411" s="18">
        <v>0</v>
      </c>
      <c r="AS411" s="18">
        <v>0</v>
      </c>
      <c r="AT411" s="18">
        <v>1</v>
      </c>
      <c r="AU411" s="18">
        <v>0</v>
      </c>
      <c r="AV411" s="18">
        <v>0</v>
      </c>
      <c r="AW411" s="18">
        <v>0</v>
      </c>
      <c r="AX411" s="18">
        <v>0</v>
      </c>
      <c r="AY411" s="13"/>
      <c r="AZ411" s="18">
        <v>1</v>
      </c>
      <c r="BA411" s="18">
        <v>2</v>
      </c>
      <c r="BB411" s="18">
        <v>45.61</v>
      </c>
      <c r="BC411" s="18" t="s">
        <v>251</v>
      </c>
      <c r="BD411" s="18" t="s">
        <v>175</v>
      </c>
      <c r="BE411" s="18" t="s">
        <v>91</v>
      </c>
      <c r="BF411" s="18" t="s">
        <v>77</v>
      </c>
      <c r="BG411" s="18">
        <v>162</v>
      </c>
      <c r="BH411" s="18">
        <v>60</v>
      </c>
      <c r="BI411" s="18">
        <v>0.7297</v>
      </c>
      <c r="BJ411" s="18">
        <v>0</v>
      </c>
      <c r="BK411" s="18">
        <v>2</v>
      </c>
      <c r="BL411" s="18">
        <v>99.5</v>
      </c>
      <c r="BM411" s="13">
        <f t="shared" si="0"/>
        <v>1714.7</v>
      </c>
    </row>
    <row r="412" customHeight="1" spans="1:65">
      <c r="A412" s="18" t="s">
        <v>2403</v>
      </c>
      <c r="B412" s="18" t="s">
        <v>171</v>
      </c>
      <c r="C412" s="18" t="s">
        <v>2404</v>
      </c>
      <c r="D412" s="13"/>
      <c r="E412" s="18" t="s">
        <v>255</v>
      </c>
      <c r="F412" s="18" t="s">
        <v>160</v>
      </c>
      <c r="G412" s="18" t="s">
        <v>83</v>
      </c>
      <c r="H412" s="18" t="s">
        <v>84</v>
      </c>
      <c r="I412" s="18" t="s">
        <v>85</v>
      </c>
      <c r="J412" s="18">
        <v>5</v>
      </c>
      <c r="K412" s="16">
        <v>68.79</v>
      </c>
      <c r="L412" s="10"/>
      <c r="M412" s="16">
        <v>0</v>
      </c>
      <c r="N412" s="16">
        <v>0</v>
      </c>
      <c r="O412" s="18">
        <v>0</v>
      </c>
      <c r="P412" s="18" t="s">
        <v>86</v>
      </c>
      <c r="Q412" s="18">
        <v>4.245491</v>
      </c>
      <c r="R412" s="10"/>
      <c r="S412" s="16">
        <v>96</v>
      </c>
      <c r="T412" s="16">
        <v>18</v>
      </c>
      <c r="U412" s="18" t="s">
        <v>2403</v>
      </c>
      <c r="V412" s="18" t="s">
        <v>171</v>
      </c>
      <c r="W412" s="18" t="s">
        <v>2632</v>
      </c>
      <c r="X412" s="13"/>
      <c r="Y412" s="18" t="s">
        <v>255</v>
      </c>
      <c r="Z412" s="18" t="s">
        <v>160</v>
      </c>
      <c r="AA412" s="18" t="s">
        <v>83</v>
      </c>
      <c r="AB412" s="18" t="s">
        <v>84</v>
      </c>
      <c r="AC412" s="18" t="s">
        <v>85</v>
      </c>
      <c r="AD412" s="18">
        <v>132.58</v>
      </c>
      <c r="AE412" s="18">
        <v>0</v>
      </c>
      <c r="AF412" s="18">
        <v>0</v>
      </c>
      <c r="AG412" s="18">
        <v>0</v>
      </c>
      <c r="AH412" s="18">
        <v>1</v>
      </c>
      <c r="AI412" s="18">
        <v>0</v>
      </c>
      <c r="AJ412" s="18">
        <v>0</v>
      </c>
      <c r="AK412" s="18">
        <v>1</v>
      </c>
      <c r="AL412" s="18">
        <v>0</v>
      </c>
      <c r="AM412" s="18">
        <v>0</v>
      </c>
      <c r="AN412" s="18">
        <v>1</v>
      </c>
      <c r="AO412" s="18">
        <v>0</v>
      </c>
      <c r="AP412" s="18">
        <v>0</v>
      </c>
      <c r="AQ412" s="18">
        <v>0</v>
      </c>
      <c r="AR412" s="18">
        <v>0</v>
      </c>
      <c r="AS412" s="18">
        <v>0</v>
      </c>
      <c r="AT412" s="18">
        <v>0</v>
      </c>
      <c r="AU412" s="18">
        <v>0</v>
      </c>
      <c r="AV412" s="18">
        <v>0</v>
      </c>
      <c r="AW412" s="18">
        <v>0</v>
      </c>
      <c r="AX412" s="18">
        <v>0</v>
      </c>
      <c r="AY412" s="13"/>
      <c r="AZ412" s="18">
        <v>1</v>
      </c>
      <c r="BA412" s="18">
        <v>5</v>
      </c>
      <c r="BB412" s="18">
        <v>63.35</v>
      </c>
      <c r="BC412" s="18" t="s">
        <v>251</v>
      </c>
      <c r="BD412" s="18" t="s">
        <v>175</v>
      </c>
      <c r="BE412" s="18" t="s">
        <v>91</v>
      </c>
      <c r="BF412" s="18" t="s">
        <v>77</v>
      </c>
      <c r="BG412" s="18">
        <v>162</v>
      </c>
      <c r="BH412" s="18">
        <v>60</v>
      </c>
      <c r="BI412" s="18">
        <v>0.7297</v>
      </c>
      <c r="BJ412" s="18">
        <v>0</v>
      </c>
      <c r="BK412" s="18">
        <v>4</v>
      </c>
      <c r="BL412" s="18">
        <v>98.9</v>
      </c>
      <c r="BM412" s="13">
        <f t="shared" si="0"/>
        <v>6603.84</v>
      </c>
    </row>
    <row r="413" customHeight="1" spans="1:65">
      <c r="A413" s="18" t="s">
        <v>813</v>
      </c>
      <c r="B413" s="18" t="s">
        <v>171</v>
      </c>
      <c r="C413" s="13"/>
      <c r="D413" s="13"/>
      <c r="E413" s="18" t="s">
        <v>239</v>
      </c>
      <c r="F413" s="18" t="s">
        <v>160</v>
      </c>
      <c r="G413" s="18" t="s">
        <v>83</v>
      </c>
      <c r="H413" s="18" t="s">
        <v>84</v>
      </c>
      <c r="I413" s="18" t="s">
        <v>85</v>
      </c>
      <c r="J413" s="18">
        <v>5</v>
      </c>
      <c r="K413" s="16">
        <v>103.59</v>
      </c>
      <c r="L413" s="10"/>
      <c r="M413" s="16">
        <v>0</v>
      </c>
      <c r="N413" s="16">
        <v>0</v>
      </c>
      <c r="O413" s="18">
        <v>0</v>
      </c>
      <c r="P413" s="18" t="s">
        <v>95</v>
      </c>
      <c r="Q413" s="18">
        <v>4.650048</v>
      </c>
      <c r="R413" s="16">
        <v>6.47</v>
      </c>
      <c r="S413" s="16">
        <v>146</v>
      </c>
      <c r="T413" s="16">
        <v>100</v>
      </c>
      <c r="U413" s="18" t="s">
        <v>813</v>
      </c>
      <c r="V413" s="18" t="s">
        <v>171</v>
      </c>
      <c r="W413" s="13"/>
      <c r="X413" s="13"/>
      <c r="Y413" s="18" t="s">
        <v>239</v>
      </c>
      <c r="Z413" s="18" t="s">
        <v>160</v>
      </c>
      <c r="AA413" s="18" t="s">
        <v>83</v>
      </c>
      <c r="AB413" s="18" t="s">
        <v>84</v>
      </c>
      <c r="AC413" s="18" t="s">
        <v>85</v>
      </c>
      <c r="AD413" s="18">
        <v>202.18</v>
      </c>
      <c r="AE413" s="18">
        <v>0</v>
      </c>
      <c r="AF413" s="18">
        <v>0</v>
      </c>
      <c r="AG413" s="18">
        <v>0</v>
      </c>
      <c r="AH413" s="18">
        <v>0</v>
      </c>
      <c r="AI413" s="18">
        <v>0</v>
      </c>
      <c r="AJ413" s="18">
        <v>0</v>
      </c>
      <c r="AK413" s="18">
        <v>0</v>
      </c>
      <c r="AL413" s="18">
        <v>0</v>
      </c>
      <c r="AM413" s="18">
        <v>0</v>
      </c>
      <c r="AN413" s="18">
        <v>0</v>
      </c>
      <c r="AO413" s="18">
        <v>0</v>
      </c>
      <c r="AP413" s="18">
        <v>0</v>
      </c>
      <c r="AQ413" s="18">
        <v>1</v>
      </c>
      <c r="AR413" s="18">
        <v>0</v>
      </c>
      <c r="AS413" s="18">
        <v>0</v>
      </c>
      <c r="AT413" s="18">
        <v>0</v>
      </c>
      <c r="AU413" s="18">
        <v>0</v>
      </c>
      <c r="AV413" s="18">
        <v>1</v>
      </c>
      <c r="AW413" s="18">
        <v>0</v>
      </c>
      <c r="AX413" s="18">
        <v>0</v>
      </c>
      <c r="AY413" s="18">
        <v>16</v>
      </c>
      <c r="AZ413" s="18">
        <v>1</v>
      </c>
      <c r="BA413" s="18">
        <v>1</v>
      </c>
      <c r="BB413" s="18">
        <v>53.26</v>
      </c>
      <c r="BC413" s="18" t="s">
        <v>251</v>
      </c>
      <c r="BD413" s="18" t="s">
        <v>175</v>
      </c>
      <c r="BE413" s="18" t="s">
        <v>91</v>
      </c>
      <c r="BF413" s="18" t="s">
        <v>77</v>
      </c>
      <c r="BG413" s="18">
        <v>162</v>
      </c>
      <c r="BH413" s="18">
        <v>60</v>
      </c>
      <c r="BI413" s="18">
        <v>0.7297</v>
      </c>
      <c r="BJ413" s="18">
        <v>0</v>
      </c>
      <c r="BK413" s="18">
        <v>6</v>
      </c>
      <c r="BL413" s="18">
        <v>98.4</v>
      </c>
      <c r="BM413" s="13">
        <f t="shared" si="0"/>
        <v>15124.14</v>
      </c>
    </row>
    <row r="414" customHeight="1" spans="1:65">
      <c r="A414" s="18" t="s">
        <v>2018</v>
      </c>
      <c r="B414" s="18" t="s">
        <v>171</v>
      </c>
      <c r="C414" s="18" t="s">
        <v>578</v>
      </c>
      <c r="D414" s="13"/>
      <c r="E414" s="18" t="s">
        <v>239</v>
      </c>
      <c r="F414" s="18" t="s">
        <v>160</v>
      </c>
      <c r="G414" s="18" t="s">
        <v>83</v>
      </c>
      <c r="H414" s="18" t="s">
        <v>84</v>
      </c>
      <c r="I414" s="18" t="s">
        <v>85</v>
      </c>
      <c r="J414" s="18">
        <v>5</v>
      </c>
      <c r="K414" s="16">
        <v>109.49</v>
      </c>
      <c r="L414" s="10"/>
      <c r="M414" s="16">
        <v>0</v>
      </c>
      <c r="N414" s="16">
        <v>0</v>
      </c>
      <c r="O414" s="18">
        <v>0</v>
      </c>
      <c r="P414" s="18" t="s">
        <v>95</v>
      </c>
      <c r="Q414" s="18">
        <v>4.704925</v>
      </c>
      <c r="R414" s="16">
        <v>13.69</v>
      </c>
      <c r="S414" s="16">
        <v>135</v>
      </c>
      <c r="T414" s="16">
        <v>100</v>
      </c>
      <c r="U414" s="18" t="s">
        <v>2018</v>
      </c>
      <c r="V414" s="18" t="s">
        <v>171</v>
      </c>
      <c r="W414" s="18" t="s">
        <v>578</v>
      </c>
      <c r="X414" s="13"/>
      <c r="Y414" s="18" t="s">
        <v>239</v>
      </c>
      <c r="Z414" s="18" t="s">
        <v>160</v>
      </c>
      <c r="AA414" s="18" t="s">
        <v>83</v>
      </c>
      <c r="AB414" s="18" t="s">
        <v>84</v>
      </c>
      <c r="AC414" s="18" t="s">
        <v>85</v>
      </c>
      <c r="AD414" s="18">
        <v>213.98</v>
      </c>
      <c r="AE414" s="18">
        <v>0</v>
      </c>
      <c r="AF414" s="18">
        <v>0</v>
      </c>
      <c r="AG414" s="18">
        <v>0</v>
      </c>
      <c r="AH414" s="18">
        <v>0</v>
      </c>
      <c r="AI414" s="18">
        <v>0</v>
      </c>
      <c r="AJ414" s="18">
        <v>0</v>
      </c>
      <c r="AK414" s="18">
        <v>0</v>
      </c>
      <c r="AL414" s="18">
        <v>0</v>
      </c>
      <c r="AM414" s="18">
        <v>0</v>
      </c>
      <c r="AN414" s="18">
        <v>0</v>
      </c>
      <c r="AO414" s="18">
        <v>0</v>
      </c>
      <c r="AP414" s="18">
        <v>0</v>
      </c>
      <c r="AQ414" s="18">
        <v>1</v>
      </c>
      <c r="AR414" s="18">
        <v>0</v>
      </c>
      <c r="AS414" s="18">
        <v>0</v>
      </c>
      <c r="AT414" s="18">
        <v>0</v>
      </c>
      <c r="AU414" s="18">
        <v>0</v>
      </c>
      <c r="AV414" s="18">
        <v>1</v>
      </c>
      <c r="AW414" s="18">
        <v>1</v>
      </c>
      <c r="AX414" s="18">
        <v>0</v>
      </c>
      <c r="AY414" s="18">
        <v>8</v>
      </c>
      <c r="AZ414" s="18">
        <v>1</v>
      </c>
      <c r="BA414" s="18">
        <v>1</v>
      </c>
      <c r="BB414" s="18">
        <v>52.83</v>
      </c>
      <c r="BC414" s="18" t="s">
        <v>251</v>
      </c>
      <c r="BD414" s="18" t="s">
        <v>175</v>
      </c>
      <c r="BE414" s="18" t="s">
        <v>91</v>
      </c>
      <c r="BF414" s="18" t="s">
        <v>77</v>
      </c>
      <c r="BG414" s="18">
        <v>161</v>
      </c>
      <c r="BH414" s="18">
        <v>61</v>
      </c>
      <c r="BI414" s="18">
        <v>0.7252</v>
      </c>
      <c r="BJ414" s="18">
        <v>0</v>
      </c>
      <c r="BK414" s="18">
        <v>2</v>
      </c>
      <c r="BL414" s="18">
        <v>99.5</v>
      </c>
      <c r="BM414" s="13">
        <f t="shared" si="0"/>
        <v>14781.15</v>
      </c>
    </row>
    <row r="415" customHeight="1" spans="1:65">
      <c r="A415" s="18" t="s">
        <v>1725</v>
      </c>
      <c r="B415" s="18" t="s">
        <v>171</v>
      </c>
      <c r="C415" s="18" t="s">
        <v>1726</v>
      </c>
      <c r="D415" s="13"/>
      <c r="E415" s="18" t="s">
        <v>559</v>
      </c>
      <c r="F415" s="18" t="s">
        <v>160</v>
      </c>
      <c r="G415" s="18" t="s">
        <v>83</v>
      </c>
      <c r="H415" s="18" t="s">
        <v>84</v>
      </c>
      <c r="I415" s="18" t="s">
        <v>85</v>
      </c>
      <c r="J415" s="18">
        <v>5</v>
      </c>
      <c r="K415" s="16">
        <v>226.19</v>
      </c>
      <c r="L415" s="16">
        <v>347.99</v>
      </c>
      <c r="M415" s="16">
        <v>35</v>
      </c>
      <c r="N415" s="16">
        <v>121.8</v>
      </c>
      <c r="O415" s="18">
        <v>1</v>
      </c>
      <c r="P415" s="18" t="s">
        <v>71</v>
      </c>
      <c r="Q415" s="18">
        <v>5.425787</v>
      </c>
      <c r="R415" s="16">
        <v>28.27</v>
      </c>
      <c r="S415" s="16">
        <v>318</v>
      </c>
      <c r="T415" s="16">
        <v>100</v>
      </c>
      <c r="U415" s="18" t="s">
        <v>1725</v>
      </c>
      <c r="V415" s="18" t="s">
        <v>171</v>
      </c>
      <c r="W415" s="18" t="s">
        <v>1726</v>
      </c>
      <c r="X415" s="13"/>
      <c r="Y415" s="18" t="s">
        <v>559</v>
      </c>
      <c r="Z415" s="18" t="s">
        <v>160</v>
      </c>
      <c r="AA415" s="18" t="s">
        <v>83</v>
      </c>
      <c r="AB415" s="18" t="s">
        <v>84</v>
      </c>
      <c r="AC415" s="18" t="s">
        <v>85</v>
      </c>
      <c r="AD415" s="18">
        <v>58.2140000000002</v>
      </c>
      <c r="AE415" s="18">
        <v>0</v>
      </c>
      <c r="AF415" s="18">
        <v>0</v>
      </c>
      <c r="AG415" s="18">
        <v>1</v>
      </c>
      <c r="AH415" s="18">
        <v>0</v>
      </c>
      <c r="AI415" s="18">
        <v>1</v>
      </c>
      <c r="AJ415" s="18">
        <v>0</v>
      </c>
      <c r="AK415" s="18">
        <v>0</v>
      </c>
      <c r="AL415" s="18">
        <v>0</v>
      </c>
      <c r="AM415" s="18">
        <v>0</v>
      </c>
      <c r="AN415" s="18">
        <v>0</v>
      </c>
      <c r="AO415" s="18">
        <v>0</v>
      </c>
      <c r="AP415" s="18">
        <v>0</v>
      </c>
      <c r="AQ415" s="18">
        <v>1</v>
      </c>
      <c r="AR415" s="18">
        <v>0</v>
      </c>
      <c r="AS415" s="18">
        <v>0</v>
      </c>
      <c r="AT415" s="18">
        <v>0</v>
      </c>
      <c r="AU415" s="18">
        <v>0</v>
      </c>
      <c r="AV415" s="18">
        <v>1</v>
      </c>
      <c r="AW415" s="18">
        <v>1</v>
      </c>
      <c r="AX415" s="18">
        <v>0</v>
      </c>
      <c r="AY415" s="18">
        <v>8</v>
      </c>
      <c r="AZ415" s="18">
        <v>1</v>
      </c>
      <c r="BA415" s="18">
        <v>1</v>
      </c>
      <c r="BB415" s="18">
        <v>70.69</v>
      </c>
      <c r="BC415" s="18" t="s">
        <v>251</v>
      </c>
      <c r="BD415" s="18" t="s">
        <v>175</v>
      </c>
      <c r="BE415" s="18" t="s">
        <v>91</v>
      </c>
      <c r="BF415" s="18" t="s">
        <v>77</v>
      </c>
      <c r="BG415" s="18">
        <v>161</v>
      </c>
      <c r="BH415" s="18">
        <v>61</v>
      </c>
      <c r="BI415" s="18">
        <v>0.7252</v>
      </c>
      <c r="BJ415" s="18">
        <v>0</v>
      </c>
      <c r="BK415" s="18">
        <v>3</v>
      </c>
      <c r="BL415" s="18">
        <v>99.2</v>
      </c>
      <c r="BM415" s="13">
        <f t="shared" si="0"/>
        <v>71928.42</v>
      </c>
    </row>
    <row r="416" customHeight="1" spans="1:65">
      <c r="A416" s="18" t="s">
        <v>861</v>
      </c>
      <c r="B416" s="18" t="s">
        <v>171</v>
      </c>
      <c r="C416" s="18" t="s">
        <v>862</v>
      </c>
      <c r="D416" s="13"/>
      <c r="E416" s="18" t="s">
        <v>173</v>
      </c>
      <c r="F416" s="18" t="s">
        <v>160</v>
      </c>
      <c r="G416" s="18" t="s">
        <v>83</v>
      </c>
      <c r="H416" s="18" t="s">
        <v>84</v>
      </c>
      <c r="I416" s="18" t="s">
        <v>85</v>
      </c>
      <c r="J416" s="18">
        <v>5</v>
      </c>
      <c r="K416" s="16">
        <v>135.97</v>
      </c>
      <c r="L416" s="10"/>
      <c r="M416" s="16">
        <v>0</v>
      </c>
      <c r="N416" s="16">
        <v>0</v>
      </c>
      <c r="O416" s="18">
        <v>0</v>
      </c>
      <c r="P416" s="18" t="s">
        <v>95</v>
      </c>
      <c r="Q416" s="18">
        <v>4.919762</v>
      </c>
      <c r="R416" s="16">
        <v>17</v>
      </c>
      <c r="S416" s="16">
        <v>67</v>
      </c>
      <c r="T416" s="16">
        <v>100</v>
      </c>
      <c r="U416" s="18" t="s">
        <v>861</v>
      </c>
      <c r="V416" s="18" t="s">
        <v>171</v>
      </c>
      <c r="W416" s="18" t="s">
        <v>862</v>
      </c>
      <c r="X416" s="13"/>
      <c r="Y416" s="18" t="s">
        <v>173</v>
      </c>
      <c r="Z416" s="18" t="s">
        <v>160</v>
      </c>
      <c r="AA416" s="18" t="s">
        <v>83</v>
      </c>
      <c r="AB416" s="18" t="s">
        <v>84</v>
      </c>
      <c r="AC416" s="18" t="s">
        <v>85</v>
      </c>
      <c r="AD416" s="18">
        <v>266.94</v>
      </c>
      <c r="AE416" s="18">
        <v>0</v>
      </c>
      <c r="AF416" s="18">
        <v>0</v>
      </c>
      <c r="AG416" s="18">
        <v>1</v>
      </c>
      <c r="AH416" s="18">
        <v>0</v>
      </c>
      <c r="AI416" s="18">
        <v>1</v>
      </c>
      <c r="AJ416" s="18">
        <v>0</v>
      </c>
      <c r="AK416" s="18">
        <v>0</v>
      </c>
      <c r="AL416" s="18">
        <v>0</v>
      </c>
      <c r="AM416" s="18">
        <v>0</v>
      </c>
      <c r="AN416" s="18">
        <v>1</v>
      </c>
      <c r="AO416" s="18">
        <v>0</v>
      </c>
      <c r="AP416" s="18">
        <v>0</v>
      </c>
      <c r="AQ416" s="18">
        <v>1</v>
      </c>
      <c r="AR416" s="18">
        <v>0</v>
      </c>
      <c r="AS416" s="18">
        <v>0</v>
      </c>
      <c r="AT416" s="18">
        <v>1</v>
      </c>
      <c r="AU416" s="18">
        <v>0</v>
      </c>
      <c r="AV416" s="18">
        <v>1</v>
      </c>
      <c r="AW416" s="18">
        <v>1</v>
      </c>
      <c r="AX416" s="18">
        <v>0</v>
      </c>
      <c r="AY416" s="18">
        <v>8</v>
      </c>
      <c r="AZ416" s="18">
        <v>1</v>
      </c>
      <c r="BA416" s="18">
        <v>2</v>
      </c>
      <c r="BB416" s="18">
        <v>45.81</v>
      </c>
      <c r="BC416" s="18" t="s">
        <v>251</v>
      </c>
      <c r="BD416" s="18" t="s">
        <v>175</v>
      </c>
      <c r="BE416" s="18" t="s">
        <v>91</v>
      </c>
      <c r="BF416" s="18" t="s">
        <v>77</v>
      </c>
      <c r="BG416" s="18">
        <v>161</v>
      </c>
      <c r="BH416" s="18">
        <v>61</v>
      </c>
      <c r="BI416" s="18">
        <v>0.7252</v>
      </c>
      <c r="BJ416" s="18">
        <v>0</v>
      </c>
      <c r="BK416" s="18">
        <v>3</v>
      </c>
      <c r="BL416" s="18">
        <v>99.2</v>
      </c>
      <c r="BM416" s="13">
        <f t="shared" si="0"/>
        <v>9109.99</v>
      </c>
    </row>
    <row r="417" customHeight="1" spans="1:65">
      <c r="A417" s="18" t="s">
        <v>866</v>
      </c>
      <c r="B417" s="18" t="s">
        <v>171</v>
      </c>
      <c r="C417" s="18" t="s">
        <v>867</v>
      </c>
      <c r="D417" s="13"/>
      <c r="E417" s="18" t="s">
        <v>173</v>
      </c>
      <c r="F417" s="18" t="s">
        <v>160</v>
      </c>
      <c r="G417" s="18" t="s">
        <v>83</v>
      </c>
      <c r="H417" s="18" t="s">
        <v>84</v>
      </c>
      <c r="I417" s="18" t="s">
        <v>85</v>
      </c>
      <c r="J417" s="18">
        <v>5</v>
      </c>
      <c r="K417" s="16">
        <v>275.59</v>
      </c>
      <c r="L417" s="10"/>
      <c r="M417" s="16">
        <v>0</v>
      </c>
      <c r="N417" s="16">
        <v>0</v>
      </c>
      <c r="O417" s="18">
        <v>0</v>
      </c>
      <c r="P417" s="18" t="s">
        <v>71</v>
      </c>
      <c r="Q417" s="18">
        <v>5.622536</v>
      </c>
      <c r="R417" s="16">
        <v>17.22</v>
      </c>
      <c r="S417" s="16">
        <v>128</v>
      </c>
      <c r="T417" s="16">
        <v>20</v>
      </c>
      <c r="U417" s="18" t="s">
        <v>2633</v>
      </c>
      <c r="V417" s="18" t="s">
        <v>171</v>
      </c>
      <c r="W417" s="18" t="s">
        <v>867</v>
      </c>
      <c r="X417" s="13"/>
      <c r="Y417" s="18" t="s">
        <v>173</v>
      </c>
      <c r="Z417" s="18" t="s">
        <v>160</v>
      </c>
      <c r="AA417" s="18" t="s">
        <v>83</v>
      </c>
      <c r="AB417" s="18" t="s">
        <v>84</v>
      </c>
      <c r="AC417" s="18" t="s">
        <v>85</v>
      </c>
      <c r="AD417" s="18">
        <v>546.18</v>
      </c>
      <c r="AE417" s="18">
        <v>0</v>
      </c>
      <c r="AF417" s="18">
        <v>0</v>
      </c>
      <c r="AG417" s="18">
        <v>1</v>
      </c>
      <c r="AH417" s="18">
        <v>0</v>
      </c>
      <c r="AI417" s="18">
        <v>1</v>
      </c>
      <c r="AJ417" s="18">
        <v>0</v>
      </c>
      <c r="AK417" s="18">
        <v>0</v>
      </c>
      <c r="AL417" s="18">
        <v>0</v>
      </c>
      <c r="AM417" s="18">
        <v>0</v>
      </c>
      <c r="AN417" s="18">
        <v>0</v>
      </c>
      <c r="AO417" s="18">
        <v>0</v>
      </c>
      <c r="AP417" s="18">
        <v>0</v>
      </c>
      <c r="AQ417" s="18">
        <v>1</v>
      </c>
      <c r="AR417" s="18">
        <v>0</v>
      </c>
      <c r="AS417" s="18">
        <v>0</v>
      </c>
      <c r="AT417" s="18">
        <v>1</v>
      </c>
      <c r="AU417" s="18">
        <v>0</v>
      </c>
      <c r="AV417" s="18">
        <v>1</v>
      </c>
      <c r="AW417" s="18">
        <v>1</v>
      </c>
      <c r="AX417" s="18">
        <v>0</v>
      </c>
      <c r="AY417" s="18">
        <v>16</v>
      </c>
      <c r="AZ417" s="18">
        <v>1</v>
      </c>
      <c r="BA417" s="18">
        <v>3</v>
      </c>
      <c r="BB417" s="18">
        <v>64.45</v>
      </c>
      <c r="BC417" s="18" t="s">
        <v>251</v>
      </c>
      <c r="BD417" s="18" t="s">
        <v>175</v>
      </c>
      <c r="BE417" s="18" t="s">
        <v>91</v>
      </c>
      <c r="BF417" s="18" t="s">
        <v>77</v>
      </c>
      <c r="BG417" s="18">
        <v>161</v>
      </c>
      <c r="BH417" s="18">
        <v>61</v>
      </c>
      <c r="BI417" s="18">
        <v>0.7252</v>
      </c>
      <c r="BJ417" s="18">
        <v>0</v>
      </c>
      <c r="BK417" s="18">
        <v>2</v>
      </c>
      <c r="BL417" s="18">
        <v>99.5</v>
      </c>
      <c r="BM417" s="13">
        <f t="shared" si="0"/>
        <v>35275.52</v>
      </c>
    </row>
    <row r="418" customHeight="1" spans="1:65">
      <c r="A418" s="18" t="s">
        <v>1140</v>
      </c>
      <c r="B418" s="18" t="s">
        <v>171</v>
      </c>
      <c r="C418" s="18" t="s">
        <v>862</v>
      </c>
      <c r="D418" s="13"/>
      <c r="E418" s="18" t="s">
        <v>173</v>
      </c>
      <c r="F418" s="18" t="s">
        <v>160</v>
      </c>
      <c r="G418" s="18" t="s">
        <v>83</v>
      </c>
      <c r="H418" s="18" t="s">
        <v>84</v>
      </c>
      <c r="I418" s="18" t="s">
        <v>85</v>
      </c>
      <c r="J418" s="18">
        <v>5</v>
      </c>
      <c r="K418" s="16">
        <v>136.49</v>
      </c>
      <c r="L418" s="10"/>
      <c r="M418" s="16">
        <v>0</v>
      </c>
      <c r="N418" s="16">
        <v>0</v>
      </c>
      <c r="O418" s="18">
        <v>0</v>
      </c>
      <c r="P418" s="18" t="s">
        <v>95</v>
      </c>
      <c r="Q418" s="18">
        <v>4.923551</v>
      </c>
      <c r="R418" s="16">
        <v>17.06</v>
      </c>
      <c r="S418" s="16">
        <v>234</v>
      </c>
      <c r="T418" s="16">
        <v>100</v>
      </c>
      <c r="U418" s="18" t="s">
        <v>1140</v>
      </c>
      <c r="V418" s="18" t="s">
        <v>171</v>
      </c>
      <c r="W418" s="18" t="s">
        <v>862</v>
      </c>
      <c r="X418" s="13"/>
      <c r="Y418" s="18" t="s">
        <v>173</v>
      </c>
      <c r="Z418" s="18" t="s">
        <v>160</v>
      </c>
      <c r="AA418" s="18" t="s">
        <v>83</v>
      </c>
      <c r="AB418" s="18" t="s">
        <v>84</v>
      </c>
      <c r="AC418" s="18" t="s">
        <v>85</v>
      </c>
      <c r="AD418" s="18">
        <v>267.98</v>
      </c>
      <c r="AE418" s="18">
        <v>0</v>
      </c>
      <c r="AF418" s="18">
        <v>0</v>
      </c>
      <c r="AG418" s="18">
        <v>1</v>
      </c>
      <c r="AH418" s="18">
        <v>0</v>
      </c>
      <c r="AI418" s="18">
        <v>1</v>
      </c>
      <c r="AJ418" s="18">
        <v>0</v>
      </c>
      <c r="AK418" s="18">
        <v>0</v>
      </c>
      <c r="AL418" s="18">
        <v>0</v>
      </c>
      <c r="AM418" s="18">
        <v>0</v>
      </c>
      <c r="AN418" s="18">
        <v>1</v>
      </c>
      <c r="AO418" s="18">
        <v>0</v>
      </c>
      <c r="AP418" s="18">
        <v>0</v>
      </c>
      <c r="AQ418" s="18">
        <v>1</v>
      </c>
      <c r="AR418" s="18">
        <v>0</v>
      </c>
      <c r="AS418" s="18">
        <v>0</v>
      </c>
      <c r="AT418" s="18">
        <v>1</v>
      </c>
      <c r="AU418" s="18">
        <v>0</v>
      </c>
      <c r="AV418" s="18">
        <v>1</v>
      </c>
      <c r="AW418" s="18">
        <v>1</v>
      </c>
      <c r="AX418" s="18">
        <v>0</v>
      </c>
      <c r="AY418" s="18">
        <v>8</v>
      </c>
      <c r="AZ418" s="18">
        <v>1</v>
      </c>
      <c r="BA418" s="18">
        <v>2</v>
      </c>
      <c r="BB418" s="18">
        <v>57.78</v>
      </c>
      <c r="BC418" s="18" t="s">
        <v>251</v>
      </c>
      <c r="BD418" s="18" t="s">
        <v>175</v>
      </c>
      <c r="BE418" s="18" t="s">
        <v>91</v>
      </c>
      <c r="BF418" s="18" t="s">
        <v>77</v>
      </c>
      <c r="BG418" s="18">
        <v>161</v>
      </c>
      <c r="BH418" s="18">
        <v>61</v>
      </c>
      <c r="BI418" s="18">
        <v>0.7252</v>
      </c>
      <c r="BJ418" s="18">
        <v>0</v>
      </c>
      <c r="BK418" s="18">
        <v>3</v>
      </c>
      <c r="BL418" s="18">
        <v>99.2</v>
      </c>
      <c r="BM418" s="13">
        <f t="shared" si="0"/>
        <v>31938.66</v>
      </c>
    </row>
    <row r="419" customHeight="1" spans="1:65">
      <c r="A419" s="18" t="s">
        <v>1342</v>
      </c>
      <c r="B419" s="18" t="s">
        <v>171</v>
      </c>
      <c r="C419" s="18" t="s">
        <v>1343</v>
      </c>
      <c r="D419" s="13"/>
      <c r="E419" s="18" t="s">
        <v>173</v>
      </c>
      <c r="F419" s="18" t="s">
        <v>160</v>
      </c>
      <c r="G419" s="18" t="s">
        <v>83</v>
      </c>
      <c r="H419" s="18" t="s">
        <v>84</v>
      </c>
      <c r="I419" s="18" t="s">
        <v>85</v>
      </c>
      <c r="J419" s="18">
        <v>5</v>
      </c>
      <c r="K419" s="16">
        <v>123.99</v>
      </c>
      <c r="L419" s="10"/>
      <c r="M419" s="16">
        <v>0</v>
      </c>
      <c r="N419" s="16">
        <v>0</v>
      </c>
      <c r="O419" s="18">
        <v>0</v>
      </c>
      <c r="P419" s="18" t="s">
        <v>95</v>
      </c>
      <c r="Q419" s="18">
        <v>4.828234</v>
      </c>
      <c r="R419" s="10"/>
      <c r="S419" s="16">
        <v>697</v>
      </c>
      <c r="T419" s="16">
        <v>100</v>
      </c>
      <c r="U419" s="18" t="s">
        <v>1342</v>
      </c>
      <c r="V419" s="18" t="s">
        <v>171</v>
      </c>
      <c r="W419" s="18" t="s">
        <v>1343</v>
      </c>
      <c r="X419" s="13"/>
      <c r="Y419" s="18" t="s">
        <v>173</v>
      </c>
      <c r="Z419" s="18" t="s">
        <v>160</v>
      </c>
      <c r="AA419" s="18" t="s">
        <v>83</v>
      </c>
      <c r="AB419" s="18" t="s">
        <v>84</v>
      </c>
      <c r="AC419" s="18" t="s">
        <v>85</v>
      </c>
      <c r="AD419" s="18">
        <v>242.98</v>
      </c>
      <c r="AE419" s="18">
        <v>0</v>
      </c>
      <c r="AF419" s="18">
        <v>0</v>
      </c>
      <c r="AG419" s="18">
        <v>1</v>
      </c>
      <c r="AH419" s="18">
        <v>0</v>
      </c>
      <c r="AI419" s="18">
        <v>1</v>
      </c>
      <c r="AJ419" s="18">
        <v>0</v>
      </c>
      <c r="AK419" s="18">
        <v>0</v>
      </c>
      <c r="AL419" s="18">
        <v>1</v>
      </c>
      <c r="AM419" s="18">
        <v>1</v>
      </c>
      <c r="AN419" s="18">
        <v>0</v>
      </c>
      <c r="AO419" s="18">
        <v>0</v>
      </c>
      <c r="AP419" s="18">
        <v>0</v>
      </c>
      <c r="AQ419" s="18">
        <v>0</v>
      </c>
      <c r="AR419" s="18">
        <v>0</v>
      </c>
      <c r="AS419" s="18">
        <v>0</v>
      </c>
      <c r="AT419" s="18">
        <v>1</v>
      </c>
      <c r="AU419" s="18">
        <v>0</v>
      </c>
      <c r="AV419" s="18">
        <v>0</v>
      </c>
      <c r="AW419" s="18">
        <v>0</v>
      </c>
      <c r="AX419" s="18">
        <v>0</v>
      </c>
      <c r="AY419" s="13"/>
      <c r="AZ419" s="18">
        <v>1</v>
      </c>
      <c r="BA419" s="18">
        <v>3</v>
      </c>
      <c r="BB419" s="18">
        <v>64.5</v>
      </c>
      <c r="BC419" s="18" t="s">
        <v>251</v>
      </c>
      <c r="BD419" s="18" t="s">
        <v>175</v>
      </c>
      <c r="BE419" s="18" t="s">
        <v>91</v>
      </c>
      <c r="BF419" s="18" t="s">
        <v>77</v>
      </c>
      <c r="BG419" s="18">
        <v>162</v>
      </c>
      <c r="BH419" s="18">
        <v>60</v>
      </c>
      <c r="BI419" s="18">
        <v>0.7297</v>
      </c>
      <c r="BJ419" s="18">
        <v>0</v>
      </c>
      <c r="BK419" s="18">
        <v>6</v>
      </c>
      <c r="BL419" s="18">
        <v>98.4</v>
      </c>
      <c r="BM419" s="13">
        <f t="shared" si="0"/>
        <v>86421.03</v>
      </c>
    </row>
    <row r="420" customHeight="1" spans="1:65">
      <c r="A420" s="18" t="s">
        <v>2003</v>
      </c>
      <c r="B420" s="18" t="s">
        <v>171</v>
      </c>
      <c r="C420" s="18" t="s">
        <v>2004</v>
      </c>
      <c r="D420" s="13"/>
      <c r="E420" s="18" t="s">
        <v>173</v>
      </c>
      <c r="F420" s="18" t="s">
        <v>160</v>
      </c>
      <c r="G420" s="18" t="s">
        <v>83</v>
      </c>
      <c r="H420" s="18" t="s">
        <v>84</v>
      </c>
      <c r="I420" s="18" t="s">
        <v>85</v>
      </c>
      <c r="J420" s="18">
        <v>5</v>
      </c>
      <c r="K420" s="16">
        <v>59.99</v>
      </c>
      <c r="L420" s="10"/>
      <c r="M420" s="16">
        <v>0</v>
      </c>
      <c r="N420" s="16">
        <v>0</v>
      </c>
      <c r="O420" s="18">
        <v>0</v>
      </c>
      <c r="P420" s="18" t="s">
        <v>86</v>
      </c>
      <c r="Q420" s="18">
        <v>4.11071</v>
      </c>
      <c r="R420" s="10"/>
      <c r="S420" s="16">
        <v>512</v>
      </c>
      <c r="T420" s="16">
        <v>379</v>
      </c>
      <c r="U420" s="18" t="s">
        <v>2003</v>
      </c>
      <c r="V420" s="18" t="s">
        <v>171</v>
      </c>
      <c r="W420" s="18" t="s">
        <v>2004</v>
      </c>
      <c r="X420" s="13"/>
      <c r="Y420" s="18" t="s">
        <v>173</v>
      </c>
      <c r="Z420" s="18" t="s">
        <v>160</v>
      </c>
      <c r="AA420" s="18" t="s">
        <v>83</v>
      </c>
      <c r="AB420" s="18" t="s">
        <v>84</v>
      </c>
      <c r="AC420" s="18" t="s">
        <v>85</v>
      </c>
      <c r="AD420" s="18">
        <v>114.98</v>
      </c>
      <c r="AE420" s="18">
        <v>0</v>
      </c>
      <c r="AF420" s="18">
        <v>0</v>
      </c>
      <c r="AG420" s="18">
        <v>1</v>
      </c>
      <c r="AH420" s="18">
        <v>0</v>
      </c>
      <c r="AI420" s="18">
        <v>1</v>
      </c>
      <c r="AJ420" s="18">
        <v>0</v>
      </c>
      <c r="AK420" s="18">
        <v>0</v>
      </c>
      <c r="AL420" s="18">
        <v>1</v>
      </c>
      <c r="AM420" s="18">
        <v>1</v>
      </c>
      <c r="AN420" s="18">
        <v>0</v>
      </c>
      <c r="AO420" s="18">
        <v>0</v>
      </c>
      <c r="AP420" s="18">
        <v>0</v>
      </c>
      <c r="AQ420" s="18">
        <v>0</v>
      </c>
      <c r="AR420" s="18">
        <v>0</v>
      </c>
      <c r="AS420" s="18">
        <v>0</v>
      </c>
      <c r="AT420" s="18">
        <v>1</v>
      </c>
      <c r="AU420" s="18">
        <v>0</v>
      </c>
      <c r="AV420" s="18">
        <v>0</v>
      </c>
      <c r="AW420" s="18">
        <v>0</v>
      </c>
      <c r="AX420" s="18">
        <v>0</v>
      </c>
      <c r="AY420" s="13"/>
      <c r="AZ420" s="18">
        <v>1</v>
      </c>
      <c r="BA420" s="18">
        <v>3</v>
      </c>
      <c r="BB420" s="18">
        <v>52.56</v>
      </c>
      <c r="BC420" s="18" t="s">
        <v>251</v>
      </c>
      <c r="BD420" s="18" t="s">
        <v>175</v>
      </c>
      <c r="BE420" s="18" t="s">
        <v>91</v>
      </c>
      <c r="BF420" s="18" t="s">
        <v>77</v>
      </c>
      <c r="BG420" s="18">
        <v>162</v>
      </c>
      <c r="BH420" s="18">
        <v>60</v>
      </c>
      <c r="BI420" s="18">
        <v>0.7297</v>
      </c>
      <c r="BJ420" s="18">
        <v>0</v>
      </c>
      <c r="BK420" s="18">
        <v>5</v>
      </c>
      <c r="BL420" s="18">
        <v>98.6</v>
      </c>
      <c r="BM420" s="13">
        <f t="shared" si="0"/>
        <v>30714.88</v>
      </c>
    </row>
    <row r="421" customHeight="1" spans="1:65">
      <c r="A421" s="18" t="s">
        <v>2091</v>
      </c>
      <c r="B421" s="18" t="s">
        <v>171</v>
      </c>
      <c r="C421" s="18" t="s">
        <v>2092</v>
      </c>
      <c r="D421" s="13"/>
      <c r="E421" s="18" t="s">
        <v>173</v>
      </c>
      <c r="F421" s="18" t="s">
        <v>160</v>
      </c>
      <c r="G421" s="18" t="s">
        <v>83</v>
      </c>
      <c r="H421" s="18" t="s">
        <v>84</v>
      </c>
      <c r="I421" s="18" t="s">
        <v>85</v>
      </c>
      <c r="J421" s="18">
        <v>5</v>
      </c>
      <c r="K421" s="16">
        <v>114.39</v>
      </c>
      <c r="L421" s="10"/>
      <c r="M421" s="16">
        <v>0</v>
      </c>
      <c r="N421" s="16">
        <v>0</v>
      </c>
      <c r="O421" s="18">
        <v>0</v>
      </c>
      <c r="P421" s="18" t="s">
        <v>95</v>
      </c>
      <c r="Q421" s="18">
        <v>4.748318</v>
      </c>
      <c r="R421" s="16">
        <v>14.3</v>
      </c>
      <c r="S421" s="16">
        <v>142</v>
      </c>
      <c r="T421" s="16">
        <v>100</v>
      </c>
      <c r="U421" s="18" t="s">
        <v>2091</v>
      </c>
      <c r="V421" s="18" t="s">
        <v>171</v>
      </c>
      <c r="W421" s="18" t="s">
        <v>2092</v>
      </c>
      <c r="X421" s="13"/>
      <c r="Y421" s="18" t="s">
        <v>173</v>
      </c>
      <c r="Z421" s="18" t="s">
        <v>160</v>
      </c>
      <c r="AA421" s="18" t="s">
        <v>83</v>
      </c>
      <c r="AB421" s="18" t="s">
        <v>84</v>
      </c>
      <c r="AC421" s="18" t="s">
        <v>85</v>
      </c>
      <c r="AD421" s="18">
        <v>223.78</v>
      </c>
      <c r="AE421" s="18">
        <v>0</v>
      </c>
      <c r="AF421" s="18">
        <v>0</v>
      </c>
      <c r="AG421" s="18">
        <v>1</v>
      </c>
      <c r="AH421" s="18">
        <v>0</v>
      </c>
      <c r="AI421" s="18">
        <v>1</v>
      </c>
      <c r="AJ421" s="18">
        <v>0</v>
      </c>
      <c r="AK421" s="18">
        <v>0</v>
      </c>
      <c r="AL421" s="18">
        <v>0</v>
      </c>
      <c r="AM421" s="18">
        <v>0</v>
      </c>
      <c r="AN421" s="18">
        <v>1</v>
      </c>
      <c r="AO421" s="18">
        <v>0</v>
      </c>
      <c r="AP421" s="18">
        <v>0</v>
      </c>
      <c r="AQ421" s="18">
        <v>1</v>
      </c>
      <c r="AR421" s="18">
        <v>0</v>
      </c>
      <c r="AS421" s="18">
        <v>0</v>
      </c>
      <c r="AT421" s="18">
        <v>0</v>
      </c>
      <c r="AU421" s="18">
        <v>0</v>
      </c>
      <c r="AV421" s="18">
        <v>1</v>
      </c>
      <c r="AW421" s="18">
        <v>1</v>
      </c>
      <c r="AX421" s="18">
        <v>0</v>
      </c>
      <c r="AY421" s="18">
        <v>8</v>
      </c>
      <c r="AZ421" s="18">
        <v>1</v>
      </c>
      <c r="BA421" s="18">
        <v>4</v>
      </c>
      <c r="BB421" s="18">
        <v>52.9</v>
      </c>
      <c r="BC421" s="18" t="s">
        <v>251</v>
      </c>
      <c r="BD421" s="18" t="s">
        <v>175</v>
      </c>
      <c r="BE421" s="18" t="s">
        <v>91</v>
      </c>
      <c r="BF421" s="18" t="s">
        <v>77</v>
      </c>
      <c r="BG421" s="18">
        <v>161</v>
      </c>
      <c r="BH421" s="18">
        <v>61</v>
      </c>
      <c r="BI421" s="18">
        <v>0.7252</v>
      </c>
      <c r="BJ421" s="18">
        <v>0</v>
      </c>
      <c r="BK421" s="18">
        <v>7</v>
      </c>
      <c r="BL421" s="18">
        <v>98.1</v>
      </c>
      <c r="BM421" s="13">
        <f t="shared" si="0"/>
        <v>16243.38</v>
      </c>
    </row>
    <row r="422" customHeight="1" spans="1:65">
      <c r="A422" s="18" t="s">
        <v>288</v>
      </c>
      <c r="B422" s="18" t="s">
        <v>171</v>
      </c>
      <c r="C422" s="18" t="s">
        <v>289</v>
      </c>
      <c r="D422" s="13"/>
      <c r="E422" s="18" t="s">
        <v>290</v>
      </c>
      <c r="F422" s="18" t="s">
        <v>160</v>
      </c>
      <c r="G422" s="18" t="s">
        <v>83</v>
      </c>
      <c r="H422" s="18" t="s">
        <v>84</v>
      </c>
      <c r="I422" s="18" t="s">
        <v>85</v>
      </c>
      <c r="J422" s="18">
        <v>5</v>
      </c>
      <c r="K422" s="16">
        <v>205.39</v>
      </c>
      <c r="L422" s="10"/>
      <c r="M422" s="16">
        <v>0</v>
      </c>
      <c r="N422" s="16">
        <v>0</v>
      </c>
      <c r="O422" s="18">
        <v>0</v>
      </c>
      <c r="P422" s="18" t="s">
        <v>71</v>
      </c>
      <c r="Q422" s="18">
        <v>5.329768</v>
      </c>
      <c r="R422" s="16">
        <v>25.67</v>
      </c>
      <c r="S422" s="16">
        <v>544</v>
      </c>
      <c r="T422" s="16">
        <v>100</v>
      </c>
      <c r="U422" s="18" t="s">
        <v>288</v>
      </c>
      <c r="V422" s="18" t="s">
        <v>171</v>
      </c>
      <c r="W422" s="18" t="s">
        <v>289</v>
      </c>
      <c r="X422" s="13"/>
      <c r="Y422" s="18" t="s">
        <v>290</v>
      </c>
      <c r="Z422" s="18" t="s">
        <v>160</v>
      </c>
      <c r="AA422" s="18" t="s">
        <v>83</v>
      </c>
      <c r="AB422" s="18" t="s">
        <v>84</v>
      </c>
      <c r="AC422" s="18" t="s">
        <v>85</v>
      </c>
      <c r="AD422" s="18">
        <v>405.78</v>
      </c>
      <c r="AE422" s="18">
        <v>0</v>
      </c>
      <c r="AF422" s="18">
        <v>0</v>
      </c>
      <c r="AG422" s="18">
        <v>1</v>
      </c>
      <c r="AH422" s="18">
        <v>0</v>
      </c>
      <c r="AI422" s="18">
        <v>1</v>
      </c>
      <c r="AJ422" s="18">
        <v>0</v>
      </c>
      <c r="AK422" s="18">
        <v>0</v>
      </c>
      <c r="AL422" s="18">
        <v>0</v>
      </c>
      <c r="AM422" s="18">
        <v>0</v>
      </c>
      <c r="AN422" s="18">
        <v>0</v>
      </c>
      <c r="AO422" s="18">
        <v>0</v>
      </c>
      <c r="AP422" s="18">
        <v>0</v>
      </c>
      <c r="AQ422" s="18">
        <v>1</v>
      </c>
      <c r="AR422" s="18">
        <v>0</v>
      </c>
      <c r="AS422" s="18">
        <v>0</v>
      </c>
      <c r="AT422" s="18">
        <v>0</v>
      </c>
      <c r="AU422" s="18">
        <v>0</v>
      </c>
      <c r="AV422" s="18">
        <v>1</v>
      </c>
      <c r="AW422" s="18">
        <v>1</v>
      </c>
      <c r="AX422" s="18">
        <v>0</v>
      </c>
      <c r="AY422" s="18">
        <v>8</v>
      </c>
      <c r="AZ422" s="18">
        <v>1</v>
      </c>
      <c r="BA422" s="18">
        <v>1</v>
      </c>
      <c r="BB422" s="18">
        <v>63.31</v>
      </c>
      <c r="BC422" s="18" t="s">
        <v>251</v>
      </c>
      <c r="BD422" s="18" t="s">
        <v>175</v>
      </c>
      <c r="BE422" s="18" t="s">
        <v>91</v>
      </c>
      <c r="BF422" s="18" t="s">
        <v>77</v>
      </c>
      <c r="BG422" s="18">
        <v>161</v>
      </c>
      <c r="BH422" s="18">
        <v>61</v>
      </c>
      <c r="BI422" s="18">
        <v>0.7252</v>
      </c>
      <c r="BJ422" s="18">
        <v>0</v>
      </c>
      <c r="BK422" s="18">
        <v>6</v>
      </c>
      <c r="BL422" s="18">
        <v>98.4</v>
      </c>
      <c r="BM422" s="13">
        <f t="shared" si="0"/>
        <v>111732.16</v>
      </c>
    </row>
    <row r="423" customHeight="1" spans="1:65">
      <c r="A423" s="18" t="s">
        <v>399</v>
      </c>
      <c r="B423" s="18" t="s">
        <v>245</v>
      </c>
      <c r="C423" s="18" t="s">
        <v>400</v>
      </c>
      <c r="D423" s="13"/>
      <c r="E423" s="18" t="s">
        <v>250</v>
      </c>
      <c r="F423" s="18" t="s">
        <v>160</v>
      </c>
      <c r="G423" s="18" t="s">
        <v>83</v>
      </c>
      <c r="H423" s="18" t="s">
        <v>84</v>
      </c>
      <c r="I423" s="18" t="s">
        <v>85</v>
      </c>
      <c r="J423" s="18">
        <v>5</v>
      </c>
      <c r="K423" s="16">
        <v>119.99</v>
      </c>
      <c r="L423" s="10"/>
      <c r="M423" s="16">
        <v>0</v>
      </c>
      <c r="N423" s="16">
        <v>0</v>
      </c>
      <c r="O423" s="18">
        <v>0</v>
      </c>
      <c r="P423" s="18" t="s">
        <v>95</v>
      </c>
      <c r="Q423" s="18">
        <v>4.795708</v>
      </c>
      <c r="R423" s="16">
        <v>15</v>
      </c>
      <c r="S423" s="16">
        <v>67</v>
      </c>
      <c r="T423" s="16">
        <v>100</v>
      </c>
      <c r="U423" s="18" t="s">
        <v>399</v>
      </c>
      <c r="V423" s="18" t="s">
        <v>245</v>
      </c>
      <c r="W423" s="18" t="s">
        <v>400</v>
      </c>
      <c r="X423" s="13"/>
      <c r="Y423" s="18" t="s">
        <v>250</v>
      </c>
      <c r="Z423" s="18" t="s">
        <v>160</v>
      </c>
      <c r="AA423" s="18" t="s">
        <v>83</v>
      </c>
      <c r="AB423" s="18" t="s">
        <v>84</v>
      </c>
      <c r="AC423" s="18" t="s">
        <v>85</v>
      </c>
      <c r="AD423" s="18">
        <v>234.98</v>
      </c>
      <c r="AE423" s="18">
        <v>0</v>
      </c>
      <c r="AF423" s="18">
        <v>0</v>
      </c>
      <c r="AG423" s="18">
        <v>1</v>
      </c>
      <c r="AH423" s="18">
        <v>0</v>
      </c>
      <c r="AI423" s="18">
        <v>1</v>
      </c>
      <c r="AJ423" s="18">
        <v>0</v>
      </c>
      <c r="AK423" s="18">
        <v>0</v>
      </c>
      <c r="AL423" s="18">
        <v>1</v>
      </c>
      <c r="AM423" s="18">
        <v>1</v>
      </c>
      <c r="AN423" s="18">
        <v>1</v>
      </c>
      <c r="AO423" s="18">
        <v>0</v>
      </c>
      <c r="AP423" s="18">
        <v>0</v>
      </c>
      <c r="AQ423" s="18">
        <v>1</v>
      </c>
      <c r="AR423" s="18">
        <v>0</v>
      </c>
      <c r="AS423" s="18">
        <v>0</v>
      </c>
      <c r="AT423" s="18">
        <v>0</v>
      </c>
      <c r="AU423" s="18">
        <v>0</v>
      </c>
      <c r="AV423" s="18">
        <v>1</v>
      </c>
      <c r="AW423" s="18">
        <v>1</v>
      </c>
      <c r="AX423" s="18">
        <v>0</v>
      </c>
      <c r="AY423" s="18">
        <v>8</v>
      </c>
      <c r="AZ423" s="18">
        <v>1</v>
      </c>
      <c r="BA423" s="18">
        <v>3</v>
      </c>
      <c r="BB423" s="18">
        <v>45.57</v>
      </c>
      <c r="BC423" s="18" t="s">
        <v>251</v>
      </c>
      <c r="BD423" s="18" t="s">
        <v>175</v>
      </c>
      <c r="BE423" s="18" t="s">
        <v>91</v>
      </c>
      <c r="BF423" s="18" t="s">
        <v>77</v>
      </c>
      <c r="BG423" s="18">
        <v>161</v>
      </c>
      <c r="BH423" s="18">
        <v>61</v>
      </c>
      <c r="BI423" s="18">
        <v>0.7252</v>
      </c>
      <c r="BJ423" s="18">
        <v>0</v>
      </c>
      <c r="BK423" s="18">
        <v>6</v>
      </c>
      <c r="BL423" s="18">
        <v>98.4</v>
      </c>
      <c r="BM423" s="13">
        <f t="shared" si="0"/>
        <v>8039.33</v>
      </c>
    </row>
    <row r="424" customHeight="1" spans="1:65">
      <c r="A424" s="18" t="s">
        <v>1138</v>
      </c>
      <c r="B424" s="18" t="s">
        <v>245</v>
      </c>
      <c r="C424" s="18" t="s">
        <v>1139</v>
      </c>
      <c r="D424" s="13"/>
      <c r="E424" s="18" t="s">
        <v>250</v>
      </c>
      <c r="F424" s="18" t="s">
        <v>160</v>
      </c>
      <c r="G424" s="18" t="s">
        <v>83</v>
      </c>
      <c r="H424" s="18" t="s">
        <v>84</v>
      </c>
      <c r="I424" s="18" t="s">
        <v>85</v>
      </c>
      <c r="J424" s="18">
        <v>5</v>
      </c>
      <c r="K424" s="16">
        <v>58.49</v>
      </c>
      <c r="L424" s="10"/>
      <c r="M424" s="16">
        <v>0</v>
      </c>
      <c r="N424" s="16">
        <v>0</v>
      </c>
      <c r="O424" s="18">
        <v>0</v>
      </c>
      <c r="P424" s="18" t="s">
        <v>86</v>
      </c>
      <c r="Q424" s="18">
        <v>4.085808</v>
      </c>
      <c r="R424" s="16">
        <v>7.31</v>
      </c>
      <c r="S424" s="16">
        <v>261</v>
      </c>
      <c r="T424" s="16">
        <v>100</v>
      </c>
      <c r="U424" s="18" t="s">
        <v>1138</v>
      </c>
      <c r="V424" s="18" t="s">
        <v>245</v>
      </c>
      <c r="W424" s="18" t="s">
        <v>1139</v>
      </c>
      <c r="X424" s="13"/>
      <c r="Y424" s="18" t="s">
        <v>250</v>
      </c>
      <c r="Z424" s="18" t="s">
        <v>160</v>
      </c>
      <c r="AA424" s="18" t="s">
        <v>83</v>
      </c>
      <c r="AB424" s="18" t="s">
        <v>84</v>
      </c>
      <c r="AC424" s="18" t="s">
        <v>85</v>
      </c>
      <c r="AD424" s="18">
        <v>111.98</v>
      </c>
      <c r="AE424" s="18">
        <v>0</v>
      </c>
      <c r="AF424" s="18">
        <v>0</v>
      </c>
      <c r="AG424" s="18">
        <v>0</v>
      </c>
      <c r="AH424" s="18">
        <v>0</v>
      </c>
      <c r="AI424" s="18">
        <v>0</v>
      </c>
      <c r="AJ424" s="18">
        <v>0</v>
      </c>
      <c r="AK424" s="18">
        <v>0</v>
      </c>
      <c r="AL424" s="18">
        <v>0</v>
      </c>
      <c r="AM424" s="18">
        <v>0</v>
      </c>
      <c r="AN424" s="18">
        <v>0</v>
      </c>
      <c r="AO424" s="18">
        <v>0</v>
      </c>
      <c r="AP424" s="18">
        <v>0</v>
      </c>
      <c r="AQ424" s="18">
        <v>1</v>
      </c>
      <c r="AR424" s="18">
        <v>0</v>
      </c>
      <c r="AS424" s="18">
        <v>0</v>
      </c>
      <c r="AT424" s="18">
        <v>0</v>
      </c>
      <c r="AU424" s="18">
        <v>0</v>
      </c>
      <c r="AV424" s="18">
        <v>1</v>
      </c>
      <c r="AW424" s="18">
        <v>1</v>
      </c>
      <c r="AX424" s="18">
        <v>0</v>
      </c>
      <c r="AY424" s="18">
        <v>8</v>
      </c>
      <c r="AZ424" s="18">
        <v>1</v>
      </c>
      <c r="BA424" s="18">
        <v>2</v>
      </c>
      <c r="BB424" s="18">
        <v>58.77</v>
      </c>
      <c r="BC424" s="18" t="s">
        <v>251</v>
      </c>
      <c r="BD424" s="18" t="s">
        <v>175</v>
      </c>
      <c r="BE424" s="18" t="s">
        <v>91</v>
      </c>
      <c r="BF424" s="18" t="s">
        <v>77</v>
      </c>
      <c r="BG424" s="18">
        <v>161</v>
      </c>
      <c r="BH424" s="18">
        <v>61</v>
      </c>
      <c r="BI424" s="18">
        <v>0.7252</v>
      </c>
      <c r="BJ424" s="18">
        <v>0</v>
      </c>
      <c r="BK424" s="18">
        <v>2</v>
      </c>
      <c r="BL424" s="18">
        <v>99.5</v>
      </c>
      <c r="BM424" s="13">
        <f t="shared" si="0"/>
        <v>15265.89</v>
      </c>
    </row>
    <row r="425" customHeight="1" spans="1:65">
      <c r="A425" s="18" t="s">
        <v>1452</v>
      </c>
      <c r="B425" s="18" t="s">
        <v>245</v>
      </c>
      <c r="C425" s="18" t="s">
        <v>1453</v>
      </c>
      <c r="D425" s="13"/>
      <c r="E425" s="18" t="s">
        <v>250</v>
      </c>
      <c r="F425" s="18" t="s">
        <v>160</v>
      </c>
      <c r="G425" s="18" t="s">
        <v>83</v>
      </c>
      <c r="H425" s="18" t="s">
        <v>84</v>
      </c>
      <c r="I425" s="18" t="s">
        <v>85</v>
      </c>
      <c r="J425" s="18">
        <v>5</v>
      </c>
      <c r="K425" s="16">
        <v>129.49</v>
      </c>
      <c r="L425" s="10"/>
      <c r="M425" s="16">
        <v>0</v>
      </c>
      <c r="N425" s="16">
        <v>0</v>
      </c>
      <c r="O425" s="18">
        <v>0</v>
      </c>
      <c r="P425" s="18" t="s">
        <v>95</v>
      </c>
      <c r="Q425" s="18">
        <v>4.871297</v>
      </c>
      <c r="R425" s="16">
        <v>8.09</v>
      </c>
      <c r="S425" s="16">
        <v>730</v>
      </c>
      <c r="T425" s="16">
        <v>100</v>
      </c>
      <c r="U425" s="18" t="s">
        <v>1452</v>
      </c>
      <c r="V425" s="18" t="s">
        <v>245</v>
      </c>
      <c r="W425" s="18" t="s">
        <v>1453</v>
      </c>
      <c r="X425" s="13"/>
      <c r="Y425" s="18" t="s">
        <v>250</v>
      </c>
      <c r="Z425" s="18" t="s">
        <v>160</v>
      </c>
      <c r="AA425" s="18" t="s">
        <v>83</v>
      </c>
      <c r="AB425" s="18" t="s">
        <v>84</v>
      </c>
      <c r="AC425" s="18" t="s">
        <v>85</v>
      </c>
      <c r="AD425" s="18">
        <v>253.98</v>
      </c>
      <c r="AE425" s="18">
        <v>0</v>
      </c>
      <c r="AF425" s="18">
        <v>0</v>
      </c>
      <c r="AG425" s="18">
        <v>0</v>
      </c>
      <c r="AH425" s="18">
        <v>1</v>
      </c>
      <c r="AI425" s="18">
        <v>0</v>
      </c>
      <c r="AJ425" s="18">
        <v>0</v>
      </c>
      <c r="AK425" s="18">
        <v>0</v>
      </c>
      <c r="AL425" s="18">
        <v>0</v>
      </c>
      <c r="AM425" s="18">
        <v>0</v>
      </c>
      <c r="AN425" s="18">
        <v>1</v>
      </c>
      <c r="AO425" s="18">
        <v>0</v>
      </c>
      <c r="AP425" s="18">
        <v>0</v>
      </c>
      <c r="AQ425" s="18">
        <v>1</v>
      </c>
      <c r="AR425" s="18">
        <v>0</v>
      </c>
      <c r="AS425" s="18">
        <v>0</v>
      </c>
      <c r="AT425" s="18">
        <v>1</v>
      </c>
      <c r="AU425" s="18">
        <v>0</v>
      </c>
      <c r="AV425" s="18">
        <v>1</v>
      </c>
      <c r="AW425" s="18">
        <v>1</v>
      </c>
      <c r="AX425" s="18">
        <v>0</v>
      </c>
      <c r="AY425" s="18">
        <v>16</v>
      </c>
      <c r="AZ425" s="18">
        <v>1</v>
      </c>
      <c r="BA425" s="18">
        <v>3</v>
      </c>
      <c r="BB425" s="18">
        <v>64.85</v>
      </c>
      <c r="BC425" s="18" t="s">
        <v>251</v>
      </c>
      <c r="BD425" s="18" t="s">
        <v>175</v>
      </c>
      <c r="BE425" s="18" t="s">
        <v>91</v>
      </c>
      <c r="BF425" s="18" t="s">
        <v>77</v>
      </c>
      <c r="BG425" s="18">
        <v>162</v>
      </c>
      <c r="BH425" s="18">
        <v>60</v>
      </c>
      <c r="BI425" s="18">
        <v>0.7297</v>
      </c>
      <c r="BJ425" s="18">
        <v>0</v>
      </c>
      <c r="BK425" s="18">
        <v>4</v>
      </c>
      <c r="BL425" s="18">
        <v>98.9</v>
      </c>
      <c r="BM425" s="13">
        <f t="shared" si="0"/>
        <v>94527.7</v>
      </c>
    </row>
    <row r="426" customHeight="1" spans="1:65">
      <c r="A426" s="18" t="s">
        <v>2005</v>
      </c>
      <c r="B426" s="18" t="s">
        <v>245</v>
      </c>
      <c r="C426" s="18" t="s">
        <v>2006</v>
      </c>
      <c r="D426" s="13"/>
      <c r="E426" s="18" t="s">
        <v>250</v>
      </c>
      <c r="F426" s="18" t="s">
        <v>160</v>
      </c>
      <c r="G426" s="18" t="s">
        <v>83</v>
      </c>
      <c r="H426" s="18" t="s">
        <v>84</v>
      </c>
      <c r="I426" s="18" t="s">
        <v>85</v>
      </c>
      <c r="J426" s="18">
        <v>5</v>
      </c>
      <c r="K426" s="16">
        <v>159.59</v>
      </c>
      <c r="L426" s="10"/>
      <c r="M426" s="16">
        <v>0</v>
      </c>
      <c r="N426" s="16">
        <v>0</v>
      </c>
      <c r="O426" s="18">
        <v>0</v>
      </c>
      <c r="P426" s="18" t="s">
        <v>95</v>
      </c>
      <c r="Q426" s="18">
        <v>5.078855</v>
      </c>
      <c r="R426" s="16">
        <v>19.95</v>
      </c>
      <c r="S426" s="16">
        <v>228</v>
      </c>
      <c r="T426" s="16">
        <v>100</v>
      </c>
      <c r="U426" s="18" t="s">
        <v>2005</v>
      </c>
      <c r="V426" s="18" t="s">
        <v>245</v>
      </c>
      <c r="W426" s="18" t="s">
        <v>2006</v>
      </c>
      <c r="X426" s="13"/>
      <c r="Y426" s="18" t="s">
        <v>250</v>
      </c>
      <c r="Z426" s="18" t="s">
        <v>160</v>
      </c>
      <c r="AA426" s="18" t="s">
        <v>83</v>
      </c>
      <c r="AB426" s="18" t="s">
        <v>84</v>
      </c>
      <c r="AC426" s="18" t="s">
        <v>85</v>
      </c>
      <c r="AD426" s="18">
        <v>314.18</v>
      </c>
      <c r="AE426" s="18">
        <v>0</v>
      </c>
      <c r="AF426" s="18">
        <v>0</v>
      </c>
      <c r="AG426" s="18">
        <v>1</v>
      </c>
      <c r="AH426" s="18">
        <v>0</v>
      </c>
      <c r="AI426" s="18">
        <v>1</v>
      </c>
      <c r="AJ426" s="18">
        <v>0</v>
      </c>
      <c r="AK426" s="18">
        <v>0</v>
      </c>
      <c r="AL426" s="18">
        <v>0</v>
      </c>
      <c r="AM426" s="18">
        <v>1</v>
      </c>
      <c r="AN426" s="18">
        <v>0</v>
      </c>
      <c r="AO426" s="18">
        <v>0</v>
      </c>
      <c r="AP426" s="18">
        <v>0</v>
      </c>
      <c r="AQ426" s="18">
        <v>1</v>
      </c>
      <c r="AR426" s="18">
        <v>0</v>
      </c>
      <c r="AS426" s="18">
        <v>0</v>
      </c>
      <c r="AT426" s="18">
        <v>1</v>
      </c>
      <c r="AU426" s="18">
        <v>0</v>
      </c>
      <c r="AV426" s="18">
        <v>1</v>
      </c>
      <c r="AW426" s="18">
        <v>1</v>
      </c>
      <c r="AX426" s="18">
        <v>0</v>
      </c>
      <c r="AY426" s="18">
        <v>8</v>
      </c>
      <c r="AZ426" s="18">
        <v>1</v>
      </c>
      <c r="BA426" s="18">
        <v>2</v>
      </c>
      <c r="BB426" s="18">
        <v>57.32</v>
      </c>
      <c r="BC426" s="18" t="s">
        <v>251</v>
      </c>
      <c r="BD426" s="18" t="s">
        <v>175</v>
      </c>
      <c r="BE426" s="18" t="s">
        <v>91</v>
      </c>
      <c r="BF426" s="18" t="s">
        <v>77</v>
      </c>
      <c r="BG426" s="18">
        <v>161</v>
      </c>
      <c r="BH426" s="18">
        <v>61</v>
      </c>
      <c r="BI426" s="18">
        <v>0.7252</v>
      </c>
      <c r="BJ426" s="18">
        <v>0</v>
      </c>
      <c r="BK426" s="18">
        <v>6</v>
      </c>
      <c r="BL426" s="18">
        <v>98.4</v>
      </c>
      <c r="BM426" s="13">
        <f t="shared" si="0"/>
        <v>36386.52</v>
      </c>
    </row>
    <row r="427" customHeight="1" spans="1:65">
      <c r="A427" s="18" t="s">
        <v>908</v>
      </c>
      <c r="B427" s="18" t="s">
        <v>245</v>
      </c>
      <c r="C427" s="18" t="s">
        <v>909</v>
      </c>
      <c r="D427" s="13"/>
      <c r="E427" s="18" t="s">
        <v>81</v>
      </c>
      <c r="F427" s="18" t="s">
        <v>160</v>
      </c>
      <c r="G427" s="18" t="s">
        <v>83</v>
      </c>
      <c r="H427" s="18" t="s">
        <v>84</v>
      </c>
      <c r="I427" s="18" t="s">
        <v>85</v>
      </c>
      <c r="J427" s="18">
        <v>5</v>
      </c>
      <c r="K427" s="16">
        <v>58.49</v>
      </c>
      <c r="L427" s="10"/>
      <c r="M427" s="16">
        <v>0</v>
      </c>
      <c r="N427" s="16">
        <v>0</v>
      </c>
      <c r="O427" s="18">
        <v>0</v>
      </c>
      <c r="P427" s="18" t="s">
        <v>86</v>
      </c>
      <c r="Q427" s="18">
        <v>4.085808</v>
      </c>
      <c r="R427" s="16">
        <v>14.62</v>
      </c>
      <c r="S427" s="16">
        <v>595</v>
      </c>
      <c r="T427" s="16">
        <v>100</v>
      </c>
      <c r="U427" s="18" t="s">
        <v>908</v>
      </c>
      <c r="V427" s="18" t="s">
        <v>245</v>
      </c>
      <c r="W427" s="18" t="s">
        <v>909</v>
      </c>
      <c r="X427" s="13"/>
      <c r="Y427" s="18" t="s">
        <v>81</v>
      </c>
      <c r="Z427" s="18" t="s">
        <v>160</v>
      </c>
      <c r="AA427" s="18" t="s">
        <v>83</v>
      </c>
      <c r="AB427" s="18" t="s">
        <v>84</v>
      </c>
      <c r="AC427" s="18" t="s">
        <v>85</v>
      </c>
      <c r="AD427" s="18">
        <v>111.98</v>
      </c>
      <c r="AE427" s="18">
        <v>0</v>
      </c>
      <c r="AF427" s="18">
        <v>0</v>
      </c>
      <c r="AG427" s="18">
        <v>0</v>
      </c>
      <c r="AH427" s="18">
        <v>0</v>
      </c>
      <c r="AI427" s="18">
        <v>0</v>
      </c>
      <c r="AJ427" s="18">
        <v>0</v>
      </c>
      <c r="AK427" s="18">
        <v>0</v>
      </c>
      <c r="AL427" s="18">
        <v>0</v>
      </c>
      <c r="AM427" s="18">
        <v>0</v>
      </c>
      <c r="AN427" s="18">
        <v>0</v>
      </c>
      <c r="AO427" s="18">
        <v>0</v>
      </c>
      <c r="AP427" s="18">
        <v>0</v>
      </c>
      <c r="AQ427" s="18">
        <v>1</v>
      </c>
      <c r="AR427" s="18">
        <v>0</v>
      </c>
      <c r="AS427" s="18">
        <v>0</v>
      </c>
      <c r="AT427" s="18">
        <v>1</v>
      </c>
      <c r="AU427" s="18">
        <v>0</v>
      </c>
      <c r="AV427" s="18">
        <v>1</v>
      </c>
      <c r="AW427" s="18">
        <v>1</v>
      </c>
      <c r="AX427" s="18">
        <v>0</v>
      </c>
      <c r="AY427" s="18">
        <v>4</v>
      </c>
      <c r="AZ427" s="18">
        <v>1</v>
      </c>
      <c r="BA427" s="18">
        <v>2</v>
      </c>
      <c r="BB427" s="18">
        <v>63.91</v>
      </c>
      <c r="BC427" s="18" t="s">
        <v>251</v>
      </c>
      <c r="BD427" s="18" t="s">
        <v>175</v>
      </c>
      <c r="BE427" s="18" t="s">
        <v>91</v>
      </c>
      <c r="BF427" s="18" t="s">
        <v>77</v>
      </c>
      <c r="BG427" s="18">
        <v>161</v>
      </c>
      <c r="BH427" s="18">
        <v>61</v>
      </c>
      <c r="BI427" s="18">
        <v>0.7252</v>
      </c>
      <c r="BJ427" s="18">
        <v>0</v>
      </c>
      <c r="BK427" s="18">
        <v>4</v>
      </c>
      <c r="BL427" s="18">
        <v>98.9</v>
      </c>
      <c r="BM427" s="13">
        <f t="shared" si="0"/>
        <v>34801.55</v>
      </c>
    </row>
    <row r="428" customHeight="1" spans="1:65">
      <c r="A428" s="18" t="s">
        <v>411</v>
      </c>
      <c r="B428" s="18" t="s">
        <v>245</v>
      </c>
      <c r="C428" s="18" t="s">
        <v>412</v>
      </c>
      <c r="D428" s="13"/>
      <c r="E428" s="18" t="s">
        <v>413</v>
      </c>
      <c r="F428" s="18" t="s">
        <v>160</v>
      </c>
      <c r="G428" s="18" t="s">
        <v>83</v>
      </c>
      <c r="H428" s="18" t="s">
        <v>84</v>
      </c>
      <c r="I428" s="18" t="s">
        <v>85</v>
      </c>
      <c r="J428" s="18">
        <v>5</v>
      </c>
      <c r="K428" s="16">
        <v>69.99</v>
      </c>
      <c r="L428" s="10"/>
      <c r="M428" s="16">
        <v>0</v>
      </c>
      <c r="N428" s="16">
        <v>0</v>
      </c>
      <c r="O428" s="18">
        <v>0</v>
      </c>
      <c r="P428" s="18" t="s">
        <v>86</v>
      </c>
      <c r="Q428" s="18">
        <v>4.262539</v>
      </c>
      <c r="R428" s="16">
        <v>4.37</v>
      </c>
      <c r="S428" s="16">
        <v>708</v>
      </c>
      <c r="T428" s="16">
        <v>100</v>
      </c>
      <c r="U428" s="18" t="s">
        <v>411</v>
      </c>
      <c r="V428" s="18" t="s">
        <v>245</v>
      </c>
      <c r="W428" s="18" t="s">
        <v>412</v>
      </c>
      <c r="X428" s="13"/>
      <c r="Y428" s="18" t="s">
        <v>413</v>
      </c>
      <c r="Z428" s="18" t="s">
        <v>160</v>
      </c>
      <c r="AA428" s="18" t="s">
        <v>83</v>
      </c>
      <c r="AB428" s="18" t="s">
        <v>84</v>
      </c>
      <c r="AC428" s="18" t="s">
        <v>85</v>
      </c>
      <c r="AD428" s="18">
        <v>134.98</v>
      </c>
      <c r="AE428" s="18">
        <v>0</v>
      </c>
      <c r="AF428" s="18">
        <v>0</v>
      </c>
      <c r="AG428" s="18">
        <v>0</v>
      </c>
      <c r="AH428" s="18">
        <v>1</v>
      </c>
      <c r="AI428" s="18">
        <v>0</v>
      </c>
      <c r="AJ428" s="18">
        <v>0</v>
      </c>
      <c r="AK428" s="18">
        <v>0</v>
      </c>
      <c r="AL428" s="18">
        <v>0</v>
      </c>
      <c r="AM428" s="18">
        <v>0</v>
      </c>
      <c r="AN428" s="18">
        <v>1</v>
      </c>
      <c r="AO428" s="18">
        <v>0</v>
      </c>
      <c r="AP428" s="18">
        <v>0</v>
      </c>
      <c r="AQ428" s="18">
        <v>1</v>
      </c>
      <c r="AR428" s="18">
        <v>0</v>
      </c>
      <c r="AS428" s="18">
        <v>0</v>
      </c>
      <c r="AT428" s="18">
        <v>0</v>
      </c>
      <c r="AU428" s="18">
        <v>0</v>
      </c>
      <c r="AV428" s="18">
        <v>1</v>
      </c>
      <c r="AW428" s="18">
        <v>1</v>
      </c>
      <c r="AX428" s="18">
        <v>0</v>
      </c>
      <c r="AY428" s="18">
        <v>16</v>
      </c>
      <c r="AZ428" s="18">
        <v>1</v>
      </c>
      <c r="BA428" s="18">
        <v>3</v>
      </c>
      <c r="BB428" s="18">
        <v>64.39</v>
      </c>
      <c r="BC428" s="18" t="s">
        <v>251</v>
      </c>
      <c r="BD428" s="18" t="s">
        <v>175</v>
      </c>
      <c r="BE428" s="18" t="s">
        <v>91</v>
      </c>
      <c r="BF428" s="18" t="s">
        <v>77</v>
      </c>
      <c r="BG428" s="18">
        <v>161</v>
      </c>
      <c r="BH428" s="18">
        <v>61</v>
      </c>
      <c r="BI428" s="18">
        <v>0.7252</v>
      </c>
      <c r="BJ428" s="18">
        <v>0</v>
      </c>
      <c r="BK428" s="18">
        <v>8</v>
      </c>
      <c r="BL428" s="18">
        <v>97.8</v>
      </c>
      <c r="BM428" s="13">
        <f t="shared" si="0"/>
        <v>49552.92</v>
      </c>
    </row>
    <row r="429" customHeight="1" spans="1:65">
      <c r="A429" s="18" t="s">
        <v>463</v>
      </c>
      <c r="B429" s="18" t="s">
        <v>245</v>
      </c>
      <c r="C429" s="18" t="s">
        <v>464</v>
      </c>
      <c r="D429" s="13"/>
      <c r="E429" s="18" t="s">
        <v>325</v>
      </c>
      <c r="F429" s="18" t="s">
        <v>160</v>
      </c>
      <c r="G429" s="18" t="s">
        <v>83</v>
      </c>
      <c r="H429" s="18" t="s">
        <v>84</v>
      </c>
      <c r="I429" s="18" t="s">
        <v>85</v>
      </c>
      <c r="J429" s="18">
        <v>5</v>
      </c>
      <c r="K429" s="16">
        <v>129.99</v>
      </c>
      <c r="L429" s="10"/>
      <c r="M429" s="16">
        <v>0</v>
      </c>
      <c r="N429" s="16">
        <v>0</v>
      </c>
      <c r="O429" s="18">
        <v>0</v>
      </c>
      <c r="P429" s="18" t="s">
        <v>95</v>
      </c>
      <c r="Q429" s="18">
        <v>4.875121</v>
      </c>
      <c r="R429" s="16">
        <v>32.5</v>
      </c>
      <c r="S429" s="16">
        <v>367</v>
      </c>
      <c r="T429" s="16">
        <v>50</v>
      </c>
      <c r="U429" s="18" t="s">
        <v>463</v>
      </c>
      <c r="V429" s="18" t="s">
        <v>245</v>
      </c>
      <c r="W429" s="19" t="s">
        <v>464</v>
      </c>
      <c r="X429" s="13"/>
      <c r="Y429" s="18" t="s">
        <v>325</v>
      </c>
      <c r="Z429" s="18" t="s">
        <v>160</v>
      </c>
      <c r="AA429" s="18" t="s">
        <v>83</v>
      </c>
      <c r="AB429" s="18" t="s">
        <v>84</v>
      </c>
      <c r="AC429" s="18" t="s">
        <v>85</v>
      </c>
      <c r="AD429" s="18">
        <v>254.98</v>
      </c>
      <c r="AE429" s="18">
        <v>0</v>
      </c>
      <c r="AF429" s="18">
        <v>0</v>
      </c>
      <c r="AG429" s="18">
        <v>0</v>
      </c>
      <c r="AH429" s="18">
        <v>0</v>
      </c>
      <c r="AI429" s="18">
        <v>0</v>
      </c>
      <c r="AJ429" s="18">
        <v>0</v>
      </c>
      <c r="AK429" s="18">
        <v>0</v>
      </c>
      <c r="AL429" s="18">
        <v>0</v>
      </c>
      <c r="AM429" s="18">
        <v>0</v>
      </c>
      <c r="AN429" s="18">
        <v>0</v>
      </c>
      <c r="AO429" s="18">
        <v>0</v>
      </c>
      <c r="AP429" s="18">
        <v>0</v>
      </c>
      <c r="AQ429" s="18">
        <v>1</v>
      </c>
      <c r="AR429" s="18">
        <v>0</v>
      </c>
      <c r="AS429" s="18">
        <v>0</v>
      </c>
      <c r="AT429" s="18">
        <v>0</v>
      </c>
      <c r="AU429" s="18">
        <v>0</v>
      </c>
      <c r="AV429" s="18">
        <v>1</v>
      </c>
      <c r="AW429" s="18">
        <v>1</v>
      </c>
      <c r="AX429" s="18">
        <v>0</v>
      </c>
      <c r="AY429" s="18">
        <v>4</v>
      </c>
      <c r="AZ429" s="18">
        <v>1</v>
      </c>
      <c r="BA429" s="18">
        <v>1</v>
      </c>
      <c r="BB429" s="18">
        <v>65.05</v>
      </c>
      <c r="BC429" s="18" t="s">
        <v>251</v>
      </c>
      <c r="BD429" s="18" t="s">
        <v>175</v>
      </c>
      <c r="BE429" s="18" t="s">
        <v>91</v>
      </c>
      <c r="BF429" s="18" t="s">
        <v>77</v>
      </c>
      <c r="BG429" s="18">
        <v>161</v>
      </c>
      <c r="BH429" s="18">
        <v>61</v>
      </c>
      <c r="BI429" s="18">
        <v>0.7252</v>
      </c>
      <c r="BJ429" s="18">
        <v>0</v>
      </c>
      <c r="BK429" s="18">
        <v>2</v>
      </c>
      <c r="BL429" s="18">
        <v>99.5</v>
      </c>
      <c r="BM429" s="13">
        <f t="shared" si="0"/>
        <v>47706.33</v>
      </c>
    </row>
    <row r="430" customHeight="1" spans="1:65">
      <c r="A430" s="18" t="s">
        <v>904</v>
      </c>
      <c r="B430" s="18" t="s">
        <v>245</v>
      </c>
      <c r="C430" s="18" t="s">
        <v>905</v>
      </c>
      <c r="D430" s="13"/>
      <c r="E430" s="18" t="s">
        <v>390</v>
      </c>
      <c r="F430" s="18" t="s">
        <v>160</v>
      </c>
      <c r="G430" s="18" t="s">
        <v>83</v>
      </c>
      <c r="H430" s="18" t="s">
        <v>84</v>
      </c>
      <c r="I430" s="18" t="s">
        <v>85</v>
      </c>
      <c r="J430" s="18">
        <v>5</v>
      </c>
      <c r="K430" s="16">
        <v>323.99</v>
      </c>
      <c r="L430" s="10"/>
      <c r="M430" s="16">
        <v>0</v>
      </c>
      <c r="N430" s="16">
        <v>0</v>
      </c>
      <c r="O430" s="18">
        <v>0</v>
      </c>
      <c r="P430" s="18" t="s">
        <v>71</v>
      </c>
      <c r="Q430" s="18">
        <v>5.783794</v>
      </c>
      <c r="R430" s="16">
        <v>40.5</v>
      </c>
      <c r="S430" s="16">
        <v>155</v>
      </c>
      <c r="T430" s="16">
        <v>100</v>
      </c>
      <c r="U430" s="18" t="s">
        <v>904</v>
      </c>
      <c r="V430" s="18" t="s">
        <v>245</v>
      </c>
      <c r="W430" s="18" t="s">
        <v>905</v>
      </c>
      <c r="X430" s="13"/>
      <c r="Y430" s="18" t="s">
        <v>390</v>
      </c>
      <c r="Z430" s="18" t="s">
        <v>160</v>
      </c>
      <c r="AA430" s="18" t="s">
        <v>83</v>
      </c>
      <c r="AB430" s="18" t="s">
        <v>84</v>
      </c>
      <c r="AC430" s="18" t="s">
        <v>85</v>
      </c>
      <c r="AD430" s="18">
        <v>642.98</v>
      </c>
      <c r="AE430" s="18">
        <v>0</v>
      </c>
      <c r="AF430" s="18">
        <v>0</v>
      </c>
      <c r="AG430" s="18">
        <v>1</v>
      </c>
      <c r="AH430" s="18">
        <v>0</v>
      </c>
      <c r="AI430" s="18">
        <v>1</v>
      </c>
      <c r="AJ430" s="18">
        <v>0</v>
      </c>
      <c r="AK430" s="18">
        <v>0</v>
      </c>
      <c r="AL430" s="18">
        <v>0</v>
      </c>
      <c r="AM430" s="18">
        <v>0</v>
      </c>
      <c r="AN430" s="18">
        <v>0</v>
      </c>
      <c r="AO430" s="18">
        <v>0</v>
      </c>
      <c r="AP430" s="18">
        <v>0</v>
      </c>
      <c r="AQ430" s="18">
        <v>1</v>
      </c>
      <c r="AR430" s="18">
        <v>0</v>
      </c>
      <c r="AS430" s="18">
        <v>0</v>
      </c>
      <c r="AT430" s="18">
        <v>0</v>
      </c>
      <c r="AU430" s="18">
        <v>0</v>
      </c>
      <c r="AV430" s="18">
        <v>1</v>
      </c>
      <c r="AW430" s="18">
        <v>1</v>
      </c>
      <c r="AX430" s="18">
        <v>0</v>
      </c>
      <c r="AY430" s="18">
        <v>8</v>
      </c>
      <c r="AZ430" s="18">
        <v>1</v>
      </c>
      <c r="BA430" s="18">
        <v>1</v>
      </c>
      <c r="BB430" s="18">
        <v>54.16</v>
      </c>
      <c r="BC430" s="18" t="s">
        <v>251</v>
      </c>
      <c r="BD430" s="18" t="s">
        <v>175</v>
      </c>
      <c r="BE430" s="18" t="s">
        <v>91</v>
      </c>
      <c r="BF430" s="18" t="s">
        <v>77</v>
      </c>
      <c r="BG430" s="18">
        <v>162</v>
      </c>
      <c r="BH430" s="18">
        <v>60</v>
      </c>
      <c r="BI430" s="18">
        <v>0.7297</v>
      </c>
      <c r="BJ430" s="18">
        <v>0</v>
      </c>
      <c r="BK430" s="18">
        <v>2</v>
      </c>
      <c r="BL430" s="18">
        <v>99.5</v>
      </c>
      <c r="BM430" s="13">
        <f t="shared" si="0"/>
        <v>50218.45</v>
      </c>
    </row>
    <row r="431" customHeight="1" spans="1:65">
      <c r="A431" s="18" t="s">
        <v>1820</v>
      </c>
      <c r="B431" s="18" t="s">
        <v>171</v>
      </c>
      <c r="C431" s="18" t="s">
        <v>1821</v>
      </c>
      <c r="D431" s="13"/>
      <c r="E431" s="18" t="s">
        <v>250</v>
      </c>
      <c r="F431" s="18" t="s">
        <v>160</v>
      </c>
      <c r="G431" s="18" t="s">
        <v>83</v>
      </c>
      <c r="H431" s="18" t="s">
        <v>84</v>
      </c>
      <c r="I431" s="18" t="s">
        <v>85</v>
      </c>
      <c r="J431" s="18">
        <v>5</v>
      </c>
      <c r="K431" s="16">
        <v>147.99</v>
      </c>
      <c r="L431" s="10"/>
      <c r="M431" s="16">
        <v>0</v>
      </c>
      <c r="N431" s="16">
        <v>0</v>
      </c>
      <c r="O431" s="18">
        <v>0</v>
      </c>
      <c r="P431" s="18" t="s">
        <v>95</v>
      </c>
      <c r="Q431" s="18">
        <v>5.003879</v>
      </c>
      <c r="R431" s="16">
        <v>18.5</v>
      </c>
      <c r="S431" s="16">
        <v>18</v>
      </c>
      <c r="T431" s="16">
        <v>100</v>
      </c>
      <c r="U431" s="18" t="s">
        <v>1820</v>
      </c>
      <c r="V431" s="18" t="s">
        <v>171</v>
      </c>
      <c r="W431" s="18" t="s">
        <v>1821</v>
      </c>
      <c r="X431" s="13"/>
      <c r="Y431" s="18" t="s">
        <v>250</v>
      </c>
      <c r="Z431" s="18" t="s">
        <v>160</v>
      </c>
      <c r="AA431" s="18" t="s">
        <v>83</v>
      </c>
      <c r="AB431" s="18" t="s">
        <v>84</v>
      </c>
      <c r="AC431" s="18" t="s">
        <v>85</v>
      </c>
      <c r="AD431" s="18">
        <v>290.98</v>
      </c>
      <c r="AE431" s="18">
        <v>0</v>
      </c>
      <c r="AF431" s="18">
        <v>0</v>
      </c>
      <c r="AG431" s="18">
        <v>0</v>
      </c>
      <c r="AH431" s="18">
        <v>0</v>
      </c>
      <c r="AI431" s="18">
        <v>0</v>
      </c>
      <c r="AJ431" s="18">
        <v>0</v>
      </c>
      <c r="AK431" s="18">
        <v>0</v>
      </c>
      <c r="AL431" s="18">
        <v>0</v>
      </c>
      <c r="AM431" s="18">
        <v>1</v>
      </c>
      <c r="AN431" s="18">
        <v>0</v>
      </c>
      <c r="AO431" s="18">
        <v>0</v>
      </c>
      <c r="AP431" s="18">
        <v>0</v>
      </c>
      <c r="AQ431" s="18">
        <v>1</v>
      </c>
      <c r="AR431" s="18">
        <v>0</v>
      </c>
      <c r="AS431" s="18">
        <v>0</v>
      </c>
      <c r="AT431" s="18">
        <v>0</v>
      </c>
      <c r="AU431" s="18">
        <v>0</v>
      </c>
      <c r="AV431" s="18">
        <v>1</v>
      </c>
      <c r="AW431" s="18">
        <v>1</v>
      </c>
      <c r="AX431" s="18">
        <v>0</v>
      </c>
      <c r="AY431" s="18">
        <v>8</v>
      </c>
      <c r="AZ431" s="18">
        <v>1</v>
      </c>
      <c r="BA431" s="18">
        <v>2</v>
      </c>
      <c r="BB431" s="18">
        <v>35.2</v>
      </c>
      <c r="BC431" s="18" t="s">
        <v>251</v>
      </c>
      <c r="BD431" s="18" t="s">
        <v>356</v>
      </c>
      <c r="BE431" s="18" t="s">
        <v>423</v>
      </c>
      <c r="BF431" s="18" t="s">
        <v>77</v>
      </c>
      <c r="BG431" s="18">
        <v>161</v>
      </c>
      <c r="BH431" s="18">
        <v>61</v>
      </c>
      <c r="BI431" s="18">
        <v>0.7252</v>
      </c>
      <c r="BJ431" s="18">
        <v>0</v>
      </c>
      <c r="BK431" s="18">
        <v>11</v>
      </c>
      <c r="BL431" s="18">
        <v>97</v>
      </c>
      <c r="BM431" s="13">
        <f t="shared" si="0"/>
        <v>2663.82</v>
      </c>
    </row>
    <row r="432" customHeight="1" spans="1:65">
      <c r="A432" s="18" t="s">
        <v>667</v>
      </c>
      <c r="B432" s="18" t="s">
        <v>171</v>
      </c>
      <c r="C432" s="18" t="s">
        <v>668</v>
      </c>
      <c r="D432" s="13"/>
      <c r="E432" s="18" t="s">
        <v>81</v>
      </c>
      <c r="F432" s="18" t="s">
        <v>160</v>
      </c>
      <c r="G432" s="18" t="s">
        <v>83</v>
      </c>
      <c r="H432" s="18" t="s">
        <v>84</v>
      </c>
      <c r="I432" s="18" t="s">
        <v>85</v>
      </c>
      <c r="J432" s="18">
        <v>5</v>
      </c>
      <c r="K432" s="16">
        <v>109.19</v>
      </c>
      <c r="L432" s="10"/>
      <c r="M432" s="16">
        <v>0</v>
      </c>
      <c r="N432" s="16">
        <v>0</v>
      </c>
      <c r="O432" s="18">
        <v>0</v>
      </c>
      <c r="P432" s="18" t="s">
        <v>95</v>
      </c>
      <c r="Q432" s="18">
        <v>4.702206</v>
      </c>
      <c r="R432" s="10"/>
      <c r="S432" s="16">
        <v>97</v>
      </c>
      <c r="T432" s="16">
        <v>100</v>
      </c>
      <c r="U432" s="18" t="s">
        <v>667</v>
      </c>
      <c r="V432" s="18" t="s">
        <v>171</v>
      </c>
      <c r="W432" s="18" t="s">
        <v>668</v>
      </c>
      <c r="X432" s="13"/>
      <c r="Y432" s="18" t="s">
        <v>81</v>
      </c>
      <c r="Z432" s="18" t="s">
        <v>160</v>
      </c>
      <c r="AA432" s="18" t="s">
        <v>83</v>
      </c>
      <c r="AB432" s="18" t="s">
        <v>84</v>
      </c>
      <c r="AC432" s="18" t="s">
        <v>85</v>
      </c>
      <c r="AD432" s="18">
        <v>213.38</v>
      </c>
      <c r="AE432" s="18">
        <v>1</v>
      </c>
      <c r="AF432" s="18">
        <v>1</v>
      </c>
      <c r="AG432" s="18">
        <v>0</v>
      </c>
      <c r="AH432" s="18">
        <v>1</v>
      </c>
      <c r="AI432" s="18">
        <v>0</v>
      </c>
      <c r="AJ432" s="18">
        <v>0</v>
      </c>
      <c r="AK432" s="18">
        <v>0</v>
      </c>
      <c r="AL432" s="18">
        <v>0</v>
      </c>
      <c r="AM432" s="18">
        <v>0</v>
      </c>
      <c r="AN432" s="18">
        <v>0</v>
      </c>
      <c r="AO432" s="18">
        <v>0</v>
      </c>
      <c r="AP432" s="18">
        <v>0</v>
      </c>
      <c r="AQ432" s="18">
        <v>0</v>
      </c>
      <c r="AR432" s="18">
        <v>0</v>
      </c>
      <c r="AS432" s="18">
        <v>0</v>
      </c>
      <c r="AT432" s="18">
        <v>0</v>
      </c>
      <c r="AU432" s="18">
        <v>0</v>
      </c>
      <c r="AV432" s="18">
        <v>0</v>
      </c>
      <c r="AW432" s="18">
        <v>1</v>
      </c>
      <c r="AX432" s="18">
        <v>0</v>
      </c>
      <c r="AY432" s="13"/>
      <c r="AZ432" s="18">
        <v>1</v>
      </c>
      <c r="BA432" s="18">
        <v>2</v>
      </c>
      <c r="BB432" s="18">
        <v>49.46</v>
      </c>
      <c r="BC432" s="18" t="s">
        <v>251</v>
      </c>
      <c r="BD432" s="18" t="s">
        <v>356</v>
      </c>
      <c r="BE432" s="18" t="s">
        <v>423</v>
      </c>
      <c r="BF432" s="18" t="s">
        <v>77</v>
      </c>
      <c r="BG432" s="18">
        <v>162</v>
      </c>
      <c r="BH432" s="18">
        <v>60</v>
      </c>
      <c r="BI432" s="18">
        <v>0.7297</v>
      </c>
      <c r="BJ432" s="18">
        <v>0</v>
      </c>
      <c r="BK432" s="18">
        <v>3</v>
      </c>
      <c r="BL432" s="18">
        <v>99.2</v>
      </c>
      <c r="BM432" s="13">
        <f t="shared" si="0"/>
        <v>10591.43</v>
      </c>
    </row>
    <row r="433" customHeight="1" spans="1:65">
      <c r="A433" s="18" t="s">
        <v>421</v>
      </c>
      <c r="B433" s="18" t="s">
        <v>171</v>
      </c>
      <c r="C433" s="18" t="s">
        <v>422</v>
      </c>
      <c r="D433" s="13"/>
      <c r="E433" s="18" t="s">
        <v>255</v>
      </c>
      <c r="F433" s="18" t="s">
        <v>160</v>
      </c>
      <c r="G433" s="18" t="s">
        <v>83</v>
      </c>
      <c r="H433" s="18" t="s">
        <v>84</v>
      </c>
      <c r="I433" s="18" t="s">
        <v>85</v>
      </c>
      <c r="J433" s="18">
        <v>5</v>
      </c>
      <c r="K433" s="16">
        <v>139.79</v>
      </c>
      <c r="L433" s="16">
        <v>236.93</v>
      </c>
      <c r="M433" s="16">
        <v>41</v>
      </c>
      <c r="N433" s="16">
        <v>97.14</v>
      </c>
      <c r="O433" s="18">
        <v>1</v>
      </c>
      <c r="P433" s="18" t="s">
        <v>95</v>
      </c>
      <c r="Q433" s="18">
        <v>4.947269</v>
      </c>
      <c r="R433" s="16">
        <v>17.47</v>
      </c>
      <c r="S433" s="16">
        <v>6</v>
      </c>
      <c r="T433" s="16">
        <v>12</v>
      </c>
      <c r="U433" s="18" t="s">
        <v>421</v>
      </c>
      <c r="V433" s="18" t="s">
        <v>171</v>
      </c>
      <c r="W433" s="18" t="s">
        <v>422</v>
      </c>
      <c r="X433" s="13"/>
      <c r="Y433" s="18" t="s">
        <v>255</v>
      </c>
      <c r="Z433" s="18" t="s">
        <v>160</v>
      </c>
      <c r="AA433" s="18" t="s">
        <v>83</v>
      </c>
      <c r="AB433" s="18" t="s">
        <v>84</v>
      </c>
      <c r="AC433" s="18" t="s">
        <v>85</v>
      </c>
      <c r="AD433" s="18">
        <v>52.4219999999998</v>
      </c>
      <c r="AE433" s="18">
        <v>0</v>
      </c>
      <c r="AF433" s="18">
        <v>0</v>
      </c>
      <c r="AG433" s="18">
        <v>1</v>
      </c>
      <c r="AH433" s="18">
        <v>0</v>
      </c>
      <c r="AI433" s="18">
        <v>1</v>
      </c>
      <c r="AJ433" s="18">
        <v>0</v>
      </c>
      <c r="AK433" s="18">
        <v>0</v>
      </c>
      <c r="AL433" s="18">
        <v>0</v>
      </c>
      <c r="AM433" s="18">
        <v>1</v>
      </c>
      <c r="AN433" s="18">
        <v>0</v>
      </c>
      <c r="AO433" s="18">
        <v>0</v>
      </c>
      <c r="AP433" s="18">
        <v>0</v>
      </c>
      <c r="AQ433" s="18">
        <v>1</v>
      </c>
      <c r="AR433" s="18">
        <v>0</v>
      </c>
      <c r="AS433" s="18">
        <v>0</v>
      </c>
      <c r="AT433" s="18">
        <v>0</v>
      </c>
      <c r="AU433" s="18">
        <v>0</v>
      </c>
      <c r="AV433" s="18">
        <v>1</v>
      </c>
      <c r="AW433" s="18">
        <v>1</v>
      </c>
      <c r="AX433" s="18">
        <v>0</v>
      </c>
      <c r="AY433" s="18">
        <v>8</v>
      </c>
      <c r="AZ433" s="18">
        <v>1</v>
      </c>
      <c r="BA433" s="18">
        <v>2</v>
      </c>
      <c r="BB433" s="18">
        <v>50.53</v>
      </c>
      <c r="BC433" s="18" t="s">
        <v>251</v>
      </c>
      <c r="BD433" s="18" t="s">
        <v>356</v>
      </c>
      <c r="BE433" s="18" t="s">
        <v>423</v>
      </c>
      <c r="BF433" s="18" t="s">
        <v>77</v>
      </c>
      <c r="BG433" s="18">
        <v>161</v>
      </c>
      <c r="BH433" s="18">
        <v>61</v>
      </c>
      <c r="BI433" s="18">
        <v>0.7252</v>
      </c>
      <c r="BJ433" s="18">
        <v>0</v>
      </c>
      <c r="BK433" s="18">
        <v>62</v>
      </c>
      <c r="BL433" s="18">
        <v>83</v>
      </c>
      <c r="BM433" s="13">
        <f t="shared" si="0"/>
        <v>838.74</v>
      </c>
    </row>
    <row r="434" customHeight="1" spans="1:65">
      <c r="A434" s="18" t="s">
        <v>1808</v>
      </c>
      <c r="B434" s="18" t="s">
        <v>171</v>
      </c>
      <c r="C434" s="18" t="s">
        <v>1809</v>
      </c>
      <c r="D434" s="13"/>
      <c r="E434" s="18" t="s">
        <v>255</v>
      </c>
      <c r="F434" s="18" t="s">
        <v>160</v>
      </c>
      <c r="G434" s="18" t="s">
        <v>83</v>
      </c>
      <c r="H434" s="18" t="s">
        <v>84</v>
      </c>
      <c r="I434" s="18" t="s">
        <v>85</v>
      </c>
      <c r="J434" s="18">
        <v>5</v>
      </c>
      <c r="K434" s="16">
        <v>299.69</v>
      </c>
      <c r="L434" s="10"/>
      <c r="M434" s="16">
        <v>0</v>
      </c>
      <c r="N434" s="16">
        <v>0</v>
      </c>
      <c r="O434" s="18">
        <v>0</v>
      </c>
      <c r="P434" s="18" t="s">
        <v>71</v>
      </c>
      <c r="Q434" s="18">
        <v>5.70608</v>
      </c>
      <c r="R434" s="16">
        <v>37.46</v>
      </c>
      <c r="S434" s="16">
        <v>69</v>
      </c>
      <c r="T434" s="16">
        <v>19</v>
      </c>
      <c r="U434" s="18" t="s">
        <v>1808</v>
      </c>
      <c r="V434" s="18" t="s">
        <v>171</v>
      </c>
      <c r="W434" s="18" t="s">
        <v>1809</v>
      </c>
      <c r="X434" s="13"/>
      <c r="Y434" s="18" t="s">
        <v>255</v>
      </c>
      <c r="Z434" s="18" t="s">
        <v>160</v>
      </c>
      <c r="AA434" s="18" t="s">
        <v>83</v>
      </c>
      <c r="AB434" s="18" t="s">
        <v>84</v>
      </c>
      <c r="AC434" s="18" t="s">
        <v>85</v>
      </c>
      <c r="AD434" s="18">
        <v>594.38</v>
      </c>
      <c r="AE434" s="18">
        <v>0</v>
      </c>
      <c r="AF434" s="18">
        <v>0</v>
      </c>
      <c r="AG434" s="18">
        <v>0</v>
      </c>
      <c r="AH434" s="18">
        <v>0</v>
      </c>
      <c r="AI434" s="18">
        <v>0</v>
      </c>
      <c r="AJ434" s="18">
        <v>0</v>
      </c>
      <c r="AK434" s="18">
        <v>0</v>
      </c>
      <c r="AL434" s="18">
        <v>0</v>
      </c>
      <c r="AM434" s="18">
        <v>0</v>
      </c>
      <c r="AN434" s="18">
        <v>0</v>
      </c>
      <c r="AO434" s="18">
        <v>0</v>
      </c>
      <c r="AP434" s="18">
        <v>0</v>
      </c>
      <c r="AQ434" s="18">
        <v>1</v>
      </c>
      <c r="AR434" s="18">
        <v>0</v>
      </c>
      <c r="AS434" s="18">
        <v>0</v>
      </c>
      <c r="AT434" s="18">
        <v>0</v>
      </c>
      <c r="AU434" s="18">
        <v>0</v>
      </c>
      <c r="AV434" s="18">
        <v>1</v>
      </c>
      <c r="AW434" s="18">
        <v>1</v>
      </c>
      <c r="AX434" s="18">
        <v>0</v>
      </c>
      <c r="AY434" s="18">
        <v>8</v>
      </c>
      <c r="AZ434" s="18">
        <v>1</v>
      </c>
      <c r="BA434" s="18">
        <v>1</v>
      </c>
      <c r="BB434" s="18">
        <v>60.46</v>
      </c>
      <c r="BC434" s="18" t="s">
        <v>251</v>
      </c>
      <c r="BD434" s="18" t="s">
        <v>356</v>
      </c>
      <c r="BE434" s="18" t="s">
        <v>423</v>
      </c>
      <c r="BF434" s="18" t="s">
        <v>77</v>
      </c>
      <c r="BG434" s="18">
        <v>161</v>
      </c>
      <c r="BH434" s="18">
        <v>61</v>
      </c>
      <c r="BI434" s="18">
        <v>0.7252</v>
      </c>
      <c r="BJ434" s="18">
        <v>0</v>
      </c>
      <c r="BK434" s="18">
        <v>11</v>
      </c>
      <c r="BL434" s="18">
        <v>97</v>
      </c>
      <c r="BM434" s="13">
        <f t="shared" si="0"/>
        <v>20678.61</v>
      </c>
    </row>
    <row r="435" customHeight="1" spans="1:65">
      <c r="A435" s="18" t="s">
        <v>513</v>
      </c>
      <c r="B435" s="18" t="s">
        <v>171</v>
      </c>
      <c r="C435" s="18" t="s">
        <v>433</v>
      </c>
      <c r="D435" s="13"/>
      <c r="E435" s="18" t="s">
        <v>434</v>
      </c>
      <c r="F435" s="18" t="s">
        <v>160</v>
      </c>
      <c r="G435" s="18" t="s">
        <v>83</v>
      </c>
      <c r="H435" s="18" t="s">
        <v>84</v>
      </c>
      <c r="I435" s="18" t="s">
        <v>85</v>
      </c>
      <c r="J435" s="18">
        <v>5</v>
      </c>
      <c r="K435" s="16">
        <v>104.99</v>
      </c>
      <c r="L435" s="10"/>
      <c r="M435" s="16">
        <v>0</v>
      </c>
      <c r="N435" s="16">
        <v>0</v>
      </c>
      <c r="O435" s="18">
        <v>0</v>
      </c>
      <c r="P435" s="18" t="s">
        <v>95</v>
      </c>
      <c r="Q435" s="18">
        <v>4.663345</v>
      </c>
      <c r="R435" s="16">
        <v>6.56</v>
      </c>
      <c r="S435" s="16">
        <v>96</v>
      </c>
      <c r="T435" s="16">
        <v>100</v>
      </c>
      <c r="U435" s="18" t="s">
        <v>513</v>
      </c>
      <c r="V435" s="18" t="s">
        <v>171</v>
      </c>
      <c r="W435" s="19" t="s">
        <v>433</v>
      </c>
      <c r="X435" s="13"/>
      <c r="Y435" s="18" t="s">
        <v>434</v>
      </c>
      <c r="Z435" s="18" t="s">
        <v>160</v>
      </c>
      <c r="AA435" s="18" t="s">
        <v>83</v>
      </c>
      <c r="AB435" s="18" t="s">
        <v>84</v>
      </c>
      <c r="AC435" s="18" t="s">
        <v>85</v>
      </c>
      <c r="AD435" s="18">
        <v>204.98</v>
      </c>
      <c r="AE435" s="18">
        <v>0</v>
      </c>
      <c r="AF435" s="18">
        <v>0</v>
      </c>
      <c r="AG435" s="18">
        <v>0</v>
      </c>
      <c r="AH435" s="18">
        <v>0</v>
      </c>
      <c r="AI435" s="18">
        <v>0</v>
      </c>
      <c r="AJ435" s="18">
        <v>0</v>
      </c>
      <c r="AK435" s="18">
        <v>0</v>
      </c>
      <c r="AL435" s="18">
        <v>0</v>
      </c>
      <c r="AM435" s="18">
        <v>0</v>
      </c>
      <c r="AN435" s="18">
        <v>0</v>
      </c>
      <c r="AO435" s="18">
        <v>0</v>
      </c>
      <c r="AP435" s="18">
        <v>0</v>
      </c>
      <c r="AQ435" s="18">
        <v>1</v>
      </c>
      <c r="AR435" s="18">
        <v>0</v>
      </c>
      <c r="AS435" s="18">
        <v>0</v>
      </c>
      <c r="AT435" s="18">
        <v>0</v>
      </c>
      <c r="AU435" s="18">
        <v>0</v>
      </c>
      <c r="AV435" s="18">
        <v>1</v>
      </c>
      <c r="AW435" s="18">
        <v>0</v>
      </c>
      <c r="AX435" s="18">
        <v>0</v>
      </c>
      <c r="AY435" s="18">
        <v>16</v>
      </c>
      <c r="AZ435" s="18">
        <v>1</v>
      </c>
      <c r="BA435" s="18">
        <v>1</v>
      </c>
      <c r="BB435" s="18">
        <v>49.44</v>
      </c>
      <c r="BC435" s="18" t="s">
        <v>251</v>
      </c>
      <c r="BD435" s="18" t="s">
        <v>356</v>
      </c>
      <c r="BE435" s="18" t="s">
        <v>423</v>
      </c>
      <c r="BF435" s="18" t="s">
        <v>77</v>
      </c>
      <c r="BG435" s="18">
        <v>162</v>
      </c>
      <c r="BH435" s="18">
        <v>60</v>
      </c>
      <c r="BI435" s="18">
        <v>0.7297</v>
      </c>
      <c r="BJ435" s="18">
        <v>0</v>
      </c>
      <c r="BK435" s="18">
        <v>2</v>
      </c>
      <c r="BL435" s="18">
        <v>99.5</v>
      </c>
      <c r="BM435" s="13">
        <f t="shared" si="0"/>
        <v>10079.04</v>
      </c>
    </row>
    <row r="436" customHeight="1" spans="1:65">
      <c r="A436" s="18" t="s">
        <v>1438</v>
      </c>
      <c r="B436" s="18" t="s">
        <v>171</v>
      </c>
      <c r="C436" s="18" t="s">
        <v>1439</v>
      </c>
      <c r="D436" s="13"/>
      <c r="E436" s="18" t="s">
        <v>255</v>
      </c>
      <c r="F436" s="18" t="s">
        <v>160</v>
      </c>
      <c r="G436" s="18" t="s">
        <v>83</v>
      </c>
      <c r="H436" s="18" t="s">
        <v>84</v>
      </c>
      <c r="I436" s="18" t="s">
        <v>85</v>
      </c>
      <c r="J436" s="18">
        <v>5</v>
      </c>
      <c r="K436" s="16">
        <v>219.96</v>
      </c>
      <c r="L436" s="10"/>
      <c r="M436" s="16">
        <v>0</v>
      </c>
      <c r="N436" s="16">
        <v>0</v>
      </c>
      <c r="O436" s="18">
        <v>0</v>
      </c>
      <c r="P436" s="18" t="s">
        <v>71</v>
      </c>
      <c r="Q436" s="18">
        <v>5.397982</v>
      </c>
      <c r="R436" s="10"/>
      <c r="S436" s="16">
        <v>13</v>
      </c>
      <c r="T436" s="16">
        <v>100</v>
      </c>
      <c r="U436" s="18" t="s">
        <v>2634</v>
      </c>
      <c r="V436" s="18" t="s">
        <v>171</v>
      </c>
      <c r="W436" s="18" t="s">
        <v>1439</v>
      </c>
      <c r="X436" s="13"/>
      <c r="Y436" s="18" t="s">
        <v>255</v>
      </c>
      <c r="Z436" s="18" t="s">
        <v>160</v>
      </c>
      <c r="AA436" s="18" t="s">
        <v>83</v>
      </c>
      <c r="AB436" s="18" t="s">
        <v>84</v>
      </c>
      <c r="AC436" s="18" t="s">
        <v>85</v>
      </c>
      <c r="AD436" s="18">
        <v>434.92</v>
      </c>
      <c r="AE436" s="18">
        <v>0</v>
      </c>
      <c r="AF436" s="18">
        <v>0</v>
      </c>
      <c r="AG436" s="18">
        <v>1</v>
      </c>
      <c r="AH436" s="18">
        <v>0</v>
      </c>
      <c r="AI436" s="18">
        <v>1</v>
      </c>
      <c r="AJ436" s="18">
        <v>0</v>
      </c>
      <c r="AK436" s="18">
        <v>0</v>
      </c>
      <c r="AL436" s="18">
        <v>0</v>
      </c>
      <c r="AM436" s="18">
        <v>0</v>
      </c>
      <c r="AN436" s="18">
        <v>0</v>
      </c>
      <c r="AO436" s="18">
        <v>0</v>
      </c>
      <c r="AP436" s="18">
        <v>0</v>
      </c>
      <c r="AQ436" s="18">
        <v>0</v>
      </c>
      <c r="AR436" s="18">
        <v>0</v>
      </c>
      <c r="AS436" s="18">
        <v>0</v>
      </c>
      <c r="AT436" s="18">
        <v>1</v>
      </c>
      <c r="AU436" s="18">
        <v>0</v>
      </c>
      <c r="AV436" s="18">
        <v>0</v>
      </c>
      <c r="AW436" s="18">
        <v>0</v>
      </c>
      <c r="AX436" s="18">
        <v>0</v>
      </c>
      <c r="AY436" s="13"/>
      <c r="AZ436" s="18">
        <v>1</v>
      </c>
      <c r="BA436" s="18">
        <v>2</v>
      </c>
      <c r="BB436" s="18">
        <v>34.36</v>
      </c>
      <c r="BC436" s="18" t="s">
        <v>251</v>
      </c>
      <c r="BD436" s="18" t="s">
        <v>1216</v>
      </c>
      <c r="BE436" s="18" t="s">
        <v>113</v>
      </c>
      <c r="BF436" s="18" t="s">
        <v>77</v>
      </c>
      <c r="BG436" s="18">
        <v>162</v>
      </c>
      <c r="BH436" s="18">
        <v>60</v>
      </c>
      <c r="BI436" s="18">
        <v>0.7297</v>
      </c>
      <c r="BJ436" s="18">
        <v>0</v>
      </c>
      <c r="BK436" s="18">
        <v>3</v>
      </c>
      <c r="BL436" s="18">
        <v>99.2</v>
      </c>
      <c r="BM436" s="13">
        <f t="shared" si="0"/>
        <v>2859.48</v>
      </c>
    </row>
    <row r="437" customHeight="1" spans="1:65">
      <c r="A437" s="18" t="s">
        <v>2467</v>
      </c>
      <c r="B437" s="18" t="s">
        <v>171</v>
      </c>
      <c r="C437" s="18" t="s">
        <v>2468</v>
      </c>
      <c r="D437" s="13"/>
      <c r="E437" s="18" t="s">
        <v>250</v>
      </c>
      <c r="F437" s="18" t="s">
        <v>160</v>
      </c>
      <c r="G437" s="18" t="s">
        <v>83</v>
      </c>
      <c r="H437" s="18" t="s">
        <v>84</v>
      </c>
      <c r="I437" s="18" t="s">
        <v>85</v>
      </c>
      <c r="J437" s="18">
        <v>5</v>
      </c>
      <c r="K437" s="16">
        <v>129.93</v>
      </c>
      <c r="L437" s="10"/>
      <c r="M437" s="16">
        <v>0</v>
      </c>
      <c r="N437" s="16">
        <v>0</v>
      </c>
      <c r="O437" s="18">
        <v>0</v>
      </c>
      <c r="P437" s="18" t="s">
        <v>95</v>
      </c>
      <c r="Q437" s="18">
        <v>4.874663</v>
      </c>
      <c r="R437" s="16">
        <v>16.24</v>
      </c>
      <c r="S437" s="16">
        <v>79</v>
      </c>
      <c r="T437" s="16">
        <v>100</v>
      </c>
      <c r="U437" s="18" t="s">
        <v>2467</v>
      </c>
      <c r="V437" s="18" t="s">
        <v>171</v>
      </c>
      <c r="W437" s="18" t="s">
        <v>2468</v>
      </c>
      <c r="X437" s="13"/>
      <c r="Y437" s="18" t="s">
        <v>250</v>
      </c>
      <c r="Z437" s="18" t="s">
        <v>160</v>
      </c>
      <c r="AA437" s="18" t="s">
        <v>83</v>
      </c>
      <c r="AB437" s="18" t="s">
        <v>84</v>
      </c>
      <c r="AC437" s="18" t="s">
        <v>85</v>
      </c>
      <c r="AD437" s="18">
        <v>254.86</v>
      </c>
      <c r="AE437" s="18">
        <v>0</v>
      </c>
      <c r="AF437" s="18">
        <v>0</v>
      </c>
      <c r="AG437" s="18">
        <v>0</v>
      </c>
      <c r="AH437" s="18">
        <v>1</v>
      </c>
      <c r="AI437" s="18">
        <v>0</v>
      </c>
      <c r="AJ437" s="18">
        <v>0</v>
      </c>
      <c r="AK437" s="18">
        <v>0</v>
      </c>
      <c r="AL437" s="18">
        <v>0</v>
      </c>
      <c r="AM437" s="18">
        <v>0</v>
      </c>
      <c r="AN437" s="18">
        <v>1</v>
      </c>
      <c r="AO437" s="18">
        <v>0</v>
      </c>
      <c r="AP437" s="18">
        <v>0</v>
      </c>
      <c r="AQ437" s="18">
        <v>1</v>
      </c>
      <c r="AR437" s="18">
        <v>0</v>
      </c>
      <c r="AS437" s="18">
        <v>0</v>
      </c>
      <c r="AT437" s="18">
        <v>1</v>
      </c>
      <c r="AU437" s="18">
        <v>0</v>
      </c>
      <c r="AV437" s="18">
        <v>1</v>
      </c>
      <c r="AW437" s="18">
        <v>1</v>
      </c>
      <c r="AX437" s="18">
        <v>0</v>
      </c>
      <c r="AY437" s="18">
        <v>8</v>
      </c>
      <c r="AZ437" s="18">
        <v>1</v>
      </c>
      <c r="BA437" s="18">
        <v>3</v>
      </c>
      <c r="BB437" s="18">
        <v>47.41</v>
      </c>
      <c r="BC437" s="18" t="s">
        <v>251</v>
      </c>
      <c r="BD437" s="13"/>
      <c r="BE437" s="13"/>
      <c r="BF437" s="13"/>
      <c r="BG437" s="18">
        <v>0</v>
      </c>
      <c r="BH437" s="18">
        <v>0</v>
      </c>
      <c r="BI437" s="13"/>
      <c r="BJ437" s="18">
        <v>0</v>
      </c>
      <c r="BK437" s="18">
        <v>3</v>
      </c>
      <c r="BL437" s="18">
        <v>99.2</v>
      </c>
      <c r="BM437" s="13">
        <f t="shared" si="0"/>
        <v>10264.47</v>
      </c>
    </row>
    <row r="438" customHeight="1" spans="1:65">
      <c r="A438" s="18" t="s">
        <v>1612</v>
      </c>
      <c r="B438" s="18" t="s">
        <v>171</v>
      </c>
      <c r="C438" s="18" t="s">
        <v>1613</v>
      </c>
      <c r="D438" s="13"/>
      <c r="E438" s="18" t="s">
        <v>81</v>
      </c>
      <c r="F438" s="18" t="s">
        <v>160</v>
      </c>
      <c r="G438" s="18" t="s">
        <v>83</v>
      </c>
      <c r="H438" s="18" t="s">
        <v>84</v>
      </c>
      <c r="I438" s="18" t="s">
        <v>85</v>
      </c>
      <c r="J438" s="18">
        <v>5</v>
      </c>
      <c r="K438" s="16">
        <v>188.49</v>
      </c>
      <c r="L438" s="10"/>
      <c r="M438" s="16">
        <v>0</v>
      </c>
      <c r="N438" s="16">
        <v>0</v>
      </c>
      <c r="O438" s="18">
        <v>0</v>
      </c>
      <c r="P438" s="18" t="s">
        <v>95</v>
      </c>
      <c r="Q438" s="18">
        <v>5.244336</v>
      </c>
      <c r="R438" s="16">
        <v>23.56</v>
      </c>
      <c r="S438" s="16">
        <v>11</v>
      </c>
      <c r="T438" s="16">
        <v>19</v>
      </c>
      <c r="U438" s="18" t="s">
        <v>1612</v>
      </c>
      <c r="V438" s="18" t="s">
        <v>171</v>
      </c>
      <c r="W438" s="18" t="s">
        <v>1613</v>
      </c>
      <c r="X438" s="13"/>
      <c r="Y438" s="18" t="s">
        <v>81</v>
      </c>
      <c r="Z438" s="18" t="s">
        <v>160</v>
      </c>
      <c r="AA438" s="18" t="s">
        <v>83</v>
      </c>
      <c r="AB438" s="18" t="s">
        <v>84</v>
      </c>
      <c r="AC438" s="18" t="s">
        <v>85</v>
      </c>
      <c r="AD438" s="18">
        <v>371.98</v>
      </c>
      <c r="AE438" s="18">
        <v>0</v>
      </c>
      <c r="AF438" s="18">
        <v>0</v>
      </c>
      <c r="AG438" s="18">
        <v>1</v>
      </c>
      <c r="AH438" s="18">
        <v>0</v>
      </c>
      <c r="AI438" s="18">
        <v>1</v>
      </c>
      <c r="AJ438" s="18">
        <v>0</v>
      </c>
      <c r="AK438" s="18">
        <v>0</v>
      </c>
      <c r="AL438" s="18">
        <v>0</v>
      </c>
      <c r="AM438" s="18">
        <v>0</v>
      </c>
      <c r="AN438" s="18">
        <v>1</v>
      </c>
      <c r="AO438" s="18">
        <v>0</v>
      </c>
      <c r="AP438" s="18">
        <v>0</v>
      </c>
      <c r="AQ438" s="18">
        <v>1</v>
      </c>
      <c r="AR438" s="18">
        <v>0</v>
      </c>
      <c r="AS438" s="18">
        <v>0</v>
      </c>
      <c r="AT438" s="18">
        <v>0</v>
      </c>
      <c r="AU438" s="18">
        <v>0</v>
      </c>
      <c r="AV438" s="18">
        <v>1</v>
      </c>
      <c r="AW438" s="18">
        <v>1</v>
      </c>
      <c r="AX438" s="18">
        <v>0</v>
      </c>
      <c r="AY438" s="18">
        <v>8</v>
      </c>
      <c r="AZ438" s="18">
        <v>1</v>
      </c>
      <c r="BA438" s="18">
        <v>2</v>
      </c>
      <c r="BB438" s="18">
        <v>28.56</v>
      </c>
      <c r="BC438" s="18" t="s">
        <v>251</v>
      </c>
      <c r="BD438" s="13"/>
      <c r="BE438" s="13"/>
      <c r="BF438" s="13"/>
      <c r="BG438" s="18">
        <v>0</v>
      </c>
      <c r="BH438" s="18">
        <v>0</v>
      </c>
      <c r="BI438" s="13"/>
      <c r="BJ438" s="18">
        <v>0</v>
      </c>
      <c r="BK438" s="18">
        <v>196</v>
      </c>
      <c r="BL438" s="18">
        <v>46.3</v>
      </c>
      <c r="BM438" s="13">
        <f t="shared" si="0"/>
        <v>2073.39</v>
      </c>
    </row>
    <row r="439" customHeight="1" spans="1:65">
      <c r="A439" s="18" t="s">
        <v>750</v>
      </c>
      <c r="B439" s="18" t="s">
        <v>171</v>
      </c>
      <c r="C439" s="18" t="s">
        <v>751</v>
      </c>
      <c r="D439" s="13"/>
      <c r="E439" s="18" t="s">
        <v>255</v>
      </c>
      <c r="F439" s="18" t="s">
        <v>160</v>
      </c>
      <c r="G439" s="18" t="s">
        <v>83</v>
      </c>
      <c r="H439" s="18" t="s">
        <v>84</v>
      </c>
      <c r="I439" s="18" t="s">
        <v>85</v>
      </c>
      <c r="J439" s="18">
        <v>5</v>
      </c>
      <c r="K439" s="16">
        <v>192.39</v>
      </c>
      <c r="L439" s="10"/>
      <c r="M439" s="16">
        <v>0</v>
      </c>
      <c r="N439" s="16">
        <v>0</v>
      </c>
      <c r="O439" s="18">
        <v>0</v>
      </c>
      <c r="P439" s="18" t="s">
        <v>95</v>
      </c>
      <c r="Q439" s="18">
        <v>5.264709</v>
      </c>
      <c r="R439" s="16">
        <v>12.02</v>
      </c>
      <c r="S439" s="16">
        <v>248</v>
      </c>
      <c r="T439" s="16">
        <v>30</v>
      </c>
      <c r="U439" s="18" t="s">
        <v>2635</v>
      </c>
      <c r="V439" s="18" t="s">
        <v>171</v>
      </c>
      <c r="W439" s="18" t="s">
        <v>751</v>
      </c>
      <c r="X439" s="13"/>
      <c r="Y439" s="18" t="s">
        <v>255</v>
      </c>
      <c r="Z439" s="18" t="s">
        <v>160</v>
      </c>
      <c r="AA439" s="18" t="s">
        <v>83</v>
      </c>
      <c r="AB439" s="18" t="s">
        <v>84</v>
      </c>
      <c r="AC439" s="18" t="s">
        <v>85</v>
      </c>
      <c r="AD439" s="18">
        <v>379.78</v>
      </c>
      <c r="AE439" s="18">
        <v>0</v>
      </c>
      <c r="AF439" s="18">
        <v>0</v>
      </c>
      <c r="AG439" s="18">
        <v>0</v>
      </c>
      <c r="AH439" s="18">
        <v>0</v>
      </c>
      <c r="AI439" s="18">
        <v>0</v>
      </c>
      <c r="AJ439" s="18">
        <v>0</v>
      </c>
      <c r="AK439" s="18">
        <v>0</v>
      </c>
      <c r="AL439" s="18">
        <v>0</v>
      </c>
      <c r="AM439" s="18">
        <v>0</v>
      </c>
      <c r="AN439" s="18">
        <v>0</v>
      </c>
      <c r="AO439" s="18">
        <v>0</v>
      </c>
      <c r="AP439" s="18">
        <v>0</v>
      </c>
      <c r="AQ439" s="18">
        <v>1</v>
      </c>
      <c r="AR439" s="18">
        <v>0</v>
      </c>
      <c r="AS439" s="18">
        <v>0</v>
      </c>
      <c r="AT439" s="18">
        <v>1</v>
      </c>
      <c r="AU439" s="18">
        <v>0</v>
      </c>
      <c r="AV439" s="18">
        <v>1</v>
      </c>
      <c r="AW439" s="18">
        <v>1</v>
      </c>
      <c r="AX439" s="18">
        <v>0</v>
      </c>
      <c r="AY439" s="18">
        <v>16</v>
      </c>
      <c r="AZ439" s="18">
        <v>1</v>
      </c>
      <c r="BA439" s="18">
        <v>3</v>
      </c>
      <c r="BB439" s="18">
        <v>65.26</v>
      </c>
      <c r="BC439" s="18" t="s">
        <v>251</v>
      </c>
      <c r="BD439" s="13"/>
      <c r="BE439" s="13"/>
      <c r="BF439" s="13"/>
      <c r="BG439" s="18">
        <v>0</v>
      </c>
      <c r="BH439" s="18">
        <v>0</v>
      </c>
      <c r="BI439" s="13"/>
      <c r="BJ439" s="18">
        <v>0</v>
      </c>
      <c r="BK439" s="18">
        <v>5</v>
      </c>
      <c r="BL439" s="18">
        <v>98.6</v>
      </c>
      <c r="BM439" s="13">
        <f t="shared" si="0"/>
        <v>47712.72</v>
      </c>
    </row>
    <row r="440" customHeight="1" spans="1:65">
      <c r="A440" s="18" t="s">
        <v>2112</v>
      </c>
      <c r="B440" s="18" t="s">
        <v>171</v>
      </c>
      <c r="C440" s="19" t="s">
        <v>2113</v>
      </c>
      <c r="D440" s="13"/>
      <c r="E440" s="18" t="s">
        <v>239</v>
      </c>
      <c r="F440" s="18" t="s">
        <v>160</v>
      </c>
      <c r="G440" s="18" t="s">
        <v>83</v>
      </c>
      <c r="H440" s="18" t="s">
        <v>84</v>
      </c>
      <c r="I440" s="18" t="s">
        <v>85</v>
      </c>
      <c r="J440" s="18">
        <v>5</v>
      </c>
      <c r="K440" s="16">
        <v>59.39</v>
      </c>
      <c r="L440" s="10"/>
      <c r="M440" s="16">
        <v>0</v>
      </c>
      <c r="N440" s="16">
        <v>0</v>
      </c>
      <c r="O440" s="18">
        <v>0</v>
      </c>
      <c r="P440" s="18" t="s">
        <v>86</v>
      </c>
      <c r="Q440" s="18">
        <v>4.100824</v>
      </c>
      <c r="R440" s="16">
        <v>1.86</v>
      </c>
      <c r="S440" s="16">
        <v>158</v>
      </c>
      <c r="T440" s="16">
        <v>95</v>
      </c>
      <c r="U440" s="18" t="s">
        <v>2112</v>
      </c>
      <c r="V440" s="18" t="s">
        <v>171</v>
      </c>
      <c r="W440" s="19" t="s">
        <v>2113</v>
      </c>
      <c r="X440" s="13"/>
      <c r="Y440" s="18" t="s">
        <v>239</v>
      </c>
      <c r="Z440" s="18" t="s">
        <v>160</v>
      </c>
      <c r="AA440" s="18" t="s">
        <v>83</v>
      </c>
      <c r="AB440" s="18" t="s">
        <v>84</v>
      </c>
      <c r="AC440" s="18" t="s">
        <v>85</v>
      </c>
      <c r="AD440" s="18">
        <v>113.78</v>
      </c>
      <c r="AE440" s="18">
        <v>0</v>
      </c>
      <c r="AF440" s="18">
        <v>0</v>
      </c>
      <c r="AG440" s="18">
        <v>0</v>
      </c>
      <c r="AH440" s="18">
        <v>0</v>
      </c>
      <c r="AI440" s="18">
        <v>0</v>
      </c>
      <c r="AJ440" s="18">
        <v>0</v>
      </c>
      <c r="AK440" s="18">
        <v>0</v>
      </c>
      <c r="AL440" s="18">
        <v>0</v>
      </c>
      <c r="AM440" s="18">
        <v>0</v>
      </c>
      <c r="AN440" s="18">
        <v>0</v>
      </c>
      <c r="AO440" s="18">
        <v>0</v>
      </c>
      <c r="AP440" s="18">
        <v>0</v>
      </c>
      <c r="AQ440" s="18">
        <v>1</v>
      </c>
      <c r="AR440" s="18">
        <v>0</v>
      </c>
      <c r="AS440" s="18">
        <v>0</v>
      </c>
      <c r="AT440" s="18">
        <v>0</v>
      </c>
      <c r="AU440" s="18">
        <v>0</v>
      </c>
      <c r="AV440" s="18">
        <v>1</v>
      </c>
      <c r="AW440" s="18">
        <v>0</v>
      </c>
      <c r="AX440" s="18">
        <v>0</v>
      </c>
      <c r="AY440" s="18">
        <v>32</v>
      </c>
      <c r="AZ440" s="18">
        <v>1</v>
      </c>
      <c r="BA440" s="18">
        <v>1</v>
      </c>
      <c r="BB440" s="18">
        <v>53.09</v>
      </c>
      <c r="BC440" s="18" t="s">
        <v>251</v>
      </c>
      <c r="BD440" s="13"/>
      <c r="BE440" s="13"/>
      <c r="BF440" s="13"/>
      <c r="BG440" s="18">
        <v>0</v>
      </c>
      <c r="BH440" s="18">
        <v>0</v>
      </c>
      <c r="BI440" s="13"/>
      <c r="BJ440" s="18">
        <v>0</v>
      </c>
      <c r="BK440" s="18">
        <v>23</v>
      </c>
      <c r="BL440" s="18">
        <v>93.7</v>
      </c>
      <c r="BM440" s="13">
        <f t="shared" si="0"/>
        <v>9383.62</v>
      </c>
    </row>
    <row r="441" customHeight="1" spans="1:65">
      <c r="A441" s="18" t="s">
        <v>1894</v>
      </c>
      <c r="B441" s="18" t="s">
        <v>245</v>
      </c>
      <c r="C441" s="18" t="s">
        <v>1895</v>
      </c>
      <c r="D441" s="13"/>
      <c r="E441" s="18" t="s">
        <v>255</v>
      </c>
      <c r="F441" s="18" t="s">
        <v>160</v>
      </c>
      <c r="G441" s="18" t="s">
        <v>83</v>
      </c>
      <c r="H441" s="18" t="s">
        <v>84</v>
      </c>
      <c r="I441" s="18" t="s">
        <v>85</v>
      </c>
      <c r="J441" s="18">
        <v>5</v>
      </c>
      <c r="K441" s="16">
        <v>319.79</v>
      </c>
      <c r="L441" s="10"/>
      <c r="M441" s="16">
        <v>0</v>
      </c>
      <c r="N441" s="16">
        <v>0</v>
      </c>
      <c r="O441" s="18">
        <v>0</v>
      </c>
      <c r="P441" s="18" t="s">
        <v>71</v>
      </c>
      <c r="Q441" s="18">
        <v>5.770787</v>
      </c>
      <c r="R441" s="16">
        <v>19.99</v>
      </c>
      <c r="S441" s="16">
        <v>53</v>
      </c>
      <c r="T441" s="16">
        <v>20</v>
      </c>
      <c r="U441" s="18" t="s">
        <v>1894</v>
      </c>
      <c r="V441" s="18" t="s">
        <v>245</v>
      </c>
      <c r="W441" s="18" t="s">
        <v>1895</v>
      </c>
      <c r="X441" s="13"/>
      <c r="Y441" s="18" t="s">
        <v>255</v>
      </c>
      <c r="Z441" s="18" t="s">
        <v>160</v>
      </c>
      <c r="AA441" s="18" t="s">
        <v>83</v>
      </c>
      <c r="AB441" s="18" t="s">
        <v>84</v>
      </c>
      <c r="AC441" s="18" t="s">
        <v>85</v>
      </c>
      <c r="AD441" s="18">
        <v>634.58</v>
      </c>
      <c r="AE441" s="18">
        <v>0</v>
      </c>
      <c r="AF441" s="18">
        <v>0</v>
      </c>
      <c r="AG441" s="18">
        <v>1</v>
      </c>
      <c r="AH441" s="18">
        <v>0</v>
      </c>
      <c r="AI441" s="18">
        <v>1</v>
      </c>
      <c r="AJ441" s="18">
        <v>0</v>
      </c>
      <c r="AK441" s="18">
        <v>0</v>
      </c>
      <c r="AL441" s="18">
        <v>0</v>
      </c>
      <c r="AM441" s="18">
        <v>0</v>
      </c>
      <c r="AN441" s="18">
        <v>1</v>
      </c>
      <c r="AO441" s="18">
        <v>0</v>
      </c>
      <c r="AP441" s="18">
        <v>0</v>
      </c>
      <c r="AQ441" s="18">
        <v>1</v>
      </c>
      <c r="AR441" s="18">
        <v>0</v>
      </c>
      <c r="AS441" s="18">
        <v>0</v>
      </c>
      <c r="AT441" s="18">
        <v>0</v>
      </c>
      <c r="AU441" s="18">
        <v>0</v>
      </c>
      <c r="AV441" s="18">
        <v>1</v>
      </c>
      <c r="AW441" s="18">
        <v>1</v>
      </c>
      <c r="AX441" s="18">
        <v>0</v>
      </c>
      <c r="AY441" s="18">
        <v>16</v>
      </c>
      <c r="AZ441" s="18">
        <v>1</v>
      </c>
      <c r="BA441" s="18">
        <v>2</v>
      </c>
      <c r="BB441" s="18">
        <v>58.8</v>
      </c>
      <c r="BC441" s="18" t="s">
        <v>251</v>
      </c>
      <c r="BD441" s="13"/>
      <c r="BE441" s="13"/>
      <c r="BF441" s="13"/>
      <c r="BG441" s="18">
        <v>0</v>
      </c>
      <c r="BH441" s="18">
        <v>0</v>
      </c>
      <c r="BI441" s="13"/>
      <c r="BJ441" s="18">
        <v>0</v>
      </c>
      <c r="BK441" s="18">
        <v>3</v>
      </c>
      <c r="BL441" s="18">
        <v>99.2</v>
      </c>
      <c r="BM441" s="13">
        <f t="shared" si="0"/>
        <v>16948.87</v>
      </c>
    </row>
    <row r="442" customHeight="1" spans="1:65">
      <c r="A442" s="18" t="s">
        <v>1623</v>
      </c>
      <c r="B442" s="18" t="s">
        <v>282</v>
      </c>
      <c r="C442" s="13"/>
      <c r="D442" s="13"/>
      <c r="E442" s="18" t="s">
        <v>2636</v>
      </c>
      <c r="F442" s="18" t="s">
        <v>82</v>
      </c>
      <c r="G442" s="18" t="s">
        <v>83</v>
      </c>
      <c r="H442" s="18" t="s">
        <v>84</v>
      </c>
      <c r="I442" s="18" t="s">
        <v>85</v>
      </c>
      <c r="J442" s="18">
        <v>5</v>
      </c>
      <c r="K442" s="16">
        <v>387.56</v>
      </c>
      <c r="L442" s="10"/>
      <c r="M442" s="16">
        <v>0</v>
      </c>
      <c r="N442" s="16">
        <v>0</v>
      </c>
      <c r="O442" s="18">
        <v>0</v>
      </c>
      <c r="P442" s="18" t="s">
        <v>71</v>
      </c>
      <c r="Q442" s="18">
        <v>5.962448</v>
      </c>
      <c r="R442" s="10"/>
      <c r="S442" s="10"/>
      <c r="T442" s="16">
        <v>3</v>
      </c>
      <c r="U442" s="18" t="s">
        <v>1623</v>
      </c>
      <c r="V442" s="18" t="s">
        <v>282</v>
      </c>
      <c r="W442" s="13"/>
      <c r="X442" s="13"/>
      <c r="Y442" s="18" t="s">
        <v>1624</v>
      </c>
      <c r="Z442" s="18" t="s">
        <v>82</v>
      </c>
      <c r="AA442" s="18" t="s">
        <v>83</v>
      </c>
      <c r="AB442" s="18" t="s">
        <v>84</v>
      </c>
      <c r="AC442" s="18" t="s">
        <v>85</v>
      </c>
      <c r="AD442" s="18">
        <v>770.12</v>
      </c>
      <c r="AE442" s="18">
        <v>0</v>
      </c>
      <c r="AF442" s="18">
        <v>0</v>
      </c>
      <c r="AG442" s="18">
        <v>0</v>
      </c>
      <c r="AH442" s="18">
        <v>0</v>
      </c>
      <c r="AI442" s="18">
        <v>0</v>
      </c>
      <c r="AJ442" s="18">
        <v>0</v>
      </c>
      <c r="AK442" s="18">
        <v>0</v>
      </c>
      <c r="AL442" s="18">
        <v>0</v>
      </c>
      <c r="AM442" s="18">
        <v>0</v>
      </c>
      <c r="AN442" s="18">
        <v>0</v>
      </c>
      <c r="AO442" s="18">
        <v>0</v>
      </c>
      <c r="AP442" s="18">
        <v>0</v>
      </c>
      <c r="AQ442" s="18">
        <v>0</v>
      </c>
      <c r="AR442" s="18">
        <v>0</v>
      </c>
      <c r="AS442" s="18">
        <v>0</v>
      </c>
      <c r="AT442" s="18">
        <v>0</v>
      </c>
      <c r="AU442" s="18">
        <v>0</v>
      </c>
      <c r="AV442" s="18">
        <v>0</v>
      </c>
      <c r="AW442" s="18">
        <v>1</v>
      </c>
      <c r="AX442" s="18">
        <v>0</v>
      </c>
      <c r="AY442" s="13"/>
      <c r="AZ442" s="18">
        <v>1</v>
      </c>
      <c r="BA442" s="18">
        <v>0</v>
      </c>
      <c r="BB442" s="18">
        <v>0</v>
      </c>
      <c r="BC442" s="18" t="s">
        <v>1625</v>
      </c>
      <c r="BD442" s="18" t="s">
        <v>1626</v>
      </c>
      <c r="BE442" s="18" t="s">
        <v>128</v>
      </c>
      <c r="BF442" s="18" t="s">
        <v>77</v>
      </c>
      <c r="BG442" s="18">
        <v>64</v>
      </c>
      <c r="BH442" s="18">
        <v>148</v>
      </c>
      <c r="BI442" s="18">
        <v>0.3019</v>
      </c>
      <c r="BJ442" s="18">
        <v>0</v>
      </c>
      <c r="BK442" s="13"/>
      <c r="BL442" s="13"/>
      <c r="BM442" s="13">
        <f t="shared" si="0"/>
        <v>0</v>
      </c>
    </row>
    <row r="443" customHeight="1" spans="1:65">
      <c r="A443" s="18" t="s">
        <v>1628</v>
      </c>
      <c r="B443" s="18" t="s">
        <v>65</v>
      </c>
      <c r="C443" s="18" t="s">
        <v>1629</v>
      </c>
      <c r="D443" s="13"/>
      <c r="E443" s="18" t="s">
        <v>250</v>
      </c>
      <c r="F443" s="18" t="s">
        <v>82</v>
      </c>
      <c r="G443" s="18" t="s">
        <v>65</v>
      </c>
      <c r="H443" s="18" t="s">
        <v>69</v>
      </c>
      <c r="I443" s="18" t="s">
        <v>153</v>
      </c>
      <c r="J443" s="18">
        <v>2</v>
      </c>
      <c r="K443" s="16">
        <v>61.59</v>
      </c>
      <c r="L443" s="16">
        <v>69.99</v>
      </c>
      <c r="M443" s="16">
        <v>12</v>
      </c>
      <c r="N443" s="16">
        <v>8.4</v>
      </c>
      <c r="O443" s="18">
        <v>1</v>
      </c>
      <c r="P443" s="18" t="s">
        <v>86</v>
      </c>
      <c r="Q443" s="18">
        <v>4.136606</v>
      </c>
      <c r="R443" s="10"/>
      <c r="S443" s="16">
        <v>11</v>
      </c>
      <c r="T443" s="16">
        <v>29</v>
      </c>
      <c r="U443" s="18" t="s">
        <v>1628</v>
      </c>
      <c r="V443" s="18" t="s">
        <v>65</v>
      </c>
      <c r="W443" s="18" t="s">
        <v>1629</v>
      </c>
      <c r="X443" s="13"/>
      <c r="Y443" s="18" t="s">
        <v>250</v>
      </c>
      <c r="Z443" s="18" t="s">
        <v>82</v>
      </c>
      <c r="AA443" s="18" t="s">
        <v>65</v>
      </c>
      <c r="AB443" s="18" t="s">
        <v>69</v>
      </c>
      <c r="AC443" s="18" t="s">
        <v>153</v>
      </c>
      <c r="AD443" s="18">
        <v>3.57399999999996</v>
      </c>
      <c r="AE443" s="18">
        <v>0</v>
      </c>
      <c r="AF443" s="18">
        <v>0</v>
      </c>
      <c r="AG443" s="18">
        <v>0</v>
      </c>
      <c r="AH443" s="18">
        <v>0</v>
      </c>
      <c r="AI443" s="18">
        <v>0</v>
      </c>
      <c r="AJ443" s="18">
        <v>0</v>
      </c>
      <c r="AK443" s="18">
        <v>0</v>
      </c>
      <c r="AL443" s="18">
        <v>0</v>
      </c>
      <c r="AM443" s="18">
        <v>0</v>
      </c>
      <c r="AN443" s="18">
        <v>0</v>
      </c>
      <c r="AO443" s="18">
        <v>0</v>
      </c>
      <c r="AP443" s="18">
        <v>0</v>
      </c>
      <c r="AQ443" s="18">
        <v>0</v>
      </c>
      <c r="AR443" s="18">
        <v>0</v>
      </c>
      <c r="AS443" s="18">
        <v>0</v>
      </c>
      <c r="AT443" s="18">
        <v>0</v>
      </c>
      <c r="AU443" s="18">
        <v>0</v>
      </c>
      <c r="AV443" s="18">
        <v>0</v>
      </c>
      <c r="AW443" s="18">
        <v>0</v>
      </c>
      <c r="AX443" s="18">
        <v>0</v>
      </c>
      <c r="AY443" s="13"/>
      <c r="AZ443" s="18">
        <v>1</v>
      </c>
      <c r="BA443" s="18">
        <v>1</v>
      </c>
      <c r="BB443" s="18">
        <v>14.6</v>
      </c>
      <c r="BC443" s="18" t="s">
        <v>1630</v>
      </c>
      <c r="BD443" s="18" t="s">
        <v>1631</v>
      </c>
      <c r="BE443" s="18" t="s">
        <v>453</v>
      </c>
      <c r="BF443" s="18" t="s">
        <v>77</v>
      </c>
      <c r="BG443" s="18">
        <v>162</v>
      </c>
      <c r="BH443" s="18">
        <v>18</v>
      </c>
      <c r="BI443" s="18">
        <v>0.9</v>
      </c>
      <c r="BJ443" s="18">
        <v>0</v>
      </c>
      <c r="BK443" s="13"/>
      <c r="BL443" s="13"/>
      <c r="BM443" s="13">
        <f t="shared" si="0"/>
        <v>677.49</v>
      </c>
    </row>
    <row r="444" customHeight="1" spans="1:65">
      <c r="A444" s="18" t="s">
        <v>1638</v>
      </c>
      <c r="B444" s="18" t="s">
        <v>1639</v>
      </c>
      <c r="C444" s="13"/>
      <c r="D444" s="18">
        <v>7445023784729</v>
      </c>
      <c r="E444" s="18" t="s">
        <v>163</v>
      </c>
      <c r="F444" s="18" t="s">
        <v>82</v>
      </c>
      <c r="G444" s="18" t="s">
        <v>83</v>
      </c>
      <c r="H444" s="18" t="s">
        <v>84</v>
      </c>
      <c r="I444" s="18" t="s">
        <v>85</v>
      </c>
      <c r="J444" s="18">
        <v>5</v>
      </c>
      <c r="K444" s="16">
        <v>66.79</v>
      </c>
      <c r="L444" s="10"/>
      <c r="M444" s="16">
        <v>0</v>
      </c>
      <c r="N444" s="16">
        <v>0</v>
      </c>
      <c r="O444" s="18">
        <v>0</v>
      </c>
      <c r="P444" s="18" t="s">
        <v>86</v>
      </c>
      <c r="Q444" s="18">
        <v>4.216415</v>
      </c>
      <c r="R444" s="10"/>
      <c r="S444" s="16">
        <v>1</v>
      </c>
      <c r="T444" s="16">
        <v>3</v>
      </c>
      <c r="U444" s="18" t="s">
        <v>1638</v>
      </c>
      <c r="V444" s="18" t="s">
        <v>1639</v>
      </c>
      <c r="W444" s="13"/>
      <c r="X444" s="18">
        <v>7445023784730</v>
      </c>
      <c r="Y444" s="18" t="s">
        <v>163</v>
      </c>
      <c r="Z444" s="18" t="s">
        <v>82</v>
      </c>
      <c r="AA444" s="18" t="s">
        <v>83</v>
      </c>
      <c r="AB444" s="18" t="s">
        <v>84</v>
      </c>
      <c r="AC444" s="18" t="s">
        <v>85</v>
      </c>
      <c r="AD444" s="18">
        <v>128.58</v>
      </c>
      <c r="AE444" s="18">
        <v>0</v>
      </c>
      <c r="AF444" s="18">
        <v>0</v>
      </c>
      <c r="AG444" s="18">
        <v>0</v>
      </c>
      <c r="AH444" s="18">
        <v>1</v>
      </c>
      <c r="AI444" s="18">
        <v>0</v>
      </c>
      <c r="AJ444" s="18">
        <v>0</v>
      </c>
      <c r="AK444" s="18">
        <v>0</v>
      </c>
      <c r="AL444" s="18">
        <v>0</v>
      </c>
      <c r="AM444" s="18">
        <v>0</v>
      </c>
      <c r="AN444" s="18">
        <v>0</v>
      </c>
      <c r="AO444" s="18">
        <v>0</v>
      </c>
      <c r="AP444" s="18">
        <v>0</v>
      </c>
      <c r="AQ444" s="18">
        <v>0</v>
      </c>
      <c r="AR444" s="18">
        <v>0</v>
      </c>
      <c r="AS444" s="18">
        <v>0</v>
      </c>
      <c r="AT444" s="18">
        <v>0</v>
      </c>
      <c r="AU444" s="18">
        <v>0</v>
      </c>
      <c r="AV444" s="18">
        <v>0</v>
      </c>
      <c r="AW444" s="18">
        <v>0</v>
      </c>
      <c r="AX444" s="18">
        <v>0</v>
      </c>
      <c r="AY444" s="13"/>
      <c r="AZ444" s="18">
        <v>1</v>
      </c>
      <c r="BA444" s="18">
        <v>1</v>
      </c>
      <c r="BB444" s="18">
        <v>39.43</v>
      </c>
      <c r="BC444" s="18" t="s">
        <v>1640</v>
      </c>
      <c r="BD444" s="18" t="s">
        <v>1641</v>
      </c>
      <c r="BE444" s="18" t="s">
        <v>822</v>
      </c>
      <c r="BF444" s="18" t="s">
        <v>77</v>
      </c>
      <c r="BG444" s="18">
        <v>1</v>
      </c>
      <c r="BH444" s="18">
        <v>27</v>
      </c>
      <c r="BI444" s="18">
        <v>0.0357</v>
      </c>
      <c r="BJ444" s="18">
        <v>1</v>
      </c>
      <c r="BK444" s="18">
        <v>7</v>
      </c>
      <c r="BL444" s="18">
        <v>98.1</v>
      </c>
      <c r="BM444" s="13">
        <f t="shared" si="0"/>
        <v>66.79</v>
      </c>
    </row>
    <row r="445" customHeight="1" spans="1:65">
      <c r="A445" s="18" t="s">
        <v>1642</v>
      </c>
      <c r="B445" s="18" t="s">
        <v>427</v>
      </c>
      <c r="C445" s="18" t="s">
        <v>1643</v>
      </c>
      <c r="D445" s="18">
        <v>606449138467</v>
      </c>
      <c r="E445" s="18" t="s">
        <v>131</v>
      </c>
      <c r="F445" s="18" t="s">
        <v>132</v>
      </c>
      <c r="G445" s="18" t="s">
        <v>427</v>
      </c>
      <c r="H445" s="18" t="s">
        <v>107</v>
      </c>
      <c r="I445" s="18" t="s">
        <v>85</v>
      </c>
      <c r="J445" s="18">
        <v>5</v>
      </c>
      <c r="K445" s="16">
        <v>49.99</v>
      </c>
      <c r="L445" s="10"/>
      <c r="M445" s="16">
        <v>0</v>
      </c>
      <c r="N445" s="16">
        <v>0</v>
      </c>
      <c r="O445" s="18">
        <v>0</v>
      </c>
      <c r="P445" s="18" t="s">
        <v>86</v>
      </c>
      <c r="Q445" s="18">
        <v>3.93163</v>
      </c>
      <c r="R445" s="10"/>
      <c r="S445" s="16">
        <v>69</v>
      </c>
      <c r="T445" s="16">
        <v>22</v>
      </c>
      <c r="U445" s="18" t="s">
        <v>1642</v>
      </c>
      <c r="V445" s="18" t="s">
        <v>427</v>
      </c>
      <c r="W445" s="18" t="s">
        <v>1643</v>
      </c>
      <c r="X445" s="18">
        <v>606449138468</v>
      </c>
      <c r="Y445" s="18" t="s">
        <v>131</v>
      </c>
      <c r="Z445" s="18" t="s">
        <v>132</v>
      </c>
      <c r="AA445" s="18" t="s">
        <v>427</v>
      </c>
      <c r="AB445" s="18" t="s">
        <v>107</v>
      </c>
      <c r="AC445" s="18" t="s">
        <v>85</v>
      </c>
      <c r="AD445" s="18">
        <v>94.98</v>
      </c>
      <c r="AE445" s="18">
        <v>0</v>
      </c>
      <c r="AF445" s="18">
        <v>1</v>
      </c>
      <c r="AG445" s="18">
        <v>0</v>
      </c>
      <c r="AH445" s="18">
        <v>0</v>
      </c>
      <c r="AI445" s="18">
        <v>0</v>
      </c>
      <c r="AJ445" s="18">
        <v>0</v>
      </c>
      <c r="AK445" s="18">
        <v>0</v>
      </c>
      <c r="AL445" s="18">
        <v>0</v>
      </c>
      <c r="AM445" s="18">
        <v>0</v>
      </c>
      <c r="AN445" s="18">
        <v>0</v>
      </c>
      <c r="AO445" s="18">
        <v>0</v>
      </c>
      <c r="AP445" s="18">
        <v>0</v>
      </c>
      <c r="AQ445" s="18">
        <v>0</v>
      </c>
      <c r="AR445" s="18">
        <v>0</v>
      </c>
      <c r="AS445" s="18">
        <v>0</v>
      </c>
      <c r="AT445" s="18">
        <v>0</v>
      </c>
      <c r="AU445" s="18">
        <v>0</v>
      </c>
      <c r="AV445" s="18">
        <v>0</v>
      </c>
      <c r="AW445" s="18">
        <v>0</v>
      </c>
      <c r="AX445" s="18">
        <v>0</v>
      </c>
      <c r="AY445" s="13"/>
      <c r="AZ445" s="18">
        <v>1</v>
      </c>
      <c r="BA445" s="18">
        <v>0</v>
      </c>
      <c r="BB445" s="18">
        <v>58.68</v>
      </c>
      <c r="BC445" s="18" t="s">
        <v>1644</v>
      </c>
      <c r="BD445" s="18" t="s">
        <v>1645</v>
      </c>
      <c r="BE445" s="18" t="s">
        <v>453</v>
      </c>
      <c r="BF445" s="18" t="s">
        <v>77</v>
      </c>
      <c r="BG445" s="18">
        <v>1</v>
      </c>
      <c r="BH445" s="18">
        <v>11</v>
      </c>
      <c r="BI445" s="18">
        <v>0.0833</v>
      </c>
      <c r="BJ445" s="18">
        <v>1</v>
      </c>
      <c r="BK445" s="18">
        <v>20</v>
      </c>
      <c r="BL445" s="18">
        <v>94.5</v>
      </c>
      <c r="BM445" s="13">
        <f t="shared" si="0"/>
        <v>3449.31</v>
      </c>
    </row>
    <row r="446" customHeight="1" spans="1:65">
      <c r="A446" s="18" t="s">
        <v>1646</v>
      </c>
      <c r="B446" s="18" t="s">
        <v>901</v>
      </c>
      <c r="C446" s="18" t="s">
        <v>1647</v>
      </c>
      <c r="D446" s="13"/>
      <c r="E446" s="18" t="s">
        <v>81</v>
      </c>
      <c r="F446" s="18" t="s">
        <v>160</v>
      </c>
      <c r="G446" s="18" t="s">
        <v>901</v>
      </c>
      <c r="H446" s="18" t="s">
        <v>107</v>
      </c>
      <c r="I446" s="18" t="s">
        <v>153</v>
      </c>
      <c r="J446" s="18">
        <v>2</v>
      </c>
      <c r="K446" s="16">
        <v>77.39</v>
      </c>
      <c r="L446" s="16">
        <v>85.99</v>
      </c>
      <c r="M446" s="16">
        <v>10</v>
      </c>
      <c r="N446" s="16">
        <v>8.6</v>
      </c>
      <c r="O446" s="18">
        <v>1</v>
      </c>
      <c r="P446" s="18" t="s">
        <v>95</v>
      </c>
      <c r="Q446" s="18">
        <v>4.361696</v>
      </c>
      <c r="R446" s="10"/>
      <c r="S446" s="16">
        <v>7</v>
      </c>
      <c r="T446" s="16">
        <v>10</v>
      </c>
      <c r="U446" s="18" t="s">
        <v>1646</v>
      </c>
      <c r="V446" s="18" t="s">
        <v>901</v>
      </c>
      <c r="W446" s="18" t="s">
        <v>2637</v>
      </c>
      <c r="X446" s="13"/>
      <c r="Y446" s="18" t="s">
        <v>81</v>
      </c>
      <c r="Z446" s="18" t="s">
        <v>160</v>
      </c>
      <c r="AA446" s="18" t="s">
        <v>901</v>
      </c>
      <c r="AB446" s="18" t="s">
        <v>107</v>
      </c>
      <c r="AC446" s="18" t="s">
        <v>153</v>
      </c>
      <c r="AD446" s="18">
        <v>2.09400000000004</v>
      </c>
      <c r="AE446" s="18">
        <v>0</v>
      </c>
      <c r="AF446" s="18">
        <v>0</v>
      </c>
      <c r="AG446" s="18">
        <v>0</v>
      </c>
      <c r="AH446" s="18">
        <v>0</v>
      </c>
      <c r="AI446" s="18">
        <v>0</v>
      </c>
      <c r="AJ446" s="18">
        <v>0</v>
      </c>
      <c r="AK446" s="18">
        <v>0</v>
      </c>
      <c r="AL446" s="18">
        <v>0</v>
      </c>
      <c r="AM446" s="18">
        <v>0</v>
      </c>
      <c r="AN446" s="18">
        <v>0</v>
      </c>
      <c r="AO446" s="18">
        <v>0</v>
      </c>
      <c r="AP446" s="18">
        <v>0</v>
      </c>
      <c r="AQ446" s="18">
        <v>0</v>
      </c>
      <c r="AR446" s="18">
        <v>0</v>
      </c>
      <c r="AS446" s="18">
        <v>0</v>
      </c>
      <c r="AT446" s="18">
        <v>1</v>
      </c>
      <c r="AU446" s="18">
        <v>0</v>
      </c>
      <c r="AV446" s="18">
        <v>0</v>
      </c>
      <c r="AW446" s="18">
        <v>0</v>
      </c>
      <c r="AX446" s="18">
        <v>0</v>
      </c>
      <c r="AY446" s="13"/>
      <c r="AZ446" s="18">
        <v>1</v>
      </c>
      <c r="BA446" s="18">
        <v>0</v>
      </c>
      <c r="BB446" s="18">
        <v>19.47</v>
      </c>
      <c r="BC446" s="18" t="s">
        <v>1648</v>
      </c>
      <c r="BD446" s="18" t="s">
        <v>1649</v>
      </c>
      <c r="BE446" s="18" t="s">
        <v>98</v>
      </c>
      <c r="BF446" s="18" t="s">
        <v>77</v>
      </c>
      <c r="BG446" s="18">
        <v>162</v>
      </c>
      <c r="BH446" s="18">
        <v>60</v>
      </c>
      <c r="BI446" s="18">
        <v>0.7297</v>
      </c>
      <c r="BJ446" s="18">
        <v>0</v>
      </c>
      <c r="BK446" s="13"/>
      <c r="BL446" s="13"/>
      <c r="BM446" s="13">
        <f t="shared" si="0"/>
        <v>541.73</v>
      </c>
    </row>
    <row r="447" customHeight="1" spans="1:65">
      <c r="A447" s="18" t="s">
        <v>2090</v>
      </c>
      <c r="B447" s="18" t="s">
        <v>901</v>
      </c>
      <c r="C447" s="13"/>
      <c r="D447" s="13"/>
      <c r="E447" s="18" t="s">
        <v>81</v>
      </c>
      <c r="F447" s="18" t="s">
        <v>160</v>
      </c>
      <c r="G447" s="18" t="s">
        <v>901</v>
      </c>
      <c r="H447" s="18" t="s">
        <v>107</v>
      </c>
      <c r="I447" s="18" t="s">
        <v>85</v>
      </c>
      <c r="J447" s="18">
        <v>5</v>
      </c>
      <c r="K447" s="16">
        <v>71.98</v>
      </c>
      <c r="L447" s="16">
        <v>79.98</v>
      </c>
      <c r="M447" s="16">
        <v>10</v>
      </c>
      <c r="N447" s="16">
        <v>8</v>
      </c>
      <c r="O447" s="18">
        <v>1</v>
      </c>
      <c r="P447" s="18" t="s">
        <v>86</v>
      </c>
      <c r="Q447" s="18">
        <v>4.290185</v>
      </c>
      <c r="R447" s="10"/>
      <c r="S447" s="16">
        <v>950</v>
      </c>
      <c r="T447" s="16">
        <v>10</v>
      </c>
      <c r="U447" s="18" t="s">
        <v>2090</v>
      </c>
      <c r="V447" s="18" t="s">
        <v>901</v>
      </c>
      <c r="W447" s="13"/>
      <c r="X447" s="13"/>
      <c r="Y447" s="18" t="s">
        <v>81</v>
      </c>
      <c r="Z447" s="18" t="s">
        <v>160</v>
      </c>
      <c r="AA447" s="18" t="s">
        <v>901</v>
      </c>
      <c r="AB447" s="18" t="s">
        <v>107</v>
      </c>
      <c r="AC447" s="18" t="s">
        <v>85</v>
      </c>
      <c r="AD447" s="18">
        <v>1.13466666666666</v>
      </c>
      <c r="AE447" s="18">
        <v>0</v>
      </c>
      <c r="AF447" s="18">
        <v>0</v>
      </c>
      <c r="AG447" s="18">
        <v>0</v>
      </c>
      <c r="AH447" s="18">
        <v>0</v>
      </c>
      <c r="AI447" s="18">
        <v>0</v>
      </c>
      <c r="AJ447" s="18">
        <v>0</v>
      </c>
      <c r="AK447" s="18">
        <v>0</v>
      </c>
      <c r="AL447" s="18">
        <v>0</v>
      </c>
      <c r="AM447" s="18">
        <v>0</v>
      </c>
      <c r="AN447" s="18">
        <v>0</v>
      </c>
      <c r="AO447" s="18">
        <v>0</v>
      </c>
      <c r="AP447" s="18">
        <v>0</v>
      </c>
      <c r="AQ447" s="18">
        <v>0</v>
      </c>
      <c r="AR447" s="18">
        <v>0</v>
      </c>
      <c r="AS447" s="18">
        <v>0</v>
      </c>
      <c r="AT447" s="18">
        <v>0</v>
      </c>
      <c r="AU447" s="18">
        <v>1</v>
      </c>
      <c r="AV447" s="18">
        <v>0</v>
      </c>
      <c r="AW447" s="18">
        <v>0</v>
      </c>
      <c r="AX447" s="18">
        <v>0</v>
      </c>
      <c r="AY447" s="13"/>
      <c r="AZ447" s="18">
        <v>1</v>
      </c>
      <c r="BA447" s="18">
        <v>0</v>
      </c>
      <c r="BB447" s="18">
        <v>65.59</v>
      </c>
      <c r="BC447" s="18" t="s">
        <v>1648</v>
      </c>
      <c r="BD447" s="18" t="s">
        <v>1649</v>
      </c>
      <c r="BE447" s="18" t="s">
        <v>76</v>
      </c>
      <c r="BF447" s="18" t="s">
        <v>77</v>
      </c>
      <c r="BG447" s="18">
        <v>162</v>
      </c>
      <c r="BH447" s="18">
        <v>60</v>
      </c>
      <c r="BI447" s="18">
        <v>0.7297</v>
      </c>
      <c r="BJ447" s="18">
        <v>0</v>
      </c>
      <c r="BK447" s="18">
        <v>85</v>
      </c>
      <c r="BL447" s="18">
        <v>76.7</v>
      </c>
      <c r="BM447" s="13">
        <f t="shared" si="0"/>
        <v>68381</v>
      </c>
    </row>
    <row r="448" customHeight="1" spans="1:65">
      <c r="A448" s="18" t="s">
        <v>1653</v>
      </c>
      <c r="B448" s="18" t="s">
        <v>195</v>
      </c>
      <c r="C448" s="13"/>
      <c r="D448" s="13"/>
      <c r="E448" s="18" t="s">
        <v>653</v>
      </c>
      <c r="F448" s="18" t="s">
        <v>198</v>
      </c>
      <c r="G448" s="18" t="s">
        <v>83</v>
      </c>
      <c r="H448" s="18" t="s">
        <v>84</v>
      </c>
      <c r="I448" s="18" t="s">
        <v>85</v>
      </c>
      <c r="J448" s="18">
        <v>5</v>
      </c>
      <c r="K448" s="16">
        <v>9.95</v>
      </c>
      <c r="L448" s="10"/>
      <c r="M448" s="16">
        <v>0</v>
      </c>
      <c r="N448" s="16">
        <v>0</v>
      </c>
      <c r="O448" s="18">
        <v>0</v>
      </c>
      <c r="P448" s="18" t="s">
        <v>133</v>
      </c>
      <c r="Q448" s="18">
        <v>2.393339</v>
      </c>
      <c r="R448" s="10"/>
      <c r="S448" s="16">
        <v>420</v>
      </c>
      <c r="T448" s="16">
        <v>10</v>
      </c>
      <c r="U448" s="18" t="s">
        <v>1653</v>
      </c>
      <c r="V448" s="18" t="s">
        <v>195</v>
      </c>
      <c r="W448" s="13"/>
      <c r="X448" s="13"/>
      <c r="Y448" s="18" t="s">
        <v>653</v>
      </c>
      <c r="Z448" s="18" t="s">
        <v>198</v>
      </c>
      <c r="AA448" s="18" t="s">
        <v>83</v>
      </c>
      <c r="AB448" s="18" t="s">
        <v>84</v>
      </c>
      <c r="AC448" s="18" t="s">
        <v>85</v>
      </c>
      <c r="AD448" s="18">
        <v>14.9</v>
      </c>
      <c r="AE448" s="18">
        <v>0</v>
      </c>
      <c r="AF448" s="18">
        <v>0</v>
      </c>
      <c r="AG448" s="18">
        <v>0</v>
      </c>
      <c r="AH448" s="18">
        <v>0</v>
      </c>
      <c r="AI448" s="18">
        <v>0</v>
      </c>
      <c r="AJ448" s="18">
        <v>0</v>
      </c>
      <c r="AK448" s="18">
        <v>0</v>
      </c>
      <c r="AL448" s="18">
        <v>0</v>
      </c>
      <c r="AM448" s="18">
        <v>0</v>
      </c>
      <c r="AN448" s="18">
        <v>0</v>
      </c>
      <c r="AO448" s="18">
        <v>0</v>
      </c>
      <c r="AP448" s="18">
        <v>0</v>
      </c>
      <c r="AQ448" s="18">
        <v>0</v>
      </c>
      <c r="AR448" s="18">
        <v>0</v>
      </c>
      <c r="AS448" s="18">
        <v>0</v>
      </c>
      <c r="AT448" s="18">
        <v>0</v>
      </c>
      <c r="AU448" s="18">
        <v>0</v>
      </c>
      <c r="AV448" s="18">
        <v>0</v>
      </c>
      <c r="AW448" s="18">
        <v>0</v>
      </c>
      <c r="AX448" s="18">
        <v>0</v>
      </c>
      <c r="AY448" s="13"/>
      <c r="AZ448" s="18">
        <v>1</v>
      </c>
      <c r="BA448" s="18">
        <v>0</v>
      </c>
      <c r="BB448" s="18">
        <v>68.92</v>
      </c>
      <c r="BC448" s="18" t="s">
        <v>1654</v>
      </c>
      <c r="BD448" s="18" t="s">
        <v>1655</v>
      </c>
      <c r="BE448" s="18" t="s">
        <v>226</v>
      </c>
      <c r="BF448" s="18" t="s">
        <v>77</v>
      </c>
      <c r="BG448" s="18">
        <v>162</v>
      </c>
      <c r="BH448" s="18">
        <v>59</v>
      </c>
      <c r="BI448" s="18">
        <v>0.733</v>
      </c>
      <c r="BJ448" s="18">
        <v>0</v>
      </c>
      <c r="BK448" s="18">
        <v>2</v>
      </c>
      <c r="BL448" s="18">
        <v>99.5</v>
      </c>
      <c r="BM448" s="13">
        <f t="shared" si="0"/>
        <v>4179</v>
      </c>
    </row>
    <row r="449" customHeight="1" spans="1:65">
      <c r="A449" s="18" t="s">
        <v>1664</v>
      </c>
      <c r="B449" s="18" t="s">
        <v>1665</v>
      </c>
      <c r="C449" s="13"/>
      <c r="D449" s="13"/>
      <c r="E449" s="18" t="s">
        <v>81</v>
      </c>
      <c r="F449" s="18" t="s">
        <v>82</v>
      </c>
      <c r="G449" s="18" t="s">
        <v>83</v>
      </c>
      <c r="H449" s="18" t="s">
        <v>84</v>
      </c>
      <c r="I449" s="18" t="s">
        <v>85</v>
      </c>
      <c r="J449" s="18">
        <v>5</v>
      </c>
      <c r="K449" s="16">
        <v>16.95</v>
      </c>
      <c r="L449" s="10"/>
      <c r="M449" s="16">
        <v>0</v>
      </c>
      <c r="N449" s="16">
        <v>0</v>
      </c>
      <c r="O449" s="18">
        <v>0</v>
      </c>
      <c r="P449" s="18" t="s">
        <v>133</v>
      </c>
      <c r="Q449" s="18">
        <v>2.88759</v>
      </c>
      <c r="R449" s="10"/>
      <c r="S449" s="16">
        <v>18</v>
      </c>
      <c r="T449" s="16">
        <v>10</v>
      </c>
      <c r="U449" s="18" t="s">
        <v>2638</v>
      </c>
      <c r="V449" s="18" t="s">
        <v>1665</v>
      </c>
      <c r="W449" s="13"/>
      <c r="X449" s="13"/>
      <c r="Y449" s="18" t="s">
        <v>81</v>
      </c>
      <c r="Z449" s="18" t="s">
        <v>82</v>
      </c>
      <c r="AA449" s="18" t="s">
        <v>83</v>
      </c>
      <c r="AB449" s="18" t="s">
        <v>84</v>
      </c>
      <c r="AC449" s="18" t="s">
        <v>85</v>
      </c>
      <c r="AD449" s="18">
        <v>28.9</v>
      </c>
      <c r="AE449" s="18">
        <v>0</v>
      </c>
      <c r="AF449" s="18">
        <v>0</v>
      </c>
      <c r="AG449" s="18">
        <v>0</v>
      </c>
      <c r="AH449" s="18">
        <v>1</v>
      </c>
      <c r="AI449" s="18">
        <v>0</v>
      </c>
      <c r="AJ449" s="18">
        <v>0</v>
      </c>
      <c r="AK449" s="18">
        <v>0</v>
      </c>
      <c r="AL449" s="18">
        <v>1</v>
      </c>
      <c r="AM449" s="18">
        <v>0</v>
      </c>
      <c r="AN449" s="18">
        <v>0</v>
      </c>
      <c r="AO449" s="18">
        <v>0</v>
      </c>
      <c r="AP449" s="18">
        <v>0</v>
      </c>
      <c r="AQ449" s="18">
        <v>0</v>
      </c>
      <c r="AR449" s="18">
        <v>0</v>
      </c>
      <c r="AS449" s="18">
        <v>0</v>
      </c>
      <c r="AT449" s="18">
        <v>0</v>
      </c>
      <c r="AU449" s="18">
        <v>0</v>
      </c>
      <c r="AV449" s="18">
        <v>0</v>
      </c>
      <c r="AW449" s="18">
        <v>0</v>
      </c>
      <c r="AX449" s="18">
        <v>0</v>
      </c>
      <c r="AY449" s="13"/>
      <c r="AZ449" s="18">
        <v>1</v>
      </c>
      <c r="BA449" s="18">
        <v>1</v>
      </c>
      <c r="BB449" s="18">
        <v>50.8</v>
      </c>
      <c r="BC449" s="18" t="s">
        <v>1666</v>
      </c>
      <c r="BD449" s="18" t="s">
        <v>741</v>
      </c>
      <c r="BE449" s="18" t="s">
        <v>113</v>
      </c>
      <c r="BF449" s="18" t="s">
        <v>77</v>
      </c>
      <c r="BG449" s="18">
        <v>168</v>
      </c>
      <c r="BH449" s="18">
        <v>11</v>
      </c>
      <c r="BI449" s="18">
        <v>0.9385</v>
      </c>
      <c r="BJ449" s="18">
        <v>0</v>
      </c>
      <c r="BK449" s="18">
        <v>60</v>
      </c>
      <c r="BL449" s="18">
        <v>83.6</v>
      </c>
      <c r="BM449" s="13">
        <f t="shared" si="0"/>
        <v>305.1</v>
      </c>
    </row>
    <row r="450" customHeight="1" spans="1:65">
      <c r="A450" s="18" t="s">
        <v>1974</v>
      </c>
      <c r="B450" s="18" t="s">
        <v>1665</v>
      </c>
      <c r="C450" s="13"/>
      <c r="D450" s="13"/>
      <c r="E450" s="18" t="s">
        <v>81</v>
      </c>
      <c r="F450" s="18" t="s">
        <v>82</v>
      </c>
      <c r="G450" s="18" t="s">
        <v>83</v>
      </c>
      <c r="H450" s="18" t="s">
        <v>84</v>
      </c>
      <c r="I450" s="18" t="s">
        <v>85</v>
      </c>
      <c r="J450" s="18">
        <v>5</v>
      </c>
      <c r="K450" s="16">
        <v>26.95</v>
      </c>
      <c r="L450" s="16">
        <v>29.95</v>
      </c>
      <c r="M450" s="16">
        <v>10.02</v>
      </c>
      <c r="N450" s="16">
        <v>3</v>
      </c>
      <c r="O450" s="18">
        <v>1</v>
      </c>
      <c r="P450" s="18" t="s">
        <v>86</v>
      </c>
      <c r="Q450" s="18">
        <v>3.330417</v>
      </c>
      <c r="R450" s="10"/>
      <c r="S450" s="16">
        <v>12</v>
      </c>
      <c r="T450" s="16">
        <v>10</v>
      </c>
      <c r="U450" s="18" t="s">
        <v>2639</v>
      </c>
      <c r="V450" s="18" t="s">
        <v>1665</v>
      </c>
      <c r="W450" s="13"/>
      <c r="X450" s="13"/>
      <c r="Y450" s="18" t="s">
        <v>81</v>
      </c>
      <c r="Z450" s="18" t="s">
        <v>82</v>
      </c>
      <c r="AA450" s="18" t="s">
        <v>83</v>
      </c>
      <c r="AB450" s="18" t="s">
        <v>84</v>
      </c>
      <c r="AC450" s="18" t="s">
        <v>85</v>
      </c>
      <c r="AD450" s="18">
        <v>1.47533333333332</v>
      </c>
      <c r="AE450" s="18">
        <v>0</v>
      </c>
      <c r="AF450" s="18">
        <v>0</v>
      </c>
      <c r="AG450" s="18">
        <v>0</v>
      </c>
      <c r="AH450" s="18">
        <v>1</v>
      </c>
      <c r="AI450" s="18">
        <v>0</v>
      </c>
      <c r="AJ450" s="18">
        <v>0</v>
      </c>
      <c r="AK450" s="18">
        <v>0</v>
      </c>
      <c r="AL450" s="18">
        <v>1</v>
      </c>
      <c r="AM450" s="18">
        <v>0</v>
      </c>
      <c r="AN450" s="18">
        <v>0</v>
      </c>
      <c r="AO450" s="18">
        <v>0</v>
      </c>
      <c r="AP450" s="18">
        <v>0</v>
      </c>
      <c r="AQ450" s="18">
        <v>0</v>
      </c>
      <c r="AR450" s="18">
        <v>0</v>
      </c>
      <c r="AS450" s="18">
        <v>0</v>
      </c>
      <c r="AT450" s="18">
        <v>0</v>
      </c>
      <c r="AU450" s="18">
        <v>0</v>
      </c>
      <c r="AV450" s="18">
        <v>0</v>
      </c>
      <c r="AW450" s="18">
        <v>0</v>
      </c>
      <c r="AX450" s="18">
        <v>0</v>
      </c>
      <c r="AY450" s="13"/>
      <c r="AZ450" s="18">
        <v>1</v>
      </c>
      <c r="BA450" s="18">
        <v>1</v>
      </c>
      <c r="BB450" s="18">
        <v>43.07</v>
      </c>
      <c r="BC450" s="18" t="s">
        <v>1666</v>
      </c>
      <c r="BD450" s="18" t="s">
        <v>741</v>
      </c>
      <c r="BE450" s="18" t="s">
        <v>113</v>
      </c>
      <c r="BF450" s="18" t="s">
        <v>77</v>
      </c>
      <c r="BG450" s="18">
        <v>168</v>
      </c>
      <c r="BH450" s="18">
        <v>11</v>
      </c>
      <c r="BI450" s="18">
        <v>0.9385</v>
      </c>
      <c r="BJ450" s="18">
        <v>0</v>
      </c>
      <c r="BK450" s="18">
        <v>143</v>
      </c>
      <c r="BL450" s="18">
        <v>60.8</v>
      </c>
      <c r="BM450" s="13">
        <f t="shared" si="0"/>
        <v>323.4</v>
      </c>
    </row>
    <row r="451" customHeight="1" spans="1:65">
      <c r="A451" s="18" t="s">
        <v>1669</v>
      </c>
      <c r="B451" s="18" t="s">
        <v>1670</v>
      </c>
      <c r="C451" s="13"/>
      <c r="D451" s="13"/>
      <c r="E451" s="18" t="s">
        <v>1671</v>
      </c>
      <c r="F451" s="18" t="s">
        <v>240</v>
      </c>
      <c r="G451" s="18" t="s">
        <v>83</v>
      </c>
      <c r="H451" s="18" t="s">
        <v>84</v>
      </c>
      <c r="I451" s="18" t="s">
        <v>153</v>
      </c>
      <c r="J451" s="18">
        <v>2</v>
      </c>
      <c r="K451" s="16">
        <v>50</v>
      </c>
      <c r="L451" s="10"/>
      <c r="M451" s="16">
        <v>0</v>
      </c>
      <c r="N451" s="16">
        <v>0</v>
      </c>
      <c r="O451" s="18">
        <v>0</v>
      </c>
      <c r="P451" s="18" t="s">
        <v>86</v>
      </c>
      <c r="Q451" s="18">
        <v>3.931826</v>
      </c>
      <c r="R451" s="10"/>
      <c r="S451" s="10"/>
      <c r="T451" s="10"/>
      <c r="U451" s="18" t="s">
        <v>1669</v>
      </c>
      <c r="V451" s="18" t="s">
        <v>1670</v>
      </c>
      <c r="W451" s="13"/>
      <c r="X451" s="13"/>
      <c r="Y451" s="18" t="s">
        <v>1671</v>
      </c>
      <c r="Z451" s="18" t="s">
        <v>240</v>
      </c>
      <c r="AA451" s="18" t="s">
        <v>83</v>
      </c>
      <c r="AB451" s="18" t="s">
        <v>84</v>
      </c>
      <c r="AC451" s="18" t="s">
        <v>153</v>
      </c>
      <c r="AD451" s="18">
        <v>98</v>
      </c>
      <c r="AE451" s="18">
        <v>0</v>
      </c>
      <c r="AF451" s="18">
        <v>0</v>
      </c>
      <c r="AG451" s="18">
        <v>0</v>
      </c>
      <c r="AH451" s="18">
        <v>0</v>
      </c>
      <c r="AI451" s="18">
        <v>0</v>
      </c>
      <c r="AJ451" s="18">
        <v>0</v>
      </c>
      <c r="AK451" s="18">
        <v>0</v>
      </c>
      <c r="AL451" s="18">
        <v>0</v>
      </c>
      <c r="AM451" s="18">
        <v>0</v>
      </c>
      <c r="AN451" s="18">
        <v>0</v>
      </c>
      <c r="AO451" s="18">
        <v>0</v>
      </c>
      <c r="AP451" s="18">
        <v>0</v>
      </c>
      <c r="AQ451" s="18">
        <v>0</v>
      </c>
      <c r="AR451" s="18">
        <v>0</v>
      </c>
      <c r="AS451" s="18">
        <v>0</v>
      </c>
      <c r="AT451" s="18">
        <v>0</v>
      </c>
      <c r="AU451" s="18">
        <v>0</v>
      </c>
      <c r="AV451" s="18">
        <v>1</v>
      </c>
      <c r="AW451" s="18">
        <v>0</v>
      </c>
      <c r="AX451" s="18">
        <v>0</v>
      </c>
      <c r="AY451" s="13"/>
      <c r="AZ451" s="18">
        <v>1</v>
      </c>
      <c r="BA451" s="18">
        <v>0</v>
      </c>
      <c r="BB451" s="18">
        <v>25.47</v>
      </c>
      <c r="BC451" s="18" t="s">
        <v>1672</v>
      </c>
      <c r="BD451" s="18" t="s">
        <v>1673</v>
      </c>
      <c r="BE451" s="18" t="s">
        <v>1110</v>
      </c>
      <c r="BF451" s="18" t="s">
        <v>77</v>
      </c>
      <c r="BG451" s="18">
        <v>168</v>
      </c>
      <c r="BH451" s="18">
        <v>11</v>
      </c>
      <c r="BI451" s="18">
        <v>0.9385</v>
      </c>
      <c r="BJ451" s="18">
        <v>0</v>
      </c>
      <c r="BK451" s="18">
        <v>55</v>
      </c>
      <c r="BL451" s="18">
        <v>84.9</v>
      </c>
      <c r="BM451" s="13">
        <f t="shared" si="0"/>
        <v>0</v>
      </c>
    </row>
    <row r="452" customHeight="1" spans="1:65">
      <c r="A452" s="18" t="s">
        <v>1677</v>
      </c>
      <c r="B452" s="18" t="s">
        <v>125</v>
      </c>
      <c r="C452" s="13"/>
      <c r="D452" s="13"/>
      <c r="E452" s="18" t="s">
        <v>81</v>
      </c>
      <c r="F452" s="18" t="s">
        <v>82</v>
      </c>
      <c r="G452" s="18" t="s">
        <v>83</v>
      </c>
      <c r="H452" s="18" t="s">
        <v>138</v>
      </c>
      <c r="I452" s="18" t="s">
        <v>85</v>
      </c>
      <c r="J452" s="18">
        <v>5</v>
      </c>
      <c r="K452" s="16">
        <v>17.99</v>
      </c>
      <c r="L452" s="10"/>
      <c r="M452" s="16">
        <v>0</v>
      </c>
      <c r="N452" s="16">
        <v>0</v>
      </c>
      <c r="O452" s="18">
        <v>0</v>
      </c>
      <c r="P452" s="18" t="s">
        <v>133</v>
      </c>
      <c r="Q452" s="18">
        <v>2.943913</v>
      </c>
      <c r="R452" s="10"/>
      <c r="S452" s="16">
        <v>1522</v>
      </c>
      <c r="T452" s="16">
        <v>10</v>
      </c>
      <c r="U452" s="18" t="s">
        <v>1677</v>
      </c>
      <c r="V452" s="18" t="s">
        <v>125</v>
      </c>
      <c r="W452" s="13"/>
      <c r="X452" s="13"/>
      <c r="Y452" s="18" t="s">
        <v>81</v>
      </c>
      <c r="Z452" s="18" t="s">
        <v>82</v>
      </c>
      <c r="AA452" s="18" t="s">
        <v>83</v>
      </c>
      <c r="AB452" s="18" t="s">
        <v>138</v>
      </c>
      <c r="AC452" s="18" t="s">
        <v>85</v>
      </c>
      <c r="AD452" s="18">
        <v>30.98</v>
      </c>
      <c r="AE452" s="18">
        <v>0</v>
      </c>
      <c r="AF452" s="18">
        <v>0</v>
      </c>
      <c r="AG452" s="18">
        <v>0</v>
      </c>
      <c r="AH452" s="18">
        <v>1</v>
      </c>
      <c r="AI452" s="18">
        <v>0</v>
      </c>
      <c r="AJ452" s="18">
        <v>0</v>
      </c>
      <c r="AK452" s="18">
        <v>0</v>
      </c>
      <c r="AL452" s="18">
        <v>0</v>
      </c>
      <c r="AM452" s="18">
        <v>0</v>
      </c>
      <c r="AN452" s="18">
        <v>0</v>
      </c>
      <c r="AO452" s="18">
        <v>0</v>
      </c>
      <c r="AP452" s="18">
        <v>0</v>
      </c>
      <c r="AQ452" s="18">
        <v>1</v>
      </c>
      <c r="AR452" s="18">
        <v>0</v>
      </c>
      <c r="AS452" s="18">
        <v>0</v>
      </c>
      <c r="AT452" s="18">
        <v>0</v>
      </c>
      <c r="AU452" s="18">
        <v>0</v>
      </c>
      <c r="AV452" s="18">
        <v>1</v>
      </c>
      <c r="AW452" s="18">
        <v>0</v>
      </c>
      <c r="AX452" s="18">
        <v>0</v>
      </c>
      <c r="AY452" s="13"/>
      <c r="AZ452" s="18">
        <v>1</v>
      </c>
      <c r="BA452" s="18">
        <v>3</v>
      </c>
      <c r="BB452" s="18">
        <v>69.59</v>
      </c>
      <c r="BC452" s="18" t="s">
        <v>1678</v>
      </c>
      <c r="BD452" s="18" t="s">
        <v>356</v>
      </c>
      <c r="BE452" s="18" t="s">
        <v>423</v>
      </c>
      <c r="BF452" s="18" t="s">
        <v>77</v>
      </c>
      <c r="BG452" s="18">
        <v>168</v>
      </c>
      <c r="BH452" s="18">
        <v>13</v>
      </c>
      <c r="BI452" s="18">
        <v>0.9282</v>
      </c>
      <c r="BJ452" s="18">
        <v>0</v>
      </c>
      <c r="BK452" s="18">
        <v>2</v>
      </c>
      <c r="BL452" s="18">
        <v>99.5</v>
      </c>
      <c r="BM452" s="13">
        <f t="shared" si="0"/>
        <v>27380.78</v>
      </c>
    </row>
    <row r="453" customHeight="1" spans="1:65">
      <c r="A453" s="18" t="s">
        <v>1679</v>
      </c>
      <c r="B453" s="18" t="s">
        <v>1680</v>
      </c>
      <c r="C453" s="13"/>
      <c r="D453" s="13"/>
      <c r="E453" s="18" t="s">
        <v>378</v>
      </c>
      <c r="F453" s="18" t="s">
        <v>160</v>
      </c>
      <c r="G453" s="18" t="s">
        <v>83</v>
      </c>
      <c r="H453" s="18" t="s">
        <v>84</v>
      </c>
      <c r="I453" s="18" t="s">
        <v>85</v>
      </c>
      <c r="J453" s="18">
        <v>5</v>
      </c>
      <c r="K453" s="16">
        <v>8.94</v>
      </c>
      <c r="L453" s="10"/>
      <c r="M453" s="16">
        <v>0</v>
      </c>
      <c r="N453" s="16">
        <v>0</v>
      </c>
      <c r="O453" s="18">
        <v>0</v>
      </c>
      <c r="P453" s="18" t="s">
        <v>133</v>
      </c>
      <c r="Q453" s="18">
        <v>2.296567</v>
      </c>
      <c r="R453" s="10"/>
      <c r="S453" s="16">
        <v>8</v>
      </c>
      <c r="T453" s="16">
        <v>10</v>
      </c>
      <c r="U453" s="18" t="s">
        <v>1679</v>
      </c>
      <c r="V453" s="18" t="s">
        <v>1680</v>
      </c>
      <c r="W453" s="13"/>
      <c r="X453" s="13"/>
      <c r="Y453" s="18" t="s">
        <v>378</v>
      </c>
      <c r="Z453" s="18" t="s">
        <v>160</v>
      </c>
      <c r="AA453" s="18" t="s">
        <v>83</v>
      </c>
      <c r="AB453" s="18" t="s">
        <v>84</v>
      </c>
      <c r="AC453" s="18" t="s">
        <v>85</v>
      </c>
      <c r="AD453" s="18">
        <v>12.88</v>
      </c>
      <c r="AE453" s="18">
        <v>0</v>
      </c>
      <c r="AF453" s="18">
        <v>0</v>
      </c>
      <c r="AG453" s="18">
        <v>0</v>
      </c>
      <c r="AH453" s="18">
        <v>0</v>
      </c>
      <c r="AI453" s="18">
        <v>0</v>
      </c>
      <c r="AJ453" s="18">
        <v>0</v>
      </c>
      <c r="AK453" s="18">
        <v>0</v>
      </c>
      <c r="AL453" s="18">
        <v>0</v>
      </c>
      <c r="AM453" s="18">
        <v>0</v>
      </c>
      <c r="AN453" s="18">
        <v>0</v>
      </c>
      <c r="AO453" s="18">
        <v>0</v>
      </c>
      <c r="AP453" s="18">
        <v>0</v>
      </c>
      <c r="AQ453" s="18">
        <v>0</v>
      </c>
      <c r="AR453" s="18">
        <v>0</v>
      </c>
      <c r="AS453" s="18">
        <v>0</v>
      </c>
      <c r="AT453" s="18">
        <v>0</v>
      </c>
      <c r="AU453" s="18">
        <v>0</v>
      </c>
      <c r="AV453" s="18">
        <v>0</v>
      </c>
      <c r="AW453" s="18">
        <v>0</v>
      </c>
      <c r="AX453" s="18">
        <v>0</v>
      </c>
      <c r="AY453" s="13"/>
      <c r="AZ453" s="18">
        <v>1</v>
      </c>
      <c r="BA453" s="18">
        <v>0</v>
      </c>
      <c r="BB453" s="18">
        <v>17.78</v>
      </c>
      <c r="BC453" s="18" t="s">
        <v>1681</v>
      </c>
      <c r="BD453" s="18" t="s">
        <v>1682</v>
      </c>
      <c r="BE453" s="18" t="s">
        <v>941</v>
      </c>
      <c r="BF453" s="18" t="s">
        <v>77</v>
      </c>
      <c r="BG453" s="18">
        <v>168</v>
      </c>
      <c r="BH453" s="18">
        <v>11</v>
      </c>
      <c r="BI453" s="18">
        <v>0.9385</v>
      </c>
      <c r="BJ453" s="18">
        <v>0</v>
      </c>
      <c r="BK453" s="13"/>
      <c r="BL453" s="13"/>
      <c r="BM453" s="13">
        <f t="shared" si="0"/>
        <v>71.52</v>
      </c>
    </row>
    <row r="454" customHeight="1" spans="1:65">
      <c r="A454" s="18" t="s">
        <v>1287</v>
      </c>
      <c r="B454" s="18" t="s">
        <v>93</v>
      </c>
      <c r="C454" s="18" t="s">
        <v>1288</v>
      </c>
      <c r="D454" s="13"/>
      <c r="E454" s="18" t="s">
        <v>1289</v>
      </c>
      <c r="F454" s="18" t="s">
        <v>82</v>
      </c>
      <c r="G454" s="18" t="s">
        <v>93</v>
      </c>
      <c r="H454" s="18" t="s">
        <v>69</v>
      </c>
      <c r="I454" s="18" t="s">
        <v>108</v>
      </c>
      <c r="J454" s="18">
        <v>3</v>
      </c>
      <c r="K454" s="16">
        <v>137.99</v>
      </c>
      <c r="L454" s="16">
        <v>229.99</v>
      </c>
      <c r="M454" s="16">
        <v>40</v>
      </c>
      <c r="N454" s="16">
        <v>92</v>
      </c>
      <c r="O454" s="18">
        <v>1</v>
      </c>
      <c r="P454" s="18" t="s">
        <v>95</v>
      </c>
      <c r="Q454" s="18">
        <v>4.934402</v>
      </c>
      <c r="R454" s="10"/>
      <c r="S454" s="16">
        <v>62</v>
      </c>
      <c r="T454" s="16">
        <v>19</v>
      </c>
      <c r="U454" s="18" t="s">
        <v>1287</v>
      </c>
      <c r="V454" s="18" t="s">
        <v>93</v>
      </c>
      <c r="W454" s="18" t="s">
        <v>1288</v>
      </c>
      <c r="X454" s="13"/>
      <c r="Y454" s="18" t="s">
        <v>1289</v>
      </c>
      <c r="Z454" s="18" t="s">
        <v>82</v>
      </c>
      <c r="AA454" s="18" t="s">
        <v>93</v>
      </c>
      <c r="AB454" s="18" t="s">
        <v>69</v>
      </c>
      <c r="AC454" s="18" t="s">
        <v>108</v>
      </c>
      <c r="AD454" s="18">
        <v>50.2006666666669</v>
      </c>
      <c r="AE454" s="18">
        <v>1</v>
      </c>
      <c r="AF454" s="18">
        <v>1</v>
      </c>
      <c r="AG454" s="18">
        <v>0</v>
      </c>
      <c r="AH454" s="18">
        <v>0</v>
      </c>
      <c r="AI454" s="18">
        <v>0</v>
      </c>
      <c r="AJ454" s="18">
        <v>1</v>
      </c>
      <c r="AK454" s="18">
        <v>1</v>
      </c>
      <c r="AL454" s="18">
        <v>0</v>
      </c>
      <c r="AM454" s="18">
        <v>0</v>
      </c>
      <c r="AN454" s="18">
        <v>0</v>
      </c>
      <c r="AO454" s="18">
        <v>0</v>
      </c>
      <c r="AP454" s="18">
        <v>0</v>
      </c>
      <c r="AQ454" s="18">
        <v>0</v>
      </c>
      <c r="AR454" s="18">
        <v>0</v>
      </c>
      <c r="AS454" s="18">
        <v>0</v>
      </c>
      <c r="AT454" s="18">
        <v>1</v>
      </c>
      <c r="AU454" s="18">
        <v>0</v>
      </c>
      <c r="AV454" s="18">
        <v>0</v>
      </c>
      <c r="AW454" s="18">
        <v>0</v>
      </c>
      <c r="AX454" s="18">
        <v>0</v>
      </c>
      <c r="AY454" s="13"/>
      <c r="AZ454" s="18">
        <v>1</v>
      </c>
      <c r="BA454" s="18">
        <v>2</v>
      </c>
      <c r="BB454" s="18">
        <v>72.47</v>
      </c>
      <c r="BC454" s="18" t="s">
        <v>96</v>
      </c>
      <c r="BD454" s="18" t="s">
        <v>97</v>
      </c>
      <c r="BE454" s="18" t="s">
        <v>98</v>
      </c>
      <c r="BF454" s="18" t="s">
        <v>77</v>
      </c>
      <c r="BG454" s="18">
        <v>1</v>
      </c>
      <c r="BH454" s="18">
        <v>28</v>
      </c>
      <c r="BI454" s="18">
        <v>0.0345</v>
      </c>
      <c r="BJ454" s="18">
        <v>1</v>
      </c>
      <c r="BK454" s="18">
        <v>2</v>
      </c>
      <c r="BL454" s="18">
        <v>99.5</v>
      </c>
      <c r="BM454" s="13">
        <f t="shared" si="0"/>
        <v>8555.38</v>
      </c>
    </row>
    <row r="455" customHeight="1" spans="1:65">
      <c r="A455" s="18" t="s">
        <v>936</v>
      </c>
      <c r="B455" s="18" t="s">
        <v>93</v>
      </c>
      <c r="C455" s="13"/>
      <c r="D455" s="13"/>
      <c r="E455" s="18" t="s">
        <v>132</v>
      </c>
      <c r="F455" s="18" t="s">
        <v>132</v>
      </c>
      <c r="G455" s="18" t="s">
        <v>93</v>
      </c>
      <c r="H455" s="18" t="s">
        <v>69</v>
      </c>
      <c r="I455" s="18" t="s">
        <v>85</v>
      </c>
      <c r="J455" s="18">
        <v>5</v>
      </c>
      <c r="K455" s="16">
        <v>27.99</v>
      </c>
      <c r="L455" s="10"/>
      <c r="M455" s="16">
        <v>0</v>
      </c>
      <c r="N455" s="16">
        <v>0</v>
      </c>
      <c r="O455" s="18">
        <v>0</v>
      </c>
      <c r="P455" s="18" t="s">
        <v>86</v>
      </c>
      <c r="Q455" s="18">
        <v>3.366951</v>
      </c>
      <c r="R455" s="10"/>
      <c r="S455" s="16">
        <v>12</v>
      </c>
      <c r="T455" s="16">
        <v>10</v>
      </c>
      <c r="U455" s="18" t="s">
        <v>936</v>
      </c>
      <c r="V455" s="18" t="s">
        <v>93</v>
      </c>
      <c r="W455" s="13"/>
      <c r="X455" s="13"/>
      <c r="Y455" s="18" t="s">
        <v>132</v>
      </c>
      <c r="Z455" s="18" t="s">
        <v>132</v>
      </c>
      <c r="AA455" s="18" t="s">
        <v>93</v>
      </c>
      <c r="AB455" s="18" t="s">
        <v>69</v>
      </c>
      <c r="AC455" s="18" t="s">
        <v>85</v>
      </c>
      <c r="AD455" s="18">
        <v>50.98</v>
      </c>
      <c r="AE455" s="18">
        <v>0</v>
      </c>
      <c r="AF455" s="18">
        <v>0</v>
      </c>
      <c r="AG455" s="18">
        <v>0</v>
      </c>
      <c r="AH455" s="18">
        <v>0</v>
      </c>
      <c r="AI455" s="18">
        <v>0</v>
      </c>
      <c r="AJ455" s="18">
        <v>0</v>
      </c>
      <c r="AK455" s="18">
        <v>0</v>
      </c>
      <c r="AL455" s="18">
        <v>0</v>
      </c>
      <c r="AM455" s="18">
        <v>0</v>
      </c>
      <c r="AN455" s="18">
        <v>0</v>
      </c>
      <c r="AO455" s="18">
        <v>0</v>
      </c>
      <c r="AP455" s="18">
        <v>0</v>
      </c>
      <c r="AQ455" s="18">
        <v>1</v>
      </c>
      <c r="AR455" s="18">
        <v>0</v>
      </c>
      <c r="AS455" s="18">
        <v>0</v>
      </c>
      <c r="AT455" s="18">
        <v>0</v>
      </c>
      <c r="AU455" s="18">
        <v>0</v>
      </c>
      <c r="AV455" s="18">
        <v>0</v>
      </c>
      <c r="AW455" s="18">
        <v>0</v>
      </c>
      <c r="AX455" s="18">
        <v>0</v>
      </c>
      <c r="AY455" s="13"/>
      <c r="AZ455" s="18">
        <v>1</v>
      </c>
      <c r="BA455" s="18">
        <v>1</v>
      </c>
      <c r="BB455" s="18">
        <v>51.58</v>
      </c>
      <c r="BC455" s="18" t="s">
        <v>96</v>
      </c>
      <c r="BD455" s="18" t="s">
        <v>97</v>
      </c>
      <c r="BE455" s="18" t="s">
        <v>98</v>
      </c>
      <c r="BF455" s="18" t="s">
        <v>77</v>
      </c>
      <c r="BG455" s="18">
        <v>1</v>
      </c>
      <c r="BH455" s="18">
        <v>28</v>
      </c>
      <c r="BI455" s="18">
        <v>0.0345</v>
      </c>
      <c r="BJ455" s="18">
        <v>1</v>
      </c>
      <c r="BK455" s="18">
        <v>3</v>
      </c>
      <c r="BL455" s="18">
        <v>99.2</v>
      </c>
      <c r="BM455" s="13">
        <f t="shared" si="0"/>
        <v>335.88</v>
      </c>
    </row>
    <row r="456" customHeight="1" spans="1:65">
      <c r="A456" s="18" t="s">
        <v>2345</v>
      </c>
      <c r="B456" s="18" t="s">
        <v>93</v>
      </c>
      <c r="C456" s="13"/>
      <c r="D456" s="13"/>
      <c r="E456" s="18" t="s">
        <v>132</v>
      </c>
      <c r="F456" s="18" t="s">
        <v>132</v>
      </c>
      <c r="G456" s="18" t="s">
        <v>93</v>
      </c>
      <c r="H456" s="18" t="s">
        <v>69</v>
      </c>
      <c r="I456" s="18" t="s">
        <v>85</v>
      </c>
      <c r="J456" s="18">
        <v>5</v>
      </c>
      <c r="K456" s="16">
        <v>29.99</v>
      </c>
      <c r="L456" s="10"/>
      <c r="M456" s="16">
        <v>0</v>
      </c>
      <c r="N456" s="16">
        <v>0</v>
      </c>
      <c r="O456" s="18">
        <v>0</v>
      </c>
      <c r="P456" s="18" t="s">
        <v>86</v>
      </c>
      <c r="Q456" s="18">
        <v>3.433665</v>
      </c>
      <c r="R456" s="10"/>
      <c r="S456" s="16">
        <v>35</v>
      </c>
      <c r="T456" s="16">
        <v>10</v>
      </c>
      <c r="U456" s="18" t="s">
        <v>2345</v>
      </c>
      <c r="V456" s="18" t="s">
        <v>93</v>
      </c>
      <c r="W456" s="13"/>
      <c r="X456" s="13"/>
      <c r="Y456" s="18" t="s">
        <v>132</v>
      </c>
      <c r="Z456" s="18" t="s">
        <v>132</v>
      </c>
      <c r="AA456" s="18" t="s">
        <v>93</v>
      </c>
      <c r="AB456" s="18" t="s">
        <v>69</v>
      </c>
      <c r="AC456" s="18" t="s">
        <v>85</v>
      </c>
      <c r="AD456" s="18">
        <v>54.98</v>
      </c>
      <c r="AE456" s="18">
        <v>1</v>
      </c>
      <c r="AF456" s="18">
        <v>1</v>
      </c>
      <c r="AG456" s="18">
        <v>0</v>
      </c>
      <c r="AH456" s="18">
        <v>0</v>
      </c>
      <c r="AI456" s="18">
        <v>0</v>
      </c>
      <c r="AJ456" s="18">
        <v>0</v>
      </c>
      <c r="AK456" s="18">
        <v>0</v>
      </c>
      <c r="AL456" s="18">
        <v>0</v>
      </c>
      <c r="AM456" s="18">
        <v>0</v>
      </c>
      <c r="AN456" s="18">
        <v>0</v>
      </c>
      <c r="AO456" s="18">
        <v>0</v>
      </c>
      <c r="AP456" s="18">
        <v>0</v>
      </c>
      <c r="AQ456" s="18">
        <v>0</v>
      </c>
      <c r="AR456" s="18">
        <v>0</v>
      </c>
      <c r="AS456" s="18">
        <v>0</v>
      </c>
      <c r="AT456" s="18">
        <v>0</v>
      </c>
      <c r="AU456" s="18">
        <v>0</v>
      </c>
      <c r="AV456" s="18">
        <v>0</v>
      </c>
      <c r="AW456" s="18">
        <v>0</v>
      </c>
      <c r="AX456" s="18">
        <v>0</v>
      </c>
      <c r="AY456" s="13"/>
      <c r="AZ456" s="18">
        <v>1</v>
      </c>
      <c r="BA456" s="18">
        <v>1</v>
      </c>
      <c r="BB456" s="18">
        <v>60.96</v>
      </c>
      <c r="BC456" s="18" t="s">
        <v>96</v>
      </c>
      <c r="BD456" s="18" t="s">
        <v>97</v>
      </c>
      <c r="BE456" s="18" t="s">
        <v>98</v>
      </c>
      <c r="BF456" s="18" t="s">
        <v>77</v>
      </c>
      <c r="BG456" s="18">
        <v>1</v>
      </c>
      <c r="BH456" s="18">
        <v>28</v>
      </c>
      <c r="BI456" s="18">
        <v>0.0345</v>
      </c>
      <c r="BJ456" s="18">
        <v>1</v>
      </c>
      <c r="BK456" s="18">
        <v>2</v>
      </c>
      <c r="BL456" s="18">
        <v>99.5</v>
      </c>
      <c r="BM456" s="13">
        <f t="shared" si="0"/>
        <v>1049.65</v>
      </c>
    </row>
    <row r="457" customHeight="1" spans="1:65">
      <c r="A457" s="18" t="s">
        <v>1101</v>
      </c>
      <c r="B457" s="18" t="s">
        <v>93</v>
      </c>
      <c r="C457" s="13"/>
      <c r="D457" s="13"/>
      <c r="E457" s="18" t="s">
        <v>250</v>
      </c>
      <c r="F457" s="18" t="s">
        <v>160</v>
      </c>
      <c r="G457" s="18" t="s">
        <v>93</v>
      </c>
      <c r="H457" s="18" t="s">
        <v>69</v>
      </c>
      <c r="I457" s="18" t="s">
        <v>108</v>
      </c>
      <c r="J457" s="18">
        <v>3</v>
      </c>
      <c r="K457" s="16">
        <v>669.99</v>
      </c>
      <c r="L457" s="10"/>
      <c r="M457" s="16">
        <v>0</v>
      </c>
      <c r="N457" s="16">
        <v>0</v>
      </c>
      <c r="O457" s="18">
        <v>0</v>
      </c>
      <c r="P457" s="18" t="s">
        <v>147</v>
      </c>
      <c r="Q457" s="18">
        <v>6.508754</v>
      </c>
      <c r="R457" s="16">
        <v>83.75</v>
      </c>
      <c r="S457" s="16">
        <v>20</v>
      </c>
      <c r="T457" s="16">
        <v>10</v>
      </c>
      <c r="U457" s="18" t="s">
        <v>1101</v>
      </c>
      <c r="V457" s="18" t="s">
        <v>93</v>
      </c>
      <c r="W457" s="13"/>
      <c r="X457" s="13"/>
      <c r="Y457" s="18" t="s">
        <v>250</v>
      </c>
      <c r="Z457" s="18" t="s">
        <v>160</v>
      </c>
      <c r="AA457" s="18" t="s">
        <v>93</v>
      </c>
      <c r="AB457" s="18" t="s">
        <v>69</v>
      </c>
      <c r="AC457" s="18" t="s">
        <v>108</v>
      </c>
      <c r="AD457" s="18">
        <v>1336.98</v>
      </c>
      <c r="AE457" s="18">
        <v>0</v>
      </c>
      <c r="AF457" s="18">
        <v>0</v>
      </c>
      <c r="AG457" s="18">
        <v>1</v>
      </c>
      <c r="AH457" s="18">
        <v>0</v>
      </c>
      <c r="AI457" s="18">
        <v>1</v>
      </c>
      <c r="AJ457" s="18">
        <v>0</v>
      </c>
      <c r="AK457" s="18">
        <v>0</v>
      </c>
      <c r="AL457" s="18">
        <v>0</v>
      </c>
      <c r="AM457" s="18">
        <v>1</v>
      </c>
      <c r="AN457" s="18">
        <v>0</v>
      </c>
      <c r="AO457" s="18">
        <v>0</v>
      </c>
      <c r="AP457" s="18">
        <v>0</v>
      </c>
      <c r="AQ457" s="18">
        <v>1</v>
      </c>
      <c r="AR457" s="18">
        <v>0</v>
      </c>
      <c r="AS457" s="18">
        <v>0</v>
      </c>
      <c r="AT457" s="18">
        <v>0</v>
      </c>
      <c r="AU457" s="18">
        <v>0</v>
      </c>
      <c r="AV457" s="18">
        <v>1</v>
      </c>
      <c r="AW457" s="18">
        <v>1</v>
      </c>
      <c r="AX457" s="18">
        <v>0</v>
      </c>
      <c r="AY457" s="18">
        <v>8</v>
      </c>
      <c r="AZ457" s="18">
        <v>1</v>
      </c>
      <c r="BA457" s="18">
        <v>2</v>
      </c>
      <c r="BB457" s="18">
        <v>56.25</v>
      </c>
      <c r="BC457" s="18" t="s">
        <v>96</v>
      </c>
      <c r="BD457" s="18" t="s">
        <v>97</v>
      </c>
      <c r="BE457" s="18" t="s">
        <v>98</v>
      </c>
      <c r="BF457" s="18" t="s">
        <v>77</v>
      </c>
      <c r="BG457" s="18">
        <v>1</v>
      </c>
      <c r="BH457" s="18">
        <v>28</v>
      </c>
      <c r="BI457" s="18">
        <v>0.0345</v>
      </c>
      <c r="BJ457" s="18">
        <v>1</v>
      </c>
      <c r="BK457" s="18">
        <v>5</v>
      </c>
      <c r="BL457" s="18">
        <v>98.6</v>
      </c>
      <c r="BM457" s="13">
        <f t="shared" si="0"/>
        <v>13399.8</v>
      </c>
    </row>
    <row r="458" customHeight="1" spans="1:65">
      <c r="A458" s="18" t="s">
        <v>435</v>
      </c>
      <c r="B458" s="18" t="s">
        <v>93</v>
      </c>
      <c r="C458" s="13"/>
      <c r="D458" s="13"/>
      <c r="E458" s="18" t="s">
        <v>250</v>
      </c>
      <c r="F458" s="18" t="s">
        <v>82</v>
      </c>
      <c r="G458" s="18" t="s">
        <v>93</v>
      </c>
      <c r="H458" s="18" t="s">
        <v>69</v>
      </c>
      <c r="I458" s="18" t="s">
        <v>85</v>
      </c>
      <c r="J458" s="18">
        <v>5</v>
      </c>
      <c r="K458" s="16">
        <v>149.99</v>
      </c>
      <c r="L458" s="10"/>
      <c r="M458" s="16">
        <v>0</v>
      </c>
      <c r="N458" s="16">
        <v>0</v>
      </c>
      <c r="O458" s="18">
        <v>0</v>
      </c>
      <c r="P458" s="18" t="s">
        <v>95</v>
      </c>
      <c r="Q458" s="18">
        <v>5.017214</v>
      </c>
      <c r="R458" s="10"/>
      <c r="S458" s="16">
        <v>78</v>
      </c>
      <c r="T458" s="16">
        <v>20</v>
      </c>
      <c r="U458" s="18" t="s">
        <v>435</v>
      </c>
      <c r="V458" s="18" t="s">
        <v>93</v>
      </c>
      <c r="W458" s="13"/>
      <c r="X458" s="13"/>
      <c r="Y458" s="18" t="s">
        <v>250</v>
      </c>
      <c r="Z458" s="18" t="s">
        <v>82</v>
      </c>
      <c r="AA458" s="18" t="s">
        <v>93</v>
      </c>
      <c r="AB458" s="18" t="s">
        <v>69</v>
      </c>
      <c r="AC458" s="18" t="s">
        <v>85</v>
      </c>
      <c r="AD458" s="18">
        <v>294.98</v>
      </c>
      <c r="AE458" s="18">
        <v>0</v>
      </c>
      <c r="AF458" s="18">
        <v>0</v>
      </c>
      <c r="AG458" s="18">
        <v>1</v>
      </c>
      <c r="AH458" s="18">
        <v>0</v>
      </c>
      <c r="AI458" s="18">
        <v>1</v>
      </c>
      <c r="AJ458" s="18">
        <v>0</v>
      </c>
      <c r="AK458" s="18">
        <v>0</v>
      </c>
      <c r="AL458" s="18">
        <v>0</v>
      </c>
      <c r="AM458" s="18">
        <v>0</v>
      </c>
      <c r="AN458" s="18">
        <v>0</v>
      </c>
      <c r="AO458" s="18">
        <v>0</v>
      </c>
      <c r="AP458" s="18">
        <v>0</v>
      </c>
      <c r="AQ458" s="18">
        <v>0</v>
      </c>
      <c r="AR458" s="18">
        <v>0</v>
      </c>
      <c r="AS458" s="18">
        <v>0</v>
      </c>
      <c r="AT458" s="18">
        <v>1</v>
      </c>
      <c r="AU458" s="18">
        <v>0</v>
      </c>
      <c r="AV458" s="18">
        <v>0</v>
      </c>
      <c r="AW458" s="18">
        <v>1</v>
      </c>
      <c r="AX458" s="18">
        <v>0</v>
      </c>
      <c r="AY458" s="13"/>
      <c r="AZ458" s="18">
        <v>1</v>
      </c>
      <c r="BA458" s="18">
        <v>0</v>
      </c>
      <c r="BB458" s="18">
        <v>61.6</v>
      </c>
      <c r="BC458" s="18" t="s">
        <v>96</v>
      </c>
      <c r="BD458" s="18" t="s">
        <v>97</v>
      </c>
      <c r="BE458" s="18" t="s">
        <v>98</v>
      </c>
      <c r="BF458" s="18" t="s">
        <v>77</v>
      </c>
      <c r="BG458" s="18">
        <v>1</v>
      </c>
      <c r="BH458" s="18">
        <v>28</v>
      </c>
      <c r="BI458" s="18">
        <v>0.0345</v>
      </c>
      <c r="BJ458" s="18">
        <v>1</v>
      </c>
      <c r="BK458" s="18">
        <v>3</v>
      </c>
      <c r="BL458" s="18">
        <v>99.2</v>
      </c>
      <c r="BM458" s="13">
        <f t="shared" si="0"/>
        <v>11699.22</v>
      </c>
    </row>
    <row r="459" customHeight="1" spans="1:65">
      <c r="A459" s="18" t="s">
        <v>874</v>
      </c>
      <c r="B459" s="18" t="s">
        <v>93</v>
      </c>
      <c r="C459" s="13"/>
      <c r="D459" s="13"/>
      <c r="E459" s="18" t="s">
        <v>250</v>
      </c>
      <c r="F459" s="18" t="s">
        <v>82</v>
      </c>
      <c r="G459" s="18" t="s">
        <v>93</v>
      </c>
      <c r="H459" s="18" t="s">
        <v>69</v>
      </c>
      <c r="I459" s="18" t="s">
        <v>85</v>
      </c>
      <c r="J459" s="18">
        <v>5</v>
      </c>
      <c r="K459" s="16">
        <v>209.99</v>
      </c>
      <c r="L459" s="10"/>
      <c r="M459" s="16">
        <v>0</v>
      </c>
      <c r="N459" s="16">
        <v>0</v>
      </c>
      <c r="O459" s="18">
        <v>0</v>
      </c>
      <c r="P459" s="18" t="s">
        <v>71</v>
      </c>
      <c r="Q459" s="18">
        <v>5.351811</v>
      </c>
      <c r="R459" s="10"/>
      <c r="S459" s="16">
        <v>46</v>
      </c>
      <c r="T459" s="16">
        <v>20</v>
      </c>
      <c r="U459" s="18" t="s">
        <v>874</v>
      </c>
      <c r="V459" s="18" t="s">
        <v>93</v>
      </c>
      <c r="W459" s="13"/>
      <c r="X459" s="13"/>
      <c r="Y459" s="18" t="s">
        <v>250</v>
      </c>
      <c r="Z459" s="18" t="s">
        <v>82</v>
      </c>
      <c r="AA459" s="18" t="s">
        <v>93</v>
      </c>
      <c r="AB459" s="18" t="s">
        <v>69</v>
      </c>
      <c r="AC459" s="18" t="s">
        <v>85</v>
      </c>
      <c r="AD459" s="18">
        <v>414.98</v>
      </c>
      <c r="AE459" s="18">
        <v>0</v>
      </c>
      <c r="AF459" s="18">
        <v>0</v>
      </c>
      <c r="AG459" s="18">
        <v>1</v>
      </c>
      <c r="AH459" s="18">
        <v>0</v>
      </c>
      <c r="AI459" s="18">
        <v>1</v>
      </c>
      <c r="AJ459" s="18">
        <v>0</v>
      </c>
      <c r="AK459" s="18">
        <v>0</v>
      </c>
      <c r="AL459" s="18">
        <v>0</v>
      </c>
      <c r="AM459" s="18">
        <v>1</v>
      </c>
      <c r="AN459" s="18">
        <v>0</v>
      </c>
      <c r="AO459" s="18">
        <v>0</v>
      </c>
      <c r="AP459" s="18">
        <v>0</v>
      </c>
      <c r="AQ459" s="18">
        <v>0</v>
      </c>
      <c r="AR459" s="18">
        <v>0</v>
      </c>
      <c r="AS459" s="18">
        <v>0</v>
      </c>
      <c r="AT459" s="18">
        <v>1</v>
      </c>
      <c r="AU459" s="18">
        <v>0</v>
      </c>
      <c r="AV459" s="18">
        <v>0</v>
      </c>
      <c r="AW459" s="18">
        <v>0</v>
      </c>
      <c r="AX459" s="18">
        <v>0</v>
      </c>
      <c r="AY459" s="13"/>
      <c r="AZ459" s="18">
        <v>4</v>
      </c>
      <c r="BA459" s="18">
        <v>1</v>
      </c>
      <c r="BB459" s="18">
        <v>57.73</v>
      </c>
      <c r="BC459" s="18" t="s">
        <v>96</v>
      </c>
      <c r="BD459" s="18" t="s">
        <v>97</v>
      </c>
      <c r="BE459" s="18" t="s">
        <v>98</v>
      </c>
      <c r="BF459" s="18" t="s">
        <v>77</v>
      </c>
      <c r="BG459" s="18">
        <v>1</v>
      </c>
      <c r="BH459" s="18">
        <v>28</v>
      </c>
      <c r="BI459" s="18">
        <v>0.0345</v>
      </c>
      <c r="BJ459" s="18">
        <v>1</v>
      </c>
      <c r="BK459" s="18">
        <v>2</v>
      </c>
      <c r="BL459" s="18">
        <v>99.5</v>
      </c>
      <c r="BM459" s="13">
        <f t="shared" si="0"/>
        <v>9659.54</v>
      </c>
    </row>
    <row r="460" customHeight="1" spans="1:65">
      <c r="A460" s="18" t="s">
        <v>1434</v>
      </c>
      <c r="B460" s="18" t="s">
        <v>93</v>
      </c>
      <c r="C460" s="18" t="s">
        <v>1435</v>
      </c>
      <c r="D460" s="13"/>
      <c r="E460" s="18" t="s">
        <v>250</v>
      </c>
      <c r="F460" s="18" t="s">
        <v>82</v>
      </c>
      <c r="G460" s="18" t="s">
        <v>93</v>
      </c>
      <c r="H460" s="18" t="s">
        <v>69</v>
      </c>
      <c r="I460" s="18" t="s">
        <v>85</v>
      </c>
      <c r="J460" s="18">
        <v>5</v>
      </c>
      <c r="K460" s="16">
        <v>129.99</v>
      </c>
      <c r="L460" s="10"/>
      <c r="M460" s="16">
        <v>0</v>
      </c>
      <c r="N460" s="16">
        <v>0</v>
      </c>
      <c r="O460" s="18">
        <v>0</v>
      </c>
      <c r="P460" s="18" t="s">
        <v>95</v>
      </c>
      <c r="Q460" s="18">
        <v>4.875121</v>
      </c>
      <c r="R460" s="10"/>
      <c r="S460" s="16">
        <v>85</v>
      </c>
      <c r="T460" s="16">
        <v>20</v>
      </c>
      <c r="U460" s="18" t="s">
        <v>1434</v>
      </c>
      <c r="V460" s="18" t="s">
        <v>93</v>
      </c>
      <c r="W460" s="18" t="s">
        <v>2640</v>
      </c>
      <c r="X460" s="13"/>
      <c r="Y460" s="18" t="s">
        <v>250</v>
      </c>
      <c r="Z460" s="18" t="s">
        <v>82</v>
      </c>
      <c r="AA460" s="18" t="s">
        <v>93</v>
      </c>
      <c r="AB460" s="18" t="s">
        <v>69</v>
      </c>
      <c r="AC460" s="18" t="s">
        <v>85</v>
      </c>
      <c r="AD460" s="18">
        <v>254.98</v>
      </c>
      <c r="AE460" s="18">
        <v>0</v>
      </c>
      <c r="AF460" s="18">
        <v>0</v>
      </c>
      <c r="AG460" s="18">
        <v>1</v>
      </c>
      <c r="AH460" s="18">
        <v>0</v>
      </c>
      <c r="AI460" s="18">
        <v>1</v>
      </c>
      <c r="AJ460" s="18">
        <v>0</v>
      </c>
      <c r="AK460" s="18">
        <v>0</v>
      </c>
      <c r="AL460" s="18">
        <v>0</v>
      </c>
      <c r="AM460" s="18">
        <v>0</v>
      </c>
      <c r="AN460" s="18">
        <v>1</v>
      </c>
      <c r="AO460" s="18">
        <v>0</v>
      </c>
      <c r="AP460" s="18">
        <v>0</v>
      </c>
      <c r="AQ460" s="18">
        <v>0</v>
      </c>
      <c r="AR460" s="18">
        <v>0</v>
      </c>
      <c r="AS460" s="18">
        <v>0</v>
      </c>
      <c r="AT460" s="18">
        <v>0</v>
      </c>
      <c r="AU460" s="18">
        <v>0</v>
      </c>
      <c r="AV460" s="18">
        <v>0</v>
      </c>
      <c r="AW460" s="18">
        <v>0</v>
      </c>
      <c r="AX460" s="18">
        <v>0</v>
      </c>
      <c r="AY460" s="13"/>
      <c r="AZ460" s="18">
        <v>1</v>
      </c>
      <c r="BA460" s="18">
        <v>3</v>
      </c>
      <c r="BB460" s="18">
        <v>61.9</v>
      </c>
      <c r="BC460" s="18" t="s">
        <v>96</v>
      </c>
      <c r="BD460" s="18" t="s">
        <v>97</v>
      </c>
      <c r="BE460" s="18" t="s">
        <v>98</v>
      </c>
      <c r="BF460" s="18" t="s">
        <v>77</v>
      </c>
      <c r="BG460" s="18">
        <v>1</v>
      </c>
      <c r="BH460" s="18">
        <v>28</v>
      </c>
      <c r="BI460" s="18">
        <v>0.0345</v>
      </c>
      <c r="BJ460" s="18">
        <v>1</v>
      </c>
      <c r="BK460" s="18">
        <v>6</v>
      </c>
      <c r="BL460" s="18">
        <v>98.4</v>
      </c>
      <c r="BM460" s="13">
        <f t="shared" si="0"/>
        <v>11049.15</v>
      </c>
    </row>
    <row r="461" customHeight="1" spans="1:65">
      <c r="A461" s="18" t="s">
        <v>2348</v>
      </c>
      <c r="B461" s="18" t="s">
        <v>93</v>
      </c>
      <c r="C461" s="13"/>
      <c r="D461" s="13"/>
      <c r="E461" s="18" t="s">
        <v>250</v>
      </c>
      <c r="F461" s="18" t="s">
        <v>82</v>
      </c>
      <c r="G461" s="18" t="s">
        <v>93</v>
      </c>
      <c r="H461" s="18" t="s">
        <v>69</v>
      </c>
      <c r="I461" s="18" t="s">
        <v>85</v>
      </c>
      <c r="J461" s="18">
        <v>5</v>
      </c>
      <c r="K461" s="16">
        <v>179.99</v>
      </c>
      <c r="L461" s="10"/>
      <c r="M461" s="16">
        <v>0</v>
      </c>
      <c r="N461" s="16">
        <v>0</v>
      </c>
      <c r="O461" s="18">
        <v>0</v>
      </c>
      <c r="P461" s="18" t="s">
        <v>95</v>
      </c>
      <c r="Q461" s="18">
        <v>5.198442</v>
      </c>
      <c r="R461" s="10"/>
      <c r="S461" s="16">
        <v>49</v>
      </c>
      <c r="T461" s="16">
        <v>20</v>
      </c>
      <c r="U461" s="18" t="s">
        <v>2348</v>
      </c>
      <c r="V461" s="18" t="s">
        <v>93</v>
      </c>
      <c r="W461" s="13"/>
      <c r="X461" s="13"/>
      <c r="Y461" s="18" t="s">
        <v>250</v>
      </c>
      <c r="Z461" s="18" t="s">
        <v>82</v>
      </c>
      <c r="AA461" s="18" t="s">
        <v>93</v>
      </c>
      <c r="AB461" s="18" t="s">
        <v>69</v>
      </c>
      <c r="AC461" s="18" t="s">
        <v>85</v>
      </c>
      <c r="AD461" s="18">
        <v>354.98</v>
      </c>
      <c r="AE461" s="18">
        <v>1</v>
      </c>
      <c r="AF461" s="18">
        <v>0</v>
      </c>
      <c r="AG461" s="18">
        <v>0</v>
      </c>
      <c r="AH461" s="18">
        <v>0</v>
      </c>
      <c r="AI461" s="18">
        <v>0</v>
      </c>
      <c r="AJ461" s="18">
        <v>0</v>
      </c>
      <c r="AK461" s="18">
        <v>0</v>
      </c>
      <c r="AL461" s="18">
        <v>0</v>
      </c>
      <c r="AM461" s="18">
        <v>0</v>
      </c>
      <c r="AN461" s="18">
        <v>0</v>
      </c>
      <c r="AO461" s="18">
        <v>0</v>
      </c>
      <c r="AP461" s="18">
        <v>0</v>
      </c>
      <c r="AQ461" s="18">
        <v>0</v>
      </c>
      <c r="AR461" s="18">
        <v>0</v>
      </c>
      <c r="AS461" s="18">
        <v>0</v>
      </c>
      <c r="AT461" s="18">
        <v>0</v>
      </c>
      <c r="AU461" s="18">
        <v>0</v>
      </c>
      <c r="AV461" s="18">
        <v>0</v>
      </c>
      <c r="AW461" s="18">
        <v>0</v>
      </c>
      <c r="AX461" s="18">
        <v>0</v>
      </c>
      <c r="AY461" s="13"/>
      <c r="AZ461" s="18">
        <v>1</v>
      </c>
      <c r="BA461" s="18">
        <v>1</v>
      </c>
      <c r="BB461" s="18">
        <v>57.98</v>
      </c>
      <c r="BC461" s="18" t="s">
        <v>96</v>
      </c>
      <c r="BD461" s="18" t="s">
        <v>97</v>
      </c>
      <c r="BE461" s="18" t="s">
        <v>98</v>
      </c>
      <c r="BF461" s="18" t="s">
        <v>77</v>
      </c>
      <c r="BG461" s="18">
        <v>1</v>
      </c>
      <c r="BH461" s="18">
        <v>28</v>
      </c>
      <c r="BI461" s="18">
        <v>0.0345</v>
      </c>
      <c r="BJ461" s="18">
        <v>1</v>
      </c>
      <c r="BK461" s="18">
        <v>5</v>
      </c>
      <c r="BL461" s="18">
        <v>98.6</v>
      </c>
      <c r="BM461" s="13">
        <f t="shared" si="0"/>
        <v>8819.51</v>
      </c>
    </row>
    <row r="462" customHeight="1" spans="1:65">
      <c r="A462" s="18" t="s">
        <v>942</v>
      </c>
      <c r="B462" s="18" t="s">
        <v>93</v>
      </c>
      <c r="C462" s="13"/>
      <c r="D462" s="18">
        <v>725423889475</v>
      </c>
      <c r="E462" s="18" t="s">
        <v>209</v>
      </c>
      <c r="F462" s="18" t="s">
        <v>160</v>
      </c>
      <c r="G462" s="18" t="s">
        <v>93</v>
      </c>
      <c r="H462" s="18" t="s">
        <v>69</v>
      </c>
      <c r="I462" s="18" t="s">
        <v>85</v>
      </c>
      <c r="J462" s="18">
        <v>5</v>
      </c>
      <c r="K462" s="16">
        <v>439.99</v>
      </c>
      <c r="L462" s="10"/>
      <c r="M462" s="16">
        <v>0</v>
      </c>
      <c r="N462" s="16">
        <v>0</v>
      </c>
      <c r="O462" s="18">
        <v>0</v>
      </c>
      <c r="P462" s="18" t="s">
        <v>71</v>
      </c>
      <c r="Q462" s="18">
        <v>6.089022</v>
      </c>
      <c r="R462" s="16">
        <v>55</v>
      </c>
      <c r="S462" s="16">
        <v>13</v>
      </c>
      <c r="T462" s="16">
        <v>30</v>
      </c>
      <c r="U462" s="18" t="s">
        <v>942</v>
      </c>
      <c r="V462" s="18" t="s">
        <v>93</v>
      </c>
      <c r="W462" s="13"/>
      <c r="X462" s="18">
        <v>725423889476</v>
      </c>
      <c r="Y462" s="18" t="s">
        <v>209</v>
      </c>
      <c r="Z462" s="18" t="s">
        <v>160</v>
      </c>
      <c r="AA462" s="18" t="s">
        <v>93</v>
      </c>
      <c r="AB462" s="18" t="s">
        <v>69</v>
      </c>
      <c r="AC462" s="18" t="s">
        <v>85</v>
      </c>
      <c r="AD462" s="18">
        <v>874.98</v>
      </c>
      <c r="AE462" s="18">
        <v>0</v>
      </c>
      <c r="AF462" s="18">
        <v>0</v>
      </c>
      <c r="AG462" s="18">
        <v>1</v>
      </c>
      <c r="AH462" s="18">
        <v>0</v>
      </c>
      <c r="AI462" s="18">
        <v>1</v>
      </c>
      <c r="AJ462" s="18">
        <v>0</v>
      </c>
      <c r="AK462" s="18">
        <v>0</v>
      </c>
      <c r="AL462" s="18">
        <v>0</v>
      </c>
      <c r="AM462" s="18">
        <v>0</v>
      </c>
      <c r="AN462" s="18">
        <v>0</v>
      </c>
      <c r="AO462" s="18">
        <v>0</v>
      </c>
      <c r="AP462" s="18">
        <v>0</v>
      </c>
      <c r="AQ462" s="18">
        <v>1</v>
      </c>
      <c r="AR462" s="18">
        <v>0</v>
      </c>
      <c r="AS462" s="18">
        <v>0</v>
      </c>
      <c r="AT462" s="18">
        <v>0</v>
      </c>
      <c r="AU462" s="18">
        <v>0</v>
      </c>
      <c r="AV462" s="18">
        <v>1</v>
      </c>
      <c r="AW462" s="18">
        <v>1</v>
      </c>
      <c r="AX462" s="18">
        <v>0</v>
      </c>
      <c r="AY462" s="18">
        <v>8</v>
      </c>
      <c r="AZ462" s="18">
        <v>1</v>
      </c>
      <c r="BA462" s="18">
        <v>1</v>
      </c>
      <c r="BB462" s="18">
        <v>41.94</v>
      </c>
      <c r="BC462" s="18" t="s">
        <v>96</v>
      </c>
      <c r="BD462" s="18" t="s">
        <v>97</v>
      </c>
      <c r="BE462" s="18" t="s">
        <v>98</v>
      </c>
      <c r="BF462" s="18" t="s">
        <v>77</v>
      </c>
      <c r="BG462" s="18">
        <v>1</v>
      </c>
      <c r="BH462" s="18">
        <v>28</v>
      </c>
      <c r="BI462" s="18">
        <v>0.0345</v>
      </c>
      <c r="BJ462" s="18">
        <v>1</v>
      </c>
      <c r="BK462" s="18">
        <v>2</v>
      </c>
      <c r="BL462" s="18">
        <v>99.5</v>
      </c>
      <c r="BM462" s="13">
        <f t="shared" si="0"/>
        <v>5719.87</v>
      </c>
    </row>
    <row r="463" customHeight="1" spans="1:65">
      <c r="A463" s="18" t="s">
        <v>1334</v>
      </c>
      <c r="B463" s="18" t="s">
        <v>93</v>
      </c>
      <c r="C463" s="13"/>
      <c r="D463" s="13"/>
      <c r="E463" s="18" t="s">
        <v>255</v>
      </c>
      <c r="F463" s="18" t="s">
        <v>160</v>
      </c>
      <c r="G463" s="18" t="s">
        <v>93</v>
      </c>
      <c r="H463" s="18" t="s">
        <v>69</v>
      </c>
      <c r="I463" s="18" t="s">
        <v>85</v>
      </c>
      <c r="J463" s="18">
        <v>5</v>
      </c>
      <c r="K463" s="16">
        <v>1149</v>
      </c>
      <c r="L463" s="10"/>
      <c r="M463" s="16">
        <v>0</v>
      </c>
      <c r="N463" s="16">
        <v>0</v>
      </c>
      <c r="O463" s="18">
        <v>0</v>
      </c>
      <c r="P463" s="18" t="s">
        <v>147</v>
      </c>
      <c r="Q463" s="18">
        <v>7.047517</v>
      </c>
      <c r="R463" s="16">
        <v>71.81</v>
      </c>
      <c r="S463" s="16">
        <v>47</v>
      </c>
      <c r="T463" s="16">
        <v>5</v>
      </c>
      <c r="U463" s="18" t="s">
        <v>1334</v>
      </c>
      <c r="V463" s="18" t="s">
        <v>93</v>
      </c>
      <c r="W463" s="13"/>
      <c r="X463" s="13"/>
      <c r="Y463" s="18" t="s">
        <v>255</v>
      </c>
      <c r="Z463" s="18" t="s">
        <v>160</v>
      </c>
      <c r="AA463" s="18" t="s">
        <v>93</v>
      </c>
      <c r="AB463" s="18" t="s">
        <v>69</v>
      </c>
      <c r="AC463" s="18" t="s">
        <v>85</v>
      </c>
      <c r="AD463" s="18">
        <v>2293</v>
      </c>
      <c r="AE463" s="18">
        <v>0</v>
      </c>
      <c r="AF463" s="18">
        <v>0</v>
      </c>
      <c r="AG463" s="18">
        <v>1</v>
      </c>
      <c r="AH463" s="18">
        <v>0</v>
      </c>
      <c r="AI463" s="18">
        <v>1</v>
      </c>
      <c r="AJ463" s="18">
        <v>0</v>
      </c>
      <c r="AK463" s="18">
        <v>0</v>
      </c>
      <c r="AL463" s="18">
        <v>0</v>
      </c>
      <c r="AM463" s="18">
        <v>0</v>
      </c>
      <c r="AN463" s="18">
        <v>0</v>
      </c>
      <c r="AO463" s="18">
        <v>0</v>
      </c>
      <c r="AP463" s="18">
        <v>0</v>
      </c>
      <c r="AQ463" s="18">
        <v>1</v>
      </c>
      <c r="AR463" s="18">
        <v>0</v>
      </c>
      <c r="AS463" s="18">
        <v>0</v>
      </c>
      <c r="AT463" s="18">
        <v>1</v>
      </c>
      <c r="AU463" s="18">
        <v>0</v>
      </c>
      <c r="AV463" s="18">
        <v>1</v>
      </c>
      <c r="AW463" s="18">
        <v>1</v>
      </c>
      <c r="AX463" s="18">
        <v>0</v>
      </c>
      <c r="AY463" s="18">
        <v>16</v>
      </c>
      <c r="AZ463" s="18">
        <v>1</v>
      </c>
      <c r="BA463" s="18">
        <v>1</v>
      </c>
      <c r="BB463" s="18">
        <v>66</v>
      </c>
      <c r="BC463" s="18" t="s">
        <v>96</v>
      </c>
      <c r="BD463" s="18" t="s">
        <v>97</v>
      </c>
      <c r="BE463" s="18" t="s">
        <v>98</v>
      </c>
      <c r="BF463" s="18" t="s">
        <v>77</v>
      </c>
      <c r="BG463" s="18">
        <v>1</v>
      </c>
      <c r="BH463" s="18">
        <v>28</v>
      </c>
      <c r="BI463" s="18">
        <v>0.0345</v>
      </c>
      <c r="BJ463" s="18">
        <v>1</v>
      </c>
      <c r="BK463" s="18">
        <v>2</v>
      </c>
      <c r="BL463" s="18">
        <v>99.5</v>
      </c>
      <c r="BM463" s="13">
        <f t="shared" si="0"/>
        <v>54003</v>
      </c>
    </row>
    <row r="464" customHeight="1" spans="1:65">
      <c r="A464" s="18" t="s">
        <v>414</v>
      </c>
      <c r="B464" s="18" t="s">
        <v>93</v>
      </c>
      <c r="C464" s="13"/>
      <c r="D464" s="13"/>
      <c r="E464" s="19" t="s">
        <v>415</v>
      </c>
      <c r="F464" s="18" t="s">
        <v>82</v>
      </c>
      <c r="G464" s="18" t="s">
        <v>93</v>
      </c>
      <c r="H464" s="18" t="s">
        <v>69</v>
      </c>
      <c r="I464" s="18" t="s">
        <v>85</v>
      </c>
      <c r="J464" s="18">
        <v>5</v>
      </c>
      <c r="K464" s="16">
        <v>139.99</v>
      </c>
      <c r="L464" s="10"/>
      <c r="M464" s="16">
        <v>0</v>
      </c>
      <c r="N464" s="16">
        <v>0</v>
      </c>
      <c r="O464" s="18">
        <v>0</v>
      </c>
      <c r="P464" s="18" t="s">
        <v>95</v>
      </c>
      <c r="Q464" s="18">
        <v>4.948689</v>
      </c>
      <c r="R464" s="10"/>
      <c r="S464" s="16">
        <v>64</v>
      </c>
      <c r="T464" s="16">
        <v>9</v>
      </c>
      <c r="U464" s="18" t="s">
        <v>414</v>
      </c>
      <c r="V464" s="18" t="s">
        <v>93</v>
      </c>
      <c r="W464" s="13"/>
      <c r="X464" s="13"/>
      <c r="Y464" s="19" t="s">
        <v>415</v>
      </c>
      <c r="Z464" s="18" t="s">
        <v>82</v>
      </c>
      <c r="AA464" s="18" t="s">
        <v>93</v>
      </c>
      <c r="AB464" s="18" t="s">
        <v>69</v>
      </c>
      <c r="AC464" s="18" t="s">
        <v>85</v>
      </c>
      <c r="AD464" s="18">
        <v>274.98</v>
      </c>
      <c r="AE464" s="18">
        <v>0</v>
      </c>
      <c r="AF464" s="18">
        <v>0</v>
      </c>
      <c r="AG464" s="18">
        <v>1</v>
      </c>
      <c r="AH464" s="18">
        <v>1</v>
      </c>
      <c r="AI464" s="18">
        <v>0</v>
      </c>
      <c r="AJ464" s="18">
        <v>0</v>
      </c>
      <c r="AK464" s="18">
        <v>0</v>
      </c>
      <c r="AL464" s="18">
        <v>0</v>
      </c>
      <c r="AM464" s="18">
        <v>0</v>
      </c>
      <c r="AN464" s="18">
        <v>0</v>
      </c>
      <c r="AO464" s="18">
        <v>0</v>
      </c>
      <c r="AP464" s="18">
        <v>0</v>
      </c>
      <c r="AQ464" s="18">
        <v>0</v>
      </c>
      <c r="AR464" s="18">
        <v>0</v>
      </c>
      <c r="AS464" s="18">
        <v>0</v>
      </c>
      <c r="AT464" s="18">
        <v>0</v>
      </c>
      <c r="AU464" s="18">
        <v>0</v>
      </c>
      <c r="AV464" s="18">
        <v>0</v>
      </c>
      <c r="AW464" s="18">
        <v>0</v>
      </c>
      <c r="AX464" s="18">
        <v>0</v>
      </c>
      <c r="AY464" s="13"/>
      <c r="AZ464" s="18">
        <v>1</v>
      </c>
      <c r="BA464" s="18">
        <v>3</v>
      </c>
      <c r="BB464" s="18">
        <v>64.92</v>
      </c>
      <c r="BC464" s="18" t="s">
        <v>96</v>
      </c>
      <c r="BD464" s="18" t="s">
        <v>97</v>
      </c>
      <c r="BE464" s="18" t="s">
        <v>98</v>
      </c>
      <c r="BF464" s="18" t="s">
        <v>77</v>
      </c>
      <c r="BG464" s="18">
        <v>1</v>
      </c>
      <c r="BH464" s="18">
        <v>28</v>
      </c>
      <c r="BI464" s="18">
        <v>0.0345</v>
      </c>
      <c r="BJ464" s="18">
        <v>1</v>
      </c>
      <c r="BK464" s="18">
        <v>2</v>
      </c>
      <c r="BL464" s="18">
        <v>99.5</v>
      </c>
      <c r="BM464" s="13">
        <f t="shared" si="0"/>
        <v>8959.36</v>
      </c>
    </row>
    <row r="465" customHeight="1" spans="1:65">
      <c r="A465" s="18" t="s">
        <v>1720</v>
      </c>
      <c r="B465" s="18" t="s">
        <v>93</v>
      </c>
      <c r="C465" s="13"/>
      <c r="D465" s="13"/>
      <c r="E465" s="18" t="s">
        <v>1721</v>
      </c>
      <c r="F465" s="18" t="s">
        <v>82</v>
      </c>
      <c r="G465" s="18" t="s">
        <v>93</v>
      </c>
      <c r="H465" s="18" t="s">
        <v>69</v>
      </c>
      <c r="I465" s="18" t="s">
        <v>85</v>
      </c>
      <c r="J465" s="18">
        <v>5</v>
      </c>
      <c r="K465" s="16">
        <v>39.99</v>
      </c>
      <c r="L465" s="10"/>
      <c r="M465" s="16">
        <v>0</v>
      </c>
      <c r="N465" s="16">
        <v>0</v>
      </c>
      <c r="O465" s="18">
        <v>0</v>
      </c>
      <c r="P465" s="18" t="s">
        <v>86</v>
      </c>
      <c r="Q465" s="18">
        <v>3.713328</v>
      </c>
      <c r="R465" s="10"/>
      <c r="S465" s="16">
        <v>258</v>
      </c>
      <c r="T465" s="16">
        <v>29</v>
      </c>
      <c r="U465" s="18" t="s">
        <v>1720</v>
      </c>
      <c r="V465" s="18" t="s">
        <v>93</v>
      </c>
      <c r="W465" s="13"/>
      <c r="X465" s="13"/>
      <c r="Y465" s="18" t="s">
        <v>2641</v>
      </c>
      <c r="Z465" s="18" t="s">
        <v>82</v>
      </c>
      <c r="AA465" s="18" t="s">
        <v>93</v>
      </c>
      <c r="AB465" s="18" t="s">
        <v>69</v>
      </c>
      <c r="AC465" s="18" t="s">
        <v>85</v>
      </c>
      <c r="AD465" s="18">
        <v>74.98</v>
      </c>
      <c r="AE465" s="18">
        <v>0</v>
      </c>
      <c r="AF465" s="18">
        <v>0</v>
      </c>
      <c r="AG465" s="18">
        <v>0</v>
      </c>
      <c r="AH465" s="18">
        <v>1</v>
      </c>
      <c r="AI465" s="18">
        <v>0</v>
      </c>
      <c r="AJ465" s="18">
        <v>0</v>
      </c>
      <c r="AK465" s="18">
        <v>1</v>
      </c>
      <c r="AL465" s="18">
        <v>0</v>
      </c>
      <c r="AM465" s="18">
        <v>0</v>
      </c>
      <c r="AN465" s="18">
        <v>0</v>
      </c>
      <c r="AO465" s="18">
        <v>0</v>
      </c>
      <c r="AP465" s="18">
        <v>0</v>
      </c>
      <c r="AQ465" s="18">
        <v>0</v>
      </c>
      <c r="AR465" s="18">
        <v>0</v>
      </c>
      <c r="AS465" s="18">
        <v>0</v>
      </c>
      <c r="AT465" s="18">
        <v>0</v>
      </c>
      <c r="AU465" s="18">
        <v>1</v>
      </c>
      <c r="AV465" s="18">
        <v>0</v>
      </c>
      <c r="AW465" s="18">
        <v>0</v>
      </c>
      <c r="AX465" s="18">
        <v>0</v>
      </c>
      <c r="AY465" s="13"/>
      <c r="AZ465" s="18">
        <v>1</v>
      </c>
      <c r="BA465" s="18">
        <v>2</v>
      </c>
      <c r="BB465" s="18">
        <v>65.72</v>
      </c>
      <c r="BC465" s="18" t="s">
        <v>96</v>
      </c>
      <c r="BD465" s="18" t="s">
        <v>97</v>
      </c>
      <c r="BE465" s="18" t="s">
        <v>98</v>
      </c>
      <c r="BF465" s="18" t="s">
        <v>77</v>
      </c>
      <c r="BG465" s="18">
        <v>1</v>
      </c>
      <c r="BH465" s="18">
        <v>28</v>
      </c>
      <c r="BI465" s="18">
        <v>0.0345</v>
      </c>
      <c r="BJ465" s="18">
        <v>1</v>
      </c>
      <c r="BK465" s="18">
        <v>3</v>
      </c>
      <c r="BL465" s="18">
        <v>99.2</v>
      </c>
      <c r="BM465" s="13">
        <f t="shared" si="0"/>
        <v>10317.42</v>
      </c>
    </row>
    <row r="466" customHeight="1" spans="1:65">
      <c r="A466" s="18" t="s">
        <v>899</v>
      </c>
      <c r="B466" s="18" t="s">
        <v>93</v>
      </c>
      <c r="C466" s="13"/>
      <c r="D466" s="13"/>
      <c r="E466" s="18" t="s">
        <v>559</v>
      </c>
      <c r="F466" s="18" t="s">
        <v>160</v>
      </c>
      <c r="G466" s="18" t="s">
        <v>93</v>
      </c>
      <c r="H466" s="18" t="s">
        <v>69</v>
      </c>
      <c r="I466" s="18" t="s">
        <v>108</v>
      </c>
      <c r="J466" s="18">
        <v>3</v>
      </c>
      <c r="K466" s="16">
        <v>239.99</v>
      </c>
      <c r="L466" s="16">
        <v>399.99</v>
      </c>
      <c r="M466" s="16">
        <v>40</v>
      </c>
      <c r="N466" s="16">
        <v>160</v>
      </c>
      <c r="O466" s="18">
        <v>1</v>
      </c>
      <c r="P466" s="18" t="s">
        <v>71</v>
      </c>
      <c r="Q466" s="18">
        <v>5.484755</v>
      </c>
      <c r="R466" s="16">
        <v>15</v>
      </c>
      <c r="S466" s="16">
        <v>131</v>
      </c>
      <c r="T466" s="16">
        <v>19</v>
      </c>
      <c r="U466" s="18" t="s">
        <v>899</v>
      </c>
      <c r="V466" s="18" t="s">
        <v>93</v>
      </c>
      <c r="W466" s="13"/>
      <c r="X466" s="13"/>
      <c r="Y466" s="18" t="s">
        <v>559</v>
      </c>
      <c r="Z466" s="18" t="s">
        <v>160</v>
      </c>
      <c r="AA466" s="18" t="s">
        <v>93</v>
      </c>
      <c r="AB466" s="18" t="s">
        <v>69</v>
      </c>
      <c r="AC466" s="18" t="s">
        <v>108</v>
      </c>
      <c r="AD466" s="18">
        <v>79.6673333333334</v>
      </c>
      <c r="AE466" s="18">
        <v>0</v>
      </c>
      <c r="AF466" s="18">
        <v>0</v>
      </c>
      <c r="AG466" s="18">
        <v>0</v>
      </c>
      <c r="AH466" s="18">
        <v>0</v>
      </c>
      <c r="AI466" s="18">
        <v>0</v>
      </c>
      <c r="AJ466" s="18">
        <v>0</v>
      </c>
      <c r="AK466" s="18">
        <v>0</v>
      </c>
      <c r="AL466" s="18">
        <v>0</v>
      </c>
      <c r="AM466" s="18">
        <v>0</v>
      </c>
      <c r="AN466" s="18">
        <v>0</v>
      </c>
      <c r="AO466" s="18">
        <v>0</v>
      </c>
      <c r="AP466" s="18">
        <v>0</v>
      </c>
      <c r="AQ466" s="18">
        <v>1</v>
      </c>
      <c r="AR466" s="18">
        <v>0</v>
      </c>
      <c r="AS466" s="18">
        <v>0</v>
      </c>
      <c r="AT466" s="18">
        <v>0</v>
      </c>
      <c r="AU466" s="18">
        <v>0</v>
      </c>
      <c r="AV466" s="18">
        <v>1</v>
      </c>
      <c r="AW466" s="18">
        <v>1</v>
      </c>
      <c r="AX466" s="18">
        <v>0</v>
      </c>
      <c r="AY466" s="18">
        <v>16</v>
      </c>
      <c r="AZ466" s="18">
        <v>1</v>
      </c>
      <c r="BA466" s="18">
        <v>1</v>
      </c>
      <c r="BB466" s="18">
        <v>76.78</v>
      </c>
      <c r="BC466" s="18" t="s">
        <v>96</v>
      </c>
      <c r="BD466" s="18" t="s">
        <v>97</v>
      </c>
      <c r="BE466" s="18" t="s">
        <v>98</v>
      </c>
      <c r="BF466" s="18" t="s">
        <v>77</v>
      </c>
      <c r="BG466" s="18">
        <v>1</v>
      </c>
      <c r="BH466" s="18">
        <v>28</v>
      </c>
      <c r="BI466" s="18">
        <v>0.0345</v>
      </c>
      <c r="BJ466" s="18">
        <v>1</v>
      </c>
      <c r="BK466" s="18">
        <v>2</v>
      </c>
      <c r="BL466" s="18">
        <v>99.5</v>
      </c>
      <c r="BM466" s="13">
        <f t="shared" si="0"/>
        <v>31438.69</v>
      </c>
    </row>
    <row r="467" customHeight="1" spans="1:65">
      <c r="A467" s="18" t="s">
        <v>1783</v>
      </c>
      <c r="B467" s="18" t="s">
        <v>93</v>
      </c>
      <c r="C467" s="13"/>
      <c r="D467" s="13"/>
      <c r="E467" s="18" t="s">
        <v>559</v>
      </c>
      <c r="F467" s="18" t="s">
        <v>160</v>
      </c>
      <c r="G467" s="18" t="s">
        <v>93</v>
      </c>
      <c r="H467" s="18" t="s">
        <v>69</v>
      </c>
      <c r="I467" s="18" t="s">
        <v>85</v>
      </c>
      <c r="J467" s="18">
        <v>5</v>
      </c>
      <c r="K467" s="16">
        <v>134.99</v>
      </c>
      <c r="L467" s="10"/>
      <c r="M467" s="16">
        <v>0</v>
      </c>
      <c r="N467" s="16">
        <v>0</v>
      </c>
      <c r="O467" s="18">
        <v>0</v>
      </c>
      <c r="P467" s="18" t="s">
        <v>95</v>
      </c>
      <c r="Q467" s="18">
        <v>4.912581</v>
      </c>
      <c r="R467" s="10"/>
      <c r="S467" s="16">
        <v>38</v>
      </c>
      <c r="T467" s="16">
        <v>20</v>
      </c>
      <c r="U467" s="18" t="s">
        <v>1783</v>
      </c>
      <c r="V467" s="18" t="s">
        <v>93</v>
      </c>
      <c r="W467" s="13"/>
      <c r="X467" s="13"/>
      <c r="Y467" s="18" t="s">
        <v>559</v>
      </c>
      <c r="Z467" s="18" t="s">
        <v>160</v>
      </c>
      <c r="AA467" s="18" t="s">
        <v>93</v>
      </c>
      <c r="AB467" s="18" t="s">
        <v>69</v>
      </c>
      <c r="AC467" s="18" t="s">
        <v>85</v>
      </c>
      <c r="AD467" s="18">
        <v>264.98</v>
      </c>
      <c r="AE467" s="18">
        <v>0</v>
      </c>
      <c r="AF467" s="18">
        <v>0</v>
      </c>
      <c r="AG467" s="18">
        <v>0</v>
      </c>
      <c r="AH467" s="18">
        <v>1</v>
      </c>
      <c r="AI467" s="18">
        <v>0</v>
      </c>
      <c r="AJ467" s="18">
        <v>0</v>
      </c>
      <c r="AK467" s="18">
        <v>0</v>
      </c>
      <c r="AL467" s="18">
        <v>0</v>
      </c>
      <c r="AM467" s="18">
        <v>0</v>
      </c>
      <c r="AN467" s="18">
        <v>0</v>
      </c>
      <c r="AO467" s="18">
        <v>0</v>
      </c>
      <c r="AP467" s="18">
        <v>0</v>
      </c>
      <c r="AQ467" s="18">
        <v>1</v>
      </c>
      <c r="AR467" s="18">
        <v>0</v>
      </c>
      <c r="AS467" s="18">
        <v>0</v>
      </c>
      <c r="AT467" s="18">
        <v>0</v>
      </c>
      <c r="AU467" s="18">
        <v>0</v>
      </c>
      <c r="AV467" s="18">
        <v>0</v>
      </c>
      <c r="AW467" s="18">
        <v>0</v>
      </c>
      <c r="AX467" s="18">
        <v>0</v>
      </c>
      <c r="AY467" s="13"/>
      <c r="AZ467" s="18">
        <v>1</v>
      </c>
      <c r="BA467" s="18">
        <v>2</v>
      </c>
      <c r="BB467" s="18">
        <v>55.88</v>
      </c>
      <c r="BC467" s="18" t="s">
        <v>96</v>
      </c>
      <c r="BD467" s="18" t="s">
        <v>97</v>
      </c>
      <c r="BE467" s="18" t="s">
        <v>98</v>
      </c>
      <c r="BF467" s="18" t="s">
        <v>77</v>
      </c>
      <c r="BG467" s="18">
        <v>1</v>
      </c>
      <c r="BH467" s="18">
        <v>28</v>
      </c>
      <c r="BI467" s="18">
        <v>0.0345</v>
      </c>
      <c r="BJ467" s="18">
        <v>1</v>
      </c>
      <c r="BK467" s="18">
        <v>4</v>
      </c>
      <c r="BL467" s="18">
        <v>98.9</v>
      </c>
      <c r="BM467" s="13">
        <f t="shared" si="0"/>
        <v>5129.62</v>
      </c>
    </row>
    <row r="468" customHeight="1" spans="1:65">
      <c r="A468" s="18" t="s">
        <v>1676</v>
      </c>
      <c r="B468" s="18" t="s">
        <v>93</v>
      </c>
      <c r="C468" s="13"/>
      <c r="D468" s="13"/>
      <c r="E468" s="18" t="s">
        <v>371</v>
      </c>
      <c r="F468" s="18" t="s">
        <v>82</v>
      </c>
      <c r="G468" s="18" t="s">
        <v>93</v>
      </c>
      <c r="H468" s="18" t="s">
        <v>69</v>
      </c>
      <c r="I468" s="18" t="s">
        <v>85</v>
      </c>
      <c r="J468" s="18">
        <v>5</v>
      </c>
      <c r="K468" s="16">
        <v>199.99</v>
      </c>
      <c r="L468" s="10"/>
      <c r="M468" s="16">
        <v>0</v>
      </c>
      <c r="N468" s="16">
        <v>0</v>
      </c>
      <c r="O468" s="18">
        <v>0</v>
      </c>
      <c r="P468" s="18" t="s">
        <v>95</v>
      </c>
      <c r="Q468" s="18">
        <v>5.303255</v>
      </c>
      <c r="R468" s="10"/>
      <c r="S468" s="16">
        <v>67</v>
      </c>
      <c r="T468" s="16">
        <v>20</v>
      </c>
      <c r="U468" s="18" t="s">
        <v>1676</v>
      </c>
      <c r="V468" s="18" t="s">
        <v>93</v>
      </c>
      <c r="W468" s="13"/>
      <c r="X468" s="13"/>
      <c r="Y468" s="18" t="s">
        <v>371</v>
      </c>
      <c r="Z468" s="18" t="s">
        <v>82</v>
      </c>
      <c r="AA468" s="18" t="s">
        <v>93</v>
      </c>
      <c r="AB468" s="18" t="s">
        <v>69</v>
      </c>
      <c r="AC468" s="18" t="s">
        <v>85</v>
      </c>
      <c r="AD468" s="18">
        <v>394.98</v>
      </c>
      <c r="AE468" s="18">
        <v>0</v>
      </c>
      <c r="AF468" s="18">
        <v>0</v>
      </c>
      <c r="AG468" s="18">
        <v>0</v>
      </c>
      <c r="AH468" s="18">
        <v>1</v>
      </c>
      <c r="AI468" s="18">
        <v>0</v>
      </c>
      <c r="AJ468" s="18">
        <v>0</v>
      </c>
      <c r="AK468" s="18">
        <v>0</v>
      </c>
      <c r="AL468" s="18">
        <v>0</v>
      </c>
      <c r="AM468" s="18">
        <v>0</v>
      </c>
      <c r="AN468" s="18">
        <v>0</v>
      </c>
      <c r="AO468" s="18">
        <v>0</v>
      </c>
      <c r="AP468" s="18">
        <v>0</v>
      </c>
      <c r="AQ468" s="18">
        <v>0</v>
      </c>
      <c r="AR468" s="18">
        <v>0</v>
      </c>
      <c r="AS468" s="18">
        <v>0</v>
      </c>
      <c r="AT468" s="18">
        <v>1</v>
      </c>
      <c r="AU468" s="18">
        <v>0</v>
      </c>
      <c r="AV468" s="18">
        <v>0</v>
      </c>
      <c r="AW468" s="18">
        <v>0</v>
      </c>
      <c r="AX468" s="18">
        <v>0</v>
      </c>
      <c r="AY468" s="13"/>
      <c r="AZ468" s="18">
        <v>1</v>
      </c>
      <c r="BA468" s="18">
        <v>1</v>
      </c>
      <c r="BB468" s="18">
        <v>60.05</v>
      </c>
      <c r="BC468" s="18" t="s">
        <v>96</v>
      </c>
      <c r="BD468" s="18" t="s">
        <v>97</v>
      </c>
      <c r="BE468" s="18" t="s">
        <v>98</v>
      </c>
      <c r="BF468" s="18" t="s">
        <v>77</v>
      </c>
      <c r="BG468" s="18">
        <v>1</v>
      </c>
      <c r="BH468" s="18">
        <v>28</v>
      </c>
      <c r="BI468" s="18">
        <v>0.0345</v>
      </c>
      <c r="BJ468" s="18">
        <v>1</v>
      </c>
      <c r="BK468" s="18">
        <v>9</v>
      </c>
      <c r="BL468" s="18">
        <v>97.5</v>
      </c>
      <c r="BM468" s="13">
        <f t="shared" si="0"/>
        <v>13399.33</v>
      </c>
    </row>
    <row r="469" customHeight="1" spans="1:65">
      <c r="A469" s="18" t="s">
        <v>92</v>
      </c>
      <c r="B469" s="18" t="s">
        <v>93</v>
      </c>
      <c r="C469" s="13"/>
      <c r="D469" s="13"/>
      <c r="E469" s="18" t="s">
        <v>94</v>
      </c>
      <c r="F469" s="18" t="s">
        <v>82</v>
      </c>
      <c r="G469" s="18" t="s">
        <v>93</v>
      </c>
      <c r="H469" s="18" t="s">
        <v>69</v>
      </c>
      <c r="I469" s="18" t="s">
        <v>85</v>
      </c>
      <c r="J469" s="18">
        <v>5</v>
      </c>
      <c r="K469" s="16">
        <v>129.99</v>
      </c>
      <c r="L469" s="10"/>
      <c r="M469" s="16">
        <v>0</v>
      </c>
      <c r="N469" s="16">
        <v>0</v>
      </c>
      <c r="O469" s="18">
        <v>0</v>
      </c>
      <c r="P469" s="18" t="s">
        <v>95</v>
      </c>
      <c r="Q469" s="18">
        <v>4.875121</v>
      </c>
      <c r="R469" s="10"/>
      <c r="S469" s="16">
        <v>155</v>
      </c>
      <c r="T469" s="16">
        <v>50</v>
      </c>
      <c r="U469" s="18" t="s">
        <v>92</v>
      </c>
      <c r="V469" s="18" t="s">
        <v>93</v>
      </c>
      <c r="W469" s="13"/>
      <c r="X469" s="13"/>
      <c r="Y469" s="18" t="s">
        <v>94</v>
      </c>
      <c r="Z469" s="18" t="s">
        <v>82</v>
      </c>
      <c r="AA469" s="18" t="s">
        <v>93</v>
      </c>
      <c r="AB469" s="18" t="s">
        <v>69</v>
      </c>
      <c r="AC469" s="18" t="s">
        <v>85</v>
      </c>
      <c r="AD469" s="18">
        <v>254.98</v>
      </c>
      <c r="AE469" s="18">
        <v>1</v>
      </c>
      <c r="AF469" s="18">
        <v>1</v>
      </c>
      <c r="AG469" s="18">
        <v>0</v>
      </c>
      <c r="AH469" s="18">
        <v>1</v>
      </c>
      <c r="AI469" s="18">
        <v>0</v>
      </c>
      <c r="AJ469" s="18">
        <v>0</v>
      </c>
      <c r="AK469" s="18">
        <v>1</v>
      </c>
      <c r="AL469" s="18">
        <v>0</v>
      </c>
      <c r="AM469" s="18">
        <v>0</v>
      </c>
      <c r="AN469" s="18">
        <v>0</v>
      </c>
      <c r="AO469" s="18">
        <v>0</v>
      </c>
      <c r="AP469" s="18">
        <v>0</v>
      </c>
      <c r="AQ469" s="18">
        <v>0</v>
      </c>
      <c r="AR469" s="18">
        <v>0</v>
      </c>
      <c r="AS469" s="18">
        <v>0</v>
      </c>
      <c r="AT469" s="18">
        <v>0</v>
      </c>
      <c r="AU469" s="18">
        <v>0</v>
      </c>
      <c r="AV469" s="18">
        <v>0</v>
      </c>
      <c r="AW469" s="18">
        <v>0</v>
      </c>
      <c r="AX469" s="18">
        <v>0</v>
      </c>
      <c r="AY469" s="13"/>
      <c r="AZ469" s="18">
        <v>1</v>
      </c>
      <c r="BA469" s="18">
        <v>3</v>
      </c>
      <c r="BB469" s="18">
        <v>60.09</v>
      </c>
      <c r="BC469" s="18" t="s">
        <v>96</v>
      </c>
      <c r="BD469" s="18" t="s">
        <v>97</v>
      </c>
      <c r="BE469" s="18" t="s">
        <v>98</v>
      </c>
      <c r="BF469" s="18" t="s">
        <v>77</v>
      </c>
      <c r="BG469" s="18">
        <v>1</v>
      </c>
      <c r="BH469" s="18">
        <v>28</v>
      </c>
      <c r="BI469" s="18">
        <v>0.0345</v>
      </c>
      <c r="BJ469" s="18">
        <v>1</v>
      </c>
      <c r="BK469" s="18">
        <v>2</v>
      </c>
      <c r="BL469" s="18">
        <v>99.5</v>
      </c>
      <c r="BM469" s="13">
        <f t="shared" si="0"/>
        <v>20148.45</v>
      </c>
    </row>
    <row r="470" customHeight="1" spans="1:65">
      <c r="A470" s="18" t="s">
        <v>1662</v>
      </c>
      <c r="B470" s="18" t="s">
        <v>93</v>
      </c>
      <c r="C470" s="13"/>
      <c r="D470" s="13"/>
      <c r="E470" s="18" t="s">
        <v>94</v>
      </c>
      <c r="F470" s="18" t="s">
        <v>82</v>
      </c>
      <c r="G470" s="18" t="s">
        <v>93</v>
      </c>
      <c r="H470" s="18" t="s">
        <v>69</v>
      </c>
      <c r="I470" s="18" t="s">
        <v>85</v>
      </c>
      <c r="J470" s="18">
        <v>5</v>
      </c>
      <c r="K470" s="16">
        <v>149.99</v>
      </c>
      <c r="L470" s="10"/>
      <c r="M470" s="16">
        <v>0</v>
      </c>
      <c r="N470" s="16">
        <v>0</v>
      </c>
      <c r="O470" s="18">
        <v>0</v>
      </c>
      <c r="P470" s="18" t="s">
        <v>95</v>
      </c>
      <c r="Q470" s="18">
        <v>5.017214</v>
      </c>
      <c r="R470" s="10"/>
      <c r="S470" s="16">
        <v>61</v>
      </c>
      <c r="T470" s="16">
        <v>20</v>
      </c>
      <c r="U470" s="18" t="s">
        <v>1662</v>
      </c>
      <c r="V470" s="18" t="s">
        <v>93</v>
      </c>
      <c r="W470" s="13"/>
      <c r="X470" s="13"/>
      <c r="Y470" s="18" t="s">
        <v>94</v>
      </c>
      <c r="Z470" s="18" t="s">
        <v>82</v>
      </c>
      <c r="AA470" s="18" t="s">
        <v>93</v>
      </c>
      <c r="AB470" s="18" t="s">
        <v>69</v>
      </c>
      <c r="AC470" s="18" t="s">
        <v>85</v>
      </c>
      <c r="AD470" s="18">
        <v>294.98</v>
      </c>
      <c r="AE470" s="18">
        <v>1</v>
      </c>
      <c r="AF470" s="18">
        <v>1</v>
      </c>
      <c r="AG470" s="18">
        <v>0</v>
      </c>
      <c r="AH470" s="18">
        <v>1</v>
      </c>
      <c r="AI470" s="18">
        <v>0</v>
      </c>
      <c r="AJ470" s="18">
        <v>0</v>
      </c>
      <c r="AK470" s="18">
        <v>0</v>
      </c>
      <c r="AL470" s="18">
        <v>0</v>
      </c>
      <c r="AM470" s="18">
        <v>0</v>
      </c>
      <c r="AN470" s="18">
        <v>0</v>
      </c>
      <c r="AO470" s="18">
        <v>0</v>
      </c>
      <c r="AP470" s="18">
        <v>0</v>
      </c>
      <c r="AQ470" s="18">
        <v>0</v>
      </c>
      <c r="AR470" s="18">
        <v>0</v>
      </c>
      <c r="AS470" s="18">
        <v>0</v>
      </c>
      <c r="AT470" s="18">
        <v>1</v>
      </c>
      <c r="AU470" s="18">
        <v>0</v>
      </c>
      <c r="AV470" s="18">
        <v>0</v>
      </c>
      <c r="AW470" s="18">
        <v>0</v>
      </c>
      <c r="AX470" s="18">
        <v>0</v>
      </c>
      <c r="AY470" s="13"/>
      <c r="AZ470" s="18">
        <v>1</v>
      </c>
      <c r="BA470" s="18">
        <v>2</v>
      </c>
      <c r="BB470" s="18">
        <v>59.79</v>
      </c>
      <c r="BC470" s="18" t="s">
        <v>96</v>
      </c>
      <c r="BD470" s="18" t="s">
        <v>97</v>
      </c>
      <c r="BE470" s="18" t="s">
        <v>98</v>
      </c>
      <c r="BF470" s="18" t="s">
        <v>77</v>
      </c>
      <c r="BG470" s="18">
        <v>1</v>
      </c>
      <c r="BH470" s="18">
        <v>28</v>
      </c>
      <c r="BI470" s="18">
        <v>0.0345</v>
      </c>
      <c r="BJ470" s="18">
        <v>1</v>
      </c>
      <c r="BK470" s="18">
        <v>4</v>
      </c>
      <c r="BL470" s="18">
        <v>98.9</v>
      </c>
      <c r="BM470" s="13">
        <f t="shared" si="0"/>
        <v>9149.39</v>
      </c>
    </row>
    <row r="471" customHeight="1" spans="1:65">
      <c r="A471" s="18" t="s">
        <v>2498</v>
      </c>
      <c r="B471" s="18" t="s">
        <v>93</v>
      </c>
      <c r="C471" s="13"/>
      <c r="D471" s="13"/>
      <c r="E471" s="18" t="s">
        <v>2499</v>
      </c>
      <c r="F471" s="18" t="s">
        <v>276</v>
      </c>
      <c r="G471" s="18" t="s">
        <v>93</v>
      </c>
      <c r="H471" s="18" t="s">
        <v>69</v>
      </c>
      <c r="I471" s="18" t="s">
        <v>85</v>
      </c>
      <c r="J471" s="18">
        <v>5</v>
      </c>
      <c r="K471" s="16">
        <v>27.99</v>
      </c>
      <c r="L471" s="10"/>
      <c r="M471" s="16">
        <v>0</v>
      </c>
      <c r="N471" s="16">
        <v>0</v>
      </c>
      <c r="O471" s="18">
        <v>0</v>
      </c>
      <c r="P471" s="18" t="s">
        <v>86</v>
      </c>
      <c r="Q471" s="18">
        <v>3.366951</v>
      </c>
      <c r="R471" s="10"/>
      <c r="S471" s="16">
        <v>46</v>
      </c>
      <c r="T471" s="16">
        <v>30</v>
      </c>
      <c r="U471" s="18" t="s">
        <v>2498</v>
      </c>
      <c r="V471" s="18" t="s">
        <v>93</v>
      </c>
      <c r="W471" s="13"/>
      <c r="X471" s="13"/>
      <c r="Y471" s="18" t="s">
        <v>2499</v>
      </c>
      <c r="Z471" s="18" t="s">
        <v>276</v>
      </c>
      <c r="AA471" s="18" t="s">
        <v>93</v>
      </c>
      <c r="AB471" s="18" t="s">
        <v>69</v>
      </c>
      <c r="AC471" s="18" t="s">
        <v>85</v>
      </c>
      <c r="AD471" s="18">
        <v>50.98</v>
      </c>
      <c r="AE471" s="18">
        <v>0</v>
      </c>
      <c r="AF471" s="18">
        <v>0</v>
      </c>
      <c r="AG471" s="18">
        <v>1</v>
      </c>
      <c r="AH471" s="18">
        <v>1</v>
      </c>
      <c r="AI471" s="18">
        <v>1</v>
      </c>
      <c r="AJ471" s="18">
        <v>0</v>
      </c>
      <c r="AK471" s="18">
        <v>0</v>
      </c>
      <c r="AL471" s="18">
        <v>0</v>
      </c>
      <c r="AM471" s="18">
        <v>0</v>
      </c>
      <c r="AN471" s="18">
        <v>0</v>
      </c>
      <c r="AO471" s="18">
        <v>0</v>
      </c>
      <c r="AP471" s="18">
        <v>0</v>
      </c>
      <c r="AQ471" s="18">
        <v>0</v>
      </c>
      <c r="AR471" s="18">
        <v>0</v>
      </c>
      <c r="AS471" s="18">
        <v>0</v>
      </c>
      <c r="AT471" s="18">
        <v>0</v>
      </c>
      <c r="AU471" s="18">
        <v>0</v>
      </c>
      <c r="AV471" s="18">
        <v>0</v>
      </c>
      <c r="AW471" s="18">
        <v>0</v>
      </c>
      <c r="AX471" s="18">
        <v>0</v>
      </c>
      <c r="AY471" s="13"/>
      <c r="AZ471" s="18">
        <v>1</v>
      </c>
      <c r="BA471" s="18">
        <v>1</v>
      </c>
      <c r="BB471" s="18">
        <v>54.06</v>
      </c>
      <c r="BC471" s="18" t="s">
        <v>96</v>
      </c>
      <c r="BD471" s="13"/>
      <c r="BE471" s="13"/>
      <c r="BF471" s="13"/>
      <c r="BG471" s="18">
        <v>0</v>
      </c>
      <c r="BH471" s="18">
        <v>0</v>
      </c>
      <c r="BI471" s="13"/>
      <c r="BJ471" s="18">
        <v>0</v>
      </c>
      <c r="BK471" s="18">
        <v>2</v>
      </c>
      <c r="BL471" s="18">
        <v>99.5</v>
      </c>
      <c r="BM471" s="13">
        <f t="shared" si="0"/>
        <v>1287.54</v>
      </c>
    </row>
    <row r="472" customHeight="1" spans="1:65">
      <c r="A472" s="18" t="s">
        <v>252</v>
      </c>
      <c r="B472" s="18" t="s">
        <v>253</v>
      </c>
      <c r="C472" s="18" t="s">
        <v>254</v>
      </c>
      <c r="D472" s="13"/>
      <c r="E472" s="18" t="s">
        <v>255</v>
      </c>
      <c r="F472" s="18" t="s">
        <v>82</v>
      </c>
      <c r="G472" s="18" t="s">
        <v>83</v>
      </c>
      <c r="H472" s="18" t="s">
        <v>84</v>
      </c>
      <c r="I472" s="18" t="s">
        <v>85</v>
      </c>
      <c r="J472" s="18">
        <v>5</v>
      </c>
      <c r="K472" s="16">
        <v>325</v>
      </c>
      <c r="L472" s="10"/>
      <c r="M472" s="16">
        <v>0</v>
      </c>
      <c r="N472" s="16">
        <v>0</v>
      </c>
      <c r="O472" s="18">
        <v>0</v>
      </c>
      <c r="P472" s="18" t="s">
        <v>71</v>
      </c>
      <c r="Q472" s="18">
        <v>5.786897</v>
      </c>
      <c r="R472" s="10"/>
      <c r="S472" s="10"/>
      <c r="T472" s="10"/>
      <c r="U472" s="18" t="s">
        <v>2642</v>
      </c>
      <c r="V472" s="18" t="s">
        <v>253</v>
      </c>
      <c r="W472" s="18" t="s">
        <v>254</v>
      </c>
      <c r="X472" s="13"/>
      <c r="Y472" s="18" t="s">
        <v>255</v>
      </c>
      <c r="Z472" s="18" t="s">
        <v>82</v>
      </c>
      <c r="AA472" s="18" t="s">
        <v>83</v>
      </c>
      <c r="AB472" s="18" t="s">
        <v>84</v>
      </c>
      <c r="AC472" s="18" t="s">
        <v>85</v>
      </c>
      <c r="AD472" s="18">
        <v>645</v>
      </c>
      <c r="AE472" s="18">
        <v>0</v>
      </c>
      <c r="AF472" s="18">
        <v>0</v>
      </c>
      <c r="AG472" s="18">
        <v>0</v>
      </c>
      <c r="AH472" s="18">
        <v>0</v>
      </c>
      <c r="AI472" s="18">
        <v>0</v>
      </c>
      <c r="AJ472" s="18">
        <v>0</v>
      </c>
      <c r="AK472" s="18">
        <v>0</v>
      </c>
      <c r="AL472" s="18">
        <v>0</v>
      </c>
      <c r="AM472" s="18">
        <v>0</v>
      </c>
      <c r="AN472" s="18">
        <v>0</v>
      </c>
      <c r="AO472" s="18">
        <v>0</v>
      </c>
      <c r="AP472" s="18">
        <v>0</v>
      </c>
      <c r="AQ472" s="18">
        <v>0</v>
      </c>
      <c r="AR472" s="18">
        <v>0</v>
      </c>
      <c r="AS472" s="18">
        <v>0</v>
      </c>
      <c r="AT472" s="18">
        <v>1</v>
      </c>
      <c r="AU472" s="18">
        <v>0</v>
      </c>
      <c r="AV472" s="18">
        <v>0</v>
      </c>
      <c r="AW472" s="18">
        <v>0</v>
      </c>
      <c r="AX472" s="18">
        <v>0</v>
      </c>
      <c r="AY472" s="13"/>
      <c r="AZ472" s="18">
        <v>1</v>
      </c>
      <c r="BA472" s="18">
        <v>0</v>
      </c>
      <c r="BB472" s="18">
        <v>0</v>
      </c>
      <c r="BC472" s="18" t="s">
        <v>256</v>
      </c>
      <c r="BD472" s="18" t="s">
        <v>257</v>
      </c>
      <c r="BE472" s="18" t="s">
        <v>113</v>
      </c>
      <c r="BF472" s="18" t="s">
        <v>77</v>
      </c>
      <c r="BG472" s="18">
        <v>168</v>
      </c>
      <c r="BH472" s="18">
        <v>11</v>
      </c>
      <c r="BI472" s="18">
        <v>0.9385</v>
      </c>
      <c r="BJ472" s="18">
        <v>0</v>
      </c>
      <c r="BK472" s="13"/>
      <c r="BL472" s="13"/>
      <c r="BM472" s="13">
        <f t="shared" si="0"/>
        <v>0</v>
      </c>
    </row>
    <row r="473" customHeight="1" spans="1:65">
      <c r="A473" s="18" t="s">
        <v>1686</v>
      </c>
      <c r="B473" s="18" t="s">
        <v>1465</v>
      </c>
      <c r="C473" s="13"/>
      <c r="D473" s="13"/>
      <c r="E473" s="18" t="s">
        <v>250</v>
      </c>
      <c r="F473" s="18" t="s">
        <v>82</v>
      </c>
      <c r="G473" s="18" t="s">
        <v>83</v>
      </c>
      <c r="H473" s="18" t="s">
        <v>84</v>
      </c>
      <c r="I473" s="18" t="s">
        <v>85</v>
      </c>
      <c r="J473" s="18">
        <v>5</v>
      </c>
      <c r="K473" s="16">
        <v>149.99</v>
      </c>
      <c r="L473" s="10"/>
      <c r="M473" s="16">
        <v>0</v>
      </c>
      <c r="N473" s="16">
        <v>0</v>
      </c>
      <c r="O473" s="18">
        <v>0</v>
      </c>
      <c r="P473" s="18" t="s">
        <v>95</v>
      </c>
      <c r="Q473" s="18">
        <v>5.017214</v>
      </c>
      <c r="R473" s="10"/>
      <c r="S473" s="10"/>
      <c r="T473" s="10"/>
      <c r="U473" s="18" t="s">
        <v>1686</v>
      </c>
      <c r="V473" s="18" t="s">
        <v>1465</v>
      </c>
      <c r="W473" s="13"/>
      <c r="X473" s="13"/>
      <c r="Y473" s="18" t="s">
        <v>250</v>
      </c>
      <c r="Z473" s="18" t="s">
        <v>82</v>
      </c>
      <c r="AA473" s="18" t="s">
        <v>83</v>
      </c>
      <c r="AB473" s="18" t="s">
        <v>84</v>
      </c>
      <c r="AC473" s="18" t="s">
        <v>85</v>
      </c>
      <c r="AD473" s="18">
        <v>294.98</v>
      </c>
      <c r="AE473" s="18">
        <v>0</v>
      </c>
      <c r="AF473" s="18">
        <v>0</v>
      </c>
      <c r="AG473" s="18">
        <v>0</v>
      </c>
      <c r="AH473" s="18">
        <v>0</v>
      </c>
      <c r="AI473" s="18">
        <v>0</v>
      </c>
      <c r="AJ473" s="18">
        <v>0</v>
      </c>
      <c r="AK473" s="18">
        <v>0</v>
      </c>
      <c r="AL473" s="18">
        <v>0</v>
      </c>
      <c r="AM473" s="18">
        <v>0</v>
      </c>
      <c r="AN473" s="18">
        <v>0</v>
      </c>
      <c r="AO473" s="18">
        <v>0</v>
      </c>
      <c r="AP473" s="18">
        <v>0</v>
      </c>
      <c r="AQ473" s="18">
        <v>1</v>
      </c>
      <c r="AR473" s="18">
        <v>0</v>
      </c>
      <c r="AS473" s="18">
        <v>0</v>
      </c>
      <c r="AT473" s="18">
        <v>0</v>
      </c>
      <c r="AU473" s="18">
        <v>0</v>
      </c>
      <c r="AV473" s="18">
        <v>1</v>
      </c>
      <c r="AW473" s="18">
        <v>0</v>
      </c>
      <c r="AX473" s="18">
        <v>0</v>
      </c>
      <c r="AY473" s="13"/>
      <c r="AZ473" s="18">
        <v>1</v>
      </c>
      <c r="BA473" s="18">
        <v>2</v>
      </c>
      <c r="BB473" s="18">
        <v>0</v>
      </c>
      <c r="BC473" s="18" t="s">
        <v>1687</v>
      </c>
      <c r="BD473" s="18" t="s">
        <v>1688</v>
      </c>
      <c r="BE473" s="18" t="s">
        <v>1689</v>
      </c>
      <c r="BF473" s="18" t="s">
        <v>77</v>
      </c>
      <c r="BG473" s="18">
        <v>162</v>
      </c>
      <c r="BH473" s="18">
        <v>19</v>
      </c>
      <c r="BI473" s="18">
        <v>0.895</v>
      </c>
      <c r="BJ473" s="18">
        <v>0</v>
      </c>
      <c r="BK473" s="13"/>
      <c r="BL473" s="13"/>
      <c r="BM473" s="13">
        <f t="shared" si="0"/>
        <v>0</v>
      </c>
    </row>
    <row r="474" customHeight="1" spans="1:65">
      <c r="A474" s="18" t="s">
        <v>1692</v>
      </c>
      <c r="B474" s="18" t="s">
        <v>125</v>
      </c>
      <c r="C474" s="13"/>
      <c r="D474" s="13"/>
      <c r="E474" s="18" t="s">
        <v>81</v>
      </c>
      <c r="F474" s="18" t="s">
        <v>82</v>
      </c>
      <c r="G474" s="18" t="s">
        <v>83</v>
      </c>
      <c r="H474" s="18" t="s">
        <v>138</v>
      </c>
      <c r="I474" s="18" t="s">
        <v>85</v>
      </c>
      <c r="J474" s="18">
        <v>5</v>
      </c>
      <c r="K474" s="16">
        <v>27.9</v>
      </c>
      <c r="L474" s="10"/>
      <c r="M474" s="16">
        <v>0</v>
      </c>
      <c r="N474" s="16">
        <v>0</v>
      </c>
      <c r="O474" s="18">
        <v>0</v>
      </c>
      <c r="P474" s="18" t="s">
        <v>86</v>
      </c>
      <c r="Q474" s="18">
        <v>3.363842</v>
      </c>
      <c r="R474" s="10"/>
      <c r="S474" s="16">
        <v>3</v>
      </c>
      <c r="T474" s="16">
        <v>7</v>
      </c>
      <c r="U474" s="18" t="s">
        <v>1692</v>
      </c>
      <c r="V474" s="18" t="s">
        <v>125</v>
      </c>
      <c r="W474" s="13"/>
      <c r="X474" s="13"/>
      <c r="Y474" s="18" t="s">
        <v>81</v>
      </c>
      <c r="Z474" s="18" t="s">
        <v>82</v>
      </c>
      <c r="AA474" s="18" t="s">
        <v>83</v>
      </c>
      <c r="AB474" s="18" t="s">
        <v>138</v>
      </c>
      <c r="AC474" s="18" t="s">
        <v>85</v>
      </c>
      <c r="AD474" s="18">
        <v>50.8</v>
      </c>
      <c r="AE474" s="18">
        <v>0</v>
      </c>
      <c r="AF474" s="18">
        <v>0</v>
      </c>
      <c r="AG474" s="18">
        <v>0</v>
      </c>
      <c r="AH474" s="18">
        <v>1</v>
      </c>
      <c r="AI474" s="18">
        <v>0</v>
      </c>
      <c r="AJ474" s="18">
        <v>1</v>
      </c>
      <c r="AK474" s="18">
        <v>0</v>
      </c>
      <c r="AL474" s="18">
        <v>0</v>
      </c>
      <c r="AM474" s="18">
        <v>0</v>
      </c>
      <c r="AN474" s="18">
        <v>0</v>
      </c>
      <c r="AO474" s="18">
        <v>0</v>
      </c>
      <c r="AP474" s="18">
        <v>0</v>
      </c>
      <c r="AQ474" s="18">
        <v>0</v>
      </c>
      <c r="AR474" s="18">
        <v>0</v>
      </c>
      <c r="AS474" s="18">
        <v>0</v>
      </c>
      <c r="AT474" s="18">
        <v>0</v>
      </c>
      <c r="AU474" s="18">
        <v>0</v>
      </c>
      <c r="AV474" s="18">
        <v>0</v>
      </c>
      <c r="AW474" s="18">
        <v>0</v>
      </c>
      <c r="AX474" s="18">
        <v>0</v>
      </c>
      <c r="AY474" s="13"/>
      <c r="AZ474" s="18">
        <v>1</v>
      </c>
      <c r="BA474" s="18">
        <v>1</v>
      </c>
      <c r="BB474" s="18">
        <v>41.58</v>
      </c>
      <c r="BC474" s="18" t="s">
        <v>1693</v>
      </c>
      <c r="BD474" s="18" t="s">
        <v>150</v>
      </c>
      <c r="BE474" s="18" t="s">
        <v>150</v>
      </c>
      <c r="BF474" s="18" t="s">
        <v>77</v>
      </c>
      <c r="BG474" s="18">
        <v>1</v>
      </c>
      <c r="BH474" s="18">
        <v>21</v>
      </c>
      <c r="BI474" s="18">
        <v>0.0455</v>
      </c>
      <c r="BJ474" s="18">
        <v>1</v>
      </c>
      <c r="BK474" s="18">
        <v>5</v>
      </c>
      <c r="BL474" s="18">
        <v>98.6</v>
      </c>
      <c r="BM474" s="13">
        <f t="shared" si="0"/>
        <v>83.7</v>
      </c>
    </row>
    <row r="475" customHeight="1" spans="1:65">
      <c r="A475" s="18" t="s">
        <v>1694</v>
      </c>
      <c r="B475" s="18" t="s">
        <v>1695</v>
      </c>
      <c r="C475" s="13"/>
      <c r="D475" s="13"/>
      <c r="E475" s="18" t="s">
        <v>163</v>
      </c>
      <c r="F475" s="18" t="s">
        <v>132</v>
      </c>
      <c r="G475" s="18" t="s">
        <v>346</v>
      </c>
      <c r="H475" s="18" t="s">
        <v>84</v>
      </c>
      <c r="I475" s="18" t="s">
        <v>85</v>
      </c>
      <c r="J475" s="18">
        <v>5</v>
      </c>
      <c r="K475" s="16">
        <v>22.24</v>
      </c>
      <c r="L475" s="10"/>
      <c r="M475" s="16">
        <v>0</v>
      </c>
      <c r="N475" s="16">
        <v>0</v>
      </c>
      <c r="O475" s="18">
        <v>0</v>
      </c>
      <c r="P475" s="18" t="s">
        <v>133</v>
      </c>
      <c r="Q475" s="18">
        <v>3.145875</v>
      </c>
      <c r="R475" s="10"/>
      <c r="S475" s="16">
        <v>9</v>
      </c>
      <c r="T475" s="16">
        <v>5</v>
      </c>
      <c r="U475" s="18" t="s">
        <v>1694</v>
      </c>
      <c r="V475" s="18" t="s">
        <v>1695</v>
      </c>
      <c r="W475" s="13"/>
      <c r="X475" s="13"/>
      <c r="Y475" s="18" t="s">
        <v>163</v>
      </c>
      <c r="Z475" s="18" t="s">
        <v>132</v>
      </c>
      <c r="AA475" s="18" t="s">
        <v>346</v>
      </c>
      <c r="AB475" s="18" t="s">
        <v>84</v>
      </c>
      <c r="AC475" s="18" t="s">
        <v>85</v>
      </c>
      <c r="AD475" s="18">
        <v>39.48</v>
      </c>
      <c r="AE475" s="18">
        <v>0</v>
      </c>
      <c r="AF475" s="18">
        <v>0</v>
      </c>
      <c r="AG475" s="18">
        <v>0</v>
      </c>
      <c r="AH475" s="18">
        <v>0</v>
      </c>
      <c r="AI475" s="18">
        <v>0</v>
      </c>
      <c r="AJ475" s="18">
        <v>0</v>
      </c>
      <c r="AK475" s="18">
        <v>0</v>
      </c>
      <c r="AL475" s="18">
        <v>0</v>
      </c>
      <c r="AM475" s="18">
        <v>0</v>
      </c>
      <c r="AN475" s="18">
        <v>0</v>
      </c>
      <c r="AO475" s="18">
        <v>0</v>
      </c>
      <c r="AP475" s="18">
        <v>0</v>
      </c>
      <c r="AQ475" s="18">
        <v>0</v>
      </c>
      <c r="AR475" s="18">
        <v>0</v>
      </c>
      <c r="AS475" s="18">
        <v>0</v>
      </c>
      <c r="AT475" s="18">
        <v>1</v>
      </c>
      <c r="AU475" s="18">
        <v>0</v>
      </c>
      <c r="AV475" s="18">
        <v>0</v>
      </c>
      <c r="AW475" s="18">
        <v>1</v>
      </c>
      <c r="AX475" s="18">
        <v>0</v>
      </c>
      <c r="AY475" s="13"/>
      <c r="AZ475" s="18">
        <v>2</v>
      </c>
      <c r="BA475" s="18">
        <v>0</v>
      </c>
      <c r="BB475" s="18">
        <v>55.39</v>
      </c>
      <c r="BC475" s="18" t="s">
        <v>1696</v>
      </c>
      <c r="BD475" s="18" t="s">
        <v>664</v>
      </c>
      <c r="BE475" s="18" t="s">
        <v>665</v>
      </c>
      <c r="BF475" s="18" t="s">
        <v>77</v>
      </c>
      <c r="BG475" s="18">
        <v>1</v>
      </c>
      <c r="BH475" s="18">
        <v>15</v>
      </c>
      <c r="BI475" s="18">
        <v>0.0625</v>
      </c>
      <c r="BJ475" s="18">
        <v>1</v>
      </c>
      <c r="BK475" s="18">
        <v>4</v>
      </c>
      <c r="BL475" s="18">
        <v>98.9</v>
      </c>
      <c r="BM475" s="13">
        <f t="shared" si="0"/>
        <v>200.16</v>
      </c>
    </row>
    <row r="476" customHeight="1" spans="1:65">
      <c r="A476" s="18" t="s">
        <v>1697</v>
      </c>
      <c r="B476" s="18" t="s">
        <v>476</v>
      </c>
      <c r="C476" s="13"/>
      <c r="D476" s="13"/>
      <c r="E476" s="18" t="s">
        <v>81</v>
      </c>
      <c r="F476" s="18" t="s">
        <v>82</v>
      </c>
      <c r="G476" s="18" t="s">
        <v>83</v>
      </c>
      <c r="H476" s="18" t="s">
        <v>84</v>
      </c>
      <c r="I476" s="18" t="s">
        <v>85</v>
      </c>
      <c r="J476" s="18">
        <v>5</v>
      </c>
      <c r="K476" s="16">
        <v>80</v>
      </c>
      <c r="L476" s="10"/>
      <c r="M476" s="16">
        <v>0</v>
      </c>
      <c r="N476" s="16">
        <v>0</v>
      </c>
      <c r="O476" s="18">
        <v>0</v>
      </c>
      <c r="P476" s="18" t="s">
        <v>95</v>
      </c>
      <c r="Q476" s="18">
        <v>4.394449</v>
      </c>
      <c r="R476" s="10"/>
      <c r="S476" s="16">
        <v>169</v>
      </c>
      <c r="T476" s="16">
        <v>10</v>
      </c>
      <c r="U476" s="18" t="s">
        <v>1697</v>
      </c>
      <c r="V476" s="18" t="s">
        <v>476</v>
      </c>
      <c r="W476" s="13"/>
      <c r="X476" s="13"/>
      <c r="Y476" s="18" t="s">
        <v>81</v>
      </c>
      <c r="Z476" s="18" t="s">
        <v>82</v>
      </c>
      <c r="AA476" s="18" t="s">
        <v>83</v>
      </c>
      <c r="AB476" s="18" t="s">
        <v>84</v>
      </c>
      <c r="AC476" s="18" t="s">
        <v>85</v>
      </c>
      <c r="AD476" s="18">
        <v>155</v>
      </c>
      <c r="AE476" s="18">
        <v>0</v>
      </c>
      <c r="AF476" s="18">
        <v>0</v>
      </c>
      <c r="AG476" s="18">
        <v>0</v>
      </c>
      <c r="AH476" s="18">
        <v>1</v>
      </c>
      <c r="AI476" s="18">
        <v>0</v>
      </c>
      <c r="AJ476" s="18">
        <v>0</v>
      </c>
      <c r="AK476" s="18">
        <v>0</v>
      </c>
      <c r="AL476" s="18">
        <v>0</v>
      </c>
      <c r="AM476" s="18">
        <v>0</v>
      </c>
      <c r="AN476" s="18">
        <v>0</v>
      </c>
      <c r="AO476" s="18">
        <v>0</v>
      </c>
      <c r="AP476" s="18">
        <v>0</v>
      </c>
      <c r="AQ476" s="18">
        <v>0</v>
      </c>
      <c r="AR476" s="18">
        <v>0</v>
      </c>
      <c r="AS476" s="18">
        <v>0</v>
      </c>
      <c r="AT476" s="18">
        <v>1</v>
      </c>
      <c r="AU476" s="18">
        <v>0</v>
      </c>
      <c r="AV476" s="18">
        <v>0</v>
      </c>
      <c r="AW476" s="18">
        <v>0</v>
      </c>
      <c r="AX476" s="18">
        <v>0</v>
      </c>
      <c r="AY476" s="13"/>
      <c r="AZ476" s="18">
        <v>1</v>
      </c>
      <c r="BA476" s="18">
        <v>1</v>
      </c>
      <c r="BB476" s="18">
        <v>66.86</v>
      </c>
      <c r="BC476" s="18" t="s">
        <v>1698</v>
      </c>
      <c r="BD476" s="18" t="s">
        <v>1699</v>
      </c>
      <c r="BE476" s="18" t="s">
        <v>113</v>
      </c>
      <c r="BF476" s="18" t="s">
        <v>77</v>
      </c>
      <c r="BG476" s="18">
        <v>168</v>
      </c>
      <c r="BH476" s="18">
        <v>47</v>
      </c>
      <c r="BI476" s="18">
        <v>0.7814</v>
      </c>
      <c r="BJ476" s="18">
        <v>0</v>
      </c>
      <c r="BK476" s="18">
        <v>11</v>
      </c>
      <c r="BL476" s="18">
        <v>97</v>
      </c>
      <c r="BM476" s="13">
        <f t="shared" si="0"/>
        <v>13520</v>
      </c>
    </row>
    <row r="477" customHeight="1" spans="1:65">
      <c r="A477" s="18" t="s">
        <v>1700</v>
      </c>
      <c r="B477" s="18" t="s">
        <v>1366</v>
      </c>
      <c r="C477" s="18" t="s">
        <v>1701</v>
      </c>
      <c r="D477" s="13"/>
      <c r="E477" s="18" t="s">
        <v>1702</v>
      </c>
      <c r="F477" s="18" t="s">
        <v>82</v>
      </c>
      <c r="G477" s="18" t="s">
        <v>83</v>
      </c>
      <c r="H477" s="18" t="s">
        <v>84</v>
      </c>
      <c r="I477" s="18" t="s">
        <v>85</v>
      </c>
      <c r="J477" s="18">
        <v>5</v>
      </c>
      <c r="K477" s="16">
        <v>39.88</v>
      </c>
      <c r="L477" s="10"/>
      <c r="M477" s="16">
        <v>0</v>
      </c>
      <c r="N477" s="16">
        <v>0</v>
      </c>
      <c r="O477" s="18">
        <v>0</v>
      </c>
      <c r="P477" s="18" t="s">
        <v>86</v>
      </c>
      <c r="Q477" s="18">
        <v>3.710641</v>
      </c>
      <c r="R477" s="10"/>
      <c r="S477" s="16">
        <v>1</v>
      </c>
      <c r="T477" s="16">
        <v>1</v>
      </c>
      <c r="U477" s="18" t="s">
        <v>1700</v>
      </c>
      <c r="V477" s="18" t="s">
        <v>1366</v>
      </c>
      <c r="W477" s="18" t="s">
        <v>1701</v>
      </c>
      <c r="X477" s="13"/>
      <c r="Y477" s="18" t="s">
        <v>1702</v>
      </c>
      <c r="Z477" s="18" t="s">
        <v>82</v>
      </c>
      <c r="AA477" s="18" t="s">
        <v>83</v>
      </c>
      <c r="AB477" s="18" t="s">
        <v>84</v>
      </c>
      <c r="AC477" s="18" t="s">
        <v>85</v>
      </c>
      <c r="AD477" s="18">
        <v>74.76</v>
      </c>
      <c r="AE477" s="18">
        <v>0</v>
      </c>
      <c r="AF477" s="18">
        <v>0</v>
      </c>
      <c r="AG477" s="18">
        <v>1</v>
      </c>
      <c r="AH477" s="18">
        <v>0</v>
      </c>
      <c r="AI477" s="18">
        <v>0</v>
      </c>
      <c r="AJ477" s="18">
        <v>0</v>
      </c>
      <c r="AK477" s="18">
        <v>0</v>
      </c>
      <c r="AL477" s="18">
        <v>0</v>
      </c>
      <c r="AM477" s="18">
        <v>0</v>
      </c>
      <c r="AN477" s="18">
        <v>0</v>
      </c>
      <c r="AO477" s="18">
        <v>0</v>
      </c>
      <c r="AP477" s="18">
        <v>0</v>
      </c>
      <c r="AQ477" s="18">
        <v>0</v>
      </c>
      <c r="AR477" s="18">
        <v>0</v>
      </c>
      <c r="AS477" s="18">
        <v>1</v>
      </c>
      <c r="AT477" s="18">
        <v>0</v>
      </c>
      <c r="AU477" s="18">
        <v>0</v>
      </c>
      <c r="AV477" s="18">
        <v>0</v>
      </c>
      <c r="AW477" s="18">
        <v>0</v>
      </c>
      <c r="AX477" s="18">
        <v>0</v>
      </c>
      <c r="AY477" s="13"/>
      <c r="AZ477" s="18">
        <v>1</v>
      </c>
      <c r="BA477" s="18">
        <v>0</v>
      </c>
      <c r="BB477" s="18">
        <v>20</v>
      </c>
      <c r="BC477" s="18" t="s">
        <v>1703</v>
      </c>
      <c r="BD477" s="18" t="s">
        <v>1704</v>
      </c>
      <c r="BE477" s="18" t="s">
        <v>1468</v>
      </c>
      <c r="BF477" s="18" t="s">
        <v>77</v>
      </c>
      <c r="BG477" s="18">
        <v>167</v>
      </c>
      <c r="BH477" s="18">
        <v>11</v>
      </c>
      <c r="BI477" s="18">
        <v>0.9382</v>
      </c>
      <c r="BJ477" s="18">
        <v>0</v>
      </c>
      <c r="BK477" s="13"/>
      <c r="BL477" s="13"/>
      <c r="BM477" s="13">
        <f t="shared" si="0"/>
        <v>39.88</v>
      </c>
    </row>
    <row r="478" customHeight="1" spans="1:65">
      <c r="A478" s="18" t="s">
        <v>1709</v>
      </c>
      <c r="B478" s="18" t="s">
        <v>1710</v>
      </c>
      <c r="C478" s="13"/>
      <c r="D478" s="13"/>
      <c r="E478" s="18" t="s">
        <v>1711</v>
      </c>
      <c r="F478" s="18" t="s">
        <v>82</v>
      </c>
      <c r="G478" s="18" t="s">
        <v>83</v>
      </c>
      <c r="H478" s="18" t="s">
        <v>84</v>
      </c>
      <c r="I478" s="18" t="s">
        <v>85</v>
      </c>
      <c r="J478" s="18">
        <v>5</v>
      </c>
      <c r="K478" s="16">
        <v>102.99</v>
      </c>
      <c r="L478" s="10"/>
      <c r="M478" s="16">
        <v>0</v>
      </c>
      <c r="N478" s="16">
        <v>0</v>
      </c>
      <c r="O478" s="18">
        <v>0</v>
      </c>
      <c r="P478" s="18" t="s">
        <v>95</v>
      </c>
      <c r="Q478" s="18">
        <v>4.644295</v>
      </c>
      <c r="R478" s="16">
        <v>12.87</v>
      </c>
      <c r="S478" s="16">
        <v>12</v>
      </c>
      <c r="T478" s="16">
        <v>396</v>
      </c>
      <c r="U478" s="18" t="s">
        <v>1709</v>
      </c>
      <c r="V478" s="18" t="s">
        <v>1710</v>
      </c>
      <c r="W478" s="13"/>
      <c r="X478" s="13"/>
      <c r="Y478" s="18" t="s">
        <v>1711</v>
      </c>
      <c r="Z478" s="18" t="s">
        <v>82</v>
      </c>
      <c r="AA478" s="18" t="s">
        <v>83</v>
      </c>
      <c r="AB478" s="18" t="s">
        <v>84</v>
      </c>
      <c r="AC478" s="18" t="s">
        <v>85</v>
      </c>
      <c r="AD478" s="18">
        <v>200.98</v>
      </c>
      <c r="AE478" s="18">
        <v>0</v>
      </c>
      <c r="AF478" s="18">
        <v>0</v>
      </c>
      <c r="AG478" s="18">
        <v>0</v>
      </c>
      <c r="AH478" s="18">
        <v>0</v>
      </c>
      <c r="AI478" s="18">
        <v>0</v>
      </c>
      <c r="AJ478" s="18">
        <v>0</v>
      </c>
      <c r="AK478" s="18">
        <v>0</v>
      </c>
      <c r="AL478" s="18">
        <v>0</v>
      </c>
      <c r="AM478" s="18">
        <v>0</v>
      </c>
      <c r="AN478" s="18">
        <v>0</v>
      </c>
      <c r="AO478" s="18">
        <v>0</v>
      </c>
      <c r="AP478" s="18">
        <v>0</v>
      </c>
      <c r="AQ478" s="18">
        <v>0</v>
      </c>
      <c r="AR478" s="18">
        <v>0</v>
      </c>
      <c r="AS478" s="18">
        <v>0</v>
      </c>
      <c r="AT478" s="18">
        <v>1</v>
      </c>
      <c r="AU478" s="18">
        <v>0</v>
      </c>
      <c r="AV478" s="18">
        <v>0</v>
      </c>
      <c r="AW478" s="18">
        <v>0</v>
      </c>
      <c r="AX478" s="18">
        <v>0</v>
      </c>
      <c r="AY478" s="18">
        <v>8</v>
      </c>
      <c r="AZ478" s="18">
        <v>1</v>
      </c>
      <c r="BA478" s="18">
        <v>0</v>
      </c>
      <c r="BB478" s="18">
        <v>27.4</v>
      </c>
      <c r="BC478" s="18" t="s">
        <v>1712</v>
      </c>
      <c r="BD478" s="18" t="s">
        <v>180</v>
      </c>
      <c r="BE478" s="18" t="s">
        <v>77</v>
      </c>
      <c r="BF478" s="18" t="s">
        <v>77</v>
      </c>
      <c r="BG478" s="18">
        <v>168</v>
      </c>
      <c r="BH478" s="18">
        <v>54</v>
      </c>
      <c r="BI478" s="18">
        <v>0.7568</v>
      </c>
      <c r="BJ478" s="18">
        <v>0</v>
      </c>
      <c r="BK478" s="18">
        <v>46</v>
      </c>
      <c r="BL478" s="18">
        <v>87.4</v>
      </c>
      <c r="BM478" s="13">
        <f t="shared" si="0"/>
        <v>1235.88</v>
      </c>
    </row>
    <row r="479" customHeight="1" spans="1:65">
      <c r="A479" s="18" t="s">
        <v>1716</v>
      </c>
      <c r="B479" s="18" t="s">
        <v>370</v>
      </c>
      <c r="C479" s="18" t="s">
        <v>1717</v>
      </c>
      <c r="D479" s="13"/>
      <c r="E479" s="18" t="s">
        <v>240</v>
      </c>
      <c r="F479" s="18" t="s">
        <v>240</v>
      </c>
      <c r="G479" s="18" t="s">
        <v>83</v>
      </c>
      <c r="H479" s="18" t="s">
        <v>84</v>
      </c>
      <c r="I479" s="18" t="s">
        <v>203</v>
      </c>
      <c r="J479" s="18">
        <v>4</v>
      </c>
      <c r="K479" s="16">
        <v>325.99</v>
      </c>
      <c r="L479" s="10"/>
      <c r="M479" s="16">
        <v>0</v>
      </c>
      <c r="N479" s="16">
        <v>0</v>
      </c>
      <c r="O479" s="18">
        <v>0</v>
      </c>
      <c r="P479" s="18" t="s">
        <v>71</v>
      </c>
      <c r="Q479" s="18">
        <v>5.78993</v>
      </c>
      <c r="R479" s="10"/>
      <c r="S479" s="10"/>
      <c r="T479" s="10"/>
      <c r="U479" s="18" t="s">
        <v>1716</v>
      </c>
      <c r="V479" s="18" t="s">
        <v>370</v>
      </c>
      <c r="W479" s="18" t="s">
        <v>1717</v>
      </c>
      <c r="X479" s="13"/>
      <c r="Y479" s="18" t="s">
        <v>240</v>
      </c>
      <c r="Z479" s="18" t="s">
        <v>240</v>
      </c>
      <c r="AA479" s="18" t="s">
        <v>83</v>
      </c>
      <c r="AB479" s="18" t="s">
        <v>84</v>
      </c>
      <c r="AC479" s="18" t="s">
        <v>203</v>
      </c>
      <c r="AD479" s="18">
        <v>647.98</v>
      </c>
      <c r="AE479" s="18">
        <v>0</v>
      </c>
      <c r="AF479" s="18">
        <v>0</v>
      </c>
      <c r="AG479" s="18">
        <v>0</v>
      </c>
      <c r="AH479" s="18">
        <v>0</v>
      </c>
      <c r="AI479" s="18">
        <v>0</v>
      </c>
      <c r="AJ479" s="18">
        <v>0</v>
      </c>
      <c r="AK479" s="18">
        <v>0</v>
      </c>
      <c r="AL479" s="18">
        <v>0</v>
      </c>
      <c r="AM479" s="18">
        <v>0</v>
      </c>
      <c r="AN479" s="18">
        <v>0</v>
      </c>
      <c r="AO479" s="18">
        <v>0</v>
      </c>
      <c r="AP479" s="18">
        <v>0</v>
      </c>
      <c r="AQ479" s="18">
        <v>0</v>
      </c>
      <c r="AR479" s="18">
        <v>0</v>
      </c>
      <c r="AS479" s="18">
        <v>0</v>
      </c>
      <c r="AT479" s="18">
        <v>0</v>
      </c>
      <c r="AU479" s="18">
        <v>0</v>
      </c>
      <c r="AV479" s="18">
        <v>0</v>
      </c>
      <c r="AW479" s="18">
        <v>0</v>
      </c>
      <c r="AX479" s="18">
        <v>0</v>
      </c>
      <c r="AY479" s="13"/>
      <c r="AZ479" s="18">
        <v>1</v>
      </c>
      <c r="BA479" s="18">
        <v>0</v>
      </c>
      <c r="BB479" s="18">
        <v>28.53</v>
      </c>
      <c r="BC479" s="18" t="s">
        <v>1718</v>
      </c>
      <c r="BD479" s="18" t="s">
        <v>1719</v>
      </c>
      <c r="BE479" s="18" t="s">
        <v>113</v>
      </c>
      <c r="BF479" s="18" t="s">
        <v>77</v>
      </c>
      <c r="BG479" s="18">
        <v>168</v>
      </c>
      <c r="BH479" s="18">
        <v>11</v>
      </c>
      <c r="BI479" s="18">
        <v>0.9385</v>
      </c>
      <c r="BJ479" s="18">
        <v>0</v>
      </c>
      <c r="BK479" s="18">
        <v>18</v>
      </c>
      <c r="BL479" s="18">
        <v>95.1</v>
      </c>
      <c r="BM479" s="13">
        <f t="shared" si="0"/>
        <v>0</v>
      </c>
    </row>
    <row r="480" customHeight="1" spans="1:65">
      <c r="A480" s="18" t="s">
        <v>1723</v>
      </c>
      <c r="B480" s="18" t="s">
        <v>115</v>
      </c>
      <c r="C480" s="18" t="s">
        <v>417</v>
      </c>
      <c r="D480" s="18">
        <v>840414626881</v>
      </c>
      <c r="E480" s="18" t="s">
        <v>81</v>
      </c>
      <c r="F480" s="18" t="s">
        <v>82</v>
      </c>
      <c r="G480" s="18" t="s">
        <v>117</v>
      </c>
      <c r="H480" s="18" t="s">
        <v>107</v>
      </c>
      <c r="I480" s="18" t="s">
        <v>85</v>
      </c>
      <c r="J480" s="18">
        <v>5</v>
      </c>
      <c r="K480" s="16">
        <v>168.95</v>
      </c>
      <c r="L480" s="10"/>
      <c r="M480" s="16">
        <v>0</v>
      </c>
      <c r="N480" s="16">
        <v>0</v>
      </c>
      <c r="O480" s="18">
        <v>0</v>
      </c>
      <c r="P480" s="18" t="s">
        <v>95</v>
      </c>
      <c r="Q480" s="18">
        <v>5.135504</v>
      </c>
      <c r="R480" s="10"/>
      <c r="S480" s="16">
        <v>67</v>
      </c>
      <c r="T480" s="16">
        <v>10</v>
      </c>
      <c r="U480" s="18" t="s">
        <v>1723</v>
      </c>
      <c r="V480" s="18" t="s">
        <v>115</v>
      </c>
      <c r="W480" s="18" t="s">
        <v>2543</v>
      </c>
      <c r="X480" s="18">
        <v>840414626882</v>
      </c>
      <c r="Y480" s="18" t="s">
        <v>81</v>
      </c>
      <c r="Z480" s="18" t="s">
        <v>82</v>
      </c>
      <c r="AA480" s="18" t="s">
        <v>117</v>
      </c>
      <c r="AB480" s="18" t="s">
        <v>107</v>
      </c>
      <c r="AC480" s="18" t="s">
        <v>85</v>
      </c>
      <c r="AD480" s="18">
        <v>332.9</v>
      </c>
      <c r="AE480" s="18">
        <v>0</v>
      </c>
      <c r="AF480" s="18">
        <v>0</v>
      </c>
      <c r="AG480" s="18">
        <v>1</v>
      </c>
      <c r="AH480" s="18">
        <v>0</v>
      </c>
      <c r="AI480" s="18">
        <v>0</v>
      </c>
      <c r="AJ480" s="18">
        <v>0</v>
      </c>
      <c r="AK480" s="18">
        <v>0</v>
      </c>
      <c r="AL480" s="18">
        <v>0</v>
      </c>
      <c r="AM480" s="18">
        <v>0</v>
      </c>
      <c r="AN480" s="18">
        <v>0</v>
      </c>
      <c r="AO480" s="18">
        <v>0</v>
      </c>
      <c r="AP480" s="18">
        <v>1</v>
      </c>
      <c r="AQ480" s="18">
        <v>0</v>
      </c>
      <c r="AR480" s="18">
        <v>0</v>
      </c>
      <c r="AS480" s="18">
        <v>0</v>
      </c>
      <c r="AT480" s="18">
        <v>0</v>
      </c>
      <c r="AU480" s="18">
        <v>0</v>
      </c>
      <c r="AV480" s="18">
        <v>0</v>
      </c>
      <c r="AW480" s="18">
        <v>0</v>
      </c>
      <c r="AX480" s="18">
        <v>0</v>
      </c>
      <c r="AY480" s="13"/>
      <c r="AZ480" s="18">
        <v>1</v>
      </c>
      <c r="BA480" s="18">
        <v>0</v>
      </c>
      <c r="BB480" s="18">
        <v>63.81</v>
      </c>
      <c r="BC480" s="18" t="s">
        <v>1724</v>
      </c>
      <c r="BD480" s="18" t="s">
        <v>180</v>
      </c>
      <c r="BE480" s="18" t="s">
        <v>128</v>
      </c>
      <c r="BF480" s="18" t="s">
        <v>77</v>
      </c>
      <c r="BG480" s="18">
        <v>1</v>
      </c>
      <c r="BH480" s="18">
        <v>28</v>
      </c>
      <c r="BI480" s="18">
        <v>0.0345</v>
      </c>
      <c r="BJ480" s="18">
        <v>1</v>
      </c>
      <c r="BK480" s="18">
        <v>12</v>
      </c>
      <c r="BL480" s="18">
        <v>96.7</v>
      </c>
      <c r="BM480" s="13">
        <f t="shared" si="0"/>
        <v>11319.65</v>
      </c>
    </row>
    <row r="481" customHeight="1" spans="1:65">
      <c r="A481" s="18" t="s">
        <v>1246</v>
      </c>
      <c r="B481" s="18" t="s">
        <v>125</v>
      </c>
      <c r="C481" s="13"/>
      <c r="D481" s="13"/>
      <c r="E481" s="18" t="s">
        <v>163</v>
      </c>
      <c r="F481" s="18" t="s">
        <v>68</v>
      </c>
      <c r="G481" s="18" t="s">
        <v>83</v>
      </c>
      <c r="H481" s="18" t="s">
        <v>138</v>
      </c>
      <c r="I481" s="18" t="s">
        <v>85</v>
      </c>
      <c r="J481" s="18">
        <v>5</v>
      </c>
      <c r="K481" s="16">
        <v>18.98</v>
      </c>
      <c r="L481" s="10"/>
      <c r="M481" s="16">
        <v>0</v>
      </c>
      <c r="N481" s="16">
        <v>0</v>
      </c>
      <c r="O481" s="18">
        <v>0</v>
      </c>
      <c r="P481" s="18" t="s">
        <v>133</v>
      </c>
      <c r="Q481" s="18">
        <v>2.994732</v>
      </c>
      <c r="R481" s="10"/>
      <c r="S481" s="16">
        <v>26</v>
      </c>
      <c r="T481" s="16">
        <v>10</v>
      </c>
      <c r="U481" s="18" t="s">
        <v>2603</v>
      </c>
      <c r="V481" s="18" t="s">
        <v>125</v>
      </c>
      <c r="W481" s="13"/>
      <c r="X481" s="13"/>
      <c r="Y481" s="18" t="s">
        <v>163</v>
      </c>
      <c r="Z481" s="18" t="s">
        <v>68</v>
      </c>
      <c r="AA481" s="18" t="s">
        <v>83</v>
      </c>
      <c r="AB481" s="18" t="s">
        <v>138</v>
      </c>
      <c r="AC481" s="18" t="s">
        <v>85</v>
      </c>
      <c r="AD481" s="18">
        <v>32.96</v>
      </c>
      <c r="AE481" s="18">
        <v>0</v>
      </c>
      <c r="AF481" s="18">
        <v>0</v>
      </c>
      <c r="AG481" s="18">
        <v>0</v>
      </c>
      <c r="AH481" s="18">
        <v>1</v>
      </c>
      <c r="AI481" s="18">
        <v>0</v>
      </c>
      <c r="AJ481" s="18">
        <v>0</v>
      </c>
      <c r="AK481" s="18">
        <v>0</v>
      </c>
      <c r="AL481" s="18">
        <v>0</v>
      </c>
      <c r="AM481" s="18">
        <v>0</v>
      </c>
      <c r="AN481" s="18">
        <v>0</v>
      </c>
      <c r="AO481" s="18">
        <v>0</v>
      </c>
      <c r="AP481" s="18">
        <v>0</v>
      </c>
      <c r="AQ481" s="18">
        <v>0</v>
      </c>
      <c r="AR481" s="18">
        <v>0</v>
      </c>
      <c r="AS481" s="18">
        <v>0</v>
      </c>
      <c r="AT481" s="18">
        <v>1</v>
      </c>
      <c r="AU481" s="18">
        <v>1</v>
      </c>
      <c r="AV481" s="18">
        <v>0</v>
      </c>
      <c r="AW481" s="18">
        <v>0</v>
      </c>
      <c r="AX481" s="18">
        <v>0</v>
      </c>
      <c r="AY481" s="13"/>
      <c r="AZ481" s="18">
        <v>1</v>
      </c>
      <c r="BA481" s="18">
        <v>1</v>
      </c>
      <c r="BB481" s="18">
        <v>28.89</v>
      </c>
      <c r="BC481" s="18" t="s">
        <v>1736</v>
      </c>
      <c r="BD481" s="13"/>
      <c r="BE481" s="13"/>
      <c r="BF481" s="13"/>
      <c r="BG481" s="18">
        <v>0</v>
      </c>
      <c r="BH481" s="18">
        <v>0</v>
      </c>
      <c r="BI481" s="13"/>
      <c r="BJ481" s="18">
        <v>0</v>
      </c>
      <c r="BK481" s="13"/>
      <c r="BL481" s="13"/>
      <c r="BM481" s="13">
        <f t="shared" si="0"/>
        <v>493.48</v>
      </c>
    </row>
    <row r="482" customHeight="1" spans="1:65">
      <c r="A482" s="18" t="s">
        <v>1737</v>
      </c>
      <c r="B482" s="18" t="s">
        <v>739</v>
      </c>
      <c r="C482" s="13"/>
      <c r="D482" s="13"/>
      <c r="E482" s="18" t="s">
        <v>81</v>
      </c>
      <c r="F482" s="18" t="s">
        <v>82</v>
      </c>
      <c r="G482" s="18" t="s">
        <v>83</v>
      </c>
      <c r="H482" s="18" t="s">
        <v>84</v>
      </c>
      <c r="I482" s="18" t="s">
        <v>85</v>
      </c>
      <c r="J482" s="18">
        <v>5</v>
      </c>
      <c r="K482" s="16">
        <v>189.89</v>
      </c>
      <c r="L482" s="10"/>
      <c r="M482" s="16">
        <v>0</v>
      </c>
      <c r="N482" s="16">
        <v>0</v>
      </c>
      <c r="O482" s="18">
        <v>0</v>
      </c>
      <c r="P482" s="18" t="s">
        <v>95</v>
      </c>
      <c r="Q482" s="18">
        <v>5.251697</v>
      </c>
      <c r="R482" s="10"/>
      <c r="S482" s="16">
        <v>6</v>
      </c>
      <c r="T482" s="16">
        <v>1</v>
      </c>
      <c r="U482" s="18" t="s">
        <v>1737</v>
      </c>
      <c r="V482" s="18" t="s">
        <v>739</v>
      </c>
      <c r="W482" s="13"/>
      <c r="X482" s="13"/>
      <c r="Y482" s="18" t="s">
        <v>81</v>
      </c>
      <c r="Z482" s="18" t="s">
        <v>82</v>
      </c>
      <c r="AA482" s="18" t="s">
        <v>83</v>
      </c>
      <c r="AB482" s="18" t="s">
        <v>84</v>
      </c>
      <c r="AC482" s="18" t="s">
        <v>85</v>
      </c>
      <c r="AD482" s="18">
        <v>374.78</v>
      </c>
      <c r="AE482" s="18">
        <v>1</v>
      </c>
      <c r="AF482" s="18">
        <v>0</v>
      </c>
      <c r="AG482" s="18">
        <v>0</v>
      </c>
      <c r="AH482" s="18">
        <v>1</v>
      </c>
      <c r="AI482" s="18">
        <v>0</v>
      </c>
      <c r="AJ482" s="18">
        <v>0</v>
      </c>
      <c r="AK482" s="18">
        <v>1</v>
      </c>
      <c r="AL482" s="18">
        <v>0</v>
      </c>
      <c r="AM482" s="18">
        <v>0</v>
      </c>
      <c r="AN482" s="18">
        <v>0</v>
      </c>
      <c r="AO482" s="18">
        <v>0</v>
      </c>
      <c r="AP482" s="18">
        <v>0</v>
      </c>
      <c r="AQ482" s="18">
        <v>0</v>
      </c>
      <c r="AR482" s="18">
        <v>0</v>
      </c>
      <c r="AS482" s="18">
        <v>0</v>
      </c>
      <c r="AT482" s="18">
        <v>1</v>
      </c>
      <c r="AU482" s="18">
        <v>0</v>
      </c>
      <c r="AV482" s="18">
        <v>0</v>
      </c>
      <c r="AW482" s="18">
        <v>1</v>
      </c>
      <c r="AX482" s="18">
        <v>0</v>
      </c>
      <c r="AY482" s="13"/>
      <c r="AZ482" s="18">
        <v>1</v>
      </c>
      <c r="BA482" s="18">
        <v>3</v>
      </c>
      <c r="BB482" s="18">
        <v>34.28</v>
      </c>
      <c r="BC482" s="18" t="s">
        <v>1738</v>
      </c>
      <c r="BD482" s="18" t="s">
        <v>1739</v>
      </c>
      <c r="BE482" s="18" t="s">
        <v>113</v>
      </c>
      <c r="BF482" s="18" t="s">
        <v>77</v>
      </c>
      <c r="BG482" s="18">
        <v>162</v>
      </c>
      <c r="BH482" s="18">
        <v>20</v>
      </c>
      <c r="BI482" s="18">
        <v>0.8901</v>
      </c>
      <c r="BJ482" s="18">
        <v>0</v>
      </c>
      <c r="BK482" s="13"/>
      <c r="BL482" s="13"/>
      <c r="BM482" s="13">
        <f t="shared" si="0"/>
        <v>1139.34</v>
      </c>
    </row>
    <row r="483" customHeight="1" spans="1:65">
      <c r="A483" s="18" t="s">
        <v>1777</v>
      </c>
      <c r="B483" s="18" t="s">
        <v>739</v>
      </c>
      <c r="C483" s="13"/>
      <c r="D483" s="13"/>
      <c r="E483" s="18" t="s">
        <v>81</v>
      </c>
      <c r="F483" s="18" t="s">
        <v>82</v>
      </c>
      <c r="G483" s="18" t="s">
        <v>83</v>
      </c>
      <c r="H483" s="18" t="s">
        <v>84</v>
      </c>
      <c r="I483" s="18" t="s">
        <v>203</v>
      </c>
      <c r="J483" s="18">
        <v>4</v>
      </c>
      <c r="K483" s="16">
        <v>309.99</v>
      </c>
      <c r="L483" s="10"/>
      <c r="M483" s="16">
        <v>0</v>
      </c>
      <c r="N483" s="16">
        <v>0</v>
      </c>
      <c r="O483" s="18">
        <v>0</v>
      </c>
      <c r="P483" s="18" t="s">
        <v>71</v>
      </c>
      <c r="Q483" s="18">
        <v>5.739761</v>
      </c>
      <c r="R483" s="10"/>
      <c r="S483" s="16">
        <v>1</v>
      </c>
      <c r="T483" s="16">
        <v>2</v>
      </c>
      <c r="U483" s="18" t="s">
        <v>1777</v>
      </c>
      <c r="V483" s="18" t="s">
        <v>739</v>
      </c>
      <c r="W483" s="13"/>
      <c r="X483" s="13"/>
      <c r="Y483" s="18" t="s">
        <v>81</v>
      </c>
      <c r="Z483" s="18" t="s">
        <v>82</v>
      </c>
      <c r="AA483" s="18" t="s">
        <v>83</v>
      </c>
      <c r="AB483" s="18" t="s">
        <v>84</v>
      </c>
      <c r="AC483" s="18" t="s">
        <v>203</v>
      </c>
      <c r="AD483" s="18">
        <v>615.98</v>
      </c>
      <c r="AE483" s="18">
        <v>1</v>
      </c>
      <c r="AF483" s="18">
        <v>0</v>
      </c>
      <c r="AG483" s="18">
        <v>0</v>
      </c>
      <c r="AH483" s="18">
        <v>1</v>
      </c>
      <c r="AI483" s="18">
        <v>0</v>
      </c>
      <c r="AJ483" s="18">
        <v>0</v>
      </c>
      <c r="AK483" s="18">
        <v>0</v>
      </c>
      <c r="AL483" s="18">
        <v>0</v>
      </c>
      <c r="AM483" s="18">
        <v>0</v>
      </c>
      <c r="AN483" s="18">
        <v>0</v>
      </c>
      <c r="AO483" s="18">
        <v>0</v>
      </c>
      <c r="AP483" s="18">
        <v>0</v>
      </c>
      <c r="AQ483" s="18">
        <v>0</v>
      </c>
      <c r="AR483" s="18">
        <v>0</v>
      </c>
      <c r="AS483" s="18">
        <v>0</v>
      </c>
      <c r="AT483" s="18">
        <v>1</v>
      </c>
      <c r="AU483" s="18">
        <v>0</v>
      </c>
      <c r="AV483" s="18">
        <v>0</v>
      </c>
      <c r="AW483" s="18">
        <v>1</v>
      </c>
      <c r="AX483" s="18">
        <v>0</v>
      </c>
      <c r="AY483" s="13"/>
      <c r="AZ483" s="18">
        <v>1</v>
      </c>
      <c r="BA483" s="18">
        <v>2</v>
      </c>
      <c r="BB483" s="18">
        <v>13.33</v>
      </c>
      <c r="BC483" s="18" t="s">
        <v>1738</v>
      </c>
      <c r="BD483" s="18" t="s">
        <v>1739</v>
      </c>
      <c r="BE483" s="18" t="s">
        <v>113</v>
      </c>
      <c r="BF483" s="18" t="s">
        <v>77</v>
      </c>
      <c r="BG483" s="18">
        <v>162</v>
      </c>
      <c r="BH483" s="18">
        <v>20</v>
      </c>
      <c r="BI483" s="18">
        <v>0.8901</v>
      </c>
      <c r="BJ483" s="18">
        <v>0</v>
      </c>
      <c r="BK483" s="13"/>
      <c r="BL483" s="13"/>
      <c r="BM483" s="13">
        <f t="shared" si="0"/>
        <v>309.99</v>
      </c>
    </row>
    <row r="484" customHeight="1" spans="1:65">
      <c r="A484" s="18" t="s">
        <v>2309</v>
      </c>
      <c r="B484" s="18" t="s">
        <v>739</v>
      </c>
      <c r="C484" s="13"/>
      <c r="D484" s="13"/>
      <c r="E484" s="18" t="s">
        <v>81</v>
      </c>
      <c r="F484" s="18" t="s">
        <v>82</v>
      </c>
      <c r="G484" s="18" t="s">
        <v>83</v>
      </c>
      <c r="H484" s="18" t="s">
        <v>84</v>
      </c>
      <c r="I484" s="18" t="s">
        <v>203</v>
      </c>
      <c r="J484" s="18">
        <v>4</v>
      </c>
      <c r="K484" s="16">
        <v>159.99</v>
      </c>
      <c r="L484" s="10"/>
      <c r="M484" s="16">
        <v>0</v>
      </c>
      <c r="N484" s="16">
        <v>0</v>
      </c>
      <c r="O484" s="18">
        <v>0</v>
      </c>
      <c r="P484" s="18" t="s">
        <v>95</v>
      </c>
      <c r="Q484" s="18">
        <v>5.081342</v>
      </c>
      <c r="R484" s="10"/>
      <c r="S484" s="16">
        <v>6</v>
      </c>
      <c r="T484" s="16">
        <v>1</v>
      </c>
      <c r="U484" s="18" t="s">
        <v>2309</v>
      </c>
      <c r="V484" s="18" t="s">
        <v>739</v>
      </c>
      <c r="W484" s="13"/>
      <c r="X484" s="13"/>
      <c r="Y484" s="18" t="s">
        <v>81</v>
      </c>
      <c r="Z484" s="18" t="s">
        <v>82</v>
      </c>
      <c r="AA484" s="18" t="s">
        <v>83</v>
      </c>
      <c r="AB484" s="18" t="s">
        <v>84</v>
      </c>
      <c r="AC484" s="18" t="s">
        <v>203</v>
      </c>
      <c r="AD484" s="18">
        <v>315.98</v>
      </c>
      <c r="AE484" s="18">
        <v>1</v>
      </c>
      <c r="AF484" s="18">
        <v>0</v>
      </c>
      <c r="AG484" s="18">
        <v>0</v>
      </c>
      <c r="AH484" s="18">
        <v>1</v>
      </c>
      <c r="AI484" s="18">
        <v>0</v>
      </c>
      <c r="AJ484" s="18">
        <v>0</v>
      </c>
      <c r="AK484" s="18">
        <v>0</v>
      </c>
      <c r="AL484" s="18">
        <v>0</v>
      </c>
      <c r="AM484" s="18">
        <v>0</v>
      </c>
      <c r="AN484" s="18">
        <v>0</v>
      </c>
      <c r="AO484" s="18">
        <v>0</v>
      </c>
      <c r="AP484" s="18">
        <v>0</v>
      </c>
      <c r="AQ484" s="18">
        <v>0</v>
      </c>
      <c r="AR484" s="18">
        <v>0</v>
      </c>
      <c r="AS484" s="18">
        <v>0</v>
      </c>
      <c r="AT484" s="18">
        <v>1</v>
      </c>
      <c r="AU484" s="18">
        <v>0</v>
      </c>
      <c r="AV484" s="18">
        <v>0</v>
      </c>
      <c r="AW484" s="18">
        <v>0</v>
      </c>
      <c r="AX484" s="18">
        <v>0</v>
      </c>
      <c r="AY484" s="13"/>
      <c r="AZ484" s="18">
        <v>1</v>
      </c>
      <c r="BA484" s="18">
        <v>2</v>
      </c>
      <c r="BB484" s="18">
        <v>61.82</v>
      </c>
      <c r="BC484" s="18" t="s">
        <v>1738</v>
      </c>
      <c r="BD484" s="18" t="s">
        <v>1739</v>
      </c>
      <c r="BE484" s="18" t="s">
        <v>128</v>
      </c>
      <c r="BF484" s="18" t="s">
        <v>77</v>
      </c>
      <c r="BG484" s="18">
        <v>162</v>
      </c>
      <c r="BH484" s="18">
        <v>20</v>
      </c>
      <c r="BI484" s="18">
        <v>0.8901</v>
      </c>
      <c r="BJ484" s="18">
        <v>0</v>
      </c>
      <c r="BK484" s="18">
        <v>30</v>
      </c>
      <c r="BL484" s="18">
        <v>91.8</v>
      </c>
      <c r="BM484" s="13">
        <f t="shared" si="0"/>
        <v>959.94</v>
      </c>
    </row>
    <row r="485" customHeight="1" spans="1:65">
      <c r="A485" s="18" t="s">
        <v>258</v>
      </c>
      <c r="B485" s="18" t="s">
        <v>125</v>
      </c>
      <c r="C485" s="13"/>
      <c r="D485" s="13"/>
      <c r="E485" s="18" t="s">
        <v>259</v>
      </c>
      <c r="F485" s="18" t="s">
        <v>198</v>
      </c>
      <c r="G485" s="18" t="s">
        <v>83</v>
      </c>
      <c r="H485" s="18" t="s">
        <v>138</v>
      </c>
      <c r="I485" s="18" t="s">
        <v>85</v>
      </c>
      <c r="J485" s="18">
        <v>5</v>
      </c>
      <c r="K485" s="16">
        <v>15.89</v>
      </c>
      <c r="L485" s="10"/>
      <c r="M485" s="16">
        <v>0</v>
      </c>
      <c r="N485" s="16">
        <v>0</v>
      </c>
      <c r="O485" s="18">
        <v>0</v>
      </c>
      <c r="P485" s="18" t="s">
        <v>133</v>
      </c>
      <c r="Q485" s="18">
        <v>2.826722</v>
      </c>
      <c r="R485" s="10"/>
      <c r="S485" s="16">
        <v>2108</v>
      </c>
      <c r="T485" s="16">
        <v>10</v>
      </c>
      <c r="U485" s="18" t="s">
        <v>258</v>
      </c>
      <c r="V485" s="18" t="s">
        <v>125</v>
      </c>
      <c r="W485" s="13"/>
      <c r="X485" s="13"/>
      <c r="Y485" s="18" t="s">
        <v>259</v>
      </c>
      <c r="Z485" s="18" t="s">
        <v>198</v>
      </c>
      <c r="AA485" s="18" t="s">
        <v>83</v>
      </c>
      <c r="AB485" s="18" t="s">
        <v>138</v>
      </c>
      <c r="AC485" s="18" t="s">
        <v>85</v>
      </c>
      <c r="AD485" s="18">
        <v>26.78</v>
      </c>
      <c r="AE485" s="18">
        <v>0</v>
      </c>
      <c r="AF485" s="18">
        <v>0</v>
      </c>
      <c r="AG485" s="18">
        <v>0</v>
      </c>
      <c r="AH485" s="18">
        <v>1</v>
      </c>
      <c r="AI485" s="18">
        <v>0</v>
      </c>
      <c r="AJ485" s="18">
        <v>0</v>
      </c>
      <c r="AK485" s="18">
        <v>0</v>
      </c>
      <c r="AL485" s="18">
        <v>0</v>
      </c>
      <c r="AM485" s="18">
        <v>0</v>
      </c>
      <c r="AN485" s="18">
        <v>0</v>
      </c>
      <c r="AO485" s="18">
        <v>0</v>
      </c>
      <c r="AP485" s="18">
        <v>0</v>
      </c>
      <c r="AQ485" s="18">
        <v>0</v>
      </c>
      <c r="AR485" s="18">
        <v>0</v>
      </c>
      <c r="AS485" s="18">
        <v>0</v>
      </c>
      <c r="AT485" s="18">
        <v>0</v>
      </c>
      <c r="AU485" s="18">
        <v>0</v>
      </c>
      <c r="AV485" s="18">
        <v>0</v>
      </c>
      <c r="AW485" s="18">
        <v>1</v>
      </c>
      <c r="AX485" s="18">
        <v>0</v>
      </c>
      <c r="AY485" s="13"/>
      <c r="AZ485" s="18">
        <v>1</v>
      </c>
      <c r="BA485" s="18">
        <v>2</v>
      </c>
      <c r="BB485" s="18">
        <v>67.11</v>
      </c>
      <c r="BC485" s="18" t="s">
        <v>260</v>
      </c>
      <c r="BD485" s="18" t="s">
        <v>261</v>
      </c>
      <c r="BE485" s="18" t="s">
        <v>262</v>
      </c>
      <c r="BF485" s="18" t="s">
        <v>77</v>
      </c>
      <c r="BG485" s="18">
        <v>1</v>
      </c>
      <c r="BH485" s="18">
        <v>27</v>
      </c>
      <c r="BI485" s="18">
        <v>0.0357</v>
      </c>
      <c r="BJ485" s="18">
        <v>1</v>
      </c>
      <c r="BK485" s="18">
        <v>33</v>
      </c>
      <c r="BL485" s="18">
        <v>91</v>
      </c>
      <c r="BM485" s="13">
        <f t="shared" si="0"/>
        <v>33496.12</v>
      </c>
    </row>
    <row r="486" customHeight="1" spans="1:65">
      <c r="A486" s="18" t="s">
        <v>1706</v>
      </c>
      <c r="B486" s="18" t="s">
        <v>125</v>
      </c>
      <c r="C486" s="13"/>
      <c r="D486" s="13"/>
      <c r="E486" s="18" t="s">
        <v>735</v>
      </c>
      <c r="F486" s="18" t="s">
        <v>352</v>
      </c>
      <c r="G486" s="18" t="s">
        <v>83</v>
      </c>
      <c r="H486" s="18" t="s">
        <v>138</v>
      </c>
      <c r="I486" s="18" t="s">
        <v>85</v>
      </c>
      <c r="J486" s="18">
        <v>5</v>
      </c>
      <c r="K486" s="16">
        <v>13.49</v>
      </c>
      <c r="L486" s="16">
        <v>14.99</v>
      </c>
      <c r="M486" s="16">
        <v>10.01</v>
      </c>
      <c r="N486" s="16">
        <v>1.5</v>
      </c>
      <c r="O486" s="18">
        <v>1</v>
      </c>
      <c r="P486" s="18" t="s">
        <v>133</v>
      </c>
      <c r="Q486" s="18">
        <v>2.673459</v>
      </c>
      <c r="R486" s="10"/>
      <c r="S486" s="16">
        <v>30</v>
      </c>
      <c r="T486" s="16">
        <v>10</v>
      </c>
      <c r="U486" s="18" t="s">
        <v>1706</v>
      </c>
      <c r="V486" s="18" t="s">
        <v>125</v>
      </c>
      <c r="W486" s="13"/>
      <c r="X486" s="13"/>
      <c r="Y486" s="18" t="s">
        <v>735</v>
      </c>
      <c r="Z486" s="18" t="s">
        <v>352</v>
      </c>
      <c r="AA486" s="18" t="s">
        <v>83</v>
      </c>
      <c r="AB486" s="18" t="s">
        <v>138</v>
      </c>
      <c r="AC486" s="18" t="s">
        <v>85</v>
      </c>
      <c r="AD486" s="18">
        <v>1.56999999999998</v>
      </c>
      <c r="AE486" s="18">
        <v>0</v>
      </c>
      <c r="AF486" s="18">
        <v>0</v>
      </c>
      <c r="AG486" s="18">
        <v>0</v>
      </c>
      <c r="AH486" s="18">
        <v>0</v>
      </c>
      <c r="AI486" s="18">
        <v>0</v>
      </c>
      <c r="AJ486" s="18">
        <v>0</v>
      </c>
      <c r="AK486" s="18">
        <v>0</v>
      </c>
      <c r="AL486" s="18">
        <v>0</v>
      </c>
      <c r="AM486" s="18">
        <v>0</v>
      </c>
      <c r="AN486" s="18">
        <v>0</v>
      </c>
      <c r="AO486" s="18">
        <v>0</v>
      </c>
      <c r="AP486" s="18">
        <v>0</v>
      </c>
      <c r="AQ486" s="18">
        <v>0</v>
      </c>
      <c r="AR486" s="18">
        <v>0</v>
      </c>
      <c r="AS486" s="18">
        <v>0</v>
      </c>
      <c r="AT486" s="18">
        <v>1</v>
      </c>
      <c r="AU486" s="18">
        <v>1</v>
      </c>
      <c r="AV486" s="18">
        <v>0</v>
      </c>
      <c r="AW486" s="18">
        <v>1</v>
      </c>
      <c r="AX486" s="18">
        <v>0</v>
      </c>
      <c r="AY486" s="13"/>
      <c r="AZ486" s="18">
        <v>2</v>
      </c>
      <c r="BA486" s="18">
        <v>0</v>
      </c>
      <c r="BB486" s="18">
        <v>51.24</v>
      </c>
      <c r="BC486" s="18" t="s">
        <v>260</v>
      </c>
      <c r="BD486" s="18" t="s">
        <v>261</v>
      </c>
      <c r="BE486" s="18" t="s">
        <v>262</v>
      </c>
      <c r="BF486" s="18" t="s">
        <v>77</v>
      </c>
      <c r="BG486" s="18">
        <v>1</v>
      </c>
      <c r="BH486" s="18">
        <v>26</v>
      </c>
      <c r="BI486" s="18">
        <v>0.037</v>
      </c>
      <c r="BJ486" s="18">
        <v>1</v>
      </c>
      <c r="BK486" s="18">
        <v>143</v>
      </c>
      <c r="BL486" s="18">
        <v>60.8</v>
      </c>
      <c r="BM486" s="13">
        <f t="shared" si="0"/>
        <v>404.7</v>
      </c>
    </row>
    <row r="487" customHeight="1" spans="1:65">
      <c r="A487" s="18" t="s">
        <v>1740</v>
      </c>
      <c r="B487" s="18" t="s">
        <v>1741</v>
      </c>
      <c r="C487" s="13"/>
      <c r="D487" s="13"/>
      <c r="E487" s="18" t="s">
        <v>1742</v>
      </c>
      <c r="F487" s="18" t="s">
        <v>160</v>
      </c>
      <c r="G487" s="18" t="s">
        <v>83</v>
      </c>
      <c r="H487" s="18" t="s">
        <v>84</v>
      </c>
      <c r="I487" s="18" t="s">
        <v>85</v>
      </c>
      <c r="J487" s="18">
        <v>5</v>
      </c>
      <c r="K487" s="16">
        <v>145</v>
      </c>
      <c r="L487" s="10"/>
      <c r="M487" s="16">
        <v>0</v>
      </c>
      <c r="N487" s="16">
        <v>0</v>
      </c>
      <c r="O487" s="18">
        <v>0</v>
      </c>
      <c r="P487" s="18" t="s">
        <v>95</v>
      </c>
      <c r="Q487" s="18">
        <v>4.983607</v>
      </c>
      <c r="R487" s="10"/>
      <c r="S487" s="16">
        <v>34</v>
      </c>
      <c r="T487" s="16">
        <v>10</v>
      </c>
      <c r="U487" s="18" t="s">
        <v>2643</v>
      </c>
      <c r="V487" s="18" t="s">
        <v>1741</v>
      </c>
      <c r="W487" s="13"/>
      <c r="X487" s="13"/>
      <c r="Y487" s="18" t="s">
        <v>1742</v>
      </c>
      <c r="Z487" s="18" t="s">
        <v>160</v>
      </c>
      <c r="AA487" s="18" t="s">
        <v>83</v>
      </c>
      <c r="AB487" s="18" t="s">
        <v>84</v>
      </c>
      <c r="AC487" s="18" t="s">
        <v>85</v>
      </c>
      <c r="AD487" s="18">
        <v>285</v>
      </c>
      <c r="AE487" s="18">
        <v>0</v>
      </c>
      <c r="AF487" s="18">
        <v>0</v>
      </c>
      <c r="AG487" s="18">
        <v>0</v>
      </c>
      <c r="AH487" s="18">
        <v>0</v>
      </c>
      <c r="AI487" s="18">
        <v>0</v>
      </c>
      <c r="AJ487" s="18">
        <v>0</v>
      </c>
      <c r="AK487" s="18">
        <v>0</v>
      </c>
      <c r="AL487" s="18">
        <v>0</v>
      </c>
      <c r="AM487" s="18">
        <v>0</v>
      </c>
      <c r="AN487" s="18">
        <v>0</v>
      </c>
      <c r="AO487" s="18">
        <v>0</v>
      </c>
      <c r="AP487" s="18">
        <v>0</v>
      </c>
      <c r="AQ487" s="18">
        <v>0</v>
      </c>
      <c r="AR487" s="18">
        <v>0</v>
      </c>
      <c r="AS487" s="18">
        <v>0</v>
      </c>
      <c r="AT487" s="18">
        <v>0</v>
      </c>
      <c r="AU487" s="18">
        <v>0</v>
      </c>
      <c r="AV487" s="18">
        <v>0</v>
      </c>
      <c r="AW487" s="18">
        <v>0</v>
      </c>
      <c r="AX487" s="18">
        <v>0</v>
      </c>
      <c r="AY487" s="13"/>
      <c r="AZ487" s="18">
        <v>1</v>
      </c>
      <c r="BA487" s="18">
        <v>0</v>
      </c>
      <c r="BB487" s="18">
        <v>57.94</v>
      </c>
      <c r="BC487" s="18" t="s">
        <v>1743</v>
      </c>
      <c r="BD487" s="18" t="s">
        <v>1744</v>
      </c>
      <c r="BE487" s="18" t="s">
        <v>781</v>
      </c>
      <c r="BF487" s="18" t="s">
        <v>77</v>
      </c>
      <c r="BG487" s="18">
        <v>168</v>
      </c>
      <c r="BH487" s="18">
        <v>11</v>
      </c>
      <c r="BI487" s="18">
        <v>0.9385</v>
      </c>
      <c r="BJ487" s="18">
        <v>0</v>
      </c>
      <c r="BK487" s="18">
        <v>36</v>
      </c>
      <c r="BL487" s="18">
        <v>90.1</v>
      </c>
      <c r="BM487" s="13">
        <f t="shared" si="0"/>
        <v>4930</v>
      </c>
    </row>
    <row r="488" customHeight="1" spans="1:65">
      <c r="A488" s="18" t="s">
        <v>200</v>
      </c>
      <c r="B488" s="18" t="s">
        <v>125</v>
      </c>
      <c r="C488" s="13"/>
      <c r="D488" s="13"/>
      <c r="E488" s="18" t="s">
        <v>81</v>
      </c>
      <c r="F488" s="18" t="s">
        <v>82</v>
      </c>
      <c r="G488" s="18" t="s">
        <v>83</v>
      </c>
      <c r="H488" s="18" t="s">
        <v>138</v>
      </c>
      <c r="I488" s="18" t="s">
        <v>85</v>
      </c>
      <c r="J488" s="18">
        <v>5</v>
      </c>
      <c r="K488" s="16">
        <v>69.99</v>
      </c>
      <c r="L488" s="10"/>
      <c r="M488" s="16">
        <v>0</v>
      </c>
      <c r="N488" s="16">
        <v>0</v>
      </c>
      <c r="O488" s="18">
        <v>0</v>
      </c>
      <c r="P488" s="18" t="s">
        <v>86</v>
      </c>
      <c r="Q488" s="18">
        <v>4.262539</v>
      </c>
      <c r="R488" s="10"/>
      <c r="S488" s="16">
        <v>3</v>
      </c>
      <c r="T488" s="16">
        <v>5</v>
      </c>
      <c r="U488" s="18" t="s">
        <v>200</v>
      </c>
      <c r="V488" s="18" t="s">
        <v>125</v>
      </c>
      <c r="W488" s="13"/>
      <c r="X488" s="13"/>
      <c r="Y488" s="18" t="s">
        <v>81</v>
      </c>
      <c r="Z488" s="18" t="s">
        <v>82</v>
      </c>
      <c r="AA488" s="18" t="s">
        <v>83</v>
      </c>
      <c r="AB488" s="18" t="s">
        <v>138</v>
      </c>
      <c r="AC488" s="18" t="s">
        <v>85</v>
      </c>
      <c r="AD488" s="18">
        <v>134.98</v>
      </c>
      <c r="AE488" s="18">
        <v>0</v>
      </c>
      <c r="AF488" s="18">
        <v>0</v>
      </c>
      <c r="AG488" s="18">
        <v>0</v>
      </c>
      <c r="AH488" s="18">
        <v>1</v>
      </c>
      <c r="AI488" s="18">
        <v>0</v>
      </c>
      <c r="AJ488" s="18">
        <v>1</v>
      </c>
      <c r="AK488" s="18">
        <v>0</v>
      </c>
      <c r="AL488" s="18">
        <v>0</v>
      </c>
      <c r="AM488" s="18">
        <v>0</v>
      </c>
      <c r="AN488" s="18">
        <v>0</v>
      </c>
      <c r="AO488" s="18">
        <v>0</v>
      </c>
      <c r="AP488" s="18">
        <v>0</v>
      </c>
      <c r="AQ488" s="18">
        <v>0</v>
      </c>
      <c r="AR488" s="18">
        <v>0</v>
      </c>
      <c r="AS488" s="18">
        <v>0</v>
      </c>
      <c r="AT488" s="18">
        <v>1</v>
      </c>
      <c r="AU488" s="18">
        <v>0</v>
      </c>
      <c r="AV488" s="18">
        <v>0</v>
      </c>
      <c r="AW488" s="18">
        <v>1</v>
      </c>
      <c r="AX488" s="18">
        <v>0</v>
      </c>
      <c r="AY488" s="13"/>
      <c r="AZ488" s="18">
        <v>1</v>
      </c>
      <c r="BA488" s="18">
        <v>2</v>
      </c>
      <c r="BB488" s="18">
        <v>44.85</v>
      </c>
      <c r="BC488" s="18" t="s">
        <v>1745</v>
      </c>
      <c r="BD488" s="18" t="s">
        <v>141</v>
      </c>
      <c r="BE488" s="18" t="s">
        <v>142</v>
      </c>
      <c r="BF488" s="18" t="s">
        <v>77</v>
      </c>
      <c r="BG488" s="18">
        <v>1</v>
      </c>
      <c r="BH488" s="18">
        <v>74</v>
      </c>
      <c r="BI488" s="18">
        <v>0.0133</v>
      </c>
      <c r="BJ488" s="18">
        <v>1</v>
      </c>
      <c r="BK488" s="18">
        <v>2</v>
      </c>
      <c r="BL488" s="18">
        <v>99.5</v>
      </c>
      <c r="BM488" s="13">
        <f t="shared" si="0"/>
        <v>209.97</v>
      </c>
    </row>
    <row r="489" customHeight="1" spans="1:65">
      <c r="A489" s="18" t="s">
        <v>1747</v>
      </c>
      <c r="B489" s="18" t="s">
        <v>542</v>
      </c>
      <c r="C489" s="13"/>
      <c r="D489" s="13"/>
      <c r="E489" s="18" t="s">
        <v>209</v>
      </c>
      <c r="F489" s="18" t="s">
        <v>198</v>
      </c>
      <c r="G489" s="18" t="s">
        <v>83</v>
      </c>
      <c r="H489" s="18" t="s">
        <v>84</v>
      </c>
      <c r="I489" s="18" t="s">
        <v>85</v>
      </c>
      <c r="J489" s="18">
        <v>5</v>
      </c>
      <c r="K489" s="16">
        <v>139</v>
      </c>
      <c r="L489" s="10"/>
      <c r="M489" s="16">
        <v>0</v>
      </c>
      <c r="N489" s="16">
        <v>0</v>
      </c>
      <c r="O489" s="18">
        <v>0</v>
      </c>
      <c r="P489" s="18" t="s">
        <v>95</v>
      </c>
      <c r="Q489" s="18">
        <v>4.941642</v>
      </c>
      <c r="R489" s="10"/>
      <c r="S489" s="10"/>
      <c r="T489" s="10"/>
      <c r="U489" s="18" t="s">
        <v>1747</v>
      </c>
      <c r="V489" s="18" t="s">
        <v>542</v>
      </c>
      <c r="W489" s="13"/>
      <c r="X489" s="13"/>
      <c r="Y489" s="18" t="s">
        <v>209</v>
      </c>
      <c r="Z489" s="18" t="s">
        <v>198</v>
      </c>
      <c r="AA489" s="18" t="s">
        <v>83</v>
      </c>
      <c r="AB489" s="18" t="s">
        <v>84</v>
      </c>
      <c r="AC489" s="18" t="s">
        <v>85</v>
      </c>
      <c r="AD489" s="18">
        <v>273</v>
      </c>
      <c r="AE489" s="18">
        <v>0</v>
      </c>
      <c r="AF489" s="18">
        <v>0</v>
      </c>
      <c r="AG489" s="18">
        <v>0</v>
      </c>
      <c r="AH489" s="18">
        <v>1</v>
      </c>
      <c r="AI489" s="18">
        <v>0</v>
      </c>
      <c r="AJ489" s="18">
        <v>0</v>
      </c>
      <c r="AK489" s="18">
        <v>0</v>
      </c>
      <c r="AL489" s="18">
        <v>0</v>
      </c>
      <c r="AM489" s="18">
        <v>0</v>
      </c>
      <c r="AN489" s="18">
        <v>0</v>
      </c>
      <c r="AO489" s="18">
        <v>0</v>
      </c>
      <c r="AP489" s="18">
        <v>0</v>
      </c>
      <c r="AQ489" s="18">
        <v>0</v>
      </c>
      <c r="AR489" s="18">
        <v>0</v>
      </c>
      <c r="AS489" s="18">
        <v>0</v>
      </c>
      <c r="AT489" s="18">
        <v>1</v>
      </c>
      <c r="AU489" s="18">
        <v>0</v>
      </c>
      <c r="AV489" s="18">
        <v>0</v>
      </c>
      <c r="AW489" s="18">
        <v>1</v>
      </c>
      <c r="AX489" s="18">
        <v>0</v>
      </c>
      <c r="AY489" s="13"/>
      <c r="AZ489" s="18">
        <v>1</v>
      </c>
      <c r="BA489" s="18">
        <v>1</v>
      </c>
      <c r="BB489" s="18">
        <v>0</v>
      </c>
      <c r="BC489" s="18" t="s">
        <v>1748</v>
      </c>
      <c r="BD489" s="18" t="s">
        <v>1749</v>
      </c>
      <c r="BE489" s="18" t="s">
        <v>136</v>
      </c>
      <c r="BF489" s="18" t="s">
        <v>77</v>
      </c>
      <c r="BG489" s="18">
        <v>170</v>
      </c>
      <c r="BH489" s="18">
        <v>11</v>
      </c>
      <c r="BI489" s="18">
        <v>0.9392</v>
      </c>
      <c r="BJ489" s="18">
        <v>0</v>
      </c>
      <c r="BK489" s="13"/>
      <c r="BL489" s="13"/>
      <c r="BM489" s="13">
        <f t="shared" si="0"/>
        <v>0</v>
      </c>
    </row>
    <row r="490" customHeight="1" spans="1:65">
      <c r="A490" s="18" t="s">
        <v>1750</v>
      </c>
      <c r="B490" s="18" t="s">
        <v>553</v>
      </c>
      <c r="C490" s="18" t="s">
        <v>1751</v>
      </c>
      <c r="D490" s="13"/>
      <c r="E490" s="18" t="s">
        <v>255</v>
      </c>
      <c r="F490" s="18" t="s">
        <v>82</v>
      </c>
      <c r="G490" s="18" t="s">
        <v>553</v>
      </c>
      <c r="H490" s="18" t="s">
        <v>69</v>
      </c>
      <c r="I490" s="18" t="s">
        <v>85</v>
      </c>
      <c r="J490" s="18">
        <v>5</v>
      </c>
      <c r="K490" s="16">
        <v>159.99</v>
      </c>
      <c r="L490" s="10"/>
      <c r="M490" s="16">
        <v>0</v>
      </c>
      <c r="N490" s="16">
        <v>0</v>
      </c>
      <c r="O490" s="18">
        <v>0</v>
      </c>
      <c r="P490" s="18" t="s">
        <v>95</v>
      </c>
      <c r="Q490" s="18">
        <v>5.081342</v>
      </c>
      <c r="R490" s="10"/>
      <c r="S490" s="16">
        <v>9</v>
      </c>
      <c r="T490" s="10"/>
      <c r="U490" s="18" t="s">
        <v>1750</v>
      </c>
      <c r="V490" s="18" t="s">
        <v>553</v>
      </c>
      <c r="W490" s="18" t="s">
        <v>1751</v>
      </c>
      <c r="X490" s="13"/>
      <c r="Y490" s="18" t="s">
        <v>255</v>
      </c>
      <c r="Z490" s="18" t="s">
        <v>82</v>
      </c>
      <c r="AA490" s="18" t="s">
        <v>553</v>
      </c>
      <c r="AB490" s="18" t="s">
        <v>69</v>
      </c>
      <c r="AC490" s="18" t="s">
        <v>85</v>
      </c>
      <c r="AD490" s="18">
        <v>314.98</v>
      </c>
      <c r="AE490" s="18">
        <v>0</v>
      </c>
      <c r="AF490" s="18">
        <v>0</v>
      </c>
      <c r="AG490" s="18">
        <v>0</v>
      </c>
      <c r="AH490" s="18">
        <v>0</v>
      </c>
      <c r="AI490" s="18">
        <v>0</v>
      </c>
      <c r="AJ490" s="18">
        <v>0</v>
      </c>
      <c r="AK490" s="18">
        <v>0</v>
      </c>
      <c r="AL490" s="18">
        <v>0</v>
      </c>
      <c r="AM490" s="18">
        <v>0</v>
      </c>
      <c r="AN490" s="18">
        <v>0</v>
      </c>
      <c r="AO490" s="18">
        <v>0</v>
      </c>
      <c r="AP490" s="18">
        <v>0</v>
      </c>
      <c r="AQ490" s="18">
        <v>0</v>
      </c>
      <c r="AR490" s="18">
        <v>0</v>
      </c>
      <c r="AS490" s="18">
        <v>0</v>
      </c>
      <c r="AT490" s="18">
        <v>1</v>
      </c>
      <c r="AU490" s="18">
        <v>0</v>
      </c>
      <c r="AV490" s="18">
        <v>0</v>
      </c>
      <c r="AW490" s="18">
        <v>0</v>
      </c>
      <c r="AX490" s="18">
        <v>0</v>
      </c>
      <c r="AY490" s="13"/>
      <c r="AZ490" s="18">
        <v>1</v>
      </c>
      <c r="BA490" s="18">
        <v>0</v>
      </c>
      <c r="BB490" s="18">
        <v>68.02</v>
      </c>
      <c r="BC490" s="18" t="s">
        <v>1752</v>
      </c>
      <c r="BD490" s="18" t="s">
        <v>684</v>
      </c>
      <c r="BE490" s="18" t="s">
        <v>113</v>
      </c>
      <c r="BF490" s="18" t="s">
        <v>77</v>
      </c>
      <c r="BG490" s="18">
        <v>168</v>
      </c>
      <c r="BH490" s="18">
        <v>11</v>
      </c>
      <c r="BI490" s="18">
        <v>0.9385</v>
      </c>
      <c r="BJ490" s="18">
        <v>0</v>
      </c>
      <c r="BK490" s="18">
        <v>24</v>
      </c>
      <c r="BL490" s="18">
        <v>93.4</v>
      </c>
      <c r="BM490" s="13">
        <f t="shared" si="0"/>
        <v>1439.91</v>
      </c>
    </row>
    <row r="491" customHeight="1" spans="1:65">
      <c r="A491" s="18" t="s">
        <v>1753</v>
      </c>
      <c r="B491" s="18" t="s">
        <v>1268</v>
      </c>
      <c r="C491" s="13"/>
      <c r="D491" s="13"/>
      <c r="E491" s="18" t="s">
        <v>1754</v>
      </c>
      <c r="F491" s="18" t="s">
        <v>240</v>
      </c>
      <c r="G491" s="18" t="s">
        <v>83</v>
      </c>
      <c r="H491" s="18" t="s">
        <v>84</v>
      </c>
      <c r="I491" s="18" t="s">
        <v>153</v>
      </c>
      <c r="J491" s="18">
        <v>2</v>
      </c>
      <c r="K491" s="16">
        <v>236.49</v>
      </c>
      <c r="L491" s="10"/>
      <c r="M491" s="16">
        <v>0</v>
      </c>
      <c r="N491" s="16">
        <v>0</v>
      </c>
      <c r="O491" s="18">
        <v>0</v>
      </c>
      <c r="P491" s="18" t="s">
        <v>71</v>
      </c>
      <c r="Q491" s="18">
        <v>5.470126</v>
      </c>
      <c r="R491" s="10"/>
      <c r="S491" s="10"/>
      <c r="T491" s="10"/>
      <c r="U491" s="18" t="s">
        <v>1753</v>
      </c>
      <c r="V491" s="18" t="s">
        <v>1268</v>
      </c>
      <c r="W491" s="13"/>
      <c r="X491" s="13"/>
      <c r="Y491" s="18" t="s">
        <v>1754</v>
      </c>
      <c r="Z491" s="18" t="s">
        <v>240</v>
      </c>
      <c r="AA491" s="18" t="s">
        <v>83</v>
      </c>
      <c r="AB491" s="18" t="s">
        <v>84</v>
      </c>
      <c r="AC491" s="18" t="s">
        <v>153</v>
      </c>
      <c r="AD491" s="18">
        <v>470.98</v>
      </c>
      <c r="AE491" s="18">
        <v>0</v>
      </c>
      <c r="AF491" s="18">
        <v>0</v>
      </c>
      <c r="AG491" s="18">
        <v>0</v>
      </c>
      <c r="AH491" s="18">
        <v>0</v>
      </c>
      <c r="AI491" s="18">
        <v>0</v>
      </c>
      <c r="AJ491" s="18">
        <v>0</v>
      </c>
      <c r="AK491" s="18">
        <v>0</v>
      </c>
      <c r="AL491" s="18">
        <v>0</v>
      </c>
      <c r="AM491" s="18">
        <v>0</v>
      </c>
      <c r="AN491" s="18">
        <v>0</v>
      </c>
      <c r="AO491" s="18">
        <v>0</v>
      </c>
      <c r="AP491" s="18">
        <v>0</v>
      </c>
      <c r="AQ491" s="18">
        <v>0</v>
      </c>
      <c r="AR491" s="18">
        <v>0</v>
      </c>
      <c r="AS491" s="18">
        <v>0</v>
      </c>
      <c r="AT491" s="18">
        <v>0</v>
      </c>
      <c r="AU491" s="18">
        <v>0</v>
      </c>
      <c r="AV491" s="18">
        <v>1</v>
      </c>
      <c r="AW491" s="18">
        <v>0</v>
      </c>
      <c r="AX491" s="18">
        <v>0</v>
      </c>
      <c r="AY491" s="13"/>
      <c r="AZ491" s="18">
        <v>1</v>
      </c>
      <c r="BA491" s="18">
        <v>0</v>
      </c>
      <c r="BB491" s="18">
        <v>23.34</v>
      </c>
      <c r="BC491" s="18" t="s">
        <v>1755</v>
      </c>
      <c r="BD491" s="18" t="s">
        <v>1756</v>
      </c>
      <c r="BE491" s="18" t="s">
        <v>407</v>
      </c>
      <c r="BF491" s="18" t="s">
        <v>77</v>
      </c>
      <c r="BG491" s="18">
        <v>162</v>
      </c>
      <c r="BH491" s="18">
        <v>19</v>
      </c>
      <c r="BI491" s="18">
        <v>0.895</v>
      </c>
      <c r="BJ491" s="18">
        <v>0</v>
      </c>
      <c r="BK491" s="18">
        <v>81</v>
      </c>
      <c r="BL491" s="18">
        <v>77.8</v>
      </c>
      <c r="BM491" s="13">
        <f t="shared" si="0"/>
        <v>0</v>
      </c>
    </row>
    <row r="492" customHeight="1" spans="1:65">
      <c r="A492" s="19" t="s">
        <v>1757</v>
      </c>
      <c r="B492" s="18" t="s">
        <v>104</v>
      </c>
      <c r="C492" s="18" t="s">
        <v>945</v>
      </c>
      <c r="D492" s="18">
        <v>194644239718</v>
      </c>
      <c r="E492" s="18" t="s">
        <v>81</v>
      </c>
      <c r="F492" s="18" t="s">
        <v>82</v>
      </c>
      <c r="G492" s="18" t="s">
        <v>106</v>
      </c>
      <c r="H492" s="18" t="s">
        <v>107</v>
      </c>
      <c r="I492" s="18" t="s">
        <v>85</v>
      </c>
      <c r="J492" s="18">
        <v>5</v>
      </c>
      <c r="K492" s="16">
        <v>228.99</v>
      </c>
      <c r="L492" s="10"/>
      <c r="M492" s="16">
        <v>0</v>
      </c>
      <c r="N492" s="16">
        <v>0</v>
      </c>
      <c r="O492" s="18">
        <v>0</v>
      </c>
      <c r="P492" s="18" t="s">
        <v>71</v>
      </c>
      <c r="Q492" s="18">
        <v>5.438036</v>
      </c>
      <c r="R492" s="10"/>
      <c r="S492" s="16">
        <v>2</v>
      </c>
      <c r="T492" s="16">
        <v>6</v>
      </c>
      <c r="U492" s="18" t="s">
        <v>1757</v>
      </c>
      <c r="V492" s="18" t="s">
        <v>104</v>
      </c>
      <c r="W492" s="18" t="s">
        <v>2536</v>
      </c>
      <c r="X492" s="18">
        <v>194644239719</v>
      </c>
      <c r="Y492" s="18" t="s">
        <v>81</v>
      </c>
      <c r="Z492" s="18" t="s">
        <v>82</v>
      </c>
      <c r="AA492" s="18" t="s">
        <v>106</v>
      </c>
      <c r="AB492" s="18" t="s">
        <v>107</v>
      </c>
      <c r="AC492" s="18" t="s">
        <v>85</v>
      </c>
      <c r="AD492" s="18">
        <v>452.98</v>
      </c>
      <c r="AE492" s="18">
        <v>0</v>
      </c>
      <c r="AF492" s="18">
        <v>0</v>
      </c>
      <c r="AG492" s="18">
        <v>1</v>
      </c>
      <c r="AH492" s="18">
        <v>0</v>
      </c>
      <c r="AI492" s="18">
        <v>1</v>
      </c>
      <c r="AJ492" s="18">
        <v>0</v>
      </c>
      <c r="AK492" s="18">
        <v>1</v>
      </c>
      <c r="AL492" s="18">
        <v>0</v>
      </c>
      <c r="AM492" s="18">
        <v>0</v>
      </c>
      <c r="AN492" s="18">
        <v>0</v>
      </c>
      <c r="AO492" s="18">
        <v>0</v>
      </c>
      <c r="AP492" s="18">
        <v>0</v>
      </c>
      <c r="AQ492" s="18">
        <v>0</v>
      </c>
      <c r="AR492" s="18">
        <v>0</v>
      </c>
      <c r="AS492" s="18">
        <v>0</v>
      </c>
      <c r="AT492" s="18">
        <v>0</v>
      </c>
      <c r="AU492" s="18">
        <v>0</v>
      </c>
      <c r="AV492" s="18">
        <v>0</v>
      </c>
      <c r="AW492" s="18">
        <v>0</v>
      </c>
      <c r="AX492" s="18">
        <v>0</v>
      </c>
      <c r="AY492" s="13"/>
      <c r="AZ492" s="18">
        <v>1</v>
      </c>
      <c r="BA492" s="18">
        <v>1</v>
      </c>
      <c r="BB492" s="18">
        <v>39.67</v>
      </c>
      <c r="BC492" s="18" t="s">
        <v>1758</v>
      </c>
      <c r="BD492" s="18" t="s">
        <v>1759</v>
      </c>
      <c r="BE492" s="18" t="s">
        <v>150</v>
      </c>
      <c r="BF492" s="18" t="s">
        <v>77</v>
      </c>
      <c r="BG492" s="18">
        <v>2</v>
      </c>
      <c r="BH492" s="18">
        <v>16</v>
      </c>
      <c r="BI492" s="18">
        <v>0.1111</v>
      </c>
      <c r="BJ492" s="18">
        <v>0</v>
      </c>
      <c r="BK492" s="18">
        <v>4</v>
      </c>
      <c r="BL492" s="18">
        <v>98.9</v>
      </c>
      <c r="BM492" s="13">
        <f t="shared" si="0"/>
        <v>457.98</v>
      </c>
    </row>
    <row r="493" customHeight="1" spans="1:65">
      <c r="A493" s="18" t="s">
        <v>120</v>
      </c>
      <c r="B493" s="18" t="s">
        <v>115</v>
      </c>
      <c r="C493" s="18" t="s">
        <v>121</v>
      </c>
      <c r="D493" s="18">
        <v>840414665354</v>
      </c>
      <c r="E493" s="18" t="s">
        <v>122</v>
      </c>
      <c r="F493" s="18" t="s">
        <v>82</v>
      </c>
      <c r="G493" s="18" t="s">
        <v>117</v>
      </c>
      <c r="H493" s="18" t="s">
        <v>107</v>
      </c>
      <c r="I493" s="18" t="s">
        <v>85</v>
      </c>
      <c r="J493" s="18">
        <v>5</v>
      </c>
      <c r="K493" s="16">
        <v>143.99</v>
      </c>
      <c r="L493" s="10"/>
      <c r="M493" s="16">
        <v>0</v>
      </c>
      <c r="N493" s="16">
        <v>0</v>
      </c>
      <c r="O493" s="18">
        <v>0</v>
      </c>
      <c r="P493" s="18" t="s">
        <v>95</v>
      </c>
      <c r="Q493" s="18">
        <v>4.976665</v>
      </c>
      <c r="R493" s="10"/>
      <c r="S493" s="16">
        <v>12</v>
      </c>
      <c r="T493" s="16">
        <v>10</v>
      </c>
      <c r="U493" s="18" t="s">
        <v>120</v>
      </c>
      <c r="V493" s="18" t="s">
        <v>115</v>
      </c>
      <c r="W493" s="18" t="s">
        <v>121</v>
      </c>
      <c r="X493" s="18">
        <v>840414665355</v>
      </c>
      <c r="Y493" s="18" t="s">
        <v>122</v>
      </c>
      <c r="Z493" s="18" t="s">
        <v>82</v>
      </c>
      <c r="AA493" s="18" t="s">
        <v>117</v>
      </c>
      <c r="AB493" s="18" t="s">
        <v>107</v>
      </c>
      <c r="AC493" s="18" t="s">
        <v>85</v>
      </c>
      <c r="AD493" s="18">
        <v>282.98</v>
      </c>
      <c r="AE493" s="18">
        <v>0</v>
      </c>
      <c r="AF493" s="18">
        <v>0</v>
      </c>
      <c r="AG493" s="18">
        <v>1</v>
      </c>
      <c r="AH493" s="18">
        <v>0</v>
      </c>
      <c r="AI493" s="18">
        <v>0</v>
      </c>
      <c r="AJ493" s="18">
        <v>0</v>
      </c>
      <c r="AK493" s="18">
        <v>0</v>
      </c>
      <c r="AL493" s="18">
        <v>0</v>
      </c>
      <c r="AM493" s="18">
        <v>0</v>
      </c>
      <c r="AN493" s="18">
        <v>0</v>
      </c>
      <c r="AO493" s="18">
        <v>0</v>
      </c>
      <c r="AP493" s="18">
        <v>0</v>
      </c>
      <c r="AQ493" s="18">
        <v>0</v>
      </c>
      <c r="AR493" s="18">
        <v>0</v>
      </c>
      <c r="AS493" s="18">
        <v>1</v>
      </c>
      <c r="AT493" s="18">
        <v>0</v>
      </c>
      <c r="AU493" s="18">
        <v>0</v>
      </c>
      <c r="AV493" s="18">
        <v>0</v>
      </c>
      <c r="AW493" s="18">
        <v>0</v>
      </c>
      <c r="AX493" s="18">
        <v>0</v>
      </c>
      <c r="AY493" s="13"/>
      <c r="AZ493" s="18">
        <v>1</v>
      </c>
      <c r="BA493" s="18">
        <v>0</v>
      </c>
      <c r="BB493" s="18">
        <v>21.82</v>
      </c>
      <c r="BC493" s="18" t="s">
        <v>1760</v>
      </c>
      <c r="BD493" s="18" t="s">
        <v>1761</v>
      </c>
      <c r="BE493" s="18" t="s">
        <v>91</v>
      </c>
      <c r="BF493" s="18" t="s">
        <v>77</v>
      </c>
      <c r="BG493" s="18">
        <v>162</v>
      </c>
      <c r="BH493" s="18">
        <v>29</v>
      </c>
      <c r="BI493" s="18">
        <v>0.8482</v>
      </c>
      <c r="BJ493" s="18">
        <v>0</v>
      </c>
      <c r="BK493" s="13"/>
      <c r="BL493" s="13"/>
      <c r="BM493" s="13">
        <f t="shared" si="0"/>
        <v>1727.88</v>
      </c>
    </row>
    <row r="494" customHeight="1" spans="1:65">
      <c r="A494" s="18" t="s">
        <v>1762</v>
      </c>
      <c r="B494" s="18" t="s">
        <v>1392</v>
      </c>
      <c r="C494" s="13"/>
      <c r="D494" s="13"/>
      <c r="E494" s="18" t="s">
        <v>122</v>
      </c>
      <c r="F494" s="18" t="s">
        <v>82</v>
      </c>
      <c r="G494" s="18" t="s">
        <v>83</v>
      </c>
      <c r="H494" s="18" t="s">
        <v>84</v>
      </c>
      <c r="I494" s="18" t="s">
        <v>85</v>
      </c>
      <c r="J494" s="18">
        <v>5</v>
      </c>
      <c r="K494" s="16">
        <v>13.7</v>
      </c>
      <c r="L494" s="10"/>
      <c r="M494" s="16">
        <v>0</v>
      </c>
      <c r="N494" s="16">
        <v>0</v>
      </c>
      <c r="O494" s="18">
        <v>0</v>
      </c>
      <c r="P494" s="18" t="s">
        <v>133</v>
      </c>
      <c r="Q494" s="18">
        <v>2.687847</v>
      </c>
      <c r="R494" s="10"/>
      <c r="S494" s="16">
        <v>84</v>
      </c>
      <c r="T494" s="16">
        <v>29</v>
      </c>
      <c r="U494" s="18" t="s">
        <v>1762</v>
      </c>
      <c r="V494" s="18" t="s">
        <v>1392</v>
      </c>
      <c r="W494" s="13"/>
      <c r="X494" s="13"/>
      <c r="Y494" s="18" t="s">
        <v>122</v>
      </c>
      <c r="Z494" s="18" t="s">
        <v>82</v>
      </c>
      <c r="AA494" s="18" t="s">
        <v>83</v>
      </c>
      <c r="AB494" s="18" t="s">
        <v>84</v>
      </c>
      <c r="AC494" s="18" t="s">
        <v>85</v>
      </c>
      <c r="AD494" s="18">
        <v>22.4</v>
      </c>
      <c r="AE494" s="18">
        <v>0</v>
      </c>
      <c r="AF494" s="18">
        <v>0</v>
      </c>
      <c r="AG494" s="18">
        <v>0</v>
      </c>
      <c r="AH494" s="18">
        <v>1</v>
      </c>
      <c r="AI494" s="18">
        <v>0</v>
      </c>
      <c r="AJ494" s="18">
        <v>0</v>
      </c>
      <c r="AK494" s="18">
        <v>0</v>
      </c>
      <c r="AL494" s="18">
        <v>1</v>
      </c>
      <c r="AM494" s="18">
        <v>0</v>
      </c>
      <c r="AN494" s="18">
        <v>0</v>
      </c>
      <c r="AO494" s="18">
        <v>0</v>
      </c>
      <c r="AP494" s="18">
        <v>0</v>
      </c>
      <c r="AQ494" s="18">
        <v>0</v>
      </c>
      <c r="AR494" s="18">
        <v>0</v>
      </c>
      <c r="AS494" s="18">
        <v>1</v>
      </c>
      <c r="AT494" s="18">
        <v>0</v>
      </c>
      <c r="AU494" s="18">
        <v>0</v>
      </c>
      <c r="AV494" s="18">
        <v>0</v>
      </c>
      <c r="AW494" s="18">
        <v>0</v>
      </c>
      <c r="AX494" s="18">
        <v>0</v>
      </c>
      <c r="AY494" s="13"/>
      <c r="AZ494" s="18">
        <v>1</v>
      </c>
      <c r="BA494" s="18">
        <v>2</v>
      </c>
      <c r="BB494" s="18">
        <v>59.59</v>
      </c>
      <c r="BC494" s="18" t="s">
        <v>1763</v>
      </c>
      <c r="BD494" s="18" t="s">
        <v>368</v>
      </c>
      <c r="BE494" s="18" t="s">
        <v>76</v>
      </c>
      <c r="BF494" s="18" t="s">
        <v>77</v>
      </c>
      <c r="BG494" s="18">
        <v>162</v>
      </c>
      <c r="BH494" s="18">
        <v>60</v>
      </c>
      <c r="BI494" s="18">
        <v>0.7297</v>
      </c>
      <c r="BJ494" s="18">
        <v>0</v>
      </c>
      <c r="BK494" s="18">
        <v>2</v>
      </c>
      <c r="BL494" s="18">
        <v>99.5</v>
      </c>
      <c r="BM494" s="13">
        <f t="shared" si="0"/>
        <v>1150.8</v>
      </c>
    </row>
    <row r="495" customHeight="1" spans="1:65">
      <c r="A495" s="18" t="s">
        <v>1764</v>
      </c>
      <c r="B495" s="18" t="s">
        <v>1135</v>
      </c>
      <c r="C495" s="18" t="s">
        <v>1765</v>
      </c>
      <c r="D495" s="13"/>
      <c r="E495" s="18" t="s">
        <v>255</v>
      </c>
      <c r="F495" s="18" t="s">
        <v>160</v>
      </c>
      <c r="G495" s="18" t="s">
        <v>83</v>
      </c>
      <c r="H495" s="18" t="s">
        <v>84</v>
      </c>
      <c r="I495" s="18" t="s">
        <v>85</v>
      </c>
      <c r="J495" s="18">
        <v>5</v>
      </c>
      <c r="K495" s="16">
        <v>229.99</v>
      </c>
      <c r="L495" s="10"/>
      <c r="M495" s="16">
        <v>0</v>
      </c>
      <c r="N495" s="16">
        <v>0</v>
      </c>
      <c r="O495" s="18">
        <v>0</v>
      </c>
      <c r="P495" s="18" t="s">
        <v>71</v>
      </c>
      <c r="Q495" s="18">
        <v>5.442374</v>
      </c>
      <c r="R495" s="10"/>
      <c r="S495" s="16">
        <v>14</v>
      </c>
      <c r="T495" s="16">
        <v>10</v>
      </c>
      <c r="U495" s="18" t="s">
        <v>1764</v>
      </c>
      <c r="V495" s="18" t="s">
        <v>1135</v>
      </c>
      <c r="W495" s="18" t="s">
        <v>2592</v>
      </c>
      <c r="X495" s="13"/>
      <c r="Y495" s="18" t="s">
        <v>255</v>
      </c>
      <c r="Z495" s="18" t="s">
        <v>160</v>
      </c>
      <c r="AA495" s="18" t="s">
        <v>83</v>
      </c>
      <c r="AB495" s="18" t="s">
        <v>84</v>
      </c>
      <c r="AC495" s="18" t="s">
        <v>85</v>
      </c>
      <c r="AD495" s="18">
        <v>454.98</v>
      </c>
      <c r="AE495" s="18">
        <v>1</v>
      </c>
      <c r="AF495" s="18">
        <v>1</v>
      </c>
      <c r="AG495" s="18">
        <v>0</v>
      </c>
      <c r="AH495" s="18">
        <v>1</v>
      </c>
      <c r="AI495" s="18">
        <v>0</v>
      </c>
      <c r="AJ495" s="18">
        <v>0</v>
      </c>
      <c r="AK495" s="18">
        <v>0</v>
      </c>
      <c r="AL495" s="18">
        <v>0</v>
      </c>
      <c r="AM495" s="18">
        <v>0</v>
      </c>
      <c r="AN495" s="18">
        <v>0</v>
      </c>
      <c r="AO495" s="18">
        <v>0</v>
      </c>
      <c r="AP495" s="18">
        <v>0</v>
      </c>
      <c r="AQ495" s="18">
        <v>0</v>
      </c>
      <c r="AR495" s="18">
        <v>0</v>
      </c>
      <c r="AS495" s="18">
        <v>0</v>
      </c>
      <c r="AT495" s="18">
        <v>1</v>
      </c>
      <c r="AU495" s="18">
        <v>0</v>
      </c>
      <c r="AV495" s="18">
        <v>0</v>
      </c>
      <c r="AW495" s="18">
        <v>1</v>
      </c>
      <c r="AX495" s="18">
        <v>0</v>
      </c>
      <c r="AY495" s="13"/>
      <c r="AZ495" s="18">
        <v>1</v>
      </c>
      <c r="BA495" s="18">
        <v>2</v>
      </c>
      <c r="BB495" s="18">
        <v>52.76</v>
      </c>
      <c r="BC495" s="18" t="s">
        <v>1766</v>
      </c>
      <c r="BD495" s="18" t="s">
        <v>225</v>
      </c>
      <c r="BE495" s="18" t="s">
        <v>226</v>
      </c>
      <c r="BF495" s="18" t="s">
        <v>77</v>
      </c>
      <c r="BG495" s="18">
        <v>1</v>
      </c>
      <c r="BH495" s="18">
        <v>138</v>
      </c>
      <c r="BI495" s="18">
        <v>0.0072</v>
      </c>
      <c r="BJ495" s="18">
        <v>1</v>
      </c>
      <c r="BK495" s="18">
        <v>7</v>
      </c>
      <c r="BL495" s="18">
        <v>98.1</v>
      </c>
      <c r="BM495" s="13">
        <f t="shared" si="0"/>
        <v>3219.86</v>
      </c>
    </row>
    <row r="496" customHeight="1" spans="1:65">
      <c r="A496" s="18" t="s">
        <v>1769</v>
      </c>
      <c r="B496" s="18" t="s">
        <v>65</v>
      </c>
      <c r="C496" s="18" t="s">
        <v>1770</v>
      </c>
      <c r="D496" s="13"/>
      <c r="E496" s="18" t="s">
        <v>67</v>
      </c>
      <c r="F496" s="18" t="s">
        <v>240</v>
      </c>
      <c r="G496" s="18" t="s">
        <v>65</v>
      </c>
      <c r="H496" s="18" t="s">
        <v>69</v>
      </c>
      <c r="I496" s="18" t="s">
        <v>153</v>
      </c>
      <c r="J496" s="18">
        <v>2</v>
      </c>
      <c r="K496" s="16">
        <v>69.87</v>
      </c>
      <c r="L496" s="10"/>
      <c r="M496" s="16">
        <v>0</v>
      </c>
      <c r="N496" s="16">
        <v>0</v>
      </c>
      <c r="O496" s="18">
        <v>0</v>
      </c>
      <c r="P496" s="18" t="s">
        <v>86</v>
      </c>
      <c r="Q496" s="18">
        <v>4.260847</v>
      </c>
      <c r="R496" s="16">
        <v>17.47</v>
      </c>
      <c r="S496" s="10"/>
      <c r="T496" s="10"/>
      <c r="U496" s="18" t="s">
        <v>1769</v>
      </c>
      <c r="V496" s="18" t="s">
        <v>65</v>
      </c>
      <c r="W496" s="18" t="s">
        <v>1770</v>
      </c>
      <c r="X496" s="13"/>
      <c r="Y496" s="18" t="s">
        <v>67</v>
      </c>
      <c r="Z496" s="18" t="s">
        <v>240</v>
      </c>
      <c r="AA496" s="18" t="s">
        <v>65</v>
      </c>
      <c r="AB496" s="18" t="s">
        <v>69</v>
      </c>
      <c r="AC496" s="18" t="s">
        <v>153</v>
      </c>
      <c r="AD496" s="18">
        <v>137.74</v>
      </c>
      <c r="AE496" s="18">
        <v>0</v>
      </c>
      <c r="AF496" s="18">
        <v>0</v>
      </c>
      <c r="AG496" s="18">
        <v>0</v>
      </c>
      <c r="AH496" s="18">
        <v>0</v>
      </c>
      <c r="AI496" s="18">
        <v>0</v>
      </c>
      <c r="AJ496" s="18">
        <v>0</v>
      </c>
      <c r="AK496" s="18">
        <v>0</v>
      </c>
      <c r="AL496" s="18">
        <v>0</v>
      </c>
      <c r="AM496" s="18">
        <v>0</v>
      </c>
      <c r="AN496" s="18">
        <v>0</v>
      </c>
      <c r="AO496" s="18">
        <v>0</v>
      </c>
      <c r="AP496" s="18">
        <v>0</v>
      </c>
      <c r="AQ496" s="18">
        <v>1</v>
      </c>
      <c r="AR496" s="18">
        <v>0</v>
      </c>
      <c r="AS496" s="18">
        <v>0</v>
      </c>
      <c r="AT496" s="18">
        <v>0</v>
      </c>
      <c r="AU496" s="18">
        <v>0</v>
      </c>
      <c r="AV496" s="18">
        <v>1</v>
      </c>
      <c r="AW496" s="18">
        <v>1</v>
      </c>
      <c r="AX496" s="18">
        <v>0</v>
      </c>
      <c r="AY496" s="18">
        <v>4</v>
      </c>
      <c r="AZ496" s="18">
        <v>1</v>
      </c>
      <c r="BA496" s="18">
        <v>1</v>
      </c>
      <c r="BB496" s="18">
        <v>29.85</v>
      </c>
      <c r="BC496" s="18" t="s">
        <v>1771</v>
      </c>
      <c r="BD496" s="18" t="s">
        <v>1237</v>
      </c>
      <c r="BE496" s="18" t="s">
        <v>1110</v>
      </c>
      <c r="BF496" s="18" t="s">
        <v>77</v>
      </c>
      <c r="BG496" s="18">
        <v>162</v>
      </c>
      <c r="BH496" s="18">
        <v>19</v>
      </c>
      <c r="BI496" s="18">
        <v>0.895</v>
      </c>
      <c r="BJ496" s="18">
        <v>0</v>
      </c>
      <c r="BK496" s="18">
        <v>2</v>
      </c>
      <c r="BL496" s="18">
        <v>99.5</v>
      </c>
      <c r="BM496" s="13">
        <f t="shared" si="0"/>
        <v>0</v>
      </c>
    </row>
    <row r="497" customHeight="1" spans="1:65">
      <c r="A497" s="18" t="s">
        <v>263</v>
      </c>
      <c r="B497" s="18" t="s">
        <v>264</v>
      </c>
      <c r="C497" s="13"/>
      <c r="D497" s="13"/>
      <c r="E497" s="18" t="s">
        <v>163</v>
      </c>
      <c r="F497" s="18" t="s">
        <v>82</v>
      </c>
      <c r="G497" s="18" t="s">
        <v>117</v>
      </c>
      <c r="H497" s="18" t="s">
        <v>84</v>
      </c>
      <c r="I497" s="18" t="s">
        <v>85</v>
      </c>
      <c r="J497" s="18">
        <v>5</v>
      </c>
      <c r="K497" s="16">
        <v>15.95</v>
      </c>
      <c r="L497" s="10"/>
      <c r="M497" s="16">
        <v>0</v>
      </c>
      <c r="N497" s="16">
        <v>0</v>
      </c>
      <c r="O497" s="18">
        <v>0</v>
      </c>
      <c r="P497" s="18" t="s">
        <v>133</v>
      </c>
      <c r="Q497" s="18">
        <v>2.830268</v>
      </c>
      <c r="R497" s="10"/>
      <c r="S497" s="16">
        <v>1</v>
      </c>
      <c r="T497" s="16">
        <v>10</v>
      </c>
      <c r="U497" s="18" t="s">
        <v>263</v>
      </c>
      <c r="V497" s="18" t="s">
        <v>264</v>
      </c>
      <c r="W497" s="13"/>
      <c r="X497" s="13"/>
      <c r="Y497" s="18" t="s">
        <v>163</v>
      </c>
      <c r="Z497" s="18" t="s">
        <v>82</v>
      </c>
      <c r="AA497" s="18" t="s">
        <v>117</v>
      </c>
      <c r="AB497" s="18" t="s">
        <v>84</v>
      </c>
      <c r="AC497" s="18" t="s">
        <v>85</v>
      </c>
      <c r="AD497" s="18">
        <v>26.9</v>
      </c>
      <c r="AE497" s="18">
        <v>0</v>
      </c>
      <c r="AF497" s="18">
        <v>0</v>
      </c>
      <c r="AG497" s="18">
        <v>0</v>
      </c>
      <c r="AH497" s="18">
        <v>0</v>
      </c>
      <c r="AI497" s="18">
        <v>0</v>
      </c>
      <c r="AJ497" s="18">
        <v>0</v>
      </c>
      <c r="AK497" s="18">
        <v>0</v>
      </c>
      <c r="AL497" s="18">
        <v>0</v>
      </c>
      <c r="AM497" s="18">
        <v>0</v>
      </c>
      <c r="AN497" s="18">
        <v>0</v>
      </c>
      <c r="AO497" s="18">
        <v>0</v>
      </c>
      <c r="AP497" s="18">
        <v>0</v>
      </c>
      <c r="AQ497" s="18">
        <v>0</v>
      </c>
      <c r="AR497" s="18">
        <v>0</v>
      </c>
      <c r="AS497" s="18">
        <v>0</v>
      </c>
      <c r="AT497" s="18">
        <v>1</v>
      </c>
      <c r="AU497" s="18">
        <v>0</v>
      </c>
      <c r="AV497" s="18">
        <v>0</v>
      </c>
      <c r="AW497" s="18">
        <v>0</v>
      </c>
      <c r="AX497" s="18">
        <v>0</v>
      </c>
      <c r="AY497" s="13"/>
      <c r="AZ497" s="18">
        <v>1</v>
      </c>
      <c r="BA497" s="18">
        <v>0</v>
      </c>
      <c r="BB497" s="18">
        <v>15.88</v>
      </c>
      <c r="BC497" s="18" t="s">
        <v>265</v>
      </c>
      <c r="BD497" s="18" t="s">
        <v>266</v>
      </c>
      <c r="BE497" s="18" t="s">
        <v>267</v>
      </c>
      <c r="BF497" s="18" t="s">
        <v>77</v>
      </c>
      <c r="BG497" s="18">
        <v>208</v>
      </c>
      <c r="BH497" s="18">
        <v>11</v>
      </c>
      <c r="BI497" s="18">
        <v>0.9498</v>
      </c>
      <c r="BJ497" s="18">
        <v>0</v>
      </c>
      <c r="BK497" s="18">
        <v>216</v>
      </c>
      <c r="BL497" s="18">
        <v>40.8</v>
      </c>
      <c r="BM497" s="13">
        <f t="shared" si="0"/>
        <v>15.95</v>
      </c>
    </row>
    <row r="498" customHeight="1" spans="1:65">
      <c r="A498" s="18" t="s">
        <v>1773</v>
      </c>
      <c r="B498" s="18" t="s">
        <v>1774</v>
      </c>
      <c r="C498" s="13"/>
      <c r="D498" s="13"/>
      <c r="E498" s="18" t="s">
        <v>312</v>
      </c>
      <c r="F498" s="18" t="s">
        <v>240</v>
      </c>
      <c r="G498" s="18" t="s">
        <v>83</v>
      </c>
      <c r="H498" s="18" t="s">
        <v>84</v>
      </c>
      <c r="I498" s="18" t="s">
        <v>153</v>
      </c>
      <c r="J498" s="18">
        <v>2</v>
      </c>
      <c r="K498" s="16">
        <v>49.99</v>
      </c>
      <c r="L498" s="10"/>
      <c r="M498" s="16">
        <v>0</v>
      </c>
      <c r="N498" s="16">
        <v>0</v>
      </c>
      <c r="O498" s="18">
        <v>0</v>
      </c>
      <c r="P498" s="18" t="s">
        <v>86</v>
      </c>
      <c r="Q498" s="18">
        <v>3.93163</v>
      </c>
      <c r="R498" s="16">
        <v>12.5</v>
      </c>
      <c r="S498" s="10"/>
      <c r="T498" s="10"/>
      <c r="U498" s="18" t="s">
        <v>1773</v>
      </c>
      <c r="V498" s="18" t="s">
        <v>1774</v>
      </c>
      <c r="W498" s="13"/>
      <c r="X498" s="13"/>
      <c r="Y498" s="18" t="s">
        <v>312</v>
      </c>
      <c r="Z498" s="18" t="s">
        <v>240</v>
      </c>
      <c r="AA498" s="18" t="s">
        <v>83</v>
      </c>
      <c r="AB498" s="18" t="s">
        <v>84</v>
      </c>
      <c r="AC498" s="18" t="s">
        <v>153</v>
      </c>
      <c r="AD498" s="18">
        <v>97.98</v>
      </c>
      <c r="AE498" s="18">
        <v>0</v>
      </c>
      <c r="AF498" s="18">
        <v>0</v>
      </c>
      <c r="AG498" s="18">
        <v>0</v>
      </c>
      <c r="AH498" s="18">
        <v>0</v>
      </c>
      <c r="AI498" s="18">
        <v>0</v>
      </c>
      <c r="AJ498" s="18">
        <v>0</v>
      </c>
      <c r="AK498" s="18">
        <v>0</v>
      </c>
      <c r="AL498" s="18">
        <v>0</v>
      </c>
      <c r="AM498" s="18">
        <v>0</v>
      </c>
      <c r="AN498" s="18">
        <v>0</v>
      </c>
      <c r="AO498" s="18">
        <v>0</v>
      </c>
      <c r="AP498" s="18">
        <v>0</v>
      </c>
      <c r="AQ498" s="18">
        <v>1</v>
      </c>
      <c r="AR498" s="18">
        <v>0</v>
      </c>
      <c r="AS498" s="18">
        <v>0</v>
      </c>
      <c r="AT498" s="18">
        <v>0</v>
      </c>
      <c r="AU498" s="18">
        <v>0</v>
      </c>
      <c r="AV498" s="18">
        <v>1</v>
      </c>
      <c r="AW498" s="18">
        <v>1</v>
      </c>
      <c r="AX498" s="18">
        <v>0</v>
      </c>
      <c r="AY498" s="18">
        <v>4</v>
      </c>
      <c r="AZ498" s="18">
        <v>1</v>
      </c>
      <c r="BA498" s="18">
        <v>1</v>
      </c>
      <c r="BB498" s="18">
        <v>27.45</v>
      </c>
      <c r="BC498" s="18" t="s">
        <v>1775</v>
      </c>
      <c r="BD498" s="18" t="s">
        <v>1776</v>
      </c>
      <c r="BE498" s="18" t="s">
        <v>76</v>
      </c>
      <c r="BF498" s="18" t="s">
        <v>77</v>
      </c>
      <c r="BG498" s="18">
        <v>162</v>
      </c>
      <c r="BH498" s="18">
        <v>17</v>
      </c>
      <c r="BI498" s="18">
        <v>0.905</v>
      </c>
      <c r="BJ498" s="18">
        <v>0</v>
      </c>
      <c r="BK498" s="18">
        <v>31</v>
      </c>
      <c r="BL498" s="18">
        <v>91.5</v>
      </c>
      <c r="BM498" s="13">
        <f t="shared" si="0"/>
        <v>0</v>
      </c>
    </row>
    <row r="499" customHeight="1" spans="1:65">
      <c r="A499" s="18" t="s">
        <v>1778</v>
      </c>
      <c r="B499" s="18" t="s">
        <v>1779</v>
      </c>
      <c r="C499" s="18" t="s">
        <v>1780</v>
      </c>
      <c r="D499" s="13"/>
      <c r="E499" s="18" t="s">
        <v>81</v>
      </c>
      <c r="F499" s="18" t="s">
        <v>82</v>
      </c>
      <c r="G499" s="18" t="s">
        <v>83</v>
      </c>
      <c r="H499" s="18" t="s">
        <v>84</v>
      </c>
      <c r="I499" s="18" t="s">
        <v>153</v>
      </c>
      <c r="J499" s="18">
        <v>2</v>
      </c>
      <c r="K499" s="16">
        <v>30</v>
      </c>
      <c r="L499" s="10"/>
      <c r="M499" s="16">
        <v>0</v>
      </c>
      <c r="N499" s="16">
        <v>0</v>
      </c>
      <c r="O499" s="18">
        <v>0</v>
      </c>
      <c r="P499" s="18" t="s">
        <v>86</v>
      </c>
      <c r="Q499" s="18">
        <v>3.433987</v>
      </c>
      <c r="R499" s="10"/>
      <c r="S499" s="10"/>
      <c r="T499" s="10"/>
      <c r="U499" s="18" t="s">
        <v>1778</v>
      </c>
      <c r="V499" s="18" t="s">
        <v>1779</v>
      </c>
      <c r="W499" s="18" t="s">
        <v>2644</v>
      </c>
      <c r="X499" s="13"/>
      <c r="Y499" s="18" t="s">
        <v>81</v>
      </c>
      <c r="Z499" s="18" t="s">
        <v>82</v>
      </c>
      <c r="AA499" s="18" t="s">
        <v>83</v>
      </c>
      <c r="AB499" s="18" t="s">
        <v>84</v>
      </c>
      <c r="AC499" s="18" t="s">
        <v>153</v>
      </c>
      <c r="AD499" s="18">
        <v>58</v>
      </c>
      <c r="AE499" s="18">
        <v>0</v>
      </c>
      <c r="AF499" s="18">
        <v>0</v>
      </c>
      <c r="AG499" s="18">
        <v>0</v>
      </c>
      <c r="AH499" s="18">
        <v>0</v>
      </c>
      <c r="AI499" s="18">
        <v>0</v>
      </c>
      <c r="AJ499" s="18">
        <v>0</v>
      </c>
      <c r="AK499" s="18">
        <v>0</v>
      </c>
      <c r="AL499" s="18">
        <v>0</v>
      </c>
      <c r="AM499" s="18">
        <v>0</v>
      </c>
      <c r="AN499" s="18">
        <v>0</v>
      </c>
      <c r="AO499" s="18">
        <v>0</v>
      </c>
      <c r="AP499" s="18">
        <v>0</v>
      </c>
      <c r="AQ499" s="18">
        <v>0</v>
      </c>
      <c r="AR499" s="18">
        <v>0</v>
      </c>
      <c r="AS499" s="18">
        <v>0</v>
      </c>
      <c r="AT499" s="18">
        <v>0</v>
      </c>
      <c r="AU499" s="18">
        <v>0</v>
      </c>
      <c r="AV499" s="18">
        <v>0</v>
      </c>
      <c r="AW499" s="18">
        <v>0</v>
      </c>
      <c r="AX499" s="18">
        <v>0</v>
      </c>
      <c r="AY499" s="13"/>
      <c r="AZ499" s="18">
        <v>1</v>
      </c>
      <c r="BA499" s="18">
        <v>0</v>
      </c>
      <c r="BB499" s="18">
        <v>0</v>
      </c>
      <c r="BC499" s="18" t="s">
        <v>1781</v>
      </c>
      <c r="BD499" s="18" t="s">
        <v>1782</v>
      </c>
      <c r="BE499" s="18" t="s">
        <v>113</v>
      </c>
      <c r="BF499" s="18" t="s">
        <v>77</v>
      </c>
      <c r="BG499" s="18">
        <v>161</v>
      </c>
      <c r="BH499" s="18">
        <v>11</v>
      </c>
      <c r="BI499" s="18">
        <v>0.936</v>
      </c>
      <c r="BJ499" s="18">
        <v>0</v>
      </c>
      <c r="BK499" s="13"/>
      <c r="BL499" s="13"/>
      <c r="BM499" s="13">
        <f t="shared" si="0"/>
        <v>0</v>
      </c>
    </row>
    <row r="500" customHeight="1" spans="1:65">
      <c r="A500" s="18" t="s">
        <v>1784</v>
      </c>
      <c r="B500" s="18" t="s">
        <v>125</v>
      </c>
      <c r="C500" s="13"/>
      <c r="D500" s="13"/>
      <c r="E500" s="18" t="s">
        <v>163</v>
      </c>
      <c r="F500" s="18" t="s">
        <v>68</v>
      </c>
      <c r="G500" s="18" t="s">
        <v>83</v>
      </c>
      <c r="H500" s="18" t="s">
        <v>138</v>
      </c>
      <c r="I500" s="18" t="s">
        <v>203</v>
      </c>
      <c r="J500" s="18">
        <v>4</v>
      </c>
      <c r="K500" s="16">
        <v>45.99</v>
      </c>
      <c r="L500" s="10"/>
      <c r="M500" s="16">
        <v>0</v>
      </c>
      <c r="N500" s="16">
        <v>0</v>
      </c>
      <c r="O500" s="18">
        <v>0</v>
      </c>
      <c r="P500" s="18" t="s">
        <v>86</v>
      </c>
      <c r="Q500" s="18">
        <v>3.849935</v>
      </c>
      <c r="R500" s="10"/>
      <c r="S500" s="16">
        <v>17</v>
      </c>
      <c r="T500" s="16">
        <v>3</v>
      </c>
      <c r="U500" s="18" t="s">
        <v>1784</v>
      </c>
      <c r="V500" s="18" t="s">
        <v>125</v>
      </c>
      <c r="W500" s="13"/>
      <c r="X500" s="13"/>
      <c r="Y500" s="18" t="s">
        <v>163</v>
      </c>
      <c r="Z500" s="18" t="s">
        <v>68</v>
      </c>
      <c r="AA500" s="18" t="s">
        <v>83</v>
      </c>
      <c r="AB500" s="18" t="s">
        <v>138</v>
      </c>
      <c r="AC500" s="18" t="s">
        <v>203</v>
      </c>
      <c r="AD500" s="18">
        <v>87.98</v>
      </c>
      <c r="AE500" s="18">
        <v>1</v>
      </c>
      <c r="AF500" s="18">
        <v>0</v>
      </c>
      <c r="AG500" s="18">
        <v>0</v>
      </c>
      <c r="AH500" s="18">
        <v>0</v>
      </c>
      <c r="AI500" s="18">
        <v>0</v>
      </c>
      <c r="AJ500" s="18">
        <v>0</v>
      </c>
      <c r="AK500" s="18">
        <v>1</v>
      </c>
      <c r="AL500" s="18">
        <v>0</v>
      </c>
      <c r="AM500" s="18">
        <v>0</v>
      </c>
      <c r="AN500" s="18">
        <v>0</v>
      </c>
      <c r="AO500" s="18">
        <v>0</v>
      </c>
      <c r="AP500" s="18">
        <v>0</v>
      </c>
      <c r="AQ500" s="18">
        <v>0</v>
      </c>
      <c r="AR500" s="18">
        <v>0</v>
      </c>
      <c r="AS500" s="18">
        <v>0</v>
      </c>
      <c r="AT500" s="18">
        <v>1</v>
      </c>
      <c r="AU500" s="18">
        <v>0</v>
      </c>
      <c r="AV500" s="18">
        <v>0</v>
      </c>
      <c r="AW500" s="18">
        <v>0</v>
      </c>
      <c r="AX500" s="18">
        <v>0</v>
      </c>
      <c r="AY500" s="13"/>
      <c r="AZ500" s="18">
        <v>1</v>
      </c>
      <c r="BA500" s="18">
        <v>2</v>
      </c>
      <c r="BB500" s="18">
        <v>34</v>
      </c>
      <c r="BC500" s="18" t="s">
        <v>1785</v>
      </c>
      <c r="BD500" s="13"/>
      <c r="BE500" s="13"/>
      <c r="BF500" s="13"/>
      <c r="BG500" s="18">
        <v>0</v>
      </c>
      <c r="BH500" s="18">
        <v>0</v>
      </c>
      <c r="BI500" s="13"/>
      <c r="BJ500" s="18">
        <v>0</v>
      </c>
      <c r="BK500" s="13"/>
      <c r="BL500" s="13"/>
      <c r="BM500" s="13">
        <f t="shared" si="0"/>
        <v>781.83</v>
      </c>
    </row>
    <row r="501" customHeight="1" spans="1:65">
      <c r="A501" s="18" t="s">
        <v>1787</v>
      </c>
      <c r="B501" s="18" t="s">
        <v>115</v>
      </c>
      <c r="C501" s="13"/>
      <c r="D501" s="13"/>
      <c r="E501" s="19" t="s">
        <v>1788</v>
      </c>
      <c r="F501" s="18" t="s">
        <v>82</v>
      </c>
      <c r="G501" s="18" t="s">
        <v>117</v>
      </c>
      <c r="H501" s="18" t="s">
        <v>107</v>
      </c>
      <c r="I501" s="18" t="s">
        <v>85</v>
      </c>
      <c r="J501" s="18">
        <v>5</v>
      </c>
      <c r="K501" s="16">
        <v>104.99</v>
      </c>
      <c r="L501" s="10"/>
      <c r="M501" s="16">
        <v>0</v>
      </c>
      <c r="N501" s="16">
        <v>0</v>
      </c>
      <c r="O501" s="18">
        <v>0</v>
      </c>
      <c r="P501" s="18" t="s">
        <v>95</v>
      </c>
      <c r="Q501" s="18">
        <v>4.663345</v>
      </c>
      <c r="R501" s="10"/>
      <c r="S501" s="16">
        <v>12</v>
      </c>
      <c r="T501" s="16">
        <v>4</v>
      </c>
      <c r="U501" s="18" t="s">
        <v>1787</v>
      </c>
      <c r="V501" s="18" t="s">
        <v>115</v>
      </c>
      <c r="W501" s="13"/>
      <c r="X501" s="13"/>
      <c r="Y501" s="19" t="s">
        <v>1788</v>
      </c>
      <c r="Z501" s="18" t="s">
        <v>82</v>
      </c>
      <c r="AA501" s="18" t="s">
        <v>117</v>
      </c>
      <c r="AB501" s="18" t="s">
        <v>107</v>
      </c>
      <c r="AC501" s="18" t="s">
        <v>85</v>
      </c>
      <c r="AD501" s="18">
        <v>204.98</v>
      </c>
      <c r="AE501" s="18">
        <v>0</v>
      </c>
      <c r="AF501" s="18">
        <v>0</v>
      </c>
      <c r="AG501" s="18">
        <v>0</v>
      </c>
      <c r="AH501" s="18">
        <v>0</v>
      </c>
      <c r="AI501" s="18">
        <v>0</v>
      </c>
      <c r="AJ501" s="18">
        <v>0</v>
      </c>
      <c r="AK501" s="18">
        <v>0</v>
      </c>
      <c r="AL501" s="18">
        <v>0</v>
      </c>
      <c r="AM501" s="18">
        <v>0</v>
      </c>
      <c r="AN501" s="18">
        <v>0</v>
      </c>
      <c r="AO501" s="18">
        <v>0</v>
      </c>
      <c r="AP501" s="18">
        <v>1</v>
      </c>
      <c r="AQ501" s="18">
        <v>0</v>
      </c>
      <c r="AR501" s="18">
        <v>0</v>
      </c>
      <c r="AS501" s="18">
        <v>0</v>
      </c>
      <c r="AT501" s="18">
        <v>1</v>
      </c>
      <c r="AU501" s="18">
        <v>0</v>
      </c>
      <c r="AV501" s="18">
        <v>0</v>
      </c>
      <c r="AW501" s="18">
        <v>0</v>
      </c>
      <c r="AX501" s="18">
        <v>0</v>
      </c>
      <c r="AY501" s="13"/>
      <c r="AZ501" s="18">
        <v>1</v>
      </c>
      <c r="BA501" s="18">
        <v>0</v>
      </c>
      <c r="BB501" s="18">
        <v>59.25</v>
      </c>
      <c r="BC501" s="18" t="s">
        <v>1789</v>
      </c>
      <c r="BD501" s="18" t="s">
        <v>1790</v>
      </c>
      <c r="BE501" s="18" t="s">
        <v>1791</v>
      </c>
      <c r="BF501" s="18" t="s">
        <v>77</v>
      </c>
      <c r="BG501" s="18">
        <v>168</v>
      </c>
      <c r="BH501" s="18">
        <v>11</v>
      </c>
      <c r="BI501" s="18">
        <v>0.9385</v>
      </c>
      <c r="BJ501" s="18">
        <v>0</v>
      </c>
      <c r="BK501" s="18">
        <v>9</v>
      </c>
      <c r="BL501" s="18">
        <v>97.5</v>
      </c>
      <c r="BM501" s="13">
        <f t="shared" si="0"/>
        <v>1259.88</v>
      </c>
    </row>
    <row r="502" customHeight="1" spans="1:65">
      <c r="A502" s="18" t="s">
        <v>1792</v>
      </c>
      <c r="B502" s="18" t="s">
        <v>1793</v>
      </c>
      <c r="C502" s="13"/>
      <c r="D502" s="18">
        <v>850812007298</v>
      </c>
      <c r="E502" s="18" t="s">
        <v>163</v>
      </c>
      <c r="F502" s="18" t="s">
        <v>82</v>
      </c>
      <c r="G502" s="18" t="s">
        <v>346</v>
      </c>
      <c r="H502" s="18" t="s">
        <v>84</v>
      </c>
      <c r="I502" s="18" t="s">
        <v>203</v>
      </c>
      <c r="J502" s="18">
        <v>4</v>
      </c>
      <c r="K502" s="16">
        <v>89.99</v>
      </c>
      <c r="L502" s="10"/>
      <c r="M502" s="16">
        <v>0</v>
      </c>
      <c r="N502" s="16">
        <v>0</v>
      </c>
      <c r="O502" s="18">
        <v>0</v>
      </c>
      <c r="P502" s="18" t="s">
        <v>95</v>
      </c>
      <c r="Q502" s="18">
        <v>4.51075</v>
      </c>
      <c r="R502" s="10"/>
      <c r="S502" s="16">
        <v>10</v>
      </c>
      <c r="T502" s="16">
        <v>9</v>
      </c>
      <c r="U502" s="18" t="s">
        <v>1792</v>
      </c>
      <c r="V502" s="18" t="s">
        <v>1793</v>
      </c>
      <c r="W502" s="13"/>
      <c r="X502" s="18">
        <v>850812007299</v>
      </c>
      <c r="Y502" s="18" t="s">
        <v>163</v>
      </c>
      <c r="Z502" s="18" t="s">
        <v>82</v>
      </c>
      <c r="AA502" s="18" t="s">
        <v>346</v>
      </c>
      <c r="AB502" s="18" t="s">
        <v>84</v>
      </c>
      <c r="AC502" s="18" t="s">
        <v>203</v>
      </c>
      <c r="AD502" s="18">
        <v>175.98</v>
      </c>
      <c r="AE502" s="18">
        <v>0</v>
      </c>
      <c r="AF502" s="18">
        <v>0</v>
      </c>
      <c r="AG502" s="18">
        <v>0</v>
      </c>
      <c r="AH502" s="18">
        <v>0</v>
      </c>
      <c r="AI502" s="18">
        <v>0</v>
      </c>
      <c r="AJ502" s="18">
        <v>0</v>
      </c>
      <c r="AK502" s="18">
        <v>0</v>
      </c>
      <c r="AL502" s="18">
        <v>0</v>
      </c>
      <c r="AM502" s="18">
        <v>0</v>
      </c>
      <c r="AN502" s="18">
        <v>0</v>
      </c>
      <c r="AO502" s="18">
        <v>0</v>
      </c>
      <c r="AP502" s="18">
        <v>0</v>
      </c>
      <c r="AQ502" s="18">
        <v>0</v>
      </c>
      <c r="AR502" s="18">
        <v>0</v>
      </c>
      <c r="AS502" s="18">
        <v>0</v>
      </c>
      <c r="AT502" s="18">
        <v>1</v>
      </c>
      <c r="AU502" s="18">
        <v>1</v>
      </c>
      <c r="AV502" s="18">
        <v>0</v>
      </c>
      <c r="AW502" s="18">
        <v>1</v>
      </c>
      <c r="AX502" s="18">
        <v>0</v>
      </c>
      <c r="AY502" s="13"/>
      <c r="AZ502" s="18">
        <v>1</v>
      </c>
      <c r="BA502" s="18">
        <v>0</v>
      </c>
      <c r="BB502" s="18">
        <v>50.72</v>
      </c>
      <c r="BC502" s="18" t="s">
        <v>1794</v>
      </c>
      <c r="BD502" s="18" t="s">
        <v>1795</v>
      </c>
      <c r="BE502" s="18" t="s">
        <v>243</v>
      </c>
      <c r="BF502" s="18" t="s">
        <v>77</v>
      </c>
      <c r="BG502" s="18">
        <v>162</v>
      </c>
      <c r="BH502" s="18">
        <v>17</v>
      </c>
      <c r="BI502" s="18">
        <v>0.905</v>
      </c>
      <c r="BJ502" s="18">
        <v>0</v>
      </c>
      <c r="BK502" s="18">
        <v>4</v>
      </c>
      <c r="BL502" s="18">
        <v>98.9</v>
      </c>
      <c r="BM502" s="13">
        <f t="shared" si="0"/>
        <v>899.9</v>
      </c>
    </row>
    <row r="503" customHeight="1" spans="1:65">
      <c r="A503" s="18" t="s">
        <v>1796</v>
      </c>
      <c r="B503" s="18" t="s">
        <v>125</v>
      </c>
      <c r="C503" s="13"/>
      <c r="D503" s="13"/>
      <c r="E503" s="18" t="s">
        <v>163</v>
      </c>
      <c r="F503" s="18" t="s">
        <v>68</v>
      </c>
      <c r="G503" s="18" t="s">
        <v>83</v>
      </c>
      <c r="H503" s="18" t="s">
        <v>138</v>
      </c>
      <c r="I503" s="18" t="s">
        <v>85</v>
      </c>
      <c r="J503" s="18">
        <v>5</v>
      </c>
      <c r="K503" s="16">
        <v>18.89</v>
      </c>
      <c r="L503" s="10"/>
      <c r="M503" s="16">
        <v>0</v>
      </c>
      <c r="N503" s="16">
        <v>0</v>
      </c>
      <c r="O503" s="18">
        <v>0</v>
      </c>
      <c r="P503" s="18" t="s">
        <v>133</v>
      </c>
      <c r="Q503" s="18">
        <v>2.990217</v>
      </c>
      <c r="R503" s="10"/>
      <c r="S503" s="16">
        <v>13</v>
      </c>
      <c r="T503" s="16">
        <v>10</v>
      </c>
      <c r="U503" s="18" t="s">
        <v>2645</v>
      </c>
      <c r="V503" s="18" t="s">
        <v>125</v>
      </c>
      <c r="W503" s="13"/>
      <c r="X503" s="13"/>
      <c r="Y503" s="18" t="s">
        <v>163</v>
      </c>
      <c r="Z503" s="18" t="s">
        <v>68</v>
      </c>
      <c r="AA503" s="18" t="s">
        <v>83</v>
      </c>
      <c r="AB503" s="18" t="s">
        <v>138</v>
      </c>
      <c r="AC503" s="18" t="s">
        <v>85</v>
      </c>
      <c r="AD503" s="18">
        <v>32.78</v>
      </c>
      <c r="AE503" s="18">
        <v>0</v>
      </c>
      <c r="AF503" s="18">
        <v>1</v>
      </c>
      <c r="AG503" s="18">
        <v>0</v>
      </c>
      <c r="AH503" s="18">
        <v>0</v>
      </c>
      <c r="AI503" s="18">
        <v>0</v>
      </c>
      <c r="AJ503" s="18">
        <v>0</v>
      </c>
      <c r="AK503" s="18">
        <v>0</v>
      </c>
      <c r="AL503" s="18">
        <v>0</v>
      </c>
      <c r="AM503" s="18">
        <v>0</v>
      </c>
      <c r="AN503" s="18">
        <v>0</v>
      </c>
      <c r="AO503" s="18">
        <v>0</v>
      </c>
      <c r="AP503" s="18">
        <v>0</v>
      </c>
      <c r="AQ503" s="18">
        <v>0</v>
      </c>
      <c r="AR503" s="18">
        <v>0</v>
      </c>
      <c r="AS503" s="18">
        <v>0</v>
      </c>
      <c r="AT503" s="18">
        <v>0</v>
      </c>
      <c r="AU503" s="18">
        <v>0</v>
      </c>
      <c r="AV503" s="18">
        <v>0</v>
      </c>
      <c r="AW503" s="18">
        <v>0</v>
      </c>
      <c r="AX503" s="18">
        <v>0</v>
      </c>
      <c r="AY503" s="13"/>
      <c r="AZ503" s="18">
        <v>1</v>
      </c>
      <c r="BA503" s="18">
        <v>0</v>
      </c>
      <c r="BB503" s="18">
        <v>22.61</v>
      </c>
      <c r="BC503" s="18" t="s">
        <v>1797</v>
      </c>
      <c r="BD503" s="13"/>
      <c r="BE503" s="13"/>
      <c r="BF503" s="13"/>
      <c r="BG503" s="18">
        <v>0</v>
      </c>
      <c r="BH503" s="18">
        <v>0</v>
      </c>
      <c r="BI503" s="13"/>
      <c r="BJ503" s="18">
        <v>0</v>
      </c>
      <c r="BK503" s="13"/>
      <c r="BL503" s="13"/>
      <c r="BM503" s="13">
        <f t="shared" si="0"/>
        <v>245.57</v>
      </c>
    </row>
    <row r="504" customHeight="1" spans="1:65">
      <c r="A504" s="18" t="s">
        <v>1799</v>
      </c>
      <c r="B504" s="18" t="s">
        <v>125</v>
      </c>
      <c r="C504" s="13"/>
      <c r="D504" s="13"/>
      <c r="E504" s="18" t="s">
        <v>876</v>
      </c>
      <c r="F504" s="18" t="s">
        <v>82</v>
      </c>
      <c r="G504" s="18" t="s">
        <v>83</v>
      </c>
      <c r="H504" s="18" t="s">
        <v>138</v>
      </c>
      <c r="I504" s="18" t="s">
        <v>85</v>
      </c>
      <c r="J504" s="18">
        <v>5</v>
      </c>
      <c r="K504" s="16">
        <v>23.35</v>
      </c>
      <c r="L504" s="10"/>
      <c r="M504" s="16">
        <v>0</v>
      </c>
      <c r="N504" s="16">
        <v>0</v>
      </c>
      <c r="O504" s="18">
        <v>0</v>
      </c>
      <c r="P504" s="18" t="s">
        <v>133</v>
      </c>
      <c r="Q504" s="18">
        <v>3.192532</v>
      </c>
      <c r="R504" s="10"/>
      <c r="S504" s="16">
        <v>41</v>
      </c>
      <c r="T504" s="16">
        <v>3</v>
      </c>
      <c r="U504" s="18" t="s">
        <v>1799</v>
      </c>
      <c r="V504" s="18" t="s">
        <v>125</v>
      </c>
      <c r="W504" s="13"/>
      <c r="X504" s="13"/>
      <c r="Y504" s="18" t="s">
        <v>876</v>
      </c>
      <c r="Z504" s="18" t="s">
        <v>82</v>
      </c>
      <c r="AA504" s="18" t="s">
        <v>83</v>
      </c>
      <c r="AB504" s="18" t="s">
        <v>138</v>
      </c>
      <c r="AC504" s="18" t="s">
        <v>85</v>
      </c>
      <c r="AD504" s="18">
        <v>41.7</v>
      </c>
      <c r="AE504" s="18">
        <v>0</v>
      </c>
      <c r="AF504" s="18">
        <v>0</v>
      </c>
      <c r="AG504" s="18">
        <v>0</v>
      </c>
      <c r="AH504" s="18">
        <v>1</v>
      </c>
      <c r="AI504" s="18">
        <v>0</v>
      </c>
      <c r="AJ504" s="18">
        <v>0</v>
      </c>
      <c r="AK504" s="18">
        <v>0</v>
      </c>
      <c r="AL504" s="18">
        <v>0</v>
      </c>
      <c r="AM504" s="18">
        <v>0</v>
      </c>
      <c r="AN504" s="18">
        <v>0</v>
      </c>
      <c r="AO504" s="18">
        <v>0</v>
      </c>
      <c r="AP504" s="18">
        <v>0</v>
      </c>
      <c r="AQ504" s="18">
        <v>0</v>
      </c>
      <c r="AR504" s="18">
        <v>0</v>
      </c>
      <c r="AS504" s="18">
        <v>0</v>
      </c>
      <c r="AT504" s="18">
        <v>0</v>
      </c>
      <c r="AU504" s="18">
        <v>0</v>
      </c>
      <c r="AV504" s="18">
        <v>0</v>
      </c>
      <c r="AW504" s="18">
        <v>0</v>
      </c>
      <c r="AX504" s="18">
        <v>0</v>
      </c>
      <c r="AY504" s="13"/>
      <c r="AZ504" s="18">
        <v>1</v>
      </c>
      <c r="BA504" s="18">
        <v>1</v>
      </c>
      <c r="BB504" s="18">
        <v>67.03</v>
      </c>
      <c r="BC504" s="18" t="s">
        <v>1800</v>
      </c>
      <c r="BD504" s="18" t="s">
        <v>169</v>
      </c>
      <c r="BE504" s="18" t="s">
        <v>113</v>
      </c>
      <c r="BF504" s="18" t="s">
        <v>77</v>
      </c>
      <c r="BG504" s="18">
        <v>162</v>
      </c>
      <c r="BH504" s="18">
        <v>60</v>
      </c>
      <c r="BI504" s="18">
        <v>0.7297</v>
      </c>
      <c r="BJ504" s="18">
        <v>0</v>
      </c>
      <c r="BK504" s="18">
        <v>3</v>
      </c>
      <c r="BL504" s="18">
        <v>99.2</v>
      </c>
      <c r="BM504" s="13">
        <f t="shared" si="0"/>
        <v>957.35</v>
      </c>
    </row>
    <row r="505" customHeight="1" spans="1:65">
      <c r="A505" s="18" t="s">
        <v>1801</v>
      </c>
      <c r="B505" s="18" t="s">
        <v>466</v>
      </c>
      <c r="C505" s="13"/>
      <c r="D505" s="13"/>
      <c r="E505" s="18" t="s">
        <v>239</v>
      </c>
      <c r="F505" s="18" t="s">
        <v>240</v>
      </c>
      <c r="G505" s="18" t="s">
        <v>83</v>
      </c>
      <c r="H505" s="18" t="s">
        <v>84</v>
      </c>
      <c r="I505" s="18" t="s">
        <v>153</v>
      </c>
      <c r="J505" s="18">
        <v>2</v>
      </c>
      <c r="K505" s="16">
        <v>73.77</v>
      </c>
      <c r="L505" s="10"/>
      <c r="M505" s="16">
        <v>0</v>
      </c>
      <c r="N505" s="16">
        <v>0</v>
      </c>
      <c r="O505" s="18">
        <v>0</v>
      </c>
      <c r="P505" s="18" t="s">
        <v>86</v>
      </c>
      <c r="Q505" s="18">
        <v>4.314417</v>
      </c>
      <c r="R505" s="10"/>
      <c r="S505" s="10"/>
      <c r="T505" s="10"/>
      <c r="U505" s="18" t="s">
        <v>1801</v>
      </c>
      <c r="V505" s="18" t="s">
        <v>466</v>
      </c>
      <c r="W505" s="13"/>
      <c r="X505" s="13"/>
      <c r="Y505" s="18" t="s">
        <v>239</v>
      </c>
      <c r="Z505" s="18" t="s">
        <v>240</v>
      </c>
      <c r="AA505" s="18" t="s">
        <v>83</v>
      </c>
      <c r="AB505" s="18" t="s">
        <v>84</v>
      </c>
      <c r="AC505" s="18" t="s">
        <v>153</v>
      </c>
      <c r="AD505" s="18">
        <v>145.54</v>
      </c>
      <c r="AE505" s="18">
        <v>0</v>
      </c>
      <c r="AF505" s="18">
        <v>0</v>
      </c>
      <c r="AG505" s="18">
        <v>0</v>
      </c>
      <c r="AH505" s="18">
        <v>0</v>
      </c>
      <c r="AI505" s="18">
        <v>0</v>
      </c>
      <c r="AJ505" s="18">
        <v>0</v>
      </c>
      <c r="AK505" s="18">
        <v>0</v>
      </c>
      <c r="AL505" s="18">
        <v>0</v>
      </c>
      <c r="AM505" s="18">
        <v>0</v>
      </c>
      <c r="AN505" s="18">
        <v>0</v>
      </c>
      <c r="AO505" s="18">
        <v>0</v>
      </c>
      <c r="AP505" s="18">
        <v>0</v>
      </c>
      <c r="AQ505" s="18">
        <v>1</v>
      </c>
      <c r="AR505" s="18">
        <v>0</v>
      </c>
      <c r="AS505" s="18">
        <v>0</v>
      </c>
      <c r="AT505" s="18">
        <v>0</v>
      </c>
      <c r="AU505" s="18">
        <v>0</v>
      </c>
      <c r="AV505" s="18">
        <v>1</v>
      </c>
      <c r="AW505" s="18">
        <v>0</v>
      </c>
      <c r="AX505" s="18">
        <v>0</v>
      </c>
      <c r="AY505" s="13"/>
      <c r="AZ505" s="18">
        <v>1</v>
      </c>
      <c r="BA505" s="18">
        <v>1</v>
      </c>
      <c r="BB505" s="18">
        <v>29.01</v>
      </c>
      <c r="BC505" s="18" t="s">
        <v>1802</v>
      </c>
      <c r="BD505" s="18" t="s">
        <v>1803</v>
      </c>
      <c r="BE505" s="18" t="s">
        <v>407</v>
      </c>
      <c r="BF505" s="18" t="s">
        <v>77</v>
      </c>
      <c r="BG505" s="18">
        <v>168</v>
      </c>
      <c r="BH505" s="18">
        <v>11</v>
      </c>
      <c r="BI505" s="18">
        <v>0.9385</v>
      </c>
      <c r="BJ505" s="18">
        <v>0</v>
      </c>
      <c r="BK505" s="18">
        <v>12</v>
      </c>
      <c r="BL505" s="18">
        <v>96.7</v>
      </c>
      <c r="BM505" s="13">
        <f t="shared" si="0"/>
        <v>0</v>
      </c>
    </row>
    <row r="506" customHeight="1" spans="1:65">
      <c r="A506" s="18" t="s">
        <v>1810</v>
      </c>
      <c r="B506" s="18" t="s">
        <v>1811</v>
      </c>
      <c r="C506" s="13"/>
      <c r="D506" s="18">
        <v>810155034399</v>
      </c>
      <c r="E506" s="18" t="s">
        <v>1509</v>
      </c>
      <c r="F506" s="18" t="s">
        <v>132</v>
      </c>
      <c r="G506" s="18" t="s">
        <v>83</v>
      </c>
      <c r="H506" s="18" t="s">
        <v>84</v>
      </c>
      <c r="I506" s="18" t="s">
        <v>85</v>
      </c>
      <c r="J506" s="18">
        <v>5</v>
      </c>
      <c r="K506" s="16">
        <v>13.99</v>
      </c>
      <c r="L506" s="10"/>
      <c r="M506" s="16">
        <v>0</v>
      </c>
      <c r="N506" s="16">
        <v>0</v>
      </c>
      <c r="O506" s="18">
        <v>0</v>
      </c>
      <c r="P506" s="18" t="s">
        <v>133</v>
      </c>
      <c r="Q506" s="18">
        <v>2.707383</v>
      </c>
      <c r="R506" s="10"/>
      <c r="S506" s="16">
        <v>32</v>
      </c>
      <c r="T506" s="16">
        <v>8</v>
      </c>
      <c r="U506" s="18" t="s">
        <v>1810</v>
      </c>
      <c r="V506" s="18" t="s">
        <v>1811</v>
      </c>
      <c r="W506" s="13"/>
      <c r="X506" s="18">
        <v>810155034400</v>
      </c>
      <c r="Y506" s="18" t="s">
        <v>1509</v>
      </c>
      <c r="Z506" s="18" t="s">
        <v>132</v>
      </c>
      <c r="AA506" s="18" t="s">
        <v>83</v>
      </c>
      <c r="AB506" s="18" t="s">
        <v>84</v>
      </c>
      <c r="AC506" s="18" t="s">
        <v>85</v>
      </c>
      <c r="AD506" s="18">
        <v>22.98</v>
      </c>
      <c r="AE506" s="18">
        <v>0</v>
      </c>
      <c r="AF506" s="18">
        <v>0</v>
      </c>
      <c r="AG506" s="18">
        <v>0</v>
      </c>
      <c r="AH506" s="18">
        <v>0</v>
      </c>
      <c r="AI506" s="18">
        <v>0</v>
      </c>
      <c r="AJ506" s="18">
        <v>0</v>
      </c>
      <c r="AK506" s="18">
        <v>0</v>
      </c>
      <c r="AL506" s="18">
        <v>0</v>
      </c>
      <c r="AM506" s="18">
        <v>0</v>
      </c>
      <c r="AN506" s="18">
        <v>0</v>
      </c>
      <c r="AO506" s="18">
        <v>0</v>
      </c>
      <c r="AP506" s="18">
        <v>0</v>
      </c>
      <c r="AQ506" s="18">
        <v>0</v>
      </c>
      <c r="AR506" s="18">
        <v>0</v>
      </c>
      <c r="AS506" s="18">
        <v>0</v>
      </c>
      <c r="AT506" s="18">
        <v>0</v>
      </c>
      <c r="AU506" s="18">
        <v>0</v>
      </c>
      <c r="AV506" s="18">
        <v>0</v>
      </c>
      <c r="AW506" s="18">
        <v>1</v>
      </c>
      <c r="AX506" s="18">
        <v>0</v>
      </c>
      <c r="AY506" s="13"/>
      <c r="AZ506" s="18">
        <v>1</v>
      </c>
      <c r="BA506" s="18">
        <v>0</v>
      </c>
      <c r="BB506" s="18">
        <v>60.11</v>
      </c>
      <c r="BC506" s="18" t="s">
        <v>1812</v>
      </c>
      <c r="BD506" s="18" t="s">
        <v>1813</v>
      </c>
      <c r="BE506" s="18" t="s">
        <v>1814</v>
      </c>
      <c r="BF506" s="18" t="s">
        <v>77</v>
      </c>
      <c r="BG506" s="18">
        <v>1</v>
      </c>
      <c r="BH506" s="18">
        <v>11</v>
      </c>
      <c r="BI506" s="18">
        <v>0.0833</v>
      </c>
      <c r="BJ506" s="18">
        <v>1</v>
      </c>
      <c r="BK506" s="18">
        <v>23</v>
      </c>
      <c r="BL506" s="18">
        <v>93.7</v>
      </c>
      <c r="BM506" s="13">
        <f t="shared" si="0"/>
        <v>447.68</v>
      </c>
    </row>
    <row r="507" customHeight="1" spans="1:65">
      <c r="A507" s="18" t="s">
        <v>1815</v>
      </c>
      <c r="B507" s="18" t="s">
        <v>819</v>
      </c>
      <c r="C507" s="18" t="s">
        <v>1231</v>
      </c>
      <c r="D507" s="18">
        <v>810083473673</v>
      </c>
      <c r="E507" s="18" t="s">
        <v>163</v>
      </c>
      <c r="F507" s="18" t="s">
        <v>82</v>
      </c>
      <c r="G507" s="18" t="s">
        <v>819</v>
      </c>
      <c r="H507" s="18" t="s">
        <v>102</v>
      </c>
      <c r="I507" s="18" t="s">
        <v>85</v>
      </c>
      <c r="J507" s="18">
        <v>5</v>
      </c>
      <c r="K507" s="16">
        <v>29</v>
      </c>
      <c r="L507" s="10"/>
      <c r="M507" s="16">
        <v>0</v>
      </c>
      <c r="N507" s="16">
        <v>0</v>
      </c>
      <c r="O507" s="18">
        <v>0</v>
      </c>
      <c r="P507" s="18" t="s">
        <v>86</v>
      </c>
      <c r="Q507" s="18">
        <v>3.401197</v>
      </c>
      <c r="R507" s="10"/>
      <c r="S507" s="16">
        <v>76</v>
      </c>
      <c r="T507" s="16">
        <v>9</v>
      </c>
      <c r="U507" s="18" t="s">
        <v>1815</v>
      </c>
      <c r="V507" s="18" t="s">
        <v>819</v>
      </c>
      <c r="W507" s="18" t="s">
        <v>1231</v>
      </c>
      <c r="X507" s="18">
        <v>810083473674</v>
      </c>
      <c r="Y507" s="18" t="s">
        <v>163</v>
      </c>
      <c r="Z507" s="18" t="s">
        <v>82</v>
      </c>
      <c r="AA507" s="18" t="s">
        <v>819</v>
      </c>
      <c r="AB507" s="18" t="s">
        <v>102</v>
      </c>
      <c r="AC507" s="18" t="s">
        <v>85</v>
      </c>
      <c r="AD507" s="18">
        <v>53</v>
      </c>
      <c r="AE507" s="18">
        <v>0</v>
      </c>
      <c r="AF507" s="18">
        <v>0</v>
      </c>
      <c r="AG507" s="18">
        <v>0</v>
      </c>
      <c r="AH507" s="18">
        <v>1</v>
      </c>
      <c r="AI507" s="18">
        <v>0</v>
      </c>
      <c r="AJ507" s="18">
        <v>0</v>
      </c>
      <c r="AK507" s="18">
        <v>0</v>
      </c>
      <c r="AL507" s="18">
        <v>0</v>
      </c>
      <c r="AM507" s="18">
        <v>0</v>
      </c>
      <c r="AN507" s="18">
        <v>0</v>
      </c>
      <c r="AO507" s="18">
        <v>0</v>
      </c>
      <c r="AP507" s="18">
        <v>0</v>
      </c>
      <c r="AQ507" s="18">
        <v>0</v>
      </c>
      <c r="AR507" s="18">
        <v>0</v>
      </c>
      <c r="AS507" s="18">
        <v>0</v>
      </c>
      <c r="AT507" s="18">
        <v>1</v>
      </c>
      <c r="AU507" s="18">
        <v>1</v>
      </c>
      <c r="AV507" s="18">
        <v>0</v>
      </c>
      <c r="AW507" s="18">
        <v>0</v>
      </c>
      <c r="AX507" s="18">
        <v>0</v>
      </c>
      <c r="AY507" s="13"/>
      <c r="AZ507" s="18">
        <v>1</v>
      </c>
      <c r="BA507" s="18">
        <v>1</v>
      </c>
      <c r="BB507" s="18">
        <v>63.96</v>
      </c>
      <c r="BC507" s="18" t="s">
        <v>1816</v>
      </c>
      <c r="BD507" s="18" t="s">
        <v>1817</v>
      </c>
      <c r="BE507" s="18" t="s">
        <v>128</v>
      </c>
      <c r="BF507" s="18" t="s">
        <v>77</v>
      </c>
      <c r="BG507" s="18">
        <v>168</v>
      </c>
      <c r="BH507" s="18">
        <v>12</v>
      </c>
      <c r="BI507" s="18">
        <v>0.9333</v>
      </c>
      <c r="BJ507" s="18">
        <v>0</v>
      </c>
      <c r="BK507" s="18">
        <v>22</v>
      </c>
      <c r="BL507" s="18">
        <v>94</v>
      </c>
      <c r="BM507" s="13">
        <f t="shared" si="0"/>
        <v>2204</v>
      </c>
    </row>
    <row r="508" customHeight="1" spans="1:65">
      <c r="A508" s="18" t="s">
        <v>268</v>
      </c>
      <c r="B508" s="18" t="s">
        <v>269</v>
      </c>
      <c r="C508" s="18" t="s">
        <v>270</v>
      </c>
      <c r="D508" s="13"/>
      <c r="E508" s="18" t="s">
        <v>81</v>
      </c>
      <c r="F508" s="18" t="s">
        <v>82</v>
      </c>
      <c r="G508" s="18" t="s">
        <v>83</v>
      </c>
      <c r="H508" s="18" t="s">
        <v>84</v>
      </c>
      <c r="I508" s="18" t="s">
        <v>85</v>
      </c>
      <c r="J508" s="18">
        <v>5</v>
      </c>
      <c r="K508" s="16">
        <v>139.99</v>
      </c>
      <c r="L508" s="10"/>
      <c r="M508" s="16">
        <v>0</v>
      </c>
      <c r="N508" s="16">
        <v>0</v>
      </c>
      <c r="O508" s="18">
        <v>0</v>
      </c>
      <c r="P508" s="18" t="s">
        <v>95</v>
      </c>
      <c r="Q508" s="18">
        <v>4.948689</v>
      </c>
      <c r="R508" s="10"/>
      <c r="S508" s="16">
        <v>100</v>
      </c>
      <c r="T508" s="16">
        <v>5</v>
      </c>
      <c r="U508" s="18" t="s">
        <v>268</v>
      </c>
      <c r="V508" s="18" t="s">
        <v>269</v>
      </c>
      <c r="W508" s="18" t="s">
        <v>270</v>
      </c>
      <c r="X508" s="13"/>
      <c r="Y508" s="18" t="s">
        <v>81</v>
      </c>
      <c r="Z508" s="18" t="s">
        <v>82</v>
      </c>
      <c r="AA508" s="18" t="s">
        <v>83</v>
      </c>
      <c r="AB508" s="18" t="s">
        <v>84</v>
      </c>
      <c r="AC508" s="18" t="s">
        <v>85</v>
      </c>
      <c r="AD508" s="18">
        <v>274.98</v>
      </c>
      <c r="AE508" s="18">
        <v>1</v>
      </c>
      <c r="AF508" s="18">
        <v>1</v>
      </c>
      <c r="AG508" s="18">
        <v>0</v>
      </c>
      <c r="AH508" s="18">
        <v>1</v>
      </c>
      <c r="AI508" s="18">
        <v>0</v>
      </c>
      <c r="AJ508" s="18">
        <v>0</v>
      </c>
      <c r="AK508" s="18">
        <v>0</v>
      </c>
      <c r="AL508" s="18">
        <v>0</v>
      </c>
      <c r="AM508" s="18">
        <v>0</v>
      </c>
      <c r="AN508" s="18">
        <v>0</v>
      </c>
      <c r="AO508" s="18">
        <v>0</v>
      </c>
      <c r="AP508" s="18">
        <v>0</v>
      </c>
      <c r="AQ508" s="18">
        <v>0</v>
      </c>
      <c r="AR508" s="18">
        <v>0</v>
      </c>
      <c r="AS508" s="18">
        <v>0</v>
      </c>
      <c r="AT508" s="18">
        <v>1</v>
      </c>
      <c r="AU508" s="18">
        <v>0</v>
      </c>
      <c r="AV508" s="18">
        <v>0</v>
      </c>
      <c r="AW508" s="18">
        <v>0</v>
      </c>
      <c r="AX508" s="18">
        <v>0</v>
      </c>
      <c r="AY508" s="13"/>
      <c r="AZ508" s="18">
        <v>1</v>
      </c>
      <c r="BA508" s="18">
        <v>2</v>
      </c>
      <c r="BB508" s="18">
        <v>67.95</v>
      </c>
      <c r="BC508" s="18" t="s">
        <v>271</v>
      </c>
      <c r="BD508" s="18" t="s">
        <v>90</v>
      </c>
      <c r="BE508" s="18" t="s">
        <v>91</v>
      </c>
      <c r="BF508" s="18" t="s">
        <v>77</v>
      </c>
      <c r="BG508" s="18">
        <v>162</v>
      </c>
      <c r="BH508" s="18">
        <v>59</v>
      </c>
      <c r="BI508" s="18">
        <v>0.733</v>
      </c>
      <c r="BJ508" s="18">
        <v>0</v>
      </c>
      <c r="BK508" s="18">
        <v>2</v>
      </c>
      <c r="BL508" s="18">
        <v>99.5</v>
      </c>
      <c r="BM508" s="13">
        <f t="shared" si="0"/>
        <v>13999</v>
      </c>
    </row>
    <row r="509" customHeight="1" spans="1:65">
      <c r="A509" s="18" t="s">
        <v>550</v>
      </c>
      <c r="B509" s="18" t="s">
        <v>100</v>
      </c>
      <c r="C509" s="18" t="s">
        <v>551</v>
      </c>
      <c r="D509" s="18">
        <v>768476589350</v>
      </c>
      <c r="E509" s="18" t="s">
        <v>81</v>
      </c>
      <c r="F509" s="18" t="s">
        <v>82</v>
      </c>
      <c r="G509" s="18" t="s">
        <v>83</v>
      </c>
      <c r="H509" s="18" t="s">
        <v>102</v>
      </c>
      <c r="I509" s="18" t="s">
        <v>85</v>
      </c>
      <c r="J509" s="18">
        <v>5</v>
      </c>
      <c r="K509" s="16">
        <v>126.99</v>
      </c>
      <c r="L509" s="10"/>
      <c r="M509" s="16">
        <v>0</v>
      </c>
      <c r="N509" s="16">
        <v>0</v>
      </c>
      <c r="O509" s="18">
        <v>0</v>
      </c>
      <c r="P509" s="18" t="s">
        <v>95</v>
      </c>
      <c r="Q509" s="18">
        <v>4.851952</v>
      </c>
      <c r="R509" s="10"/>
      <c r="S509" s="16">
        <v>23</v>
      </c>
      <c r="T509" s="16">
        <v>9</v>
      </c>
      <c r="U509" s="18" t="s">
        <v>550</v>
      </c>
      <c r="V509" s="18" t="s">
        <v>100</v>
      </c>
      <c r="W509" s="18" t="s">
        <v>551</v>
      </c>
      <c r="X509" s="18">
        <v>768476589351</v>
      </c>
      <c r="Y509" s="18" t="s">
        <v>81</v>
      </c>
      <c r="Z509" s="18" t="s">
        <v>82</v>
      </c>
      <c r="AA509" s="18" t="s">
        <v>83</v>
      </c>
      <c r="AB509" s="18" t="s">
        <v>102</v>
      </c>
      <c r="AC509" s="18" t="s">
        <v>85</v>
      </c>
      <c r="AD509" s="18">
        <v>248.98</v>
      </c>
      <c r="AE509" s="18">
        <v>1</v>
      </c>
      <c r="AF509" s="18">
        <v>1</v>
      </c>
      <c r="AG509" s="18">
        <v>0</v>
      </c>
      <c r="AH509" s="18">
        <v>1</v>
      </c>
      <c r="AI509" s="18">
        <v>0</v>
      </c>
      <c r="AJ509" s="18">
        <v>0</v>
      </c>
      <c r="AK509" s="18">
        <v>1</v>
      </c>
      <c r="AL509" s="18">
        <v>0</v>
      </c>
      <c r="AM509" s="18">
        <v>0</v>
      </c>
      <c r="AN509" s="18">
        <v>0</v>
      </c>
      <c r="AO509" s="18">
        <v>0</v>
      </c>
      <c r="AP509" s="18">
        <v>0</v>
      </c>
      <c r="AQ509" s="18">
        <v>0</v>
      </c>
      <c r="AR509" s="18">
        <v>0</v>
      </c>
      <c r="AS509" s="18">
        <v>0</v>
      </c>
      <c r="AT509" s="18">
        <v>0</v>
      </c>
      <c r="AU509" s="18">
        <v>0</v>
      </c>
      <c r="AV509" s="18">
        <v>0</v>
      </c>
      <c r="AW509" s="18">
        <v>1</v>
      </c>
      <c r="AX509" s="18">
        <v>0</v>
      </c>
      <c r="AY509" s="13"/>
      <c r="AZ509" s="18">
        <v>4</v>
      </c>
      <c r="BA509" s="18">
        <v>3</v>
      </c>
      <c r="BB509" s="18">
        <v>58.33</v>
      </c>
      <c r="BC509" s="18" t="s">
        <v>271</v>
      </c>
      <c r="BD509" s="18" t="s">
        <v>286</v>
      </c>
      <c r="BE509" s="18" t="s">
        <v>423</v>
      </c>
      <c r="BF509" s="18" t="s">
        <v>77</v>
      </c>
      <c r="BG509" s="18">
        <v>162</v>
      </c>
      <c r="BH509" s="18">
        <v>59</v>
      </c>
      <c r="BI509" s="18">
        <v>0.733</v>
      </c>
      <c r="BJ509" s="18">
        <v>0</v>
      </c>
      <c r="BK509" s="18">
        <v>5</v>
      </c>
      <c r="BL509" s="18">
        <v>98.6</v>
      </c>
      <c r="BM509" s="13">
        <f t="shared" si="0"/>
        <v>2920.77</v>
      </c>
    </row>
    <row r="510" customHeight="1" spans="1:65">
      <c r="A510" s="18" t="s">
        <v>1130</v>
      </c>
      <c r="B510" s="18" t="s">
        <v>100</v>
      </c>
      <c r="C510" s="18" t="s">
        <v>1131</v>
      </c>
      <c r="D510" s="18">
        <v>768476589350</v>
      </c>
      <c r="E510" s="18" t="s">
        <v>81</v>
      </c>
      <c r="F510" s="18" t="s">
        <v>82</v>
      </c>
      <c r="G510" s="18" t="s">
        <v>83</v>
      </c>
      <c r="H510" s="18" t="s">
        <v>102</v>
      </c>
      <c r="I510" s="18" t="s">
        <v>85</v>
      </c>
      <c r="J510" s="18">
        <v>5</v>
      </c>
      <c r="K510" s="16">
        <v>69.99</v>
      </c>
      <c r="L510" s="10"/>
      <c r="M510" s="16">
        <v>0</v>
      </c>
      <c r="N510" s="16">
        <v>0</v>
      </c>
      <c r="O510" s="18">
        <v>0</v>
      </c>
      <c r="P510" s="18" t="s">
        <v>86</v>
      </c>
      <c r="Q510" s="18">
        <v>4.262539</v>
      </c>
      <c r="R510" s="10"/>
      <c r="S510" s="16">
        <v>87</v>
      </c>
      <c r="T510" s="16">
        <v>8</v>
      </c>
      <c r="U510" s="18" t="s">
        <v>1130</v>
      </c>
      <c r="V510" s="18" t="s">
        <v>100</v>
      </c>
      <c r="W510" s="18" t="s">
        <v>1131</v>
      </c>
      <c r="X510" s="18">
        <v>768476589351</v>
      </c>
      <c r="Y510" s="18" t="s">
        <v>81</v>
      </c>
      <c r="Z510" s="18" t="s">
        <v>82</v>
      </c>
      <c r="AA510" s="18" t="s">
        <v>83</v>
      </c>
      <c r="AB510" s="18" t="s">
        <v>102</v>
      </c>
      <c r="AC510" s="18" t="s">
        <v>85</v>
      </c>
      <c r="AD510" s="18">
        <v>134.98</v>
      </c>
      <c r="AE510" s="18">
        <v>1</v>
      </c>
      <c r="AF510" s="18">
        <v>1</v>
      </c>
      <c r="AG510" s="18">
        <v>0</v>
      </c>
      <c r="AH510" s="18">
        <v>1</v>
      </c>
      <c r="AI510" s="18">
        <v>0</v>
      </c>
      <c r="AJ510" s="18">
        <v>0</v>
      </c>
      <c r="AK510" s="18">
        <v>0</v>
      </c>
      <c r="AL510" s="18">
        <v>0</v>
      </c>
      <c r="AM510" s="18">
        <v>0</v>
      </c>
      <c r="AN510" s="18">
        <v>0</v>
      </c>
      <c r="AO510" s="18">
        <v>0</v>
      </c>
      <c r="AP510" s="18">
        <v>0</v>
      </c>
      <c r="AQ510" s="18">
        <v>0</v>
      </c>
      <c r="AR510" s="18">
        <v>0</v>
      </c>
      <c r="AS510" s="18">
        <v>0</v>
      </c>
      <c r="AT510" s="18">
        <v>1</v>
      </c>
      <c r="AU510" s="18">
        <v>0</v>
      </c>
      <c r="AV510" s="18">
        <v>0</v>
      </c>
      <c r="AW510" s="18">
        <v>0</v>
      </c>
      <c r="AX510" s="18">
        <v>0</v>
      </c>
      <c r="AY510" s="13"/>
      <c r="AZ510" s="18">
        <v>2</v>
      </c>
      <c r="BA510" s="18">
        <v>2</v>
      </c>
      <c r="BB510" s="18">
        <v>66.48</v>
      </c>
      <c r="BC510" s="18" t="s">
        <v>271</v>
      </c>
      <c r="BD510" s="18" t="s">
        <v>286</v>
      </c>
      <c r="BE510" s="18" t="s">
        <v>423</v>
      </c>
      <c r="BF510" s="18" t="s">
        <v>77</v>
      </c>
      <c r="BG510" s="18">
        <v>162</v>
      </c>
      <c r="BH510" s="18">
        <v>59</v>
      </c>
      <c r="BI510" s="18">
        <v>0.733</v>
      </c>
      <c r="BJ510" s="18">
        <v>0</v>
      </c>
      <c r="BK510" s="18">
        <v>2</v>
      </c>
      <c r="BL510" s="18">
        <v>99.5</v>
      </c>
      <c r="BM510" s="13">
        <f t="shared" si="0"/>
        <v>6089.13</v>
      </c>
    </row>
    <row r="511" customHeight="1" spans="1:65">
      <c r="A511" s="18" t="s">
        <v>1824</v>
      </c>
      <c r="B511" s="18" t="s">
        <v>344</v>
      </c>
      <c r="C511" s="13"/>
      <c r="D511" s="13"/>
      <c r="E511" s="18" t="s">
        <v>122</v>
      </c>
      <c r="F511" s="18" t="s">
        <v>82</v>
      </c>
      <c r="G511" s="18" t="s">
        <v>346</v>
      </c>
      <c r="H511" s="18" t="s">
        <v>107</v>
      </c>
      <c r="I511" s="18" t="s">
        <v>85</v>
      </c>
      <c r="J511" s="18">
        <v>5</v>
      </c>
      <c r="K511" s="16">
        <v>27.19</v>
      </c>
      <c r="L511" s="10"/>
      <c r="M511" s="16">
        <v>0</v>
      </c>
      <c r="N511" s="16">
        <v>0</v>
      </c>
      <c r="O511" s="18">
        <v>0</v>
      </c>
      <c r="P511" s="18" t="s">
        <v>86</v>
      </c>
      <c r="Q511" s="18">
        <v>3.338967</v>
      </c>
      <c r="R511" s="10"/>
      <c r="S511" s="16">
        <v>103</v>
      </c>
      <c r="T511" s="16">
        <v>1</v>
      </c>
      <c r="U511" s="18" t="s">
        <v>1824</v>
      </c>
      <c r="V511" s="18" t="s">
        <v>344</v>
      </c>
      <c r="W511" s="13"/>
      <c r="X511" s="13"/>
      <c r="Y511" s="18" t="s">
        <v>122</v>
      </c>
      <c r="Z511" s="18" t="s">
        <v>82</v>
      </c>
      <c r="AA511" s="18" t="s">
        <v>346</v>
      </c>
      <c r="AB511" s="18" t="s">
        <v>107</v>
      </c>
      <c r="AC511" s="18" t="s">
        <v>85</v>
      </c>
      <c r="AD511" s="18">
        <v>49.38</v>
      </c>
      <c r="AE511" s="18">
        <v>0</v>
      </c>
      <c r="AF511" s="18">
        <v>0</v>
      </c>
      <c r="AG511" s="18">
        <v>0</v>
      </c>
      <c r="AH511" s="18">
        <v>0</v>
      </c>
      <c r="AI511" s="18">
        <v>0</v>
      </c>
      <c r="AJ511" s="18">
        <v>0</v>
      </c>
      <c r="AK511" s="18">
        <v>0</v>
      </c>
      <c r="AL511" s="18">
        <v>0</v>
      </c>
      <c r="AM511" s="18">
        <v>0</v>
      </c>
      <c r="AN511" s="18">
        <v>0</v>
      </c>
      <c r="AO511" s="18">
        <v>0</v>
      </c>
      <c r="AP511" s="18">
        <v>0</v>
      </c>
      <c r="AQ511" s="18">
        <v>0</v>
      </c>
      <c r="AR511" s="18">
        <v>0</v>
      </c>
      <c r="AS511" s="18">
        <v>1</v>
      </c>
      <c r="AT511" s="18">
        <v>0</v>
      </c>
      <c r="AU511" s="18">
        <v>0</v>
      </c>
      <c r="AV511" s="18">
        <v>0</v>
      </c>
      <c r="AW511" s="18">
        <v>0</v>
      </c>
      <c r="AX511" s="18">
        <v>0</v>
      </c>
      <c r="AY511" s="13"/>
      <c r="AZ511" s="18">
        <v>1</v>
      </c>
      <c r="BA511" s="18">
        <v>0</v>
      </c>
      <c r="BB511" s="18">
        <v>69.47</v>
      </c>
      <c r="BC511" s="18" t="s">
        <v>1825</v>
      </c>
      <c r="BD511" s="18" t="s">
        <v>156</v>
      </c>
      <c r="BE511" s="18" t="s">
        <v>98</v>
      </c>
      <c r="BF511" s="18" t="s">
        <v>77</v>
      </c>
      <c r="BG511" s="18">
        <v>61</v>
      </c>
      <c r="BH511" s="18">
        <v>140</v>
      </c>
      <c r="BI511" s="18">
        <v>0.3035</v>
      </c>
      <c r="BJ511" s="18">
        <v>0</v>
      </c>
      <c r="BK511" s="18">
        <v>2</v>
      </c>
      <c r="BL511" s="18">
        <v>99.5</v>
      </c>
      <c r="BM511" s="13">
        <f t="shared" si="0"/>
        <v>2800.57</v>
      </c>
    </row>
    <row r="512" customHeight="1" spans="1:65">
      <c r="A512" s="18" t="s">
        <v>2215</v>
      </c>
      <c r="B512" s="18" t="s">
        <v>65</v>
      </c>
      <c r="C512" s="13"/>
      <c r="D512" s="13"/>
      <c r="E512" s="18" t="s">
        <v>81</v>
      </c>
      <c r="F512" s="18" t="s">
        <v>82</v>
      </c>
      <c r="G512" s="18" t="s">
        <v>65</v>
      </c>
      <c r="H512" s="18" t="s">
        <v>69</v>
      </c>
      <c r="I512" s="18" t="s">
        <v>85</v>
      </c>
      <c r="J512" s="18">
        <v>5</v>
      </c>
      <c r="K512" s="16">
        <v>223.99</v>
      </c>
      <c r="L512" s="10"/>
      <c r="M512" s="16">
        <v>0</v>
      </c>
      <c r="N512" s="16">
        <v>0</v>
      </c>
      <c r="O512" s="18">
        <v>0</v>
      </c>
      <c r="P512" s="18" t="s">
        <v>71</v>
      </c>
      <c r="Q512" s="18">
        <v>5.416056</v>
      </c>
      <c r="R512" s="10"/>
      <c r="S512" s="16">
        <v>13</v>
      </c>
      <c r="T512" s="16">
        <v>1</v>
      </c>
      <c r="U512" s="18" t="s">
        <v>2215</v>
      </c>
      <c r="V512" s="18" t="s">
        <v>65</v>
      </c>
      <c r="W512" s="13"/>
      <c r="X512" s="13"/>
      <c r="Y512" s="18" t="s">
        <v>81</v>
      </c>
      <c r="Z512" s="18" t="s">
        <v>82</v>
      </c>
      <c r="AA512" s="18" t="s">
        <v>65</v>
      </c>
      <c r="AB512" s="18" t="s">
        <v>69</v>
      </c>
      <c r="AC512" s="18" t="s">
        <v>85</v>
      </c>
      <c r="AD512" s="18">
        <v>442.98</v>
      </c>
      <c r="AE512" s="18">
        <v>0</v>
      </c>
      <c r="AF512" s="18">
        <v>0</v>
      </c>
      <c r="AG512" s="18">
        <v>0</v>
      </c>
      <c r="AH512" s="18">
        <v>0</v>
      </c>
      <c r="AI512" s="18">
        <v>0</v>
      </c>
      <c r="AJ512" s="18">
        <v>0</v>
      </c>
      <c r="AK512" s="18">
        <v>0</v>
      </c>
      <c r="AL512" s="18">
        <v>1</v>
      </c>
      <c r="AM512" s="18">
        <v>0</v>
      </c>
      <c r="AN512" s="18">
        <v>0</v>
      </c>
      <c r="AO512" s="18">
        <v>0</v>
      </c>
      <c r="AP512" s="18">
        <v>0</v>
      </c>
      <c r="AQ512" s="18">
        <v>0</v>
      </c>
      <c r="AR512" s="18">
        <v>0</v>
      </c>
      <c r="AS512" s="18">
        <v>0</v>
      </c>
      <c r="AT512" s="18">
        <v>0</v>
      </c>
      <c r="AU512" s="18">
        <v>0</v>
      </c>
      <c r="AV512" s="18">
        <v>0</v>
      </c>
      <c r="AW512" s="18">
        <v>0</v>
      </c>
      <c r="AX512" s="18">
        <v>0</v>
      </c>
      <c r="AY512" s="13"/>
      <c r="AZ512" s="18">
        <v>1</v>
      </c>
      <c r="BA512" s="18">
        <v>0</v>
      </c>
      <c r="BB512" s="18">
        <v>65.25</v>
      </c>
      <c r="BC512" s="18" t="s">
        <v>1825</v>
      </c>
      <c r="BD512" s="18" t="s">
        <v>156</v>
      </c>
      <c r="BE512" s="18" t="s">
        <v>98</v>
      </c>
      <c r="BF512" s="18" t="s">
        <v>77</v>
      </c>
      <c r="BG512" s="18">
        <v>4</v>
      </c>
      <c r="BH512" s="18">
        <v>215</v>
      </c>
      <c r="BI512" s="18">
        <v>0.0183</v>
      </c>
      <c r="BJ512" s="18">
        <v>0</v>
      </c>
      <c r="BK512" s="18">
        <v>23</v>
      </c>
      <c r="BL512" s="18">
        <v>93.7</v>
      </c>
      <c r="BM512" s="13">
        <f t="shared" si="0"/>
        <v>2911.87</v>
      </c>
    </row>
    <row r="513" customHeight="1" spans="1:65">
      <c r="A513" s="18" t="s">
        <v>2312</v>
      </c>
      <c r="B513" s="18" t="s">
        <v>65</v>
      </c>
      <c r="C513" s="18" t="s">
        <v>2313</v>
      </c>
      <c r="D513" s="18">
        <v>196271032298</v>
      </c>
      <c r="E513" s="18" t="s">
        <v>81</v>
      </c>
      <c r="F513" s="18" t="s">
        <v>160</v>
      </c>
      <c r="G513" s="18" t="s">
        <v>65</v>
      </c>
      <c r="H513" s="18" t="s">
        <v>69</v>
      </c>
      <c r="I513" s="18" t="s">
        <v>85</v>
      </c>
      <c r="J513" s="18">
        <v>5</v>
      </c>
      <c r="K513" s="16">
        <v>399.98</v>
      </c>
      <c r="L513" s="16">
        <v>499.98</v>
      </c>
      <c r="M513" s="16">
        <v>20</v>
      </c>
      <c r="N513" s="16">
        <v>100</v>
      </c>
      <c r="O513" s="18">
        <v>1</v>
      </c>
      <c r="P513" s="18" t="s">
        <v>71</v>
      </c>
      <c r="Q513" s="18">
        <v>5.993912</v>
      </c>
      <c r="R513" s="10"/>
      <c r="S513" s="16">
        <v>36</v>
      </c>
      <c r="T513" s="16">
        <v>1</v>
      </c>
      <c r="U513" s="18" t="s">
        <v>2646</v>
      </c>
      <c r="V513" s="18" t="s">
        <v>65</v>
      </c>
      <c r="W513" s="18" t="s">
        <v>2647</v>
      </c>
      <c r="X513" s="18">
        <v>196271032299</v>
      </c>
      <c r="Y513" s="18" t="s">
        <v>81</v>
      </c>
      <c r="Z513" s="18" t="s">
        <v>160</v>
      </c>
      <c r="AA513" s="18" t="s">
        <v>65</v>
      </c>
      <c r="AB513" s="18" t="s">
        <v>69</v>
      </c>
      <c r="AC513" s="18" t="s">
        <v>85</v>
      </c>
      <c r="AD513" s="18">
        <v>31.0013333333332</v>
      </c>
      <c r="AE513" s="18">
        <v>0</v>
      </c>
      <c r="AF513" s="18">
        <v>0</v>
      </c>
      <c r="AG513" s="18">
        <v>1</v>
      </c>
      <c r="AH513" s="18">
        <v>0</v>
      </c>
      <c r="AI513" s="18">
        <v>0</v>
      </c>
      <c r="AJ513" s="18">
        <v>0</v>
      </c>
      <c r="AK513" s="18">
        <v>0</v>
      </c>
      <c r="AL513" s="18">
        <v>0</v>
      </c>
      <c r="AM513" s="18">
        <v>0</v>
      </c>
      <c r="AN513" s="18">
        <v>0</v>
      </c>
      <c r="AO513" s="18">
        <v>0</v>
      </c>
      <c r="AP513" s="18">
        <v>0</v>
      </c>
      <c r="AQ513" s="18">
        <v>0</v>
      </c>
      <c r="AR513" s="18">
        <v>0</v>
      </c>
      <c r="AS513" s="18">
        <v>0</v>
      </c>
      <c r="AT513" s="18">
        <v>0</v>
      </c>
      <c r="AU513" s="18">
        <v>0</v>
      </c>
      <c r="AV513" s="18">
        <v>0</v>
      </c>
      <c r="AW513" s="18">
        <v>1</v>
      </c>
      <c r="AX513" s="18">
        <v>0</v>
      </c>
      <c r="AY513" s="13"/>
      <c r="AZ513" s="18">
        <v>2</v>
      </c>
      <c r="BA513" s="18">
        <v>0</v>
      </c>
      <c r="BB513" s="18">
        <v>74.5</v>
      </c>
      <c r="BC513" s="18" t="s">
        <v>1825</v>
      </c>
      <c r="BD513" s="13"/>
      <c r="BE513" s="13"/>
      <c r="BF513" s="13"/>
      <c r="BG513" s="18">
        <v>0</v>
      </c>
      <c r="BH513" s="18">
        <v>0</v>
      </c>
      <c r="BI513" s="13"/>
      <c r="BJ513" s="18">
        <v>0</v>
      </c>
      <c r="BK513" s="18">
        <v>5</v>
      </c>
      <c r="BL513" s="18">
        <v>98.6</v>
      </c>
      <c r="BM513" s="13">
        <f t="shared" si="0"/>
        <v>14399.28</v>
      </c>
    </row>
    <row r="514" customHeight="1" spans="1:65">
      <c r="A514" s="18" t="s">
        <v>1828</v>
      </c>
      <c r="B514" s="18" t="s">
        <v>1829</v>
      </c>
      <c r="C514" s="18" t="s">
        <v>1830</v>
      </c>
      <c r="D514" s="13"/>
      <c r="E514" s="18" t="s">
        <v>656</v>
      </c>
      <c r="F514" s="18" t="s">
        <v>82</v>
      </c>
      <c r="G514" s="18" t="s">
        <v>819</v>
      </c>
      <c r="H514" s="18" t="s">
        <v>84</v>
      </c>
      <c r="I514" s="18" t="s">
        <v>85</v>
      </c>
      <c r="J514" s="18">
        <v>5</v>
      </c>
      <c r="K514" s="16">
        <v>19.99</v>
      </c>
      <c r="L514" s="10"/>
      <c r="M514" s="16">
        <v>0</v>
      </c>
      <c r="N514" s="16">
        <v>0</v>
      </c>
      <c r="O514" s="18">
        <v>0</v>
      </c>
      <c r="P514" s="18" t="s">
        <v>133</v>
      </c>
      <c r="Q514" s="18">
        <v>3.044046</v>
      </c>
      <c r="R514" s="10"/>
      <c r="S514" s="16">
        <v>76</v>
      </c>
      <c r="T514" s="16">
        <v>10</v>
      </c>
      <c r="U514" s="18" t="s">
        <v>1828</v>
      </c>
      <c r="V514" s="18" t="s">
        <v>1829</v>
      </c>
      <c r="W514" s="18" t="s">
        <v>2648</v>
      </c>
      <c r="X514" s="13"/>
      <c r="Y514" s="18" t="s">
        <v>656</v>
      </c>
      <c r="Z514" s="18" t="s">
        <v>82</v>
      </c>
      <c r="AA514" s="18" t="s">
        <v>819</v>
      </c>
      <c r="AB514" s="18" t="s">
        <v>84</v>
      </c>
      <c r="AC514" s="18" t="s">
        <v>85</v>
      </c>
      <c r="AD514" s="18">
        <v>34.98</v>
      </c>
      <c r="AE514" s="18">
        <v>0</v>
      </c>
      <c r="AF514" s="18">
        <v>1</v>
      </c>
      <c r="AG514" s="18">
        <v>0</v>
      </c>
      <c r="AH514" s="18">
        <v>0</v>
      </c>
      <c r="AI514" s="18">
        <v>0</v>
      </c>
      <c r="AJ514" s="18">
        <v>0</v>
      </c>
      <c r="AK514" s="18">
        <v>0</v>
      </c>
      <c r="AL514" s="18">
        <v>0</v>
      </c>
      <c r="AM514" s="18">
        <v>0</v>
      </c>
      <c r="AN514" s="18">
        <v>0</v>
      </c>
      <c r="AO514" s="18">
        <v>0</v>
      </c>
      <c r="AP514" s="18">
        <v>0</v>
      </c>
      <c r="AQ514" s="18">
        <v>0</v>
      </c>
      <c r="AR514" s="18">
        <v>0</v>
      </c>
      <c r="AS514" s="18">
        <v>0</v>
      </c>
      <c r="AT514" s="18">
        <v>0</v>
      </c>
      <c r="AU514" s="18">
        <v>0</v>
      </c>
      <c r="AV514" s="18">
        <v>0</v>
      </c>
      <c r="AW514" s="18">
        <v>1</v>
      </c>
      <c r="AX514" s="18">
        <v>0</v>
      </c>
      <c r="AY514" s="13"/>
      <c r="AZ514" s="18">
        <v>1</v>
      </c>
      <c r="BA514" s="18">
        <v>0</v>
      </c>
      <c r="BB514" s="18">
        <v>63.55</v>
      </c>
      <c r="BC514" s="18" t="s">
        <v>1831</v>
      </c>
      <c r="BD514" s="13"/>
      <c r="BE514" s="13"/>
      <c r="BF514" s="13"/>
      <c r="BG514" s="18">
        <v>0</v>
      </c>
      <c r="BH514" s="18">
        <v>0</v>
      </c>
      <c r="BI514" s="13"/>
      <c r="BJ514" s="18">
        <v>0</v>
      </c>
      <c r="BK514" s="18">
        <v>22</v>
      </c>
      <c r="BL514" s="18">
        <v>94</v>
      </c>
      <c r="BM514" s="13">
        <f t="shared" si="0"/>
        <v>1519.24</v>
      </c>
    </row>
    <row r="515" customHeight="1" spans="1:65">
      <c r="A515" s="18" t="s">
        <v>1832</v>
      </c>
      <c r="B515" s="18" t="s">
        <v>335</v>
      </c>
      <c r="C515" s="18" t="s">
        <v>1833</v>
      </c>
      <c r="D515" s="13"/>
      <c r="E515" s="18" t="s">
        <v>81</v>
      </c>
      <c r="F515" s="18" t="s">
        <v>160</v>
      </c>
      <c r="G515" s="18" t="s">
        <v>83</v>
      </c>
      <c r="H515" s="18" t="s">
        <v>84</v>
      </c>
      <c r="I515" s="18" t="s">
        <v>85</v>
      </c>
      <c r="J515" s="18">
        <v>5</v>
      </c>
      <c r="K515" s="16">
        <v>246.99</v>
      </c>
      <c r="L515" s="16">
        <v>259.99</v>
      </c>
      <c r="M515" s="16">
        <v>5</v>
      </c>
      <c r="N515" s="16">
        <v>13</v>
      </c>
      <c r="O515" s="18">
        <v>1</v>
      </c>
      <c r="P515" s="18" t="s">
        <v>71</v>
      </c>
      <c r="Q515" s="18">
        <v>5.513388</v>
      </c>
      <c r="R515" s="16">
        <v>24.7</v>
      </c>
      <c r="S515" s="16">
        <v>1</v>
      </c>
      <c r="T515" s="16">
        <v>10</v>
      </c>
      <c r="U515" s="18" t="s">
        <v>1832</v>
      </c>
      <c r="V515" s="18" t="s">
        <v>335</v>
      </c>
      <c r="W515" s="18" t="s">
        <v>2649</v>
      </c>
      <c r="X515" s="13"/>
      <c r="Y515" s="18" t="s">
        <v>81</v>
      </c>
      <c r="Z515" s="18" t="s">
        <v>160</v>
      </c>
      <c r="AA515" s="18" t="s">
        <v>83</v>
      </c>
      <c r="AB515" s="18" t="s">
        <v>84</v>
      </c>
      <c r="AC515" s="18" t="s">
        <v>85</v>
      </c>
      <c r="AD515" s="18">
        <v>-9.19933333333341</v>
      </c>
      <c r="AE515" s="18">
        <v>0</v>
      </c>
      <c r="AF515" s="18">
        <v>0</v>
      </c>
      <c r="AG515" s="18">
        <v>1</v>
      </c>
      <c r="AH515" s="18">
        <v>1</v>
      </c>
      <c r="AI515" s="18">
        <v>0</v>
      </c>
      <c r="AJ515" s="18">
        <v>0</v>
      </c>
      <c r="AK515" s="18">
        <v>0</v>
      </c>
      <c r="AL515" s="18">
        <v>0</v>
      </c>
      <c r="AM515" s="18">
        <v>0</v>
      </c>
      <c r="AN515" s="18">
        <v>0</v>
      </c>
      <c r="AO515" s="18">
        <v>0</v>
      </c>
      <c r="AP515" s="18">
        <v>0</v>
      </c>
      <c r="AQ515" s="18">
        <v>0</v>
      </c>
      <c r="AR515" s="18">
        <v>0</v>
      </c>
      <c r="AS515" s="18">
        <v>0</v>
      </c>
      <c r="AT515" s="18">
        <v>0</v>
      </c>
      <c r="AU515" s="18">
        <v>0</v>
      </c>
      <c r="AV515" s="18">
        <v>0</v>
      </c>
      <c r="AW515" s="18">
        <v>1</v>
      </c>
      <c r="AX515" s="18">
        <v>0</v>
      </c>
      <c r="AY515" s="18">
        <v>10</v>
      </c>
      <c r="AZ515" s="18">
        <v>1</v>
      </c>
      <c r="BA515" s="18">
        <v>1</v>
      </c>
      <c r="BB515" s="18">
        <v>25.84</v>
      </c>
      <c r="BC515" s="18" t="s">
        <v>1834</v>
      </c>
      <c r="BD515" s="18" t="s">
        <v>337</v>
      </c>
      <c r="BE515" s="18" t="s">
        <v>76</v>
      </c>
      <c r="BF515" s="18" t="s">
        <v>77</v>
      </c>
      <c r="BG515" s="18">
        <v>167</v>
      </c>
      <c r="BH515" s="18">
        <v>53</v>
      </c>
      <c r="BI515" s="18">
        <v>0.7591</v>
      </c>
      <c r="BJ515" s="18">
        <v>0</v>
      </c>
      <c r="BK515" s="18">
        <v>113</v>
      </c>
      <c r="BL515" s="18">
        <v>69</v>
      </c>
      <c r="BM515" s="13">
        <f t="shared" si="0"/>
        <v>246.99</v>
      </c>
    </row>
    <row r="516" customHeight="1" spans="1:65">
      <c r="A516" s="18" t="s">
        <v>1835</v>
      </c>
      <c r="B516" s="18" t="s">
        <v>1025</v>
      </c>
      <c r="C516" s="18" t="s">
        <v>1836</v>
      </c>
      <c r="D516" s="13"/>
      <c r="E516" s="19" t="s">
        <v>1837</v>
      </c>
      <c r="F516" s="18" t="s">
        <v>240</v>
      </c>
      <c r="G516" s="18" t="s">
        <v>83</v>
      </c>
      <c r="H516" s="18" t="s">
        <v>84</v>
      </c>
      <c r="I516" s="18" t="s">
        <v>203</v>
      </c>
      <c r="J516" s="18">
        <v>4</v>
      </c>
      <c r="K516" s="16">
        <v>289.99</v>
      </c>
      <c r="L516" s="10"/>
      <c r="M516" s="16">
        <v>0</v>
      </c>
      <c r="N516" s="16">
        <v>0</v>
      </c>
      <c r="O516" s="18">
        <v>0</v>
      </c>
      <c r="P516" s="18" t="s">
        <v>71</v>
      </c>
      <c r="Q516" s="18">
        <v>5.673289</v>
      </c>
      <c r="R516" s="16">
        <v>18.12</v>
      </c>
      <c r="S516" s="10"/>
      <c r="T516" s="10"/>
      <c r="U516" s="18" t="s">
        <v>1835</v>
      </c>
      <c r="V516" s="18" t="s">
        <v>1025</v>
      </c>
      <c r="W516" s="18" t="s">
        <v>2650</v>
      </c>
      <c r="X516" s="13"/>
      <c r="Y516" s="19" t="s">
        <v>1837</v>
      </c>
      <c r="Z516" s="18" t="s">
        <v>240</v>
      </c>
      <c r="AA516" s="18" t="s">
        <v>83</v>
      </c>
      <c r="AB516" s="18" t="s">
        <v>84</v>
      </c>
      <c r="AC516" s="18" t="s">
        <v>203</v>
      </c>
      <c r="AD516" s="18">
        <v>575.98</v>
      </c>
      <c r="AE516" s="18">
        <v>0</v>
      </c>
      <c r="AF516" s="18">
        <v>0</v>
      </c>
      <c r="AG516" s="18">
        <v>0</v>
      </c>
      <c r="AH516" s="18">
        <v>0</v>
      </c>
      <c r="AI516" s="18">
        <v>0</v>
      </c>
      <c r="AJ516" s="18">
        <v>0</v>
      </c>
      <c r="AK516" s="18">
        <v>0</v>
      </c>
      <c r="AL516" s="18">
        <v>0</v>
      </c>
      <c r="AM516" s="18">
        <v>0</v>
      </c>
      <c r="AN516" s="18">
        <v>0</v>
      </c>
      <c r="AO516" s="18">
        <v>0</v>
      </c>
      <c r="AP516" s="18">
        <v>0</v>
      </c>
      <c r="AQ516" s="18">
        <v>0</v>
      </c>
      <c r="AR516" s="18">
        <v>0</v>
      </c>
      <c r="AS516" s="18">
        <v>0</v>
      </c>
      <c r="AT516" s="18">
        <v>0</v>
      </c>
      <c r="AU516" s="18">
        <v>0</v>
      </c>
      <c r="AV516" s="18">
        <v>0</v>
      </c>
      <c r="AW516" s="18">
        <v>1</v>
      </c>
      <c r="AX516" s="18">
        <v>0</v>
      </c>
      <c r="AY516" s="18">
        <v>16</v>
      </c>
      <c r="AZ516" s="18">
        <v>1</v>
      </c>
      <c r="BA516" s="18">
        <v>0</v>
      </c>
      <c r="BB516" s="18">
        <v>0</v>
      </c>
      <c r="BC516" s="18" t="s">
        <v>1838</v>
      </c>
      <c r="BD516" s="18" t="s">
        <v>827</v>
      </c>
      <c r="BE516" s="18" t="s">
        <v>128</v>
      </c>
      <c r="BF516" s="18" t="s">
        <v>77</v>
      </c>
      <c r="BG516" s="18">
        <v>1</v>
      </c>
      <c r="BH516" s="18">
        <v>20</v>
      </c>
      <c r="BI516" s="18">
        <v>0.0476</v>
      </c>
      <c r="BJ516" s="18">
        <v>1</v>
      </c>
      <c r="BK516" s="13"/>
      <c r="BL516" s="13"/>
      <c r="BM516" s="13">
        <f t="shared" si="0"/>
        <v>0</v>
      </c>
    </row>
    <row r="517" customHeight="1" spans="1:65">
      <c r="A517" s="18" t="s">
        <v>1839</v>
      </c>
      <c r="B517" s="18" t="s">
        <v>1025</v>
      </c>
      <c r="C517" s="18" t="s">
        <v>1840</v>
      </c>
      <c r="D517" s="13"/>
      <c r="E517" s="19" t="s">
        <v>1837</v>
      </c>
      <c r="F517" s="18" t="s">
        <v>82</v>
      </c>
      <c r="G517" s="18" t="s">
        <v>83</v>
      </c>
      <c r="H517" s="18" t="s">
        <v>84</v>
      </c>
      <c r="I517" s="18" t="s">
        <v>85</v>
      </c>
      <c r="J517" s="18">
        <v>5</v>
      </c>
      <c r="K517" s="16">
        <v>127.99</v>
      </c>
      <c r="L517" s="10"/>
      <c r="M517" s="16">
        <v>0</v>
      </c>
      <c r="N517" s="16">
        <v>0</v>
      </c>
      <c r="O517" s="18">
        <v>0</v>
      </c>
      <c r="P517" s="18" t="s">
        <v>95</v>
      </c>
      <c r="Q517" s="18">
        <v>4.859735</v>
      </c>
      <c r="R517" s="10"/>
      <c r="S517" s="16">
        <v>17</v>
      </c>
      <c r="T517" s="16">
        <v>10</v>
      </c>
      <c r="U517" s="18" t="s">
        <v>1839</v>
      </c>
      <c r="V517" s="18" t="s">
        <v>1025</v>
      </c>
      <c r="W517" s="18" t="s">
        <v>1840</v>
      </c>
      <c r="X517" s="13"/>
      <c r="Y517" s="19" t="s">
        <v>1837</v>
      </c>
      <c r="Z517" s="18" t="s">
        <v>82</v>
      </c>
      <c r="AA517" s="18" t="s">
        <v>83</v>
      </c>
      <c r="AB517" s="18" t="s">
        <v>84</v>
      </c>
      <c r="AC517" s="18" t="s">
        <v>85</v>
      </c>
      <c r="AD517" s="18">
        <v>250.98</v>
      </c>
      <c r="AE517" s="18">
        <v>0</v>
      </c>
      <c r="AF517" s="18">
        <v>0</v>
      </c>
      <c r="AG517" s="18">
        <v>0</v>
      </c>
      <c r="AH517" s="18">
        <v>0</v>
      </c>
      <c r="AI517" s="18">
        <v>0</v>
      </c>
      <c r="AJ517" s="18">
        <v>0</v>
      </c>
      <c r="AK517" s="18">
        <v>0</v>
      </c>
      <c r="AL517" s="18">
        <v>0</v>
      </c>
      <c r="AM517" s="18">
        <v>0</v>
      </c>
      <c r="AN517" s="18">
        <v>0</v>
      </c>
      <c r="AO517" s="18">
        <v>0</v>
      </c>
      <c r="AP517" s="18">
        <v>0</v>
      </c>
      <c r="AQ517" s="18">
        <v>0</v>
      </c>
      <c r="AR517" s="18">
        <v>0</v>
      </c>
      <c r="AS517" s="18">
        <v>0</v>
      </c>
      <c r="AT517" s="18">
        <v>0</v>
      </c>
      <c r="AU517" s="18">
        <v>0</v>
      </c>
      <c r="AV517" s="18">
        <v>0</v>
      </c>
      <c r="AW517" s="18">
        <v>0</v>
      </c>
      <c r="AX517" s="18">
        <v>0</v>
      </c>
      <c r="AY517" s="13"/>
      <c r="AZ517" s="18">
        <v>1</v>
      </c>
      <c r="BA517" s="18">
        <v>0</v>
      </c>
      <c r="BB517" s="18">
        <v>55.03</v>
      </c>
      <c r="BC517" s="18" t="s">
        <v>1841</v>
      </c>
      <c r="BD517" s="18" t="s">
        <v>77</v>
      </c>
      <c r="BE517" s="18" t="s">
        <v>77</v>
      </c>
      <c r="BF517" s="18" t="s">
        <v>77</v>
      </c>
      <c r="BG517" s="18">
        <v>1</v>
      </c>
      <c r="BH517" s="18">
        <v>28</v>
      </c>
      <c r="BI517" s="18">
        <v>0.0345</v>
      </c>
      <c r="BJ517" s="18">
        <v>1</v>
      </c>
      <c r="BK517" s="18">
        <v>2</v>
      </c>
      <c r="BL517" s="18">
        <v>99.5</v>
      </c>
      <c r="BM517" s="13">
        <f t="shared" si="0"/>
        <v>2175.83</v>
      </c>
    </row>
    <row r="518" customHeight="1" spans="1:65">
      <c r="A518" s="18" t="s">
        <v>1850</v>
      </c>
      <c r="B518" s="18" t="s">
        <v>1851</v>
      </c>
      <c r="C518" s="13"/>
      <c r="D518" s="13"/>
      <c r="E518" s="18" t="s">
        <v>217</v>
      </c>
      <c r="F518" s="18" t="s">
        <v>132</v>
      </c>
      <c r="G518" s="18" t="s">
        <v>83</v>
      </c>
      <c r="H518" s="18" t="s">
        <v>84</v>
      </c>
      <c r="I518" s="18" t="s">
        <v>85</v>
      </c>
      <c r="J518" s="18">
        <v>5</v>
      </c>
      <c r="K518" s="16">
        <v>9.99</v>
      </c>
      <c r="L518" s="10"/>
      <c r="M518" s="16">
        <v>0</v>
      </c>
      <c r="N518" s="16">
        <v>0</v>
      </c>
      <c r="O518" s="18">
        <v>0</v>
      </c>
      <c r="P518" s="18" t="s">
        <v>133</v>
      </c>
      <c r="Q518" s="18">
        <v>2.396986</v>
      </c>
      <c r="R518" s="10"/>
      <c r="S518" s="16">
        <v>5</v>
      </c>
      <c r="T518" s="16">
        <v>6</v>
      </c>
      <c r="U518" s="18" t="s">
        <v>1850</v>
      </c>
      <c r="V518" s="18" t="s">
        <v>1851</v>
      </c>
      <c r="W518" s="13"/>
      <c r="X518" s="13"/>
      <c r="Y518" s="18" t="s">
        <v>217</v>
      </c>
      <c r="Z518" s="18" t="s">
        <v>132</v>
      </c>
      <c r="AA518" s="18" t="s">
        <v>83</v>
      </c>
      <c r="AB518" s="18" t="s">
        <v>84</v>
      </c>
      <c r="AC518" s="18" t="s">
        <v>85</v>
      </c>
      <c r="AD518" s="18">
        <v>14.98</v>
      </c>
      <c r="AE518" s="18">
        <v>0</v>
      </c>
      <c r="AF518" s="18">
        <v>0</v>
      </c>
      <c r="AG518" s="18">
        <v>0</v>
      </c>
      <c r="AH518" s="18">
        <v>0</v>
      </c>
      <c r="AI518" s="18">
        <v>0</v>
      </c>
      <c r="AJ518" s="18">
        <v>0</v>
      </c>
      <c r="AK518" s="18">
        <v>0</v>
      </c>
      <c r="AL518" s="18">
        <v>0</v>
      </c>
      <c r="AM518" s="18">
        <v>0</v>
      </c>
      <c r="AN518" s="18">
        <v>0</v>
      </c>
      <c r="AO518" s="18">
        <v>0</v>
      </c>
      <c r="AP518" s="18">
        <v>0</v>
      </c>
      <c r="AQ518" s="18">
        <v>0</v>
      </c>
      <c r="AR518" s="18">
        <v>0</v>
      </c>
      <c r="AS518" s="18">
        <v>0</v>
      </c>
      <c r="AT518" s="18">
        <v>0</v>
      </c>
      <c r="AU518" s="18">
        <v>0</v>
      </c>
      <c r="AV518" s="18">
        <v>0</v>
      </c>
      <c r="AW518" s="18">
        <v>0</v>
      </c>
      <c r="AX518" s="18">
        <v>0</v>
      </c>
      <c r="AY518" s="13"/>
      <c r="AZ518" s="18">
        <v>1</v>
      </c>
      <c r="BA518" s="18">
        <v>0</v>
      </c>
      <c r="BB518" s="18">
        <v>18.18</v>
      </c>
      <c r="BC518" s="18" t="s">
        <v>1852</v>
      </c>
      <c r="BD518" s="18" t="s">
        <v>1853</v>
      </c>
      <c r="BE518" s="18" t="s">
        <v>407</v>
      </c>
      <c r="BF518" s="18" t="s">
        <v>77</v>
      </c>
      <c r="BG518" s="18">
        <v>168</v>
      </c>
      <c r="BH518" s="18">
        <v>11</v>
      </c>
      <c r="BI518" s="18">
        <v>0.9385</v>
      </c>
      <c r="BJ518" s="18">
        <v>0</v>
      </c>
      <c r="BK518" s="13"/>
      <c r="BL518" s="13"/>
      <c r="BM518" s="13">
        <f t="shared" si="0"/>
        <v>49.95</v>
      </c>
    </row>
    <row r="519" customHeight="1" spans="1:65">
      <c r="A519" s="18" t="s">
        <v>1854</v>
      </c>
      <c r="B519" s="18" t="s">
        <v>1855</v>
      </c>
      <c r="C519" s="18" t="s">
        <v>1856</v>
      </c>
      <c r="D519" s="13"/>
      <c r="E519" s="18" t="s">
        <v>1857</v>
      </c>
      <c r="F519" s="18" t="s">
        <v>132</v>
      </c>
      <c r="G519" s="18" t="s">
        <v>83</v>
      </c>
      <c r="H519" s="18" t="s">
        <v>84</v>
      </c>
      <c r="I519" s="18" t="s">
        <v>85</v>
      </c>
      <c r="J519" s="18">
        <v>5</v>
      </c>
      <c r="K519" s="16">
        <v>29.99</v>
      </c>
      <c r="L519" s="10"/>
      <c r="M519" s="16">
        <v>0</v>
      </c>
      <c r="N519" s="16">
        <v>0</v>
      </c>
      <c r="O519" s="18">
        <v>0</v>
      </c>
      <c r="P519" s="18" t="s">
        <v>86</v>
      </c>
      <c r="Q519" s="18">
        <v>3.433665</v>
      </c>
      <c r="R519" s="10"/>
      <c r="S519" s="16">
        <v>44</v>
      </c>
      <c r="T519" s="16">
        <v>10</v>
      </c>
      <c r="U519" s="18" t="s">
        <v>1854</v>
      </c>
      <c r="V519" s="18" t="s">
        <v>1855</v>
      </c>
      <c r="W519" s="18" t="s">
        <v>1856</v>
      </c>
      <c r="X519" s="13"/>
      <c r="Y519" s="18" t="s">
        <v>1857</v>
      </c>
      <c r="Z519" s="18" t="s">
        <v>132</v>
      </c>
      <c r="AA519" s="18" t="s">
        <v>83</v>
      </c>
      <c r="AB519" s="18" t="s">
        <v>84</v>
      </c>
      <c r="AC519" s="18" t="s">
        <v>85</v>
      </c>
      <c r="AD519" s="18">
        <v>54.98</v>
      </c>
      <c r="AE519" s="18">
        <v>0</v>
      </c>
      <c r="AF519" s="18">
        <v>0</v>
      </c>
      <c r="AG519" s="18">
        <v>0</v>
      </c>
      <c r="AH519" s="18">
        <v>0</v>
      </c>
      <c r="AI519" s="18">
        <v>0</v>
      </c>
      <c r="AJ519" s="18">
        <v>0</v>
      </c>
      <c r="AK519" s="18">
        <v>0</v>
      </c>
      <c r="AL519" s="18">
        <v>0</v>
      </c>
      <c r="AM519" s="18">
        <v>0</v>
      </c>
      <c r="AN519" s="18">
        <v>0</v>
      </c>
      <c r="AO519" s="18">
        <v>0</v>
      </c>
      <c r="AP519" s="18">
        <v>0</v>
      </c>
      <c r="AQ519" s="18">
        <v>0</v>
      </c>
      <c r="AR519" s="18">
        <v>0</v>
      </c>
      <c r="AS519" s="18">
        <v>0</v>
      </c>
      <c r="AT519" s="18">
        <v>0</v>
      </c>
      <c r="AU519" s="18">
        <v>0</v>
      </c>
      <c r="AV519" s="18">
        <v>0</v>
      </c>
      <c r="AW519" s="18">
        <v>0</v>
      </c>
      <c r="AX519" s="18">
        <v>0</v>
      </c>
      <c r="AY519" s="13"/>
      <c r="AZ519" s="18">
        <v>1</v>
      </c>
      <c r="BA519" s="18">
        <v>0</v>
      </c>
      <c r="BB519" s="18">
        <v>57.67</v>
      </c>
      <c r="BC519" s="18" t="s">
        <v>1858</v>
      </c>
      <c r="BD519" s="18" t="s">
        <v>1859</v>
      </c>
      <c r="BE519" s="18" t="s">
        <v>150</v>
      </c>
      <c r="BF519" s="18" t="s">
        <v>77</v>
      </c>
      <c r="BG519" s="18">
        <v>1</v>
      </c>
      <c r="BH519" s="18">
        <v>94</v>
      </c>
      <c r="BI519" s="18">
        <v>0.0105</v>
      </c>
      <c r="BJ519" s="18">
        <v>1</v>
      </c>
      <c r="BK519" s="18">
        <v>60</v>
      </c>
      <c r="BL519" s="18">
        <v>83.6</v>
      </c>
      <c r="BM519" s="13">
        <f t="shared" si="0"/>
        <v>1319.56</v>
      </c>
    </row>
    <row r="520" customHeight="1" spans="1:65">
      <c r="A520" s="18" t="s">
        <v>1864</v>
      </c>
      <c r="B520" s="18" t="s">
        <v>1865</v>
      </c>
      <c r="C520" s="13"/>
      <c r="D520" s="13"/>
      <c r="E520" s="18" t="s">
        <v>163</v>
      </c>
      <c r="F520" s="18" t="s">
        <v>82</v>
      </c>
      <c r="G520" s="18" t="s">
        <v>83</v>
      </c>
      <c r="H520" s="18" t="s">
        <v>84</v>
      </c>
      <c r="I520" s="18" t="s">
        <v>85</v>
      </c>
      <c r="J520" s="18">
        <v>5</v>
      </c>
      <c r="K520" s="16">
        <v>16.99</v>
      </c>
      <c r="L520" s="10"/>
      <c r="M520" s="16">
        <v>0</v>
      </c>
      <c r="N520" s="16">
        <v>0</v>
      </c>
      <c r="O520" s="18">
        <v>0</v>
      </c>
      <c r="P520" s="18" t="s">
        <v>133</v>
      </c>
      <c r="Q520" s="18">
        <v>2.889816</v>
      </c>
      <c r="R520" s="10"/>
      <c r="S520" s="16">
        <v>9</v>
      </c>
      <c r="T520" s="16">
        <v>3</v>
      </c>
      <c r="U520" s="18" t="s">
        <v>1864</v>
      </c>
      <c r="V520" s="18" t="s">
        <v>1865</v>
      </c>
      <c r="W520" s="13"/>
      <c r="X520" s="13"/>
      <c r="Y520" s="18" t="s">
        <v>163</v>
      </c>
      <c r="Z520" s="18" t="s">
        <v>82</v>
      </c>
      <c r="AA520" s="18" t="s">
        <v>83</v>
      </c>
      <c r="AB520" s="18" t="s">
        <v>84</v>
      </c>
      <c r="AC520" s="18" t="s">
        <v>85</v>
      </c>
      <c r="AD520" s="18">
        <v>28.98</v>
      </c>
      <c r="AE520" s="18">
        <v>1</v>
      </c>
      <c r="AF520" s="18">
        <v>0</v>
      </c>
      <c r="AG520" s="18">
        <v>0</v>
      </c>
      <c r="AH520" s="18">
        <v>0</v>
      </c>
      <c r="AI520" s="18">
        <v>0</v>
      </c>
      <c r="AJ520" s="18">
        <v>0</v>
      </c>
      <c r="AK520" s="18">
        <v>0</v>
      </c>
      <c r="AL520" s="18">
        <v>0</v>
      </c>
      <c r="AM520" s="18">
        <v>0</v>
      </c>
      <c r="AN520" s="18">
        <v>0</v>
      </c>
      <c r="AO520" s="18">
        <v>0</v>
      </c>
      <c r="AP520" s="18">
        <v>0</v>
      </c>
      <c r="AQ520" s="18">
        <v>0</v>
      </c>
      <c r="AR520" s="18">
        <v>0</v>
      </c>
      <c r="AS520" s="18">
        <v>0</v>
      </c>
      <c r="AT520" s="18">
        <v>1</v>
      </c>
      <c r="AU520" s="18">
        <v>0</v>
      </c>
      <c r="AV520" s="18">
        <v>0</v>
      </c>
      <c r="AW520" s="18">
        <v>0</v>
      </c>
      <c r="AX520" s="18">
        <v>0</v>
      </c>
      <c r="AY520" s="13"/>
      <c r="AZ520" s="18">
        <v>1</v>
      </c>
      <c r="BA520" s="18">
        <v>1</v>
      </c>
      <c r="BB520" s="18">
        <v>59.85</v>
      </c>
      <c r="BC520" s="18" t="s">
        <v>1866</v>
      </c>
      <c r="BD520" s="13"/>
      <c r="BE520" s="13"/>
      <c r="BF520" s="13"/>
      <c r="BG520" s="18">
        <v>0</v>
      </c>
      <c r="BH520" s="18">
        <v>0</v>
      </c>
      <c r="BI520" s="13"/>
      <c r="BJ520" s="18">
        <v>0</v>
      </c>
      <c r="BK520" s="18">
        <v>2</v>
      </c>
      <c r="BL520" s="18">
        <v>99.5</v>
      </c>
      <c r="BM520" s="13">
        <f t="shared" si="0"/>
        <v>152.91</v>
      </c>
    </row>
    <row r="521" customHeight="1" spans="1:65">
      <c r="A521" s="18" t="s">
        <v>1867</v>
      </c>
      <c r="B521" s="18" t="s">
        <v>125</v>
      </c>
      <c r="C521" s="13"/>
      <c r="D521" s="13"/>
      <c r="E521" s="18" t="s">
        <v>1868</v>
      </c>
      <c r="F521" s="18" t="s">
        <v>82</v>
      </c>
      <c r="G521" s="18" t="s">
        <v>83</v>
      </c>
      <c r="H521" s="18" t="s">
        <v>138</v>
      </c>
      <c r="I521" s="18" t="s">
        <v>85</v>
      </c>
      <c r="J521" s="18">
        <v>5</v>
      </c>
      <c r="K521" s="16">
        <v>16.26</v>
      </c>
      <c r="L521" s="10"/>
      <c r="M521" s="16">
        <v>0</v>
      </c>
      <c r="N521" s="16">
        <v>0</v>
      </c>
      <c r="O521" s="18">
        <v>0</v>
      </c>
      <c r="P521" s="18" t="s">
        <v>133</v>
      </c>
      <c r="Q521" s="18">
        <v>2.848392</v>
      </c>
      <c r="R521" s="10"/>
      <c r="S521" s="16">
        <v>2</v>
      </c>
      <c r="T521" s="16">
        <v>10</v>
      </c>
      <c r="U521" s="18" t="s">
        <v>2651</v>
      </c>
      <c r="V521" s="18" t="s">
        <v>125</v>
      </c>
      <c r="W521" s="13"/>
      <c r="X521" s="13"/>
      <c r="Y521" s="18" t="s">
        <v>1868</v>
      </c>
      <c r="Z521" s="18" t="s">
        <v>82</v>
      </c>
      <c r="AA521" s="18" t="s">
        <v>83</v>
      </c>
      <c r="AB521" s="18" t="s">
        <v>138</v>
      </c>
      <c r="AC521" s="18" t="s">
        <v>85</v>
      </c>
      <c r="AD521" s="18">
        <v>27.52</v>
      </c>
      <c r="AE521" s="18">
        <v>0</v>
      </c>
      <c r="AF521" s="18">
        <v>0</v>
      </c>
      <c r="AG521" s="18">
        <v>0</v>
      </c>
      <c r="AH521" s="18">
        <v>0</v>
      </c>
      <c r="AI521" s="18">
        <v>0</v>
      </c>
      <c r="AJ521" s="18">
        <v>0</v>
      </c>
      <c r="AK521" s="18">
        <v>0</v>
      </c>
      <c r="AL521" s="18">
        <v>0</v>
      </c>
      <c r="AM521" s="18">
        <v>0</v>
      </c>
      <c r="AN521" s="18">
        <v>0</v>
      </c>
      <c r="AO521" s="18">
        <v>0</v>
      </c>
      <c r="AP521" s="18">
        <v>0</v>
      </c>
      <c r="AQ521" s="18">
        <v>1</v>
      </c>
      <c r="AR521" s="18">
        <v>0</v>
      </c>
      <c r="AS521" s="18">
        <v>0</v>
      </c>
      <c r="AT521" s="18">
        <v>0</v>
      </c>
      <c r="AU521" s="18">
        <v>0</v>
      </c>
      <c r="AV521" s="18">
        <v>1</v>
      </c>
      <c r="AW521" s="18">
        <v>0</v>
      </c>
      <c r="AX521" s="18">
        <v>0</v>
      </c>
      <c r="AY521" s="13"/>
      <c r="AZ521" s="18">
        <v>1</v>
      </c>
      <c r="BA521" s="18">
        <v>1</v>
      </c>
      <c r="BB521" s="18">
        <v>34.87</v>
      </c>
      <c r="BC521" s="18" t="s">
        <v>1869</v>
      </c>
      <c r="BD521" s="13"/>
      <c r="BE521" s="13"/>
      <c r="BF521" s="13"/>
      <c r="BG521" s="18">
        <v>0</v>
      </c>
      <c r="BH521" s="18">
        <v>0</v>
      </c>
      <c r="BI521" s="13"/>
      <c r="BJ521" s="18">
        <v>0</v>
      </c>
      <c r="BK521" s="18">
        <v>22</v>
      </c>
      <c r="BL521" s="18">
        <v>94</v>
      </c>
      <c r="BM521" s="13">
        <f t="shared" si="0"/>
        <v>32.52</v>
      </c>
    </row>
    <row r="522" customHeight="1" spans="1:65">
      <c r="A522" s="18" t="s">
        <v>1870</v>
      </c>
      <c r="B522" s="18" t="s">
        <v>448</v>
      </c>
      <c r="C522" s="13"/>
      <c r="D522" s="13"/>
      <c r="E522" s="18" t="s">
        <v>1871</v>
      </c>
      <c r="F522" s="18" t="s">
        <v>82</v>
      </c>
      <c r="G522" s="18" t="s">
        <v>83</v>
      </c>
      <c r="H522" s="18" t="s">
        <v>450</v>
      </c>
      <c r="I522" s="18" t="s">
        <v>85</v>
      </c>
      <c r="J522" s="18">
        <v>5</v>
      </c>
      <c r="K522" s="16">
        <v>49.5</v>
      </c>
      <c r="L522" s="10"/>
      <c r="M522" s="16">
        <v>0</v>
      </c>
      <c r="N522" s="16">
        <v>0</v>
      </c>
      <c r="O522" s="18">
        <v>0</v>
      </c>
      <c r="P522" s="18" t="s">
        <v>86</v>
      </c>
      <c r="Q522" s="18">
        <v>3.921973</v>
      </c>
      <c r="R522" s="10"/>
      <c r="S522" s="16">
        <v>3</v>
      </c>
      <c r="T522" s="16">
        <v>10</v>
      </c>
      <c r="U522" s="18" t="s">
        <v>1870</v>
      </c>
      <c r="V522" s="18" t="s">
        <v>448</v>
      </c>
      <c r="W522" s="13"/>
      <c r="X522" s="13"/>
      <c r="Y522" s="18" t="s">
        <v>1871</v>
      </c>
      <c r="Z522" s="18" t="s">
        <v>82</v>
      </c>
      <c r="AA522" s="18" t="s">
        <v>83</v>
      </c>
      <c r="AB522" s="18" t="s">
        <v>450</v>
      </c>
      <c r="AC522" s="18" t="s">
        <v>85</v>
      </c>
      <c r="AD522" s="18">
        <v>94</v>
      </c>
      <c r="AE522" s="18">
        <v>0</v>
      </c>
      <c r="AF522" s="18">
        <v>0</v>
      </c>
      <c r="AG522" s="18">
        <v>0</v>
      </c>
      <c r="AH522" s="18">
        <v>0</v>
      </c>
      <c r="AI522" s="18">
        <v>0</v>
      </c>
      <c r="AJ522" s="18">
        <v>0</v>
      </c>
      <c r="AK522" s="18">
        <v>0</v>
      </c>
      <c r="AL522" s="18">
        <v>0</v>
      </c>
      <c r="AM522" s="18">
        <v>0</v>
      </c>
      <c r="AN522" s="18">
        <v>0</v>
      </c>
      <c r="AO522" s="18">
        <v>0</v>
      </c>
      <c r="AP522" s="18">
        <v>0</v>
      </c>
      <c r="AQ522" s="18">
        <v>0</v>
      </c>
      <c r="AR522" s="18">
        <v>0</v>
      </c>
      <c r="AS522" s="18">
        <v>0</v>
      </c>
      <c r="AT522" s="18">
        <v>0</v>
      </c>
      <c r="AU522" s="18">
        <v>0</v>
      </c>
      <c r="AV522" s="18">
        <v>0</v>
      </c>
      <c r="AW522" s="18">
        <v>0</v>
      </c>
      <c r="AX522" s="18">
        <v>0</v>
      </c>
      <c r="AY522" s="13"/>
      <c r="AZ522" s="18">
        <v>1</v>
      </c>
      <c r="BA522" s="18">
        <v>0</v>
      </c>
      <c r="BB522" s="18">
        <v>38.9</v>
      </c>
      <c r="BC522" s="18" t="s">
        <v>1872</v>
      </c>
      <c r="BD522" s="13"/>
      <c r="BE522" s="13"/>
      <c r="BF522" s="13"/>
      <c r="BG522" s="18">
        <v>0</v>
      </c>
      <c r="BH522" s="18">
        <v>0</v>
      </c>
      <c r="BI522" s="13"/>
      <c r="BJ522" s="18">
        <v>0</v>
      </c>
      <c r="BK522" s="18">
        <v>4</v>
      </c>
      <c r="BL522" s="18">
        <v>98.9</v>
      </c>
      <c r="BM522" s="13">
        <f t="shared" si="0"/>
        <v>148.5</v>
      </c>
    </row>
    <row r="523" customHeight="1" spans="1:65">
      <c r="A523" s="18" t="s">
        <v>272</v>
      </c>
      <c r="B523" s="18" t="s">
        <v>273</v>
      </c>
      <c r="C523" s="18" t="s">
        <v>274</v>
      </c>
      <c r="D523" s="13"/>
      <c r="E523" s="18" t="s">
        <v>275</v>
      </c>
      <c r="F523" s="19" t="s">
        <v>276</v>
      </c>
      <c r="G523" s="18" t="s">
        <v>83</v>
      </c>
      <c r="H523" s="18" t="s">
        <v>84</v>
      </c>
      <c r="I523" s="18" t="s">
        <v>85</v>
      </c>
      <c r="J523" s="18">
        <v>5</v>
      </c>
      <c r="K523" s="16">
        <v>11.99</v>
      </c>
      <c r="L523" s="10"/>
      <c r="M523" s="16">
        <v>0</v>
      </c>
      <c r="N523" s="16">
        <v>0</v>
      </c>
      <c r="O523" s="18">
        <v>0</v>
      </c>
      <c r="P523" s="18" t="s">
        <v>133</v>
      </c>
      <c r="Q523" s="18">
        <v>2.56418</v>
      </c>
      <c r="R523" s="10"/>
      <c r="S523" s="16">
        <v>45</v>
      </c>
      <c r="T523" s="16">
        <v>10</v>
      </c>
      <c r="U523" s="18" t="s">
        <v>272</v>
      </c>
      <c r="V523" s="18" t="s">
        <v>273</v>
      </c>
      <c r="W523" s="19" t="s">
        <v>2652</v>
      </c>
      <c r="X523" s="13"/>
      <c r="Y523" s="18" t="s">
        <v>275</v>
      </c>
      <c r="Z523" s="18" t="s">
        <v>276</v>
      </c>
      <c r="AA523" s="18" t="s">
        <v>83</v>
      </c>
      <c r="AB523" s="18" t="s">
        <v>84</v>
      </c>
      <c r="AC523" s="18" t="s">
        <v>85</v>
      </c>
      <c r="AD523" s="18">
        <v>18.98</v>
      </c>
      <c r="AE523" s="18">
        <v>0</v>
      </c>
      <c r="AF523" s="18">
        <v>0</v>
      </c>
      <c r="AG523" s="18">
        <v>0</v>
      </c>
      <c r="AH523" s="18">
        <v>0</v>
      </c>
      <c r="AI523" s="18">
        <v>0</v>
      </c>
      <c r="AJ523" s="18">
        <v>0</v>
      </c>
      <c r="AK523" s="18">
        <v>0</v>
      </c>
      <c r="AL523" s="18">
        <v>0</v>
      </c>
      <c r="AM523" s="18">
        <v>0</v>
      </c>
      <c r="AN523" s="18">
        <v>0</v>
      </c>
      <c r="AO523" s="18">
        <v>0</v>
      </c>
      <c r="AP523" s="18">
        <v>0</v>
      </c>
      <c r="AQ523" s="18">
        <v>0</v>
      </c>
      <c r="AR523" s="18">
        <v>0</v>
      </c>
      <c r="AS523" s="18">
        <v>0</v>
      </c>
      <c r="AT523" s="18">
        <v>0</v>
      </c>
      <c r="AU523" s="18">
        <v>0</v>
      </c>
      <c r="AV523" s="18">
        <v>0</v>
      </c>
      <c r="AW523" s="18">
        <v>0</v>
      </c>
      <c r="AX523" s="18">
        <v>0</v>
      </c>
      <c r="AY523" s="13"/>
      <c r="AZ523" s="18">
        <v>1</v>
      </c>
      <c r="BA523" s="18">
        <v>0</v>
      </c>
      <c r="BB523" s="18">
        <v>60.99</v>
      </c>
      <c r="BC523" s="18" t="s">
        <v>277</v>
      </c>
      <c r="BD523" s="18" t="s">
        <v>278</v>
      </c>
      <c r="BE523" s="18" t="s">
        <v>113</v>
      </c>
      <c r="BF523" s="18" t="s">
        <v>77</v>
      </c>
      <c r="BG523" s="18">
        <v>170</v>
      </c>
      <c r="BH523" s="18">
        <v>11</v>
      </c>
      <c r="BI523" s="18">
        <v>0.9392</v>
      </c>
      <c r="BJ523" s="18">
        <v>0</v>
      </c>
      <c r="BK523" s="18">
        <v>21</v>
      </c>
      <c r="BL523" s="18">
        <v>94.2</v>
      </c>
      <c r="BM523" s="13">
        <f t="shared" si="0"/>
        <v>539.55</v>
      </c>
    </row>
    <row r="524" customHeight="1" spans="1:65">
      <c r="A524" s="18" t="s">
        <v>1875</v>
      </c>
      <c r="B524" s="18" t="s">
        <v>1876</v>
      </c>
      <c r="C524" s="13"/>
      <c r="D524" s="13"/>
      <c r="E524" s="18" t="s">
        <v>1877</v>
      </c>
      <c r="F524" s="18" t="s">
        <v>82</v>
      </c>
      <c r="G524" s="18" t="s">
        <v>83</v>
      </c>
      <c r="H524" s="18" t="s">
        <v>84</v>
      </c>
      <c r="I524" s="18" t="s">
        <v>85</v>
      </c>
      <c r="J524" s="18">
        <v>5</v>
      </c>
      <c r="K524" s="16">
        <v>27.51</v>
      </c>
      <c r="L524" s="10"/>
      <c r="M524" s="16">
        <v>0</v>
      </c>
      <c r="N524" s="16">
        <v>0</v>
      </c>
      <c r="O524" s="18">
        <v>0</v>
      </c>
      <c r="P524" s="18" t="s">
        <v>86</v>
      </c>
      <c r="Q524" s="18">
        <v>3.350255</v>
      </c>
      <c r="R524" s="10"/>
      <c r="S524" s="16">
        <v>400</v>
      </c>
      <c r="T524" s="16">
        <v>10</v>
      </c>
      <c r="U524" s="18" t="s">
        <v>1875</v>
      </c>
      <c r="V524" s="18" t="s">
        <v>1876</v>
      </c>
      <c r="W524" s="13"/>
      <c r="X524" s="13"/>
      <c r="Y524" s="18" t="s">
        <v>1877</v>
      </c>
      <c r="Z524" s="18" t="s">
        <v>82</v>
      </c>
      <c r="AA524" s="18" t="s">
        <v>83</v>
      </c>
      <c r="AB524" s="18" t="s">
        <v>84</v>
      </c>
      <c r="AC524" s="18" t="s">
        <v>85</v>
      </c>
      <c r="AD524" s="18">
        <v>50.02</v>
      </c>
      <c r="AE524" s="18">
        <v>0</v>
      </c>
      <c r="AF524" s="18">
        <v>0</v>
      </c>
      <c r="AG524" s="18">
        <v>0</v>
      </c>
      <c r="AH524" s="18">
        <v>1</v>
      </c>
      <c r="AI524" s="18">
        <v>0</v>
      </c>
      <c r="AJ524" s="18">
        <v>0</v>
      </c>
      <c r="AK524" s="18">
        <v>1</v>
      </c>
      <c r="AL524" s="18">
        <v>0</v>
      </c>
      <c r="AM524" s="18">
        <v>0</v>
      </c>
      <c r="AN524" s="18">
        <v>0</v>
      </c>
      <c r="AO524" s="18">
        <v>0</v>
      </c>
      <c r="AP524" s="18">
        <v>0</v>
      </c>
      <c r="AQ524" s="18">
        <v>0</v>
      </c>
      <c r="AR524" s="18">
        <v>0</v>
      </c>
      <c r="AS524" s="18">
        <v>0</v>
      </c>
      <c r="AT524" s="18">
        <v>0</v>
      </c>
      <c r="AU524" s="18">
        <v>0</v>
      </c>
      <c r="AV524" s="18">
        <v>0</v>
      </c>
      <c r="AW524" s="18">
        <v>0</v>
      </c>
      <c r="AX524" s="18">
        <v>0</v>
      </c>
      <c r="AY524" s="13"/>
      <c r="AZ524" s="18">
        <v>1</v>
      </c>
      <c r="BA524" s="18">
        <v>3</v>
      </c>
      <c r="BB524" s="18">
        <v>68.6</v>
      </c>
      <c r="BC524" s="18" t="s">
        <v>1878</v>
      </c>
      <c r="BD524" s="18" t="s">
        <v>226</v>
      </c>
      <c r="BE524" s="18" t="s">
        <v>77</v>
      </c>
      <c r="BF524" s="18" t="s">
        <v>77</v>
      </c>
      <c r="BG524" s="18">
        <v>1</v>
      </c>
      <c r="BH524" s="18">
        <v>15</v>
      </c>
      <c r="BI524" s="18">
        <v>0.0625</v>
      </c>
      <c r="BJ524" s="18">
        <v>1</v>
      </c>
      <c r="BK524" s="18">
        <v>5</v>
      </c>
      <c r="BL524" s="18">
        <v>98.6</v>
      </c>
      <c r="BM524" s="13">
        <f t="shared" si="0"/>
        <v>11004</v>
      </c>
    </row>
    <row r="525" customHeight="1" spans="1:65">
      <c r="A525" s="19" t="s">
        <v>1884</v>
      </c>
      <c r="B525" s="18" t="s">
        <v>1885</v>
      </c>
      <c r="C525" s="13"/>
      <c r="D525" s="13"/>
      <c r="E525" s="18" t="s">
        <v>1886</v>
      </c>
      <c r="F525" s="18" t="s">
        <v>160</v>
      </c>
      <c r="G525" s="18" t="s">
        <v>83</v>
      </c>
      <c r="H525" s="18" t="s">
        <v>84</v>
      </c>
      <c r="I525" s="18" t="s">
        <v>203</v>
      </c>
      <c r="J525" s="18">
        <v>4</v>
      </c>
      <c r="K525" s="16">
        <v>69.99</v>
      </c>
      <c r="L525" s="10"/>
      <c r="M525" s="16">
        <v>0</v>
      </c>
      <c r="N525" s="16">
        <v>0</v>
      </c>
      <c r="O525" s="18">
        <v>0</v>
      </c>
      <c r="P525" s="18" t="s">
        <v>86</v>
      </c>
      <c r="Q525" s="18">
        <v>4.262539</v>
      </c>
      <c r="R525" s="10"/>
      <c r="S525" s="16">
        <v>26</v>
      </c>
      <c r="T525" s="16">
        <v>1</v>
      </c>
      <c r="U525" s="18" t="s">
        <v>1884</v>
      </c>
      <c r="V525" s="18" t="s">
        <v>1885</v>
      </c>
      <c r="W525" s="13"/>
      <c r="X525" s="13"/>
      <c r="Y525" s="18" t="s">
        <v>1886</v>
      </c>
      <c r="Z525" s="18" t="s">
        <v>160</v>
      </c>
      <c r="AA525" s="18" t="s">
        <v>83</v>
      </c>
      <c r="AB525" s="18" t="s">
        <v>84</v>
      </c>
      <c r="AC525" s="18" t="s">
        <v>203</v>
      </c>
      <c r="AD525" s="18">
        <v>135.98</v>
      </c>
      <c r="AE525" s="18">
        <v>0</v>
      </c>
      <c r="AF525" s="18">
        <v>0</v>
      </c>
      <c r="AG525" s="18">
        <v>0</v>
      </c>
      <c r="AH525" s="18">
        <v>1</v>
      </c>
      <c r="AI525" s="18">
        <v>0</v>
      </c>
      <c r="AJ525" s="18">
        <v>0</v>
      </c>
      <c r="AK525" s="18">
        <v>1</v>
      </c>
      <c r="AL525" s="18">
        <v>0</v>
      </c>
      <c r="AM525" s="18">
        <v>0</v>
      </c>
      <c r="AN525" s="18">
        <v>0</v>
      </c>
      <c r="AO525" s="18">
        <v>0</v>
      </c>
      <c r="AP525" s="18">
        <v>0</v>
      </c>
      <c r="AQ525" s="18">
        <v>1</v>
      </c>
      <c r="AR525" s="18">
        <v>0</v>
      </c>
      <c r="AS525" s="18">
        <v>0</v>
      </c>
      <c r="AT525" s="18">
        <v>0</v>
      </c>
      <c r="AU525" s="18">
        <v>0</v>
      </c>
      <c r="AV525" s="18">
        <v>1</v>
      </c>
      <c r="AW525" s="18">
        <v>1</v>
      </c>
      <c r="AX525" s="18">
        <v>0</v>
      </c>
      <c r="AY525" s="13"/>
      <c r="AZ525" s="18">
        <v>1</v>
      </c>
      <c r="BA525" s="18">
        <v>3</v>
      </c>
      <c r="BB525" s="18">
        <v>68.19</v>
      </c>
      <c r="BC525" s="18" t="s">
        <v>1887</v>
      </c>
      <c r="BD525" s="18" t="s">
        <v>1888</v>
      </c>
      <c r="BE525" s="18" t="s">
        <v>113</v>
      </c>
      <c r="BF525" s="18" t="s">
        <v>77</v>
      </c>
      <c r="BG525" s="18">
        <v>162</v>
      </c>
      <c r="BH525" s="18">
        <v>18</v>
      </c>
      <c r="BI525" s="18">
        <v>0.9</v>
      </c>
      <c r="BJ525" s="18">
        <v>0</v>
      </c>
      <c r="BK525" s="18">
        <v>4</v>
      </c>
      <c r="BL525" s="18">
        <v>98.9</v>
      </c>
      <c r="BM525" s="13">
        <f t="shared" si="0"/>
        <v>1819.74</v>
      </c>
    </row>
    <row r="526" customHeight="1" spans="1:65">
      <c r="A526" s="18" t="s">
        <v>1890</v>
      </c>
      <c r="B526" s="18" t="s">
        <v>125</v>
      </c>
      <c r="C526" s="13"/>
      <c r="D526" s="13"/>
      <c r="E526" s="18" t="s">
        <v>163</v>
      </c>
      <c r="F526" s="18" t="s">
        <v>82</v>
      </c>
      <c r="G526" s="18" t="s">
        <v>346</v>
      </c>
      <c r="H526" s="18" t="s">
        <v>138</v>
      </c>
      <c r="I526" s="18" t="s">
        <v>85</v>
      </c>
      <c r="J526" s="18">
        <v>5</v>
      </c>
      <c r="K526" s="16">
        <v>17.99</v>
      </c>
      <c r="L526" s="10"/>
      <c r="M526" s="16">
        <v>0</v>
      </c>
      <c r="N526" s="16">
        <v>0</v>
      </c>
      <c r="O526" s="18">
        <v>0</v>
      </c>
      <c r="P526" s="18" t="s">
        <v>133</v>
      </c>
      <c r="Q526" s="18">
        <v>2.943913</v>
      </c>
      <c r="R526" s="10"/>
      <c r="S526" s="16">
        <v>17</v>
      </c>
      <c r="T526" s="16">
        <v>4</v>
      </c>
      <c r="U526" s="18" t="s">
        <v>1890</v>
      </c>
      <c r="V526" s="18" t="s">
        <v>125</v>
      </c>
      <c r="W526" s="13"/>
      <c r="X526" s="13"/>
      <c r="Y526" s="18" t="s">
        <v>163</v>
      </c>
      <c r="Z526" s="18" t="s">
        <v>82</v>
      </c>
      <c r="AA526" s="18" t="s">
        <v>346</v>
      </c>
      <c r="AB526" s="18" t="s">
        <v>138</v>
      </c>
      <c r="AC526" s="18" t="s">
        <v>85</v>
      </c>
      <c r="AD526" s="18">
        <v>30.98</v>
      </c>
      <c r="AE526" s="18">
        <v>0</v>
      </c>
      <c r="AF526" s="18">
        <v>0</v>
      </c>
      <c r="AG526" s="18">
        <v>0</v>
      </c>
      <c r="AH526" s="18">
        <v>0</v>
      </c>
      <c r="AI526" s="18">
        <v>0</v>
      </c>
      <c r="AJ526" s="18">
        <v>0</v>
      </c>
      <c r="AK526" s="18">
        <v>0</v>
      </c>
      <c r="AL526" s="18">
        <v>0</v>
      </c>
      <c r="AM526" s="18">
        <v>0</v>
      </c>
      <c r="AN526" s="18">
        <v>0</v>
      </c>
      <c r="AO526" s="18">
        <v>0</v>
      </c>
      <c r="AP526" s="18">
        <v>0</v>
      </c>
      <c r="AQ526" s="18">
        <v>0</v>
      </c>
      <c r="AR526" s="18">
        <v>0</v>
      </c>
      <c r="AS526" s="18">
        <v>0</v>
      </c>
      <c r="AT526" s="18">
        <v>0</v>
      </c>
      <c r="AU526" s="18">
        <v>0</v>
      </c>
      <c r="AV526" s="18">
        <v>0</v>
      </c>
      <c r="AW526" s="18">
        <v>0</v>
      </c>
      <c r="AX526" s="18">
        <v>0</v>
      </c>
      <c r="AY526" s="13"/>
      <c r="AZ526" s="18">
        <v>1</v>
      </c>
      <c r="BA526" s="18">
        <v>0</v>
      </c>
      <c r="BB526" s="18">
        <v>61.96</v>
      </c>
      <c r="BC526" s="18" t="s">
        <v>1891</v>
      </c>
      <c r="BD526" s="18" t="s">
        <v>156</v>
      </c>
      <c r="BE526" s="18" t="s">
        <v>98</v>
      </c>
      <c r="BF526" s="18" t="s">
        <v>77</v>
      </c>
      <c r="BG526" s="18">
        <v>1</v>
      </c>
      <c r="BH526" s="18">
        <v>27</v>
      </c>
      <c r="BI526" s="18">
        <v>0.0357</v>
      </c>
      <c r="BJ526" s="18">
        <v>1</v>
      </c>
      <c r="BK526" s="18">
        <v>5</v>
      </c>
      <c r="BL526" s="18">
        <v>98.6</v>
      </c>
      <c r="BM526" s="13">
        <f t="shared" si="0"/>
        <v>305.83</v>
      </c>
    </row>
    <row r="527" customHeight="1" spans="1:65">
      <c r="A527" s="18" t="s">
        <v>1892</v>
      </c>
      <c r="B527" s="18" t="s">
        <v>125</v>
      </c>
      <c r="C527" s="13"/>
      <c r="D527" s="13"/>
      <c r="E527" s="18" t="s">
        <v>876</v>
      </c>
      <c r="F527" s="18" t="s">
        <v>132</v>
      </c>
      <c r="G527" s="18" t="s">
        <v>427</v>
      </c>
      <c r="H527" s="18" t="s">
        <v>138</v>
      </c>
      <c r="I527" s="18" t="s">
        <v>85</v>
      </c>
      <c r="J527" s="18">
        <v>5</v>
      </c>
      <c r="K527" s="16">
        <v>35.99</v>
      </c>
      <c r="L527" s="16">
        <v>39.99</v>
      </c>
      <c r="M527" s="16">
        <v>10</v>
      </c>
      <c r="N527" s="16">
        <v>4</v>
      </c>
      <c r="O527" s="18">
        <v>1</v>
      </c>
      <c r="P527" s="18" t="s">
        <v>86</v>
      </c>
      <c r="Q527" s="18">
        <v>3.610648</v>
      </c>
      <c r="R527" s="10"/>
      <c r="S527" s="16">
        <v>280</v>
      </c>
      <c r="T527" s="16">
        <v>10</v>
      </c>
      <c r="U527" s="18" t="s">
        <v>1892</v>
      </c>
      <c r="V527" s="18" t="s">
        <v>125</v>
      </c>
      <c r="W527" s="13"/>
      <c r="X527" s="13"/>
      <c r="Y527" s="18" t="s">
        <v>876</v>
      </c>
      <c r="Z527" s="18" t="s">
        <v>132</v>
      </c>
      <c r="AA527" s="18" t="s">
        <v>427</v>
      </c>
      <c r="AB527" s="18" t="s">
        <v>138</v>
      </c>
      <c r="AC527" s="18" t="s">
        <v>85</v>
      </c>
      <c r="AD527" s="18">
        <v>1.40066666666668</v>
      </c>
      <c r="AE527" s="18">
        <v>0</v>
      </c>
      <c r="AF527" s="18">
        <v>1</v>
      </c>
      <c r="AG527" s="18">
        <v>0</v>
      </c>
      <c r="AH527" s="18">
        <v>0</v>
      </c>
      <c r="AI527" s="18">
        <v>0</v>
      </c>
      <c r="AJ527" s="18">
        <v>0</v>
      </c>
      <c r="AK527" s="18">
        <v>0</v>
      </c>
      <c r="AL527" s="18">
        <v>0</v>
      </c>
      <c r="AM527" s="18">
        <v>0</v>
      </c>
      <c r="AN527" s="18">
        <v>0</v>
      </c>
      <c r="AO527" s="18">
        <v>0</v>
      </c>
      <c r="AP527" s="18">
        <v>0</v>
      </c>
      <c r="AQ527" s="18">
        <v>0</v>
      </c>
      <c r="AR527" s="18">
        <v>0</v>
      </c>
      <c r="AS527" s="18">
        <v>0</v>
      </c>
      <c r="AT527" s="18">
        <v>0</v>
      </c>
      <c r="AU527" s="18">
        <v>0</v>
      </c>
      <c r="AV527" s="18">
        <v>0</v>
      </c>
      <c r="AW527" s="18">
        <v>1</v>
      </c>
      <c r="AX527" s="18">
        <v>0</v>
      </c>
      <c r="AY527" s="13"/>
      <c r="AZ527" s="18">
        <v>1</v>
      </c>
      <c r="BA527" s="18">
        <v>0</v>
      </c>
      <c r="BB527" s="18">
        <v>69.07</v>
      </c>
      <c r="BC527" s="18" t="s">
        <v>1893</v>
      </c>
      <c r="BD527" s="18" t="s">
        <v>112</v>
      </c>
      <c r="BE527" s="18" t="s">
        <v>128</v>
      </c>
      <c r="BF527" s="18" t="s">
        <v>77</v>
      </c>
      <c r="BG527" s="18">
        <v>1</v>
      </c>
      <c r="BH527" s="18">
        <v>14</v>
      </c>
      <c r="BI527" s="18">
        <v>0.0667</v>
      </c>
      <c r="BJ527" s="18">
        <v>1</v>
      </c>
      <c r="BK527" s="18">
        <v>31</v>
      </c>
      <c r="BL527" s="18">
        <v>91.5</v>
      </c>
      <c r="BM527" s="13">
        <f t="shared" si="0"/>
        <v>10077.2</v>
      </c>
    </row>
    <row r="528" customHeight="1" spans="1:65">
      <c r="A528" s="18" t="s">
        <v>200</v>
      </c>
      <c r="B528" s="18" t="s">
        <v>125</v>
      </c>
      <c r="C528" s="13"/>
      <c r="D528" s="13"/>
      <c r="E528" s="18" t="s">
        <v>81</v>
      </c>
      <c r="F528" s="18" t="s">
        <v>82</v>
      </c>
      <c r="G528" s="18" t="s">
        <v>83</v>
      </c>
      <c r="H528" s="18" t="s">
        <v>138</v>
      </c>
      <c r="I528" s="18" t="s">
        <v>85</v>
      </c>
      <c r="J528" s="18">
        <v>5</v>
      </c>
      <c r="K528" s="16">
        <v>52.99</v>
      </c>
      <c r="L528" s="10"/>
      <c r="M528" s="16">
        <v>0</v>
      </c>
      <c r="N528" s="16">
        <v>0</v>
      </c>
      <c r="O528" s="18">
        <v>0</v>
      </c>
      <c r="P528" s="18" t="s">
        <v>86</v>
      </c>
      <c r="Q528" s="18">
        <v>3.988799</v>
      </c>
      <c r="R528" s="10"/>
      <c r="S528" s="16">
        <v>39</v>
      </c>
      <c r="T528" s="16">
        <v>100</v>
      </c>
      <c r="U528" s="18" t="s">
        <v>200</v>
      </c>
      <c r="V528" s="18" t="s">
        <v>125</v>
      </c>
      <c r="W528" s="13"/>
      <c r="X528" s="13"/>
      <c r="Y528" s="18" t="s">
        <v>81</v>
      </c>
      <c r="Z528" s="18" t="s">
        <v>82</v>
      </c>
      <c r="AA528" s="18" t="s">
        <v>83</v>
      </c>
      <c r="AB528" s="18" t="s">
        <v>138</v>
      </c>
      <c r="AC528" s="18" t="s">
        <v>85</v>
      </c>
      <c r="AD528" s="18">
        <v>100.98</v>
      </c>
      <c r="AE528" s="18">
        <v>0</v>
      </c>
      <c r="AF528" s="18">
        <v>0</v>
      </c>
      <c r="AG528" s="18">
        <v>0</v>
      </c>
      <c r="AH528" s="18">
        <v>1</v>
      </c>
      <c r="AI528" s="18">
        <v>0</v>
      </c>
      <c r="AJ528" s="18">
        <v>1</v>
      </c>
      <c r="AK528" s="18">
        <v>0</v>
      </c>
      <c r="AL528" s="18">
        <v>0</v>
      </c>
      <c r="AM528" s="18">
        <v>0</v>
      </c>
      <c r="AN528" s="18">
        <v>0</v>
      </c>
      <c r="AO528" s="18">
        <v>0</v>
      </c>
      <c r="AP528" s="18">
        <v>0</v>
      </c>
      <c r="AQ528" s="18">
        <v>0</v>
      </c>
      <c r="AR528" s="18">
        <v>0</v>
      </c>
      <c r="AS528" s="18">
        <v>0</v>
      </c>
      <c r="AT528" s="18">
        <v>1</v>
      </c>
      <c r="AU528" s="18">
        <v>0</v>
      </c>
      <c r="AV528" s="18">
        <v>0</v>
      </c>
      <c r="AW528" s="18">
        <v>1</v>
      </c>
      <c r="AX528" s="18">
        <v>0</v>
      </c>
      <c r="AY528" s="13"/>
      <c r="AZ528" s="18">
        <v>1</v>
      </c>
      <c r="BA528" s="18">
        <v>2</v>
      </c>
      <c r="BB528" s="18">
        <v>40.41</v>
      </c>
      <c r="BC528" s="18" t="s">
        <v>1896</v>
      </c>
      <c r="BD528" s="18" t="s">
        <v>741</v>
      </c>
      <c r="BE528" s="18" t="s">
        <v>128</v>
      </c>
      <c r="BF528" s="18" t="s">
        <v>77</v>
      </c>
      <c r="BG528" s="18">
        <v>1</v>
      </c>
      <c r="BH528" s="18">
        <v>11</v>
      </c>
      <c r="BI528" s="18">
        <v>0.0833</v>
      </c>
      <c r="BJ528" s="18">
        <v>1</v>
      </c>
      <c r="BK528" s="18">
        <v>10</v>
      </c>
      <c r="BL528" s="18">
        <v>97.3</v>
      </c>
      <c r="BM528" s="13">
        <f t="shared" si="0"/>
        <v>2066.61</v>
      </c>
    </row>
    <row r="529" customHeight="1" spans="1:65">
      <c r="A529" s="18" t="s">
        <v>1897</v>
      </c>
      <c r="B529" s="18" t="s">
        <v>1898</v>
      </c>
      <c r="C529" s="13"/>
      <c r="D529" s="13"/>
      <c r="E529" s="18" t="s">
        <v>81</v>
      </c>
      <c r="F529" s="18" t="s">
        <v>82</v>
      </c>
      <c r="G529" s="18" t="s">
        <v>83</v>
      </c>
      <c r="H529" s="18" t="s">
        <v>84</v>
      </c>
      <c r="I529" s="18" t="s">
        <v>85</v>
      </c>
      <c r="J529" s="18">
        <v>5</v>
      </c>
      <c r="K529" s="16">
        <v>49.94</v>
      </c>
      <c r="L529" s="10"/>
      <c r="M529" s="16">
        <v>0</v>
      </c>
      <c r="N529" s="16">
        <v>0</v>
      </c>
      <c r="O529" s="18">
        <v>0</v>
      </c>
      <c r="P529" s="18" t="s">
        <v>86</v>
      </c>
      <c r="Q529" s="18">
        <v>3.930648</v>
      </c>
      <c r="R529" s="10"/>
      <c r="S529" s="16">
        <v>1</v>
      </c>
      <c r="T529" s="16">
        <v>1</v>
      </c>
      <c r="U529" s="18" t="s">
        <v>1897</v>
      </c>
      <c r="V529" s="18" t="s">
        <v>2653</v>
      </c>
      <c r="W529" s="13"/>
      <c r="X529" s="13"/>
      <c r="Y529" s="18" t="s">
        <v>81</v>
      </c>
      <c r="Z529" s="18" t="s">
        <v>82</v>
      </c>
      <c r="AA529" s="18" t="s">
        <v>83</v>
      </c>
      <c r="AB529" s="18" t="s">
        <v>84</v>
      </c>
      <c r="AC529" s="18" t="s">
        <v>85</v>
      </c>
      <c r="AD529" s="18">
        <v>94.88</v>
      </c>
      <c r="AE529" s="18">
        <v>1</v>
      </c>
      <c r="AF529" s="18">
        <v>0</v>
      </c>
      <c r="AG529" s="18">
        <v>0</v>
      </c>
      <c r="AH529" s="18">
        <v>1</v>
      </c>
      <c r="AI529" s="18">
        <v>0</v>
      </c>
      <c r="AJ529" s="18">
        <v>0</v>
      </c>
      <c r="AK529" s="18">
        <v>0</v>
      </c>
      <c r="AL529" s="18">
        <v>0</v>
      </c>
      <c r="AM529" s="18">
        <v>0</v>
      </c>
      <c r="AN529" s="18">
        <v>0</v>
      </c>
      <c r="AO529" s="18">
        <v>0</v>
      </c>
      <c r="AP529" s="18">
        <v>0</v>
      </c>
      <c r="AQ529" s="18">
        <v>0</v>
      </c>
      <c r="AR529" s="18">
        <v>0</v>
      </c>
      <c r="AS529" s="18">
        <v>0</v>
      </c>
      <c r="AT529" s="18">
        <v>1</v>
      </c>
      <c r="AU529" s="18">
        <v>0</v>
      </c>
      <c r="AV529" s="18">
        <v>0</v>
      </c>
      <c r="AW529" s="18">
        <v>0</v>
      </c>
      <c r="AX529" s="18">
        <v>0</v>
      </c>
      <c r="AY529" s="13"/>
      <c r="AZ529" s="18">
        <v>1</v>
      </c>
      <c r="BA529" s="18">
        <v>2</v>
      </c>
      <c r="BB529" s="18">
        <v>48.53</v>
      </c>
      <c r="BC529" s="18" t="s">
        <v>1899</v>
      </c>
      <c r="BD529" s="18" t="s">
        <v>1900</v>
      </c>
      <c r="BE529" s="18" t="s">
        <v>781</v>
      </c>
      <c r="BF529" s="18" t="s">
        <v>77</v>
      </c>
      <c r="BG529" s="18">
        <v>161</v>
      </c>
      <c r="BH529" s="18">
        <v>20</v>
      </c>
      <c r="BI529" s="18">
        <v>0.8895</v>
      </c>
      <c r="BJ529" s="18">
        <v>0</v>
      </c>
      <c r="BK529" s="18">
        <v>18</v>
      </c>
      <c r="BL529" s="18">
        <v>95.1</v>
      </c>
      <c r="BM529" s="13">
        <f t="shared" si="0"/>
        <v>49.94</v>
      </c>
    </row>
    <row r="530" customHeight="1" spans="1:65">
      <c r="A530" s="18" t="s">
        <v>1904</v>
      </c>
      <c r="B530" s="18" t="s">
        <v>1905</v>
      </c>
      <c r="C530" s="13"/>
      <c r="D530" s="13"/>
      <c r="E530" s="18" t="s">
        <v>554</v>
      </c>
      <c r="F530" s="18" t="s">
        <v>240</v>
      </c>
      <c r="G530" s="18" t="s">
        <v>83</v>
      </c>
      <c r="H530" s="18" t="s">
        <v>84</v>
      </c>
      <c r="I530" s="18" t="s">
        <v>153</v>
      </c>
      <c r="J530" s="18">
        <v>2</v>
      </c>
      <c r="K530" s="16">
        <v>69.99</v>
      </c>
      <c r="L530" s="10"/>
      <c r="M530" s="16">
        <v>0</v>
      </c>
      <c r="N530" s="16">
        <v>0</v>
      </c>
      <c r="O530" s="18">
        <v>0</v>
      </c>
      <c r="P530" s="18" t="s">
        <v>86</v>
      </c>
      <c r="Q530" s="18">
        <v>4.262539</v>
      </c>
      <c r="R530" s="10"/>
      <c r="S530" s="10"/>
      <c r="T530" s="10"/>
      <c r="U530" s="18" t="s">
        <v>1904</v>
      </c>
      <c r="V530" s="18" t="s">
        <v>1905</v>
      </c>
      <c r="W530" s="13"/>
      <c r="X530" s="13"/>
      <c r="Y530" s="18" t="s">
        <v>554</v>
      </c>
      <c r="Z530" s="18" t="s">
        <v>240</v>
      </c>
      <c r="AA530" s="18" t="s">
        <v>83</v>
      </c>
      <c r="AB530" s="18" t="s">
        <v>84</v>
      </c>
      <c r="AC530" s="18" t="s">
        <v>153</v>
      </c>
      <c r="AD530" s="18">
        <v>137.98</v>
      </c>
      <c r="AE530" s="18">
        <v>0</v>
      </c>
      <c r="AF530" s="18">
        <v>0</v>
      </c>
      <c r="AG530" s="18">
        <v>0</v>
      </c>
      <c r="AH530" s="18">
        <v>0</v>
      </c>
      <c r="AI530" s="18">
        <v>0</v>
      </c>
      <c r="AJ530" s="18">
        <v>0</v>
      </c>
      <c r="AK530" s="18">
        <v>0</v>
      </c>
      <c r="AL530" s="18">
        <v>0</v>
      </c>
      <c r="AM530" s="18">
        <v>0</v>
      </c>
      <c r="AN530" s="18">
        <v>0</v>
      </c>
      <c r="AO530" s="18">
        <v>0</v>
      </c>
      <c r="AP530" s="18">
        <v>0</v>
      </c>
      <c r="AQ530" s="18">
        <v>1</v>
      </c>
      <c r="AR530" s="18">
        <v>0</v>
      </c>
      <c r="AS530" s="18">
        <v>0</v>
      </c>
      <c r="AT530" s="18">
        <v>0</v>
      </c>
      <c r="AU530" s="18">
        <v>0</v>
      </c>
      <c r="AV530" s="18">
        <v>1</v>
      </c>
      <c r="AW530" s="18">
        <v>1</v>
      </c>
      <c r="AX530" s="18">
        <v>0</v>
      </c>
      <c r="AY530" s="13"/>
      <c r="AZ530" s="18">
        <v>1</v>
      </c>
      <c r="BA530" s="18">
        <v>1</v>
      </c>
      <c r="BB530" s="18">
        <v>0</v>
      </c>
      <c r="BC530" s="18" t="s">
        <v>1906</v>
      </c>
      <c r="BD530" s="18" t="s">
        <v>827</v>
      </c>
      <c r="BE530" s="18" t="s">
        <v>113</v>
      </c>
      <c r="BF530" s="18" t="s">
        <v>77</v>
      </c>
      <c r="BG530" s="18">
        <v>168</v>
      </c>
      <c r="BH530" s="18">
        <v>11</v>
      </c>
      <c r="BI530" s="18">
        <v>0.9385</v>
      </c>
      <c r="BJ530" s="18">
        <v>0</v>
      </c>
      <c r="BK530" s="13"/>
      <c r="BL530" s="13"/>
      <c r="BM530" s="13">
        <f t="shared" si="0"/>
        <v>0</v>
      </c>
    </row>
    <row r="531" customHeight="1" spans="1:65">
      <c r="A531" s="18" t="s">
        <v>1907</v>
      </c>
      <c r="B531" s="18" t="s">
        <v>1908</v>
      </c>
      <c r="C531" s="13"/>
      <c r="D531" s="13"/>
      <c r="E531" s="18" t="s">
        <v>250</v>
      </c>
      <c r="F531" s="18" t="s">
        <v>82</v>
      </c>
      <c r="G531" s="18" t="s">
        <v>83</v>
      </c>
      <c r="H531" s="18" t="s">
        <v>84</v>
      </c>
      <c r="I531" s="18" t="s">
        <v>85</v>
      </c>
      <c r="J531" s="18">
        <v>5</v>
      </c>
      <c r="K531" s="16">
        <v>150</v>
      </c>
      <c r="L531" s="10"/>
      <c r="M531" s="16">
        <v>0</v>
      </c>
      <c r="N531" s="16">
        <v>0</v>
      </c>
      <c r="O531" s="18">
        <v>0</v>
      </c>
      <c r="P531" s="18" t="s">
        <v>95</v>
      </c>
      <c r="Q531" s="18">
        <v>5.01728</v>
      </c>
      <c r="R531" s="10"/>
      <c r="S531" s="10"/>
      <c r="T531" s="16">
        <v>10</v>
      </c>
      <c r="U531" s="18" t="s">
        <v>1907</v>
      </c>
      <c r="V531" s="18" t="s">
        <v>1908</v>
      </c>
      <c r="W531" s="13"/>
      <c r="X531" s="13"/>
      <c r="Y531" s="18" t="s">
        <v>250</v>
      </c>
      <c r="Z531" s="18" t="s">
        <v>82</v>
      </c>
      <c r="AA531" s="18" t="s">
        <v>83</v>
      </c>
      <c r="AB531" s="18" t="s">
        <v>84</v>
      </c>
      <c r="AC531" s="18" t="s">
        <v>85</v>
      </c>
      <c r="AD531" s="18">
        <v>295</v>
      </c>
      <c r="AE531" s="18">
        <v>0</v>
      </c>
      <c r="AF531" s="18">
        <v>0</v>
      </c>
      <c r="AG531" s="18">
        <v>1</v>
      </c>
      <c r="AH531" s="18">
        <v>0</v>
      </c>
      <c r="AI531" s="18">
        <v>1</v>
      </c>
      <c r="AJ531" s="18">
        <v>0</v>
      </c>
      <c r="AK531" s="18">
        <v>0</v>
      </c>
      <c r="AL531" s="18">
        <v>0</v>
      </c>
      <c r="AM531" s="18">
        <v>0</v>
      </c>
      <c r="AN531" s="18">
        <v>0</v>
      </c>
      <c r="AO531" s="18">
        <v>0</v>
      </c>
      <c r="AP531" s="18">
        <v>0</v>
      </c>
      <c r="AQ531" s="18">
        <v>0</v>
      </c>
      <c r="AR531" s="18">
        <v>0</v>
      </c>
      <c r="AS531" s="18">
        <v>0</v>
      </c>
      <c r="AT531" s="18">
        <v>0</v>
      </c>
      <c r="AU531" s="18">
        <v>0</v>
      </c>
      <c r="AV531" s="18">
        <v>0</v>
      </c>
      <c r="AW531" s="18">
        <v>1</v>
      </c>
      <c r="AX531" s="18">
        <v>0</v>
      </c>
      <c r="AY531" s="13"/>
      <c r="AZ531" s="18">
        <v>8</v>
      </c>
      <c r="BA531" s="18">
        <v>1</v>
      </c>
      <c r="BB531" s="18">
        <v>28.35</v>
      </c>
      <c r="BC531" s="18" t="s">
        <v>1909</v>
      </c>
      <c r="BD531" s="18" t="s">
        <v>128</v>
      </c>
      <c r="BE531" s="18" t="s">
        <v>77</v>
      </c>
      <c r="BF531" s="18" t="s">
        <v>77</v>
      </c>
      <c r="BG531" s="18">
        <v>162</v>
      </c>
      <c r="BH531" s="18">
        <v>54</v>
      </c>
      <c r="BI531" s="18">
        <v>0.75</v>
      </c>
      <c r="BJ531" s="18">
        <v>0</v>
      </c>
      <c r="BK531" s="18">
        <v>20</v>
      </c>
      <c r="BL531" s="18">
        <v>94.5</v>
      </c>
      <c r="BM531" s="13">
        <f t="shared" si="0"/>
        <v>0</v>
      </c>
    </row>
    <row r="532" customHeight="1" spans="1:65">
      <c r="A532" s="18" t="s">
        <v>1910</v>
      </c>
      <c r="B532" s="18" t="s">
        <v>1911</v>
      </c>
      <c r="C532" s="13"/>
      <c r="D532" s="13"/>
      <c r="E532" s="18" t="s">
        <v>239</v>
      </c>
      <c r="F532" s="18" t="s">
        <v>240</v>
      </c>
      <c r="G532" s="18" t="s">
        <v>83</v>
      </c>
      <c r="H532" s="18" t="s">
        <v>84</v>
      </c>
      <c r="I532" s="18" t="s">
        <v>153</v>
      </c>
      <c r="J532" s="18">
        <v>2</v>
      </c>
      <c r="K532" s="16">
        <v>95</v>
      </c>
      <c r="L532" s="10"/>
      <c r="M532" s="16">
        <v>0</v>
      </c>
      <c r="N532" s="16">
        <v>0</v>
      </c>
      <c r="O532" s="18">
        <v>0</v>
      </c>
      <c r="P532" s="18" t="s">
        <v>95</v>
      </c>
      <c r="Q532" s="18">
        <v>4.564348</v>
      </c>
      <c r="R532" s="16">
        <v>5.94</v>
      </c>
      <c r="S532" s="10"/>
      <c r="T532" s="10"/>
      <c r="U532" s="18" t="s">
        <v>1910</v>
      </c>
      <c r="V532" s="18" t="s">
        <v>1911</v>
      </c>
      <c r="W532" s="13"/>
      <c r="X532" s="13"/>
      <c r="Y532" s="18" t="s">
        <v>239</v>
      </c>
      <c r="Z532" s="18" t="s">
        <v>240</v>
      </c>
      <c r="AA532" s="18" t="s">
        <v>83</v>
      </c>
      <c r="AB532" s="18" t="s">
        <v>84</v>
      </c>
      <c r="AC532" s="18" t="s">
        <v>153</v>
      </c>
      <c r="AD532" s="18">
        <v>188</v>
      </c>
      <c r="AE532" s="18">
        <v>0</v>
      </c>
      <c r="AF532" s="18">
        <v>0</v>
      </c>
      <c r="AG532" s="18">
        <v>0</v>
      </c>
      <c r="AH532" s="18">
        <v>0</v>
      </c>
      <c r="AI532" s="18">
        <v>0</v>
      </c>
      <c r="AJ532" s="18">
        <v>0</v>
      </c>
      <c r="AK532" s="18">
        <v>0</v>
      </c>
      <c r="AL532" s="18">
        <v>0</v>
      </c>
      <c r="AM532" s="18">
        <v>0</v>
      </c>
      <c r="AN532" s="18">
        <v>0</v>
      </c>
      <c r="AO532" s="18">
        <v>0</v>
      </c>
      <c r="AP532" s="18">
        <v>0</v>
      </c>
      <c r="AQ532" s="18">
        <v>1</v>
      </c>
      <c r="AR532" s="18">
        <v>0</v>
      </c>
      <c r="AS532" s="18">
        <v>0</v>
      </c>
      <c r="AT532" s="18">
        <v>0</v>
      </c>
      <c r="AU532" s="18">
        <v>0</v>
      </c>
      <c r="AV532" s="18">
        <v>1</v>
      </c>
      <c r="AW532" s="18">
        <v>0</v>
      </c>
      <c r="AX532" s="18">
        <v>0</v>
      </c>
      <c r="AY532" s="18">
        <v>16</v>
      </c>
      <c r="AZ532" s="18">
        <v>1</v>
      </c>
      <c r="BA532" s="18">
        <v>1</v>
      </c>
      <c r="BB532" s="18">
        <v>29.52</v>
      </c>
      <c r="BC532" s="18" t="s">
        <v>1912</v>
      </c>
      <c r="BD532" s="18" t="s">
        <v>1913</v>
      </c>
      <c r="BE532" s="18" t="s">
        <v>243</v>
      </c>
      <c r="BF532" s="18" t="s">
        <v>77</v>
      </c>
      <c r="BG532" s="18">
        <v>168</v>
      </c>
      <c r="BH532" s="18">
        <v>11</v>
      </c>
      <c r="BI532" s="18">
        <v>0.9385</v>
      </c>
      <c r="BJ532" s="18">
        <v>0</v>
      </c>
      <c r="BK532" s="18">
        <v>6</v>
      </c>
      <c r="BL532" s="18">
        <v>98.4</v>
      </c>
      <c r="BM532" s="13">
        <f t="shared" si="0"/>
        <v>0</v>
      </c>
    </row>
    <row r="533" customHeight="1" spans="1:65">
      <c r="A533" s="18" t="s">
        <v>1915</v>
      </c>
      <c r="B533" s="18" t="s">
        <v>1387</v>
      </c>
      <c r="C533" s="18" t="s">
        <v>1916</v>
      </c>
      <c r="D533" s="18">
        <v>194160005491</v>
      </c>
      <c r="E533" s="18" t="s">
        <v>235</v>
      </c>
      <c r="F533" s="18" t="s">
        <v>198</v>
      </c>
      <c r="G533" s="18" t="s">
        <v>83</v>
      </c>
      <c r="H533" s="18" t="s">
        <v>84</v>
      </c>
      <c r="I533" s="18" t="s">
        <v>85</v>
      </c>
      <c r="J533" s="18">
        <v>5</v>
      </c>
      <c r="K533" s="16">
        <v>44</v>
      </c>
      <c r="L533" s="10"/>
      <c r="M533" s="16">
        <v>0</v>
      </c>
      <c r="N533" s="16">
        <v>0</v>
      </c>
      <c r="O533" s="18">
        <v>0</v>
      </c>
      <c r="P533" s="18" t="s">
        <v>86</v>
      </c>
      <c r="Q533" s="18">
        <v>3.806662</v>
      </c>
      <c r="R533" s="10"/>
      <c r="S533" s="16">
        <v>3</v>
      </c>
      <c r="T533" s="16">
        <v>10</v>
      </c>
      <c r="U533" s="18" t="s">
        <v>1915</v>
      </c>
      <c r="V533" s="18" t="s">
        <v>1387</v>
      </c>
      <c r="W533" s="18" t="s">
        <v>2654</v>
      </c>
      <c r="X533" s="18">
        <v>194160005492</v>
      </c>
      <c r="Y533" s="18" t="s">
        <v>235</v>
      </c>
      <c r="Z533" s="18" t="s">
        <v>198</v>
      </c>
      <c r="AA533" s="18" t="s">
        <v>83</v>
      </c>
      <c r="AB533" s="18" t="s">
        <v>84</v>
      </c>
      <c r="AC533" s="18" t="s">
        <v>85</v>
      </c>
      <c r="AD533" s="18">
        <v>83</v>
      </c>
      <c r="AE533" s="18">
        <v>0</v>
      </c>
      <c r="AF533" s="18">
        <v>0</v>
      </c>
      <c r="AG533" s="18">
        <v>0</v>
      </c>
      <c r="AH533" s="18">
        <v>0</v>
      </c>
      <c r="AI533" s="18">
        <v>0</v>
      </c>
      <c r="AJ533" s="18">
        <v>0</v>
      </c>
      <c r="AK533" s="18">
        <v>0</v>
      </c>
      <c r="AL533" s="18">
        <v>0</v>
      </c>
      <c r="AM533" s="18">
        <v>0</v>
      </c>
      <c r="AN533" s="18">
        <v>0</v>
      </c>
      <c r="AO533" s="18">
        <v>0</v>
      </c>
      <c r="AP533" s="18">
        <v>0</v>
      </c>
      <c r="AQ533" s="18">
        <v>0</v>
      </c>
      <c r="AR533" s="18">
        <v>0</v>
      </c>
      <c r="AS533" s="18">
        <v>0</v>
      </c>
      <c r="AT533" s="18">
        <v>0</v>
      </c>
      <c r="AU533" s="18">
        <v>0</v>
      </c>
      <c r="AV533" s="18">
        <v>0</v>
      </c>
      <c r="AW533" s="18">
        <v>0</v>
      </c>
      <c r="AX533" s="18">
        <v>0</v>
      </c>
      <c r="AY533" s="13"/>
      <c r="AZ533" s="18">
        <v>1</v>
      </c>
      <c r="BA533" s="18">
        <v>0</v>
      </c>
      <c r="BB533" s="18">
        <v>38.81</v>
      </c>
      <c r="BC533" s="18" t="s">
        <v>1917</v>
      </c>
      <c r="BD533" s="18" t="s">
        <v>1918</v>
      </c>
      <c r="BE533" s="18" t="s">
        <v>1689</v>
      </c>
      <c r="BF533" s="18" t="s">
        <v>77</v>
      </c>
      <c r="BG533" s="18">
        <v>168</v>
      </c>
      <c r="BH533" s="18">
        <v>54</v>
      </c>
      <c r="BI533" s="18">
        <v>0.7568</v>
      </c>
      <c r="BJ533" s="18">
        <v>0</v>
      </c>
      <c r="BK533" s="18">
        <v>5</v>
      </c>
      <c r="BL533" s="18">
        <v>98.6</v>
      </c>
      <c r="BM533" s="13">
        <f t="shared" si="0"/>
        <v>132</v>
      </c>
    </row>
    <row r="534" customHeight="1" spans="1:65">
      <c r="A534" s="18" t="s">
        <v>1022</v>
      </c>
      <c r="B534" s="18" t="s">
        <v>282</v>
      </c>
      <c r="C534" s="13"/>
      <c r="D534" s="13"/>
      <c r="E534" s="18" t="s">
        <v>250</v>
      </c>
      <c r="F534" s="18" t="s">
        <v>82</v>
      </c>
      <c r="G534" s="18" t="s">
        <v>83</v>
      </c>
      <c r="H534" s="18" t="s">
        <v>84</v>
      </c>
      <c r="I534" s="18" t="s">
        <v>85</v>
      </c>
      <c r="J534" s="18">
        <v>5</v>
      </c>
      <c r="K534" s="16">
        <v>151.99</v>
      </c>
      <c r="L534" s="16">
        <v>189.99</v>
      </c>
      <c r="M534" s="16">
        <v>20</v>
      </c>
      <c r="N534" s="16">
        <v>38</v>
      </c>
      <c r="O534" s="18">
        <v>1</v>
      </c>
      <c r="P534" s="18" t="s">
        <v>95</v>
      </c>
      <c r="Q534" s="18">
        <v>5.030373</v>
      </c>
      <c r="R534" s="10"/>
      <c r="S534" s="16">
        <v>37</v>
      </c>
      <c r="T534" s="16">
        <v>10</v>
      </c>
      <c r="U534" s="18" t="s">
        <v>1022</v>
      </c>
      <c r="V534" s="18" t="s">
        <v>282</v>
      </c>
      <c r="W534" s="13"/>
      <c r="X534" s="13"/>
      <c r="Y534" s="18" t="s">
        <v>250</v>
      </c>
      <c r="Z534" s="18" t="s">
        <v>82</v>
      </c>
      <c r="AA534" s="18" t="s">
        <v>83</v>
      </c>
      <c r="AB534" s="18" t="s">
        <v>84</v>
      </c>
      <c r="AC534" s="18" t="s">
        <v>85</v>
      </c>
      <c r="AD534" s="18">
        <v>14.4673333333328</v>
      </c>
      <c r="AE534" s="18">
        <v>0</v>
      </c>
      <c r="AF534" s="18">
        <v>0</v>
      </c>
      <c r="AG534" s="18">
        <v>1</v>
      </c>
      <c r="AH534" s="18">
        <v>0</v>
      </c>
      <c r="AI534" s="18">
        <v>1</v>
      </c>
      <c r="AJ534" s="18">
        <v>0</v>
      </c>
      <c r="AK534" s="18">
        <v>0</v>
      </c>
      <c r="AL534" s="18">
        <v>0</v>
      </c>
      <c r="AM534" s="18">
        <v>0</v>
      </c>
      <c r="AN534" s="18">
        <v>0</v>
      </c>
      <c r="AO534" s="18">
        <v>0</v>
      </c>
      <c r="AP534" s="18">
        <v>0</v>
      </c>
      <c r="AQ534" s="18">
        <v>0</v>
      </c>
      <c r="AR534" s="18">
        <v>0</v>
      </c>
      <c r="AS534" s="18">
        <v>0</v>
      </c>
      <c r="AT534" s="18">
        <v>1</v>
      </c>
      <c r="AU534" s="18">
        <v>0</v>
      </c>
      <c r="AV534" s="18">
        <v>0</v>
      </c>
      <c r="AW534" s="18">
        <v>0</v>
      </c>
      <c r="AX534" s="18">
        <v>0</v>
      </c>
      <c r="AY534" s="13"/>
      <c r="AZ534" s="18">
        <v>1</v>
      </c>
      <c r="BA534" s="18">
        <v>1</v>
      </c>
      <c r="BB534" s="18">
        <v>65.75</v>
      </c>
      <c r="BC534" s="18" t="s">
        <v>285</v>
      </c>
      <c r="BD534" s="18" t="s">
        <v>1519</v>
      </c>
      <c r="BE534" s="18" t="s">
        <v>113</v>
      </c>
      <c r="BF534" s="18" t="s">
        <v>77</v>
      </c>
      <c r="BG534" s="18">
        <v>1</v>
      </c>
      <c r="BH534" s="18">
        <v>20</v>
      </c>
      <c r="BI534" s="18">
        <v>0.0476</v>
      </c>
      <c r="BJ534" s="18">
        <v>1</v>
      </c>
      <c r="BK534" s="18">
        <v>21</v>
      </c>
      <c r="BL534" s="18">
        <v>94.2</v>
      </c>
      <c r="BM534" s="13">
        <f t="shared" si="0"/>
        <v>5623.63</v>
      </c>
    </row>
    <row r="535" customHeight="1" spans="1:65">
      <c r="A535" s="18" t="s">
        <v>1518</v>
      </c>
      <c r="B535" s="18" t="s">
        <v>282</v>
      </c>
      <c r="C535" s="13"/>
      <c r="D535" s="13"/>
      <c r="E535" s="18" t="s">
        <v>255</v>
      </c>
      <c r="F535" s="18" t="s">
        <v>82</v>
      </c>
      <c r="G535" s="18" t="s">
        <v>83</v>
      </c>
      <c r="H535" s="18" t="s">
        <v>84</v>
      </c>
      <c r="I535" s="18" t="s">
        <v>85</v>
      </c>
      <c r="J535" s="18">
        <v>5</v>
      </c>
      <c r="K535" s="16">
        <v>119.99</v>
      </c>
      <c r="L535" s="10"/>
      <c r="M535" s="16">
        <v>0</v>
      </c>
      <c r="N535" s="16">
        <v>0</v>
      </c>
      <c r="O535" s="18">
        <v>0</v>
      </c>
      <c r="P535" s="18" t="s">
        <v>95</v>
      </c>
      <c r="Q535" s="18">
        <v>4.795708</v>
      </c>
      <c r="R535" s="10"/>
      <c r="S535" s="16">
        <v>96</v>
      </c>
      <c r="T535" s="16">
        <v>10</v>
      </c>
      <c r="U535" s="18" t="s">
        <v>1518</v>
      </c>
      <c r="V535" s="18" t="s">
        <v>282</v>
      </c>
      <c r="W535" s="13"/>
      <c r="X535" s="13"/>
      <c r="Y535" s="18" t="s">
        <v>255</v>
      </c>
      <c r="Z535" s="18" t="s">
        <v>82</v>
      </c>
      <c r="AA535" s="18" t="s">
        <v>83</v>
      </c>
      <c r="AB535" s="18" t="s">
        <v>84</v>
      </c>
      <c r="AC535" s="18" t="s">
        <v>85</v>
      </c>
      <c r="AD535" s="18">
        <v>234.98</v>
      </c>
      <c r="AE535" s="18">
        <v>0</v>
      </c>
      <c r="AF535" s="18">
        <v>0</v>
      </c>
      <c r="AG535" s="18">
        <v>1</v>
      </c>
      <c r="AH535" s="18">
        <v>0</v>
      </c>
      <c r="AI535" s="18">
        <v>1</v>
      </c>
      <c r="AJ535" s="18">
        <v>0</v>
      </c>
      <c r="AK535" s="18">
        <v>1</v>
      </c>
      <c r="AL535" s="18">
        <v>0</v>
      </c>
      <c r="AM535" s="18">
        <v>0</v>
      </c>
      <c r="AN535" s="18">
        <v>0</v>
      </c>
      <c r="AO535" s="18">
        <v>0</v>
      </c>
      <c r="AP535" s="18">
        <v>0</v>
      </c>
      <c r="AQ535" s="18">
        <v>0</v>
      </c>
      <c r="AR535" s="18">
        <v>0</v>
      </c>
      <c r="AS535" s="18">
        <v>0</v>
      </c>
      <c r="AT535" s="18">
        <v>1</v>
      </c>
      <c r="AU535" s="18">
        <v>0</v>
      </c>
      <c r="AV535" s="18">
        <v>0</v>
      </c>
      <c r="AW535" s="18">
        <v>1</v>
      </c>
      <c r="AX535" s="18">
        <v>0</v>
      </c>
      <c r="AY535" s="13"/>
      <c r="AZ535" s="18">
        <v>2</v>
      </c>
      <c r="BA535" s="18">
        <v>1</v>
      </c>
      <c r="BB535" s="18">
        <v>63.53</v>
      </c>
      <c r="BC535" s="18" t="s">
        <v>285</v>
      </c>
      <c r="BD535" s="18" t="s">
        <v>1519</v>
      </c>
      <c r="BE535" s="18" t="s">
        <v>113</v>
      </c>
      <c r="BF535" s="18" t="s">
        <v>77</v>
      </c>
      <c r="BG535" s="18">
        <v>1</v>
      </c>
      <c r="BH535" s="18">
        <v>20</v>
      </c>
      <c r="BI535" s="18">
        <v>0.0476</v>
      </c>
      <c r="BJ535" s="18">
        <v>1</v>
      </c>
      <c r="BK535" s="18">
        <v>33</v>
      </c>
      <c r="BL535" s="18">
        <v>91</v>
      </c>
      <c r="BM535" s="13">
        <f t="shared" si="0"/>
        <v>11519.04</v>
      </c>
    </row>
    <row r="536" customHeight="1" spans="1:65">
      <c r="A536" s="18" t="s">
        <v>1221</v>
      </c>
      <c r="B536" s="18" t="s">
        <v>282</v>
      </c>
      <c r="C536" s="13"/>
      <c r="D536" s="13"/>
      <c r="E536" s="18" t="s">
        <v>250</v>
      </c>
      <c r="F536" s="18" t="s">
        <v>82</v>
      </c>
      <c r="G536" s="18" t="s">
        <v>83</v>
      </c>
      <c r="H536" s="18" t="s">
        <v>84</v>
      </c>
      <c r="I536" s="18" t="s">
        <v>85</v>
      </c>
      <c r="J536" s="18">
        <v>5</v>
      </c>
      <c r="K536" s="16">
        <v>20.99</v>
      </c>
      <c r="L536" s="10"/>
      <c r="M536" s="16">
        <v>0</v>
      </c>
      <c r="N536" s="16">
        <v>0</v>
      </c>
      <c r="O536" s="18">
        <v>0</v>
      </c>
      <c r="P536" s="18" t="s">
        <v>133</v>
      </c>
      <c r="Q536" s="18">
        <v>3.090588</v>
      </c>
      <c r="R536" s="10"/>
      <c r="S536" s="16">
        <v>37</v>
      </c>
      <c r="T536" s="16">
        <v>10</v>
      </c>
      <c r="U536" s="18" t="s">
        <v>1221</v>
      </c>
      <c r="V536" s="18" t="s">
        <v>282</v>
      </c>
      <c r="W536" s="13"/>
      <c r="X536" s="13"/>
      <c r="Y536" s="18" t="s">
        <v>250</v>
      </c>
      <c r="Z536" s="18" t="s">
        <v>82</v>
      </c>
      <c r="AA536" s="18" t="s">
        <v>83</v>
      </c>
      <c r="AB536" s="18" t="s">
        <v>84</v>
      </c>
      <c r="AC536" s="18" t="s">
        <v>85</v>
      </c>
      <c r="AD536" s="18">
        <v>36.98</v>
      </c>
      <c r="AE536" s="18">
        <v>0</v>
      </c>
      <c r="AF536" s="18">
        <v>0</v>
      </c>
      <c r="AG536" s="18">
        <v>0</v>
      </c>
      <c r="AH536" s="18">
        <v>0</v>
      </c>
      <c r="AI536" s="18">
        <v>0</v>
      </c>
      <c r="AJ536" s="18">
        <v>0</v>
      </c>
      <c r="AK536" s="18">
        <v>0</v>
      </c>
      <c r="AL536" s="18">
        <v>0</v>
      </c>
      <c r="AM536" s="18">
        <v>0</v>
      </c>
      <c r="AN536" s="18">
        <v>0</v>
      </c>
      <c r="AO536" s="18">
        <v>0</v>
      </c>
      <c r="AP536" s="18">
        <v>0</v>
      </c>
      <c r="AQ536" s="18">
        <v>0</v>
      </c>
      <c r="AR536" s="18">
        <v>0</v>
      </c>
      <c r="AS536" s="18">
        <v>0</v>
      </c>
      <c r="AT536" s="18">
        <v>1</v>
      </c>
      <c r="AU536" s="18">
        <v>0</v>
      </c>
      <c r="AV536" s="18">
        <v>0</v>
      </c>
      <c r="AW536" s="18">
        <v>0</v>
      </c>
      <c r="AX536" s="18">
        <v>0</v>
      </c>
      <c r="AY536" s="13"/>
      <c r="AZ536" s="18">
        <v>1</v>
      </c>
      <c r="BA536" s="18">
        <v>1</v>
      </c>
      <c r="BB536" s="18">
        <v>61.34</v>
      </c>
      <c r="BC536" s="18" t="s">
        <v>285</v>
      </c>
      <c r="BD536" s="18" t="s">
        <v>356</v>
      </c>
      <c r="BE536" s="18" t="s">
        <v>287</v>
      </c>
      <c r="BF536" s="18" t="s">
        <v>77</v>
      </c>
      <c r="BG536" s="18">
        <v>1</v>
      </c>
      <c r="BH536" s="18">
        <v>226</v>
      </c>
      <c r="BI536" s="18">
        <v>0.0044</v>
      </c>
      <c r="BJ536" s="18">
        <v>1</v>
      </c>
      <c r="BK536" s="18">
        <v>2</v>
      </c>
      <c r="BL536" s="18">
        <v>99.5</v>
      </c>
      <c r="BM536" s="13">
        <f t="shared" si="0"/>
        <v>776.63</v>
      </c>
    </row>
    <row r="537" customHeight="1" spans="1:65">
      <c r="A537" s="18" t="s">
        <v>1557</v>
      </c>
      <c r="B537" s="18" t="s">
        <v>282</v>
      </c>
      <c r="C537" s="13"/>
      <c r="D537" s="13"/>
      <c r="E537" s="18" t="s">
        <v>255</v>
      </c>
      <c r="F537" s="18" t="s">
        <v>160</v>
      </c>
      <c r="G537" s="18" t="s">
        <v>83</v>
      </c>
      <c r="H537" s="18" t="s">
        <v>84</v>
      </c>
      <c r="I537" s="18" t="s">
        <v>85</v>
      </c>
      <c r="J537" s="18">
        <v>5</v>
      </c>
      <c r="K537" s="16">
        <v>316.34</v>
      </c>
      <c r="L537" s="10"/>
      <c r="M537" s="16">
        <v>0</v>
      </c>
      <c r="N537" s="16">
        <v>0</v>
      </c>
      <c r="O537" s="18">
        <v>0</v>
      </c>
      <c r="P537" s="18" t="s">
        <v>71</v>
      </c>
      <c r="Q537" s="18">
        <v>5.759974</v>
      </c>
      <c r="R537" s="16">
        <v>19.77</v>
      </c>
      <c r="S537" s="16">
        <v>68</v>
      </c>
      <c r="T537" s="16">
        <v>9</v>
      </c>
      <c r="U537" s="18" t="s">
        <v>1557</v>
      </c>
      <c r="V537" s="18" t="s">
        <v>282</v>
      </c>
      <c r="W537" s="13"/>
      <c r="X537" s="13"/>
      <c r="Y537" s="18" t="s">
        <v>255</v>
      </c>
      <c r="Z537" s="18" t="s">
        <v>160</v>
      </c>
      <c r="AA537" s="18" t="s">
        <v>83</v>
      </c>
      <c r="AB537" s="18" t="s">
        <v>84</v>
      </c>
      <c r="AC537" s="18" t="s">
        <v>85</v>
      </c>
      <c r="AD537" s="18">
        <v>627.68</v>
      </c>
      <c r="AE537" s="18">
        <v>0</v>
      </c>
      <c r="AF537" s="18">
        <v>0</v>
      </c>
      <c r="AG537" s="18">
        <v>0</v>
      </c>
      <c r="AH537" s="18">
        <v>0</v>
      </c>
      <c r="AI537" s="18">
        <v>0</v>
      </c>
      <c r="AJ537" s="18">
        <v>0</v>
      </c>
      <c r="AK537" s="18">
        <v>0</v>
      </c>
      <c r="AL537" s="18">
        <v>1</v>
      </c>
      <c r="AM537" s="18">
        <v>1</v>
      </c>
      <c r="AN537" s="18">
        <v>0</v>
      </c>
      <c r="AO537" s="18">
        <v>0</v>
      </c>
      <c r="AP537" s="18">
        <v>0</v>
      </c>
      <c r="AQ537" s="18">
        <v>1</v>
      </c>
      <c r="AR537" s="18">
        <v>0</v>
      </c>
      <c r="AS537" s="18">
        <v>0</v>
      </c>
      <c r="AT537" s="18">
        <v>1</v>
      </c>
      <c r="AU537" s="18">
        <v>0</v>
      </c>
      <c r="AV537" s="18">
        <v>1</v>
      </c>
      <c r="AW537" s="18">
        <v>1</v>
      </c>
      <c r="AX537" s="18">
        <v>0</v>
      </c>
      <c r="AY537" s="18">
        <v>16</v>
      </c>
      <c r="AZ537" s="18">
        <v>1</v>
      </c>
      <c r="BA537" s="18">
        <v>2</v>
      </c>
      <c r="BB537" s="18">
        <v>64.42</v>
      </c>
      <c r="BC537" s="18" t="s">
        <v>285</v>
      </c>
      <c r="BD537" s="18" t="s">
        <v>356</v>
      </c>
      <c r="BE537" s="18" t="s">
        <v>287</v>
      </c>
      <c r="BF537" s="18" t="s">
        <v>77</v>
      </c>
      <c r="BG537" s="18">
        <v>1</v>
      </c>
      <c r="BH537" s="18">
        <v>20</v>
      </c>
      <c r="BI537" s="18">
        <v>0.0476</v>
      </c>
      <c r="BJ537" s="18">
        <v>1</v>
      </c>
      <c r="BK537" s="18">
        <v>11</v>
      </c>
      <c r="BL537" s="18">
        <v>97</v>
      </c>
      <c r="BM537" s="13">
        <f t="shared" si="0"/>
        <v>21511.12</v>
      </c>
    </row>
    <row r="538" customHeight="1" spans="1:65">
      <c r="A538" s="18" t="s">
        <v>2057</v>
      </c>
      <c r="B538" s="18" t="s">
        <v>282</v>
      </c>
      <c r="C538" s="13"/>
      <c r="D538" s="13"/>
      <c r="E538" s="18" t="s">
        <v>255</v>
      </c>
      <c r="F538" s="18" t="s">
        <v>82</v>
      </c>
      <c r="G538" s="18" t="s">
        <v>83</v>
      </c>
      <c r="H538" s="18" t="s">
        <v>84</v>
      </c>
      <c r="I538" s="18" t="s">
        <v>85</v>
      </c>
      <c r="J538" s="18">
        <v>5</v>
      </c>
      <c r="K538" s="16">
        <v>55.99</v>
      </c>
      <c r="L538" s="10"/>
      <c r="M538" s="16">
        <v>0</v>
      </c>
      <c r="N538" s="16">
        <v>0</v>
      </c>
      <c r="O538" s="18">
        <v>0</v>
      </c>
      <c r="P538" s="18" t="s">
        <v>86</v>
      </c>
      <c r="Q538" s="18">
        <v>4.042876</v>
      </c>
      <c r="R538" s="10"/>
      <c r="S538" s="16">
        <v>29</v>
      </c>
      <c r="T538" s="16">
        <v>10</v>
      </c>
      <c r="U538" s="18" t="s">
        <v>2057</v>
      </c>
      <c r="V538" s="18" t="s">
        <v>282</v>
      </c>
      <c r="W538" s="13"/>
      <c r="X538" s="13"/>
      <c r="Y538" s="18" t="s">
        <v>255</v>
      </c>
      <c r="Z538" s="18" t="s">
        <v>82</v>
      </c>
      <c r="AA538" s="18" t="s">
        <v>83</v>
      </c>
      <c r="AB538" s="18" t="s">
        <v>84</v>
      </c>
      <c r="AC538" s="18" t="s">
        <v>85</v>
      </c>
      <c r="AD538" s="18">
        <v>106.98</v>
      </c>
      <c r="AE538" s="18">
        <v>0</v>
      </c>
      <c r="AF538" s="18">
        <v>0</v>
      </c>
      <c r="AG538" s="18">
        <v>1</v>
      </c>
      <c r="AH538" s="18">
        <v>0</v>
      </c>
      <c r="AI538" s="18">
        <v>1</v>
      </c>
      <c r="AJ538" s="18">
        <v>0</v>
      </c>
      <c r="AK538" s="18">
        <v>1</v>
      </c>
      <c r="AL538" s="18">
        <v>0</v>
      </c>
      <c r="AM538" s="18">
        <v>0</v>
      </c>
      <c r="AN538" s="18">
        <v>0</v>
      </c>
      <c r="AO538" s="18">
        <v>0</v>
      </c>
      <c r="AP538" s="18">
        <v>0</v>
      </c>
      <c r="AQ538" s="18">
        <v>1</v>
      </c>
      <c r="AR538" s="18">
        <v>0</v>
      </c>
      <c r="AS538" s="18">
        <v>0</v>
      </c>
      <c r="AT538" s="18">
        <v>1</v>
      </c>
      <c r="AU538" s="18">
        <v>0</v>
      </c>
      <c r="AV538" s="18">
        <v>1</v>
      </c>
      <c r="AW538" s="18">
        <v>0</v>
      </c>
      <c r="AX538" s="18">
        <v>0</v>
      </c>
      <c r="AY538" s="13"/>
      <c r="AZ538" s="18">
        <v>1</v>
      </c>
      <c r="BA538" s="18">
        <v>2</v>
      </c>
      <c r="BB538" s="18">
        <v>59.41</v>
      </c>
      <c r="BC538" s="18" t="s">
        <v>285</v>
      </c>
      <c r="BD538" s="18" t="s">
        <v>1216</v>
      </c>
      <c r="BE538" s="18" t="s">
        <v>128</v>
      </c>
      <c r="BF538" s="18" t="s">
        <v>77</v>
      </c>
      <c r="BG538" s="18">
        <v>1</v>
      </c>
      <c r="BH538" s="18">
        <v>226</v>
      </c>
      <c r="BI538" s="18">
        <v>0.0044</v>
      </c>
      <c r="BJ538" s="18">
        <v>1</v>
      </c>
      <c r="BK538" s="18">
        <v>4</v>
      </c>
      <c r="BL538" s="18">
        <v>98.9</v>
      </c>
      <c r="BM538" s="13">
        <f t="shared" si="0"/>
        <v>1623.71</v>
      </c>
    </row>
    <row r="539" customHeight="1" spans="1:65">
      <c r="A539" s="18" t="s">
        <v>1215</v>
      </c>
      <c r="B539" s="18" t="s">
        <v>282</v>
      </c>
      <c r="C539" s="13"/>
      <c r="D539" s="18">
        <v>612068820645</v>
      </c>
      <c r="E539" s="18" t="s">
        <v>239</v>
      </c>
      <c r="F539" s="18" t="s">
        <v>160</v>
      </c>
      <c r="G539" s="18" t="s">
        <v>83</v>
      </c>
      <c r="H539" s="18" t="s">
        <v>84</v>
      </c>
      <c r="I539" s="18" t="s">
        <v>85</v>
      </c>
      <c r="J539" s="18">
        <v>5</v>
      </c>
      <c r="K539" s="16">
        <v>65.99</v>
      </c>
      <c r="L539" s="10"/>
      <c r="M539" s="16">
        <v>0</v>
      </c>
      <c r="N539" s="16">
        <v>0</v>
      </c>
      <c r="O539" s="18">
        <v>0</v>
      </c>
      <c r="P539" s="18" t="s">
        <v>86</v>
      </c>
      <c r="Q539" s="18">
        <v>4.204543</v>
      </c>
      <c r="R539" s="16">
        <v>8.25</v>
      </c>
      <c r="S539" s="16">
        <v>2398</v>
      </c>
      <c r="T539" s="16">
        <v>10</v>
      </c>
      <c r="U539" s="18" t="s">
        <v>1215</v>
      </c>
      <c r="V539" s="18" t="s">
        <v>282</v>
      </c>
      <c r="W539" s="13"/>
      <c r="X539" s="18">
        <v>612068820646</v>
      </c>
      <c r="Y539" s="18" t="s">
        <v>239</v>
      </c>
      <c r="Z539" s="18" t="s">
        <v>160</v>
      </c>
      <c r="AA539" s="18" t="s">
        <v>83</v>
      </c>
      <c r="AB539" s="18" t="s">
        <v>84</v>
      </c>
      <c r="AC539" s="18" t="s">
        <v>85</v>
      </c>
      <c r="AD539" s="18">
        <v>126.98</v>
      </c>
      <c r="AE539" s="18">
        <v>0</v>
      </c>
      <c r="AF539" s="18">
        <v>0</v>
      </c>
      <c r="AG539" s="18">
        <v>0</v>
      </c>
      <c r="AH539" s="18">
        <v>0</v>
      </c>
      <c r="AI539" s="18">
        <v>0</v>
      </c>
      <c r="AJ539" s="18">
        <v>0</v>
      </c>
      <c r="AK539" s="18">
        <v>0</v>
      </c>
      <c r="AL539" s="18">
        <v>1</v>
      </c>
      <c r="AM539" s="18">
        <v>1</v>
      </c>
      <c r="AN539" s="18">
        <v>0</v>
      </c>
      <c r="AO539" s="18">
        <v>0</v>
      </c>
      <c r="AP539" s="18">
        <v>0</v>
      </c>
      <c r="AQ539" s="18">
        <v>1</v>
      </c>
      <c r="AR539" s="18">
        <v>0</v>
      </c>
      <c r="AS539" s="18">
        <v>0</v>
      </c>
      <c r="AT539" s="18">
        <v>0</v>
      </c>
      <c r="AU539" s="18">
        <v>0</v>
      </c>
      <c r="AV539" s="18">
        <v>1</v>
      </c>
      <c r="AW539" s="18">
        <v>0</v>
      </c>
      <c r="AX539" s="18">
        <v>0</v>
      </c>
      <c r="AY539" s="18">
        <v>8</v>
      </c>
      <c r="AZ539" s="18">
        <v>1</v>
      </c>
      <c r="BA539" s="18">
        <v>2</v>
      </c>
      <c r="BB539" s="18">
        <v>69.68</v>
      </c>
      <c r="BC539" s="18" t="s">
        <v>285</v>
      </c>
      <c r="BD539" s="18" t="s">
        <v>1216</v>
      </c>
      <c r="BE539" s="18" t="s">
        <v>128</v>
      </c>
      <c r="BF539" s="18" t="s">
        <v>77</v>
      </c>
      <c r="BG539" s="18">
        <v>1</v>
      </c>
      <c r="BH539" s="18">
        <v>226</v>
      </c>
      <c r="BI539" s="18">
        <v>0.0044</v>
      </c>
      <c r="BJ539" s="18">
        <v>1</v>
      </c>
      <c r="BK539" s="18">
        <v>2</v>
      </c>
      <c r="BL539" s="18">
        <v>99.5</v>
      </c>
      <c r="BM539" s="13">
        <f t="shared" si="0"/>
        <v>158244.02</v>
      </c>
    </row>
    <row r="540" customHeight="1" spans="1:65">
      <c r="A540" s="18" t="s">
        <v>374</v>
      </c>
      <c r="B540" s="18" t="s">
        <v>282</v>
      </c>
      <c r="C540" s="13"/>
      <c r="D540" s="13"/>
      <c r="E540" s="18" t="s">
        <v>375</v>
      </c>
      <c r="F540" s="18" t="s">
        <v>160</v>
      </c>
      <c r="G540" s="18" t="s">
        <v>83</v>
      </c>
      <c r="H540" s="18" t="s">
        <v>84</v>
      </c>
      <c r="I540" s="18" t="s">
        <v>85</v>
      </c>
      <c r="J540" s="18">
        <v>5</v>
      </c>
      <c r="K540" s="16">
        <v>339.99</v>
      </c>
      <c r="L540" s="10"/>
      <c r="M540" s="16">
        <v>0</v>
      </c>
      <c r="N540" s="16">
        <v>0</v>
      </c>
      <c r="O540" s="18">
        <v>0</v>
      </c>
      <c r="P540" s="18" t="s">
        <v>71</v>
      </c>
      <c r="Q540" s="18">
        <v>5.831853</v>
      </c>
      <c r="R540" s="16">
        <v>42.5</v>
      </c>
      <c r="S540" s="16">
        <v>26</v>
      </c>
      <c r="T540" s="16">
        <v>10</v>
      </c>
      <c r="U540" s="18" t="s">
        <v>374</v>
      </c>
      <c r="V540" s="18" t="s">
        <v>282</v>
      </c>
      <c r="W540" s="13"/>
      <c r="X540" s="13"/>
      <c r="Y540" s="18" t="s">
        <v>375</v>
      </c>
      <c r="Z540" s="18" t="s">
        <v>160</v>
      </c>
      <c r="AA540" s="18" t="s">
        <v>83</v>
      </c>
      <c r="AB540" s="18" t="s">
        <v>84</v>
      </c>
      <c r="AC540" s="18" t="s">
        <v>85</v>
      </c>
      <c r="AD540" s="18">
        <v>674.98</v>
      </c>
      <c r="AE540" s="18">
        <v>0</v>
      </c>
      <c r="AF540" s="18">
        <v>0</v>
      </c>
      <c r="AG540" s="18">
        <v>1</v>
      </c>
      <c r="AH540" s="18">
        <v>0</v>
      </c>
      <c r="AI540" s="18">
        <v>1</v>
      </c>
      <c r="AJ540" s="18">
        <v>0</v>
      </c>
      <c r="AK540" s="18">
        <v>0</v>
      </c>
      <c r="AL540" s="18">
        <v>1</v>
      </c>
      <c r="AM540" s="18">
        <v>1</v>
      </c>
      <c r="AN540" s="18">
        <v>0</v>
      </c>
      <c r="AO540" s="18">
        <v>0</v>
      </c>
      <c r="AP540" s="18">
        <v>0</v>
      </c>
      <c r="AQ540" s="18">
        <v>1</v>
      </c>
      <c r="AR540" s="18">
        <v>0</v>
      </c>
      <c r="AS540" s="18">
        <v>0</v>
      </c>
      <c r="AT540" s="18">
        <v>0</v>
      </c>
      <c r="AU540" s="18">
        <v>0</v>
      </c>
      <c r="AV540" s="18">
        <v>1</v>
      </c>
      <c r="AW540" s="18">
        <v>1</v>
      </c>
      <c r="AX540" s="18">
        <v>0</v>
      </c>
      <c r="AY540" s="18">
        <v>8</v>
      </c>
      <c r="AZ540" s="18">
        <v>1</v>
      </c>
      <c r="BA540" s="18">
        <v>3</v>
      </c>
      <c r="BB540" s="18">
        <v>58.23</v>
      </c>
      <c r="BC540" s="18" t="s">
        <v>285</v>
      </c>
      <c r="BD540" s="18" t="s">
        <v>286</v>
      </c>
      <c r="BE540" s="18" t="s">
        <v>287</v>
      </c>
      <c r="BF540" s="18" t="s">
        <v>77</v>
      </c>
      <c r="BG540" s="18">
        <v>1</v>
      </c>
      <c r="BH540" s="18">
        <v>20</v>
      </c>
      <c r="BI540" s="18">
        <v>0.0476</v>
      </c>
      <c r="BJ540" s="18">
        <v>1</v>
      </c>
      <c r="BK540" s="18">
        <v>8</v>
      </c>
      <c r="BL540" s="18">
        <v>97.8</v>
      </c>
      <c r="BM540" s="13">
        <f t="shared" si="0"/>
        <v>8839.74</v>
      </c>
    </row>
    <row r="541" customHeight="1" spans="1:65">
      <c r="A541" s="18" t="s">
        <v>519</v>
      </c>
      <c r="B541" s="18" t="s">
        <v>282</v>
      </c>
      <c r="C541" s="13"/>
      <c r="D541" s="13"/>
      <c r="E541" s="18" t="s">
        <v>375</v>
      </c>
      <c r="F541" s="18" t="s">
        <v>160</v>
      </c>
      <c r="G541" s="18" t="s">
        <v>83</v>
      </c>
      <c r="H541" s="18" t="s">
        <v>84</v>
      </c>
      <c r="I541" s="18" t="s">
        <v>85</v>
      </c>
      <c r="J541" s="18">
        <v>5</v>
      </c>
      <c r="K541" s="16">
        <v>369.99</v>
      </c>
      <c r="L541" s="10"/>
      <c r="M541" s="16">
        <v>0</v>
      </c>
      <c r="N541" s="16">
        <v>0</v>
      </c>
      <c r="O541" s="18">
        <v>0</v>
      </c>
      <c r="P541" s="18" t="s">
        <v>71</v>
      </c>
      <c r="Q541" s="18">
        <v>5.916175</v>
      </c>
      <c r="R541" s="16">
        <v>46.25</v>
      </c>
      <c r="S541" s="16">
        <v>50</v>
      </c>
      <c r="T541" s="16">
        <v>3</v>
      </c>
      <c r="U541" s="18" t="s">
        <v>519</v>
      </c>
      <c r="V541" s="18" t="s">
        <v>282</v>
      </c>
      <c r="W541" s="13"/>
      <c r="X541" s="13"/>
      <c r="Y541" s="18" t="s">
        <v>375</v>
      </c>
      <c r="Z541" s="18" t="s">
        <v>160</v>
      </c>
      <c r="AA541" s="18" t="s">
        <v>83</v>
      </c>
      <c r="AB541" s="18" t="s">
        <v>84</v>
      </c>
      <c r="AC541" s="18" t="s">
        <v>85</v>
      </c>
      <c r="AD541" s="18">
        <v>734.98</v>
      </c>
      <c r="AE541" s="18">
        <v>0</v>
      </c>
      <c r="AF541" s="18">
        <v>0</v>
      </c>
      <c r="AG541" s="18">
        <v>1</v>
      </c>
      <c r="AH541" s="18">
        <v>0</v>
      </c>
      <c r="AI541" s="18">
        <v>1</v>
      </c>
      <c r="AJ541" s="18">
        <v>0</v>
      </c>
      <c r="AK541" s="18">
        <v>0</v>
      </c>
      <c r="AL541" s="18">
        <v>0</v>
      </c>
      <c r="AM541" s="18">
        <v>1</v>
      </c>
      <c r="AN541" s="18">
        <v>0</v>
      </c>
      <c r="AO541" s="18">
        <v>0</v>
      </c>
      <c r="AP541" s="18">
        <v>0</v>
      </c>
      <c r="AQ541" s="18">
        <v>1</v>
      </c>
      <c r="AR541" s="18">
        <v>0</v>
      </c>
      <c r="AS541" s="18">
        <v>0</v>
      </c>
      <c r="AT541" s="18">
        <v>0</v>
      </c>
      <c r="AU541" s="18">
        <v>0</v>
      </c>
      <c r="AV541" s="18">
        <v>1</v>
      </c>
      <c r="AW541" s="18">
        <v>1</v>
      </c>
      <c r="AX541" s="18">
        <v>0</v>
      </c>
      <c r="AY541" s="18">
        <v>8</v>
      </c>
      <c r="AZ541" s="18">
        <v>1</v>
      </c>
      <c r="BA541" s="18">
        <v>2</v>
      </c>
      <c r="BB541" s="18">
        <v>67.5</v>
      </c>
      <c r="BC541" s="18" t="s">
        <v>285</v>
      </c>
      <c r="BD541" s="18" t="s">
        <v>286</v>
      </c>
      <c r="BE541" s="18" t="s">
        <v>287</v>
      </c>
      <c r="BF541" s="18" t="s">
        <v>77</v>
      </c>
      <c r="BG541" s="18">
        <v>1</v>
      </c>
      <c r="BH541" s="18">
        <v>28</v>
      </c>
      <c r="BI541" s="18">
        <v>0.0345</v>
      </c>
      <c r="BJ541" s="18">
        <v>1</v>
      </c>
      <c r="BK541" s="18">
        <v>3</v>
      </c>
      <c r="BL541" s="18">
        <v>99.2</v>
      </c>
      <c r="BM541" s="13">
        <f t="shared" si="0"/>
        <v>18499.5</v>
      </c>
    </row>
    <row r="542" customHeight="1" spans="1:65">
      <c r="A542" s="18" t="s">
        <v>1822</v>
      </c>
      <c r="B542" s="18" t="s">
        <v>282</v>
      </c>
      <c r="C542" s="13"/>
      <c r="D542" s="13"/>
      <c r="E542" s="18" t="s">
        <v>1823</v>
      </c>
      <c r="F542" s="18" t="s">
        <v>160</v>
      </c>
      <c r="G542" s="18" t="s">
        <v>83</v>
      </c>
      <c r="H542" s="18" t="s">
        <v>84</v>
      </c>
      <c r="I542" s="18" t="s">
        <v>85</v>
      </c>
      <c r="J542" s="18">
        <v>5</v>
      </c>
      <c r="K542" s="16">
        <v>409.99</v>
      </c>
      <c r="L542" s="10"/>
      <c r="M542" s="16">
        <v>0</v>
      </c>
      <c r="N542" s="16">
        <v>0</v>
      </c>
      <c r="O542" s="18">
        <v>0</v>
      </c>
      <c r="P542" s="18" t="s">
        <v>71</v>
      </c>
      <c r="Q542" s="18">
        <v>6.018569</v>
      </c>
      <c r="R542" s="16">
        <v>25.62</v>
      </c>
      <c r="S542" s="16">
        <v>131</v>
      </c>
      <c r="T542" s="16">
        <v>10</v>
      </c>
      <c r="U542" s="18" t="s">
        <v>1822</v>
      </c>
      <c r="V542" s="18" t="s">
        <v>282</v>
      </c>
      <c r="W542" s="13"/>
      <c r="X542" s="13"/>
      <c r="Y542" s="18" t="s">
        <v>2655</v>
      </c>
      <c r="Z542" s="18" t="s">
        <v>160</v>
      </c>
      <c r="AA542" s="18" t="s">
        <v>83</v>
      </c>
      <c r="AB542" s="18" t="s">
        <v>84</v>
      </c>
      <c r="AC542" s="18" t="s">
        <v>85</v>
      </c>
      <c r="AD542" s="18">
        <v>814.98</v>
      </c>
      <c r="AE542" s="18">
        <v>0</v>
      </c>
      <c r="AF542" s="18">
        <v>0</v>
      </c>
      <c r="AG542" s="18">
        <v>0</v>
      </c>
      <c r="AH542" s="18">
        <v>0</v>
      </c>
      <c r="AI542" s="18">
        <v>0</v>
      </c>
      <c r="AJ542" s="18">
        <v>0</v>
      </c>
      <c r="AK542" s="18">
        <v>0</v>
      </c>
      <c r="AL542" s="18">
        <v>0</v>
      </c>
      <c r="AM542" s="18">
        <v>0</v>
      </c>
      <c r="AN542" s="18">
        <v>0</v>
      </c>
      <c r="AO542" s="18">
        <v>0</v>
      </c>
      <c r="AP542" s="18">
        <v>0</v>
      </c>
      <c r="AQ542" s="18">
        <v>1</v>
      </c>
      <c r="AR542" s="18">
        <v>0</v>
      </c>
      <c r="AS542" s="18">
        <v>0</v>
      </c>
      <c r="AT542" s="18">
        <v>0</v>
      </c>
      <c r="AU542" s="18">
        <v>0</v>
      </c>
      <c r="AV542" s="18">
        <v>1</v>
      </c>
      <c r="AW542" s="18">
        <v>1</v>
      </c>
      <c r="AX542" s="18">
        <v>0</v>
      </c>
      <c r="AY542" s="18">
        <v>16</v>
      </c>
      <c r="AZ542" s="18">
        <v>1</v>
      </c>
      <c r="BA542" s="18">
        <v>1</v>
      </c>
      <c r="BB542" s="18">
        <v>67.01</v>
      </c>
      <c r="BC542" s="18" t="s">
        <v>285</v>
      </c>
      <c r="BD542" s="18" t="s">
        <v>286</v>
      </c>
      <c r="BE542" s="18" t="s">
        <v>287</v>
      </c>
      <c r="BF542" s="18" t="s">
        <v>77</v>
      </c>
      <c r="BG542" s="18">
        <v>1</v>
      </c>
      <c r="BH542" s="18">
        <v>20</v>
      </c>
      <c r="BI542" s="18">
        <v>0.0476</v>
      </c>
      <c r="BJ542" s="18">
        <v>1</v>
      </c>
      <c r="BK542" s="18">
        <v>2</v>
      </c>
      <c r="BL542" s="18">
        <v>99.5</v>
      </c>
      <c r="BM542" s="13">
        <f t="shared" si="0"/>
        <v>53708.69</v>
      </c>
    </row>
    <row r="543" customHeight="1" spans="1:65">
      <c r="A543" s="18" t="s">
        <v>281</v>
      </c>
      <c r="B543" s="18" t="s">
        <v>282</v>
      </c>
      <c r="C543" s="18" t="s">
        <v>283</v>
      </c>
      <c r="D543" s="13"/>
      <c r="E543" s="18" t="s">
        <v>284</v>
      </c>
      <c r="F543" s="18" t="s">
        <v>132</v>
      </c>
      <c r="G543" s="18" t="s">
        <v>83</v>
      </c>
      <c r="H543" s="18" t="s">
        <v>84</v>
      </c>
      <c r="I543" s="18" t="s">
        <v>85</v>
      </c>
      <c r="J543" s="18">
        <v>5</v>
      </c>
      <c r="K543" s="16">
        <v>12.99</v>
      </c>
      <c r="L543" s="10"/>
      <c r="M543" s="16">
        <v>0</v>
      </c>
      <c r="N543" s="16">
        <v>0</v>
      </c>
      <c r="O543" s="18">
        <v>0</v>
      </c>
      <c r="P543" s="18" t="s">
        <v>133</v>
      </c>
      <c r="Q543" s="18">
        <v>2.638343</v>
      </c>
      <c r="R543" s="10"/>
      <c r="S543" s="16">
        <v>785</v>
      </c>
      <c r="T543" s="16">
        <v>10</v>
      </c>
      <c r="U543" s="18" t="s">
        <v>281</v>
      </c>
      <c r="V543" s="18" t="s">
        <v>282</v>
      </c>
      <c r="W543" s="18" t="s">
        <v>283</v>
      </c>
      <c r="X543" s="13"/>
      <c r="Y543" s="18" t="s">
        <v>284</v>
      </c>
      <c r="Z543" s="18" t="s">
        <v>132</v>
      </c>
      <c r="AA543" s="18" t="s">
        <v>83</v>
      </c>
      <c r="AB543" s="18" t="s">
        <v>84</v>
      </c>
      <c r="AC543" s="18" t="s">
        <v>85</v>
      </c>
      <c r="AD543" s="18">
        <v>20.98</v>
      </c>
      <c r="AE543" s="18">
        <v>0</v>
      </c>
      <c r="AF543" s="18">
        <v>0</v>
      </c>
      <c r="AG543" s="18">
        <v>0</v>
      </c>
      <c r="AH543" s="18">
        <v>0</v>
      </c>
      <c r="AI543" s="18">
        <v>0</v>
      </c>
      <c r="AJ543" s="18">
        <v>0</v>
      </c>
      <c r="AK543" s="18">
        <v>0</v>
      </c>
      <c r="AL543" s="18">
        <v>0</v>
      </c>
      <c r="AM543" s="18">
        <v>0</v>
      </c>
      <c r="AN543" s="18">
        <v>0</v>
      </c>
      <c r="AO543" s="18">
        <v>0</v>
      </c>
      <c r="AP543" s="18">
        <v>0</v>
      </c>
      <c r="AQ543" s="18">
        <v>0</v>
      </c>
      <c r="AR543" s="18">
        <v>0</v>
      </c>
      <c r="AS543" s="18">
        <v>0</v>
      </c>
      <c r="AT543" s="18">
        <v>0</v>
      </c>
      <c r="AU543" s="18">
        <v>0</v>
      </c>
      <c r="AV543" s="18">
        <v>0</v>
      </c>
      <c r="AW543" s="18">
        <v>0</v>
      </c>
      <c r="AX543" s="18">
        <v>0</v>
      </c>
      <c r="AY543" s="13"/>
      <c r="AZ543" s="18">
        <v>1</v>
      </c>
      <c r="BA543" s="18">
        <v>0</v>
      </c>
      <c r="BB543" s="18">
        <v>69.26</v>
      </c>
      <c r="BC543" s="18" t="s">
        <v>285</v>
      </c>
      <c r="BD543" s="18" t="s">
        <v>286</v>
      </c>
      <c r="BE543" s="18" t="s">
        <v>287</v>
      </c>
      <c r="BF543" s="18" t="s">
        <v>77</v>
      </c>
      <c r="BG543" s="18">
        <v>1</v>
      </c>
      <c r="BH543" s="18">
        <v>20</v>
      </c>
      <c r="BI543" s="18">
        <v>0.0476</v>
      </c>
      <c r="BJ543" s="18">
        <v>1</v>
      </c>
      <c r="BK543" s="18">
        <v>3</v>
      </c>
      <c r="BL543" s="18">
        <v>99.2</v>
      </c>
      <c r="BM543" s="13">
        <f t="shared" si="0"/>
        <v>10197.15</v>
      </c>
    </row>
    <row r="544" customHeight="1" spans="1:65">
      <c r="A544" s="18" t="s">
        <v>1079</v>
      </c>
      <c r="B544" s="18" t="s">
        <v>282</v>
      </c>
      <c r="C544" s="13"/>
      <c r="D544" s="13"/>
      <c r="E544" s="18" t="s">
        <v>1883</v>
      </c>
      <c r="F544" s="18" t="s">
        <v>160</v>
      </c>
      <c r="G544" s="18" t="s">
        <v>83</v>
      </c>
      <c r="H544" s="18" t="s">
        <v>84</v>
      </c>
      <c r="I544" s="18" t="s">
        <v>85</v>
      </c>
      <c r="J544" s="18">
        <v>5</v>
      </c>
      <c r="K544" s="16">
        <v>215.19</v>
      </c>
      <c r="L544" s="10"/>
      <c r="M544" s="16">
        <v>0</v>
      </c>
      <c r="N544" s="16">
        <v>0</v>
      </c>
      <c r="O544" s="18">
        <v>0</v>
      </c>
      <c r="P544" s="18" t="s">
        <v>71</v>
      </c>
      <c r="Q544" s="18">
        <v>5.376158</v>
      </c>
      <c r="R544" s="16">
        <v>26.9</v>
      </c>
      <c r="S544" s="16">
        <v>202</v>
      </c>
      <c r="T544" s="16">
        <v>6</v>
      </c>
      <c r="U544" s="18" t="s">
        <v>1079</v>
      </c>
      <c r="V544" s="18" t="s">
        <v>282</v>
      </c>
      <c r="W544" s="13"/>
      <c r="X544" s="13"/>
      <c r="Y544" s="18" t="s">
        <v>1080</v>
      </c>
      <c r="Z544" s="18" t="s">
        <v>160</v>
      </c>
      <c r="AA544" s="18" t="s">
        <v>83</v>
      </c>
      <c r="AB544" s="18" t="s">
        <v>84</v>
      </c>
      <c r="AC544" s="18" t="s">
        <v>85</v>
      </c>
      <c r="AD544" s="18">
        <v>425.38</v>
      </c>
      <c r="AE544" s="18">
        <v>0</v>
      </c>
      <c r="AF544" s="18">
        <v>0</v>
      </c>
      <c r="AG544" s="18">
        <v>0</v>
      </c>
      <c r="AH544" s="18">
        <v>0</v>
      </c>
      <c r="AI544" s="18">
        <v>0</v>
      </c>
      <c r="AJ544" s="18">
        <v>0</v>
      </c>
      <c r="AK544" s="18">
        <v>0</v>
      </c>
      <c r="AL544" s="18">
        <v>0</v>
      </c>
      <c r="AM544" s="18">
        <v>0</v>
      </c>
      <c r="AN544" s="18">
        <v>0</v>
      </c>
      <c r="AO544" s="18">
        <v>0</v>
      </c>
      <c r="AP544" s="18">
        <v>0</v>
      </c>
      <c r="AQ544" s="18">
        <v>1</v>
      </c>
      <c r="AR544" s="18">
        <v>0</v>
      </c>
      <c r="AS544" s="18">
        <v>0</v>
      </c>
      <c r="AT544" s="18">
        <v>1</v>
      </c>
      <c r="AU544" s="18">
        <v>0</v>
      </c>
      <c r="AV544" s="18">
        <v>1</v>
      </c>
      <c r="AW544" s="18">
        <v>1</v>
      </c>
      <c r="AX544" s="18">
        <v>0</v>
      </c>
      <c r="AY544" s="18">
        <v>8</v>
      </c>
      <c r="AZ544" s="18">
        <v>1</v>
      </c>
      <c r="BA544" s="18">
        <v>2</v>
      </c>
      <c r="BB544" s="18">
        <v>68.7</v>
      </c>
      <c r="BC544" s="18" t="s">
        <v>285</v>
      </c>
      <c r="BD544" s="18" t="s">
        <v>286</v>
      </c>
      <c r="BE544" s="18" t="s">
        <v>287</v>
      </c>
      <c r="BF544" s="18" t="s">
        <v>77</v>
      </c>
      <c r="BG544" s="18">
        <v>1</v>
      </c>
      <c r="BH544" s="18">
        <v>20</v>
      </c>
      <c r="BI544" s="18">
        <v>0.0476</v>
      </c>
      <c r="BJ544" s="18">
        <v>1</v>
      </c>
      <c r="BK544" s="18">
        <v>2</v>
      </c>
      <c r="BL544" s="18">
        <v>99.5</v>
      </c>
      <c r="BM544" s="13">
        <f t="shared" si="0"/>
        <v>43468.38</v>
      </c>
    </row>
    <row r="545" customHeight="1" spans="1:65">
      <c r="A545" s="18" t="s">
        <v>1921</v>
      </c>
      <c r="B545" s="18" t="s">
        <v>282</v>
      </c>
      <c r="C545" s="13"/>
      <c r="D545" s="13"/>
      <c r="E545" s="18" t="s">
        <v>1883</v>
      </c>
      <c r="F545" s="18" t="s">
        <v>160</v>
      </c>
      <c r="G545" s="18" t="s">
        <v>83</v>
      </c>
      <c r="H545" s="18" t="s">
        <v>84</v>
      </c>
      <c r="I545" s="18" t="s">
        <v>85</v>
      </c>
      <c r="J545" s="18">
        <v>5</v>
      </c>
      <c r="K545" s="16">
        <v>103.99</v>
      </c>
      <c r="L545" s="10"/>
      <c r="M545" s="16">
        <v>0</v>
      </c>
      <c r="N545" s="16">
        <v>0</v>
      </c>
      <c r="O545" s="18">
        <v>0</v>
      </c>
      <c r="P545" s="18" t="s">
        <v>95</v>
      </c>
      <c r="Q545" s="18">
        <v>4.653865</v>
      </c>
      <c r="R545" s="16">
        <v>13</v>
      </c>
      <c r="S545" s="16">
        <v>129</v>
      </c>
      <c r="T545" s="16">
        <v>10</v>
      </c>
      <c r="U545" s="18" t="s">
        <v>1921</v>
      </c>
      <c r="V545" s="18" t="s">
        <v>282</v>
      </c>
      <c r="W545" s="13"/>
      <c r="X545" s="13"/>
      <c r="Y545" s="18" t="s">
        <v>1080</v>
      </c>
      <c r="Z545" s="18" t="s">
        <v>160</v>
      </c>
      <c r="AA545" s="18" t="s">
        <v>83</v>
      </c>
      <c r="AB545" s="18" t="s">
        <v>84</v>
      </c>
      <c r="AC545" s="18" t="s">
        <v>85</v>
      </c>
      <c r="AD545" s="18">
        <v>202.98</v>
      </c>
      <c r="AE545" s="18">
        <v>0</v>
      </c>
      <c r="AF545" s="18">
        <v>0</v>
      </c>
      <c r="AG545" s="18">
        <v>0</v>
      </c>
      <c r="AH545" s="18">
        <v>0</v>
      </c>
      <c r="AI545" s="18">
        <v>0</v>
      </c>
      <c r="AJ545" s="18">
        <v>0</v>
      </c>
      <c r="AK545" s="18">
        <v>0</v>
      </c>
      <c r="AL545" s="18">
        <v>0</v>
      </c>
      <c r="AM545" s="18">
        <v>0</v>
      </c>
      <c r="AN545" s="18">
        <v>0</v>
      </c>
      <c r="AO545" s="18">
        <v>0</v>
      </c>
      <c r="AP545" s="18">
        <v>0</v>
      </c>
      <c r="AQ545" s="18">
        <v>1</v>
      </c>
      <c r="AR545" s="18">
        <v>0</v>
      </c>
      <c r="AS545" s="18">
        <v>0</v>
      </c>
      <c r="AT545" s="18">
        <v>1</v>
      </c>
      <c r="AU545" s="18">
        <v>0</v>
      </c>
      <c r="AV545" s="18">
        <v>1</v>
      </c>
      <c r="AW545" s="18">
        <v>1</v>
      </c>
      <c r="AX545" s="18">
        <v>0</v>
      </c>
      <c r="AY545" s="18">
        <v>8</v>
      </c>
      <c r="AZ545" s="18">
        <v>1</v>
      </c>
      <c r="BA545" s="18">
        <v>1</v>
      </c>
      <c r="BB545" s="18">
        <v>66.97</v>
      </c>
      <c r="BC545" s="18" t="s">
        <v>285</v>
      </c>
      <c r="BD545" s="18" t="s">
        <v>286</v>
      </c>
      <c r="BE545" s="18" t="s">
        <v>287</v>
      </c>
      <c r="BF545" s="18" t="s">
        <v>77</v>
      </c>
      <c r="BG545" s="18">
        <v>1</v>
      </c>
      <c r="BH545" s="18">
        <v>28</v>
      </c>
      <c r="BI545" s="18">
        <v>0.0345</v>
      </c>
      <c r="BJ545" s="18">
        <v>1</v>
      </c>
      <c r="BK545" s="18">
        <v>2</v>
      </c>
      <c r="BL545" s="18">
        <v>99.5</v>
      </c>
      <c r="BM545" s="13">
        <f t="shared" si="0"/>
        <v>13414.71</v>
      </c>
    </row>
    <row r="546" customHeight="1" spans="1:65">
      <c r="A546" s="18" t="s">
        <v>609</v>
      </c>
      <c r="B546" s="18" t="s">
        <v>282</v>
      </c>
      <c r="C546" s="13"/>
      <c r="D546" s="13"/>
      <c r="E546" s="18" t="s">
        <v>250</v>
      </c>
      <c r="F546" s="18" t="s">
        <v>160</v>
      </c>
      <c r="G546" s="18" t="s">
        <v>83</v>
      </c>
      <c r="H546" s="18" t="s">
        <v>84</v>
      </c>
      <c r="I546" s="18" t="s">
        <v>85</v>
      </c>
      <c r="J546" s="18">
        <v>5</v>
      </c>
      <c r="K546" s="16">
        <v>105.99</v>
      </c>
      <c r="L546" s="10"/>
      <c r="M546" s="16">
        <v>0</v>
      </c>
      <c r="N546" s="16">
        <v>0</v>
      </c>
      <c r="O546" s="18">
        <v>0</v>
      </c>
      <c r="P546" s="18" t="s">
        <v>95</v>
      </c>
      <c r="Q546" s="18">
        <v>4.672735</v>
      </c>
      <c r="R546" s="16">
        <v>13.25</v>
      </c>
      <c r="S546" s="16">
        <v>3035</v>
      </c>
      <c r="T546" s="16">
        <v>10</v>
      </c>
      <c r="U546" s="18" t="s">
        <v>609</v>
      </c>
      <c r="V546" s="18" t="s">
        <v>282</v>
      </c>
      <c r="W546" s="13"/>
      <c r="X546" s="13"/>
      <c r="Y546" s="18" t="s">
        <v>250</v>
      </c>
      <c r="Z546" s="18" t="s">
        <v>160</v>
      </c>
      <c r="AA546" s="18" t="s">
        <v>83</v>
      </c>
      <c r="AB546" s="18" t="s">
        <v>84</v>
      </c>
      <c r="AC546" s="18" t="s">
        <v>85</v>
      </c>
      <c r="AD546" s="18">
        <v>206.98</v>
      </c>
      <c r="AE546" s="18">
        <v>0</v>
      </c>
      <c r="AF546" s="18">
        <v>0</v>
      </c>
      <c r="AG546" s="18">
        <v>0</v>
      </c>
      <c r="AH546" s="18">
        <v>0</v>
      </c>
      <c r="AI546" s="18">
        <v>0</v>
      </c>
      <c r="AJ546" s="18">
        <v>0</v>
      </c>
      <c r="AK546" s="18">
        <v>0</v>
      </c>
      <c r="AL546" s="18">
        <v>0</v>
      </c>
      <c r="AM546" s="18">
        <v>0</v>
      </c>
      <c r="AN546" s="18">
        <v>0</v>
      </c>
      <c r="AO546" s="18">
        <v>0</v>
      </c>
      <c r="AP546" s="18">
        <v>0</v>
      </c>
      <c r="AQ546" s="18">
        <v>1</v>
      </c>
      <c r="AR546" s="18">
        <v>0</v>
      </c>
      <c r="AS546" s="18">
        <v>0</v>
      </c>
      <c r="AT546" s="18">
        <v>1</v>
      </c>
      <c r="AU546" s="18">
        <v>0</v>
      </c>
      <c r="AV546" s="18">
        <v>1</v>
      </c>
      <c r="AW546" s="18">
        <v>1</v>
      </c>
      <c r="AX546" s="18">
        <v>0</v>
      </c>
      <c r="AY546" s="18">
        <v>8</v>
      </c>
      <c r="AZ546" s="18">
        <v>1</v>
      </c>
      <c r="BA546" s="18">
        <v>1</v>
      </c>
      <c r="BB546" s="18">
        <v>69.45</v>
      </c>
      <c r="BC546" s="18" t="s">
        <v>285</v>
      </c>
      <c r="BD546" s="18" t="s">
        <v>286</v>
      </c>
      <c r="BE546" s="18" t="s">
        <v>287</v>
      </c>
      <c r="BF546" s="18" t="s">
        <v>77</v>
      </c>
      <c r="BG546" s="18">
        <v>1</v>
      </c>
      <c r="BH546" s="18">
        <v>20</v>
      </c>
      <c r="BI546" s="18">
        <v>0.0476</v>
      </c>
      <c r="BJ546" s="18">
        <v>1</v>
      </c>
      <c r="BK546" s="18">
        <v>5</v>
      </c>
      <c r="BL546" s="18">
        <v>98.6</v>
      </c>
      <c r="BM546" s="13">
        <f t="shared" si="0"/>
        <v>321679.65</v>
      </c>
    </row>
    <row r="547" customHeight="1" spans="1:65">
      <c r="A547" s="18" t="s">
        <v>679</v>
      </c>
      <c r="B547" s="18" t="s">
        <v>282</v>
      </c>
      <c r="C547" s="13"/>
      <c r="D547" s="13"/>
      <c r="E547" s="18" t="s">
        <v>250</v>
      </c>
      <c r="F547" s="18" t="s">
        <v>160</v>
      </c>
      <c r="G547" s="18" t="s">
        <v>83</v>
      </c>
      <c r="H547" s="18" t="s">
        <v>84</v>
      </c>
      <c r="I547" s="18" t="s">
        <v>85</v>
      </c>
      <c r="J547" s="18">
        <v>5</v>
      </c>
      <c r="K547" s="16">
        <v>139.99</v>
      </c>
      <c r="L547" s="10"/>
      <c r="M547" s="16">
        <v>0</v>
      </c>
      <c r="N547" s="16">
        <v>0</v>
      </c>
      <c r="O547" s="18">
        <v>0</v>
      </c>
      <c r="P547" s="18" t="s">
        <v>95</v>
      </c>
      <c r="Q547" s="18">
        <v>4.948689</v>
      </c>
      <c r="R547" s="16">
        <v>17.5</v>
      </c>
      <c r="S547" s="16">
        <v>21</v>
      </c>
      <c r="T547" s="16">
        <v>7</v>
      </c>
      <c r="U547" s="18" t="s">
        <v>679</v>
      </c>
      <c r="V547" s="18" t="s">
        <v>282</v>
      </c>
      <c r="W547" s="13"/>
      <c r="X547" s="13"/>
      <c r="Y547" s="18" t="s">
        <v>250</v>
      </c>
      <c r="Z547" s="18" t="s">
        <v>160</v>
      </c>
      <c r="AA547" s="18" t="s">
        <v>83</v>
      </c>
      <c r="AB547" s="18" t="s">
        <v>84</v>
      </c>
      <c r="AC547" s="18" t="s">
        <v>85</v>
      </c>
      <c r="AD547" s="18">
        <v>274.98</v>
      </c>
      <c r="AE547" s="18">
        <v>0</v>
      </c>
      <c r="AF547" s="18">
        <v>0</v>
      </c>
      <c r="AG547" s="18">
        <v>0</v>
      </c>
      <c r="AH547" s="18">
        <v>0</v>
      </c>
      <c r="AI547" s="18">
        <v>0</v>
      </c>
      <c r="AJ547" s="18">
        <v>0</v>
      </c>
      <c r="AK547" s="18">
        <v>1</v>
      </c>
      <c r="AL547" s="18">
        <v>0</v>
      </c>
      <c r="AM547" s="18">
        <v>0</v>
      </c>
      <c r="AN547" s="18">
        <v>0</v>
      </c>
      <c r="AO547" s="18">
        <v>0</v>
      </c>
      <c r="AP547" s="18">
        <v>0</v>
      </c>
      <c r="AQ547" s="18">
        <v>1</v>
      </c>
      <c r="AR547" s="18">
        <v>0</v>
      </c>
      <c r="AS547" s="18">
        <v>0</v>
      </c>
      <c r="AT547" s="18">
        <v>0</v>
      </c>
      <c r="AU547" s="18">
        <v>0</v>
      </c>
      <c r="AV547" s="18">
        <v>1</v>
      </c>
      <c r="AW547" s="18">
        <v>1</v>
      </c>
      <c r="AX547" s="18">
        <v>0</v>
      </c>
      <c r="AY547" s="18">
        <v>8</v>
      </c>
      <c r="AZ547" s="18">
        <v>1</v>
      </c>
      <c r="BA547" s="18">
        <v>3</v>
      </c>
      <c r="BB547" s="18">
        <v>59.67</v>
      </c>
      <c r="BC547" s="18" t="s">
        <v>285</v>
      </c>
      <c r="BD547" s="18" t="s">
        <v>286</v>
      </c>
      <c r="BE547" s="18" t="s">
        <v>287</v>
      </c>
      <c r="BF547" s="18" t="s">
        <v>77</v>
      </c>
      <c r="BG547" s="18">
        <v>1</v>
      </c>
      <c r="BH547" s="18">
        <v>226</v>
      </c>
      <c r="BI547" s="18">
        <v>0.0044</v>
      </c>
      <c r="BJ547" s="18">
        <v>1</v>
      </c>
      <c r="BK547" s="18">
        <v>4</v>
      </c>
      <c r="BL547" s="18">
        <v>98.9</v>
      </c>
      <c r="BM547" s="13">
        <f t="shared" si="0"/>
        <v>2939.79</v>
      </c>
    </row>
    <row r="548" customHeight="1" spans="1:65">
      <c r="A548" s="18" t="s">
        <v>1772</v>
      </c>
      <c r="B548" s="18" t="s">
        <v>282</v>
      </c>
      <c r="C548" s="13"/>
      <c r="D548" s="18">
        <v>6971627218182</v>
      </c>
      <c r="E548" s="18" t="s">
        <v>250</v>
      </c>
      <c r="F548" s="18" t="s">
        <v>160</v>
      </c>
      <c r="G548" s="18" t="s">
        <v>83</v>
      </c>
      <c r="H548" s="18" t="s">
        <v>84</v>
      </c>
      <c r="I548" s="18" t="s">
        <v>85</v>
      </c>
      <c r="J548" s="18">
        <v>5</v>
      </c>
      <c r="K548" s="16">
        <v>209.99</v>
      </c>
      <c r="L548" s="10"/>
      <c r="M548" s="16">
        <v>0</v>
      </c>
      <c r="N548" s="16">
        <v>0</v>
      </c>
      <c r="O548" s="18">
        <v>0</v>
      </c>
      <c r="P548" s="18" t="s">
        <v>71</v>
      </c>
      <c r="Q548" s="18">
        <v>5.351811</v>
      </c>
      <c r="R548" s="16">
        <v>26.25</v>
      </c>
      <c r="S548" s="16">
        <v>1319</v>
      </c>
      <c r="T548" s="16">
        <v>10</v>
      </c>
      <c r="U548" s="18" t="s">
        <v>1772</v>
      </c>
      <c r="V548" s="18" t="s">
        <v>282</v>
      </c>
      <c r="W548" s="13"/>
      <c r="X548" s="18">
        <v>6971627218183</v>
      </c>
      <c r="Y548" s="18" t="s">
        <v>250</v>
      </c>
      <c r="Z548" s="18" t="s">
        <v>160</v>
      </c>
      <c r="AA548" s="18" t="s">
        <v>83</v>
      </c>
      <c r="AB548" s="18" t="s">
        <v>84</v>
      </c>
      <c r="AC548" s="18" t="s">
        <v>85</v>
      </c>
      <c r="AD548" s="18">
        <v>414.98</v>
      </c>
      <c r="AE548" s="18">
        <v>0</v>
      </c>
      <c r="AF548" s="18">
        <v>0</v>
      </c>
      <c r="AG548" s="18">
        <v>0</v>
      </c>
      <c r="AH548" s="18">
        <v>0</v>
      </c>
      <c r="AI548" s="18">
        <v>0</v>
      </c>
      <c r="AJ548" s="18">
        <v>0</v>
      </c>
      <c r="AK548" s="18">
        <v>0</v>
      </c>
      <c r="AL548" s="18">
        <v>0</v>
      </c>
      <c r="AM548" s="18">
        <v>0</v>
      </c>
      <c r="AN548" s="18">
        <v>0</v>
      </c>
      <c r="AO548" s="18">
        <v>0</v>
      </c>
      <c r="AP548" s="18">
        <v>0</v>
      </c>
      <c r="AQ548" s="18">
        <v>1</v>
      </c>
      <c r="AR548" s="18">
        <v>0</v>
      </c>
      <c r="AS548" s="18">
        <v>0</v>
      </c>
      <c r="AT548" s="18">
        <v>1</v>
      </c>
      <c r="AU548" s="18">
        <v>0</v>
      </c>
      <c r="AV548" s="18">
        <v>1</v>
      </c>
      <c r="AW548" s="18">
        <v>1</v>
      </c>
      <c r="AX548" s="18">
        <v>0</v>
      </c>
      <c r="AY548" s="18">
        <v>8</v>
      </c>
      <c r="AZ548" s="18">
        <v>1</v>
      </c>
      <c r="BA548" s="18">
        <v>1</v>
      </c>
      <c r="BB548" s="18">
        <v>69.46</v>
      </c>
      <c r="BC548" s="18" t="s">
        <v>285</v>
      </c>
      <c r="BD548" s="18" t="s">
        <v>286</v>
      </c>
      <c r="BE548" s="18" t="s">
        <v>287</v>
      </c>
      <c r="BF548" s="18" t="s">
        <v>77</v>
      </c>
      <c r="BG548" s="18">
        <v>1</v>
      </c>
      <c r="BH548" s="18">
        <v>28</v>
      </c>
      <c r="BI548" s="18">
        <v>0.0345</v>
      </c>
      <c r="BJ548" s="18">
        <v>1</v>
      </c>
      <c r="BK548" s="18">
        <v>3</v>
      </c>
      <c r="BL548" s="18">
        <v>99.2</v>
      </c>
      <c r="BM548" s="13">
        <f t="shared" si="0"/>
        <v>276976.81</v>
      </c>
    </row>
    <row r="549" customHeight="1" spans="1:65">
      <c r="A549" s="18" t="s">
        <v>2500</v>
      </c>
      <c r="B549" s="18" t="s">
        <v>282</v>
      </c>
      <c r="C549" s="13"/>
      <c r="D549" s="13"/>
      <c r="E549" s="18" t="s">
        <v>250</v>
      </c>
      <c r="F549" s="18" t="s">
        <v>160</v>
      </c>
      <c r="G549" s="18" t="s">
        <v>83</v>
      </c>
      <c r="H549" s="18" t="s">
        <v>84</v>
      </c>
      <c r="I549" s="18" t="s">
        <v>85</v>
      </c>
      <c r="J549" s="18">
        <v>5</v>
      </c>
      <c r="K549" s="16">
        <v>179.99</v>
      </c>
      <c r="L549" s="10"/>
      <c r="M549" s="16">
        <v>0</v>
      </c>
      <c r="N549" s="16">
        <v>0</v>
      </c>
      <c r="O549" s="18">
        <v>0</v>
      </c>
      <c r="P549" s="18" t="s">
        <v>95</v>
      </c>
      <c r="Q549" s="18">
        <v>5.198442</v>
      </c>
      <c r="R549" s="16">
        <v>11.25</v>
      </c>
      <c r="S549" s="16">
        <v>615</v>
      </c>
      <c r="T549" s="16">
        <v>6</v>
      </c>
      <c r="U549" s="18" t="s">
        <v>2500</v>
      </c>
      <c r="V549" s="18" t="s">
        <v>282</v>
      </c>
      <c r="W549" s="13"/>
      <c r="X549" s="13"/>
      <c r="Y549" s="18" t="s">
        <v>250</v>
      </c>
      <c r="Z549" s="18" t="s">
        <v>160</v>
      </c>
      <c r="AA549" s="18" t="s">
        <v>83</v>
      </c>
      <c r="AB549" s="18" t="s">
        <v>84</v>
      </c>
      <c r="AC549" s="18" t="s">
        <v>85</v>
      </c>
      <c r="AD549" s="18">
        <v>354.98</v>
      </c>
      <c r="AE549" s="18">
        <v>0</v>
      </c>
      <c r="AF549" s="18">
        <v>0</v>
      </c>
      <c r="AG549" s="18">
        <v>0</v>
      </c>
      <c r="AH549" s="18">
        <v>0</v>
      </c>
      <c r="AI549" s="18">
        <v>0</v>
      </c>
      <c r="AJ549" s="18">
        <v>0</v>
      </c>
      <c r="AK549" s="18">
        <v>0</v>
      </c>
      <c r="AL549" s="18">
        <v>0</v>
      </c>
      <c r="AM549" s="18">
        <v>0</v>
      </c>
      <c r="AN549" s="18">
        <v>0</v>
      </c>
      <c r="AO549" s="18">
        <v>0</v>
      </c>
      <c r="AP549" s="18">
        <v>0</v>
      </c>
      <c r="AQ549" s="18">
        <v>1</v>
      </c>
      <c r="AR549" s="18">
        <v>0</v>
      </c>
      <c r="AS549" s="18">
        <v>0</v>
      </c>
      <c r="AT549" s="18">
        <v>1</v>
      </c>
      <c r="AU549" s="18">
        <v>0</v>
      </c>
      <c r="AV549" s="18">
        <v>1</v>
      </c>
      <c r="AW549" s="18">
        <v>1</v>
      </c>
      <c r="AX549" s="18">
        <v>0</v>
      </c>
      <c r="AY549" s="18">
        <v>16</v>
      </c>
      <c r="AZ549" s="18">
        <v>1</v>
      </c>
      <c r="BA549" s="18">
        <v>1</v>
      </c>
      <c r="BB549" s="18">
        <v>69.37</v>
      </c>
      <c r="BC549" s="18" t="s">
        <v>285</v>
      </c>
      <c r="BD549" s="18" t="s">
        <v>286</v>
      </c>
      <c r="BE549" s="18" t="s">
        <v>287</v>
      </c>
      <c r="BF549" s="18" t="s">
        <v>77</v>
      </c>
      <c r="BG549" s="18">
        <v>1</v>
      </c>
      <c r="BH549" s="18">
        <v>20</v>
      </c>
      <c r="BI549" s="18">
        <v>0.0476</v>
      </c>
      <c r="BJ549" s="18">
        <v>1</v>
      </c>
      <c r="BK549" s="18">
        <v>3</v>
      </c>
      <c r="BL549" s="18">
        <v>99.2</v>
      </c>
      <c r="BM549" s="13">
        <f t="shared" si="0"/>
        <v>110693.85</v>
      </c>
    </row>
    <row r="550" customHeight="1" spans="1:65">
      <c r="A550" s="18" t="s">
        <v>907</v>
      </c>
      <c r="B550" s="18" t="s">
        <v>282</v>
      </c>
      <c r="C550" s="13"/>
      <c r="D550" s="13"/>
      <c r="E550" s="18" t="s">
        <v>239</v>
      </c>
      <c r="F550" s="18" t="s">
        <v>240</v>
      </c>
      <c r="G550" s="18" t="s">
        <v>83</v>
      </c>
      <c r="H550" s="18" t="s">
        <v>84</v>
      </c>
      <c r="I550" s="18" t="s">
        <v>85</v>
      </c>
      <c r="J550" s="18">
        <v>5</v>
      </c>
      <c r="K550" s="16">
        <v>69.99</v>
      </c>
      <c r="L550" s="16">
        <v>87.49</v>
      </c>
      <c r="M550" s="16">
        <v>20</v>
      </c>
      <c r="N550" s="16">
        <v>17.5</v>
      </c>
      <c r="O550" s="18">
        <v>1</v>
      </c>
      <c r="P550" s="18" t="s">
        <v>86</v>
      </c>
      <c r="Q550" s="18">
        <v>4.262539</v>
      </c>
      <c r="R550" s="16">
        <v>8.75</v>
      </c>
      <c r="S550" s="16">
        <v>103</v>
      </c>
      <c r="T550" s="16">
        <v>10</v>
      </c>
      <c r="U550" s="18" t="s">
        <v>907</v>
      </c>
      <c r="V550" s="18" t="s">
        <v>282</v>
      </c>
      <c r="W550" s="13"/>
      <c r="X550" s="13"/>
      <c r="Y550" s="18" t="s">
        <v>239</v>
      </c>
      <c r="Z550" s="18" t="s">
        <v>240</v>
      </c>
      <c r="AA550" s="18" t="s">
        <v>83</v>
      </c>
      <c r="AB550" s="18" t="s">
        <v>84</v>
      </c>
      <c r="AC550" s="18" t="s">
        <v>85</v>
      </c>
      <c r="AD550" s="18">
        <v>9.00066666666667</v>
      </c>
      <c r="AE550" s="18">
        <v>0</v>
      </c>
      <c r="AF550" s="18">
        <v>0</v>
      </c>
      <c r="AG550" s="18">
        <v>0</v>
      </c>
      <c r="AH550" s="18">
        <v>0</v>
      </c>
      <c r="AI550" s="18">
        <v>0</v>
      </c>
      <c r="AJ550" s="18">
        <v>0</v>
      </c>
      <c r="AK550" s="18">
        <v>0</v>
      </c>
      <c r="AL550" s="18">
        <v>0</v>
      </c>
      <c r="AM550" s="18">
        <v>0</v>
      </c>
      <c r="AN550" s="18">
        <v>0</v>
      </c>
      <c r="AO550" s="18">
        <v>0</v>
      </c>
      <c r="AP550" s="18">
        <v>0</v>
      </c>
      <c r="AQ550" s="18">
        <v>1</v>
      </c>
      <c r="AR550" s="18">
        <v>0</v>
      </c>
      <c r="AS550" s="18">
        <v>0</v>
      </c>
      <c r="AT550" s="18">
        <v>0</v>
      </c>
      <c r="AU550" s="18">
        <v>0</v>
      </c>
      <c r="AV550" s="18">
        <v>1</v>
      </c>
      <c r="AW550" s="18">
        <v>1</v>
      </c>
      <c r="AX550" s="18">
        <v>0</v>
      </c>
      <c r="AY550" s="18">
        <v>8</v>
      </c>
      <c r="AZ550" s="18">
        <v>1</v>
      </c>
      <c r="BA550" s="18">
        <v>1</v>
      </c>
      <c r="BB550" s="18">
        <v>72.31</v>
      </c>
      <c r="BC550" s="18" t="s">
        <v>285</v>
      </c>
      <c r="BD550" s="18" t="s">
        <v>286</v>
      </c>
      <c r="BE550" s="18" t="s">
        <v>287</v>
      </c>
      <c r="BF550" s="18" t="s">
        <v>77</v>
      </c>
      <c r="BG550" s="18">
        <v>1</v>
      </c>
      <c r="BH550" s="18">
        <v>20</v>
      </c>
      <c r="BI550" s="18">
        <v>0.0476</v>
      </c>
      <c r="BJ550" s="18">
        <v>1</v>
      </c>
      <c r="BK550" s="18">
        <v>2</v>
      </c>
      <c r="BL550" s="18">
        <v>99.5</v>
      </c>
      <c r="BM550" s="13">
        <f t="shared" si="0"/>
        <v>7208.97</v>
      </c>
    </row>
    <row r="551" customHeight="1" spans="1:65">
      <c r="A551" s="18" t="s">
        <v>2041</v>
      </c>
      <c r="B551" s="18" t="s">
        <v>282</v>
      </c>
      <c r="C551" s="13"/>
      <c r="D551" s="13"/>
      <c r="E551" s="18" t="s">
        <v>239</v>
      </c>
      <c r="F551" s="18" t="s">
        <v>240</v>
      </c>
      <c r="G551" s="18" t="s">
        <v>83</v>
      </c>
      <c r="H551" s="18" t="s">
        <v>84</v>
      </c>
      <c r="I551" s="18" t="s">
        <v>85</v>
      </c>
      <c r="J551" s="18">
        <v>5</v>
      </c>
      <c r="K551" s="16">
        <v>69.99</v>
      </c>
      <c r="L551" s="10"/>
      <c r="M551" s="16">
        <v>0</v>
      </c>
      <c r="N551" s="16">
        <v>0</v>
      </c>
      <c r="O551" s="18">
        <v>0</v>
      </c>
      <c r="P551" s="18" t="s">
        <v>86</v>
      </c>
      <c r="Q551" s="18">
        <v>4.262539</v>
      </c>
      <c r="R551" s="16">
        <v>8.75</v>
      </c>
      <c r="S551" s="16">
        <v>50</v>
      </c>
      <c r="T551" s="16">
        <v>10</v>
      </c>
      <c r="U551" s="18" t="s">
        <v>2041</v>
      </c>
      <c r="V551" s="18" t="s">
        <v>282</v>
      </c>
      <c r="W551" s="13"/>
      <c r="X551" s="13"/>
      <c r="Y551" s="18" t="s">
        <v>239</v>
      </c>
      <c r="Z551" s="18" t="s">
        <v>240</v>
      </c>
      <c r="AA551" s="18" t="s">
        <v>83</v>
      </c>
      <c r="AB551" s="18" t="s">
        <v>84</v>
      </c>
      <c r="AC551" s="18" t="s">
        <v>85</v>
      </c>
      <c r="AD551" s="18">
        <v>134.98</v>
      </c>
      <c r="AE551" s="18">
        <v>0</v>
      </c>
      <c r="AF551" s="18">
        <v>0</v>
      </c>
      <c r="AG551" s="18">
        <v>0</v>
      </c>
      <c r="AH551" s="18">
        <v>0</v>
      </c>
      <c r="AI551" s="18">
        <v>0</v>
      </c>
      <c r="AJ551" s="18">
        <v>0</v>
      </c>
      <c r="AK551" s="18">
        <v>0</v>
      </c>
      <c r="AL551" s="18">
        <v>0</v>
      </c>
      <c r="AM551" s="18">
        <v>0</v>
      </c>
      <c r="AN551" s="18">
        <v>0</v>
      </c>
      <c r="AO551" s="18">
        <v>0</v>
      </c>
      <c r="AP551" s="18">
        <v>0</v>
      </c>
      <c r="AQ551" s="18">
        <v>1</v>
      </c>
      <c r="AR551" s="18">
        <v>0</v>
      </c>
      <c r="AS551" s="18">
        <v>0</v>
      </c>
      <c r="AT551" s="18">
        <v>0</v>
      </c>
      <c r="AU551" s="18">
        <v>0</v>
      </c>
      <c r="AV551" s="18">
        <v>1</v>
      </c>
      <c r="AW551" s="18">
        <v>1</v>
      </c>
      <c r="AX551" s="18">
        <v>0</v>
      </c>
      <c r="AY551" s="18">
        <v>8</v>
      </c>
      <c r="AZ551" s="18">
        <v>1</v>
      </c>
      <c r="BA551" s="18">
        <v>1</v>
      </c>
      <c r="BB551" s="18">
        <v>63.18</v>
      </c>
      <c r="BC551" s="18" t="s">
        <v>285</v>
      </c>
      <c r="BD551" s="18" t="s">
        <v>286</v>
      </c>
      <c r="BE551" s="18" t="s">
        <v>287</v>
      </c>
      <c r="BF551" s="18" t="s">
        <v>77</v>
      </c>
      <c r="BG551" s="18">
        <v>1</v>
      </c>
      <c r="BH551" s="18">
        <v>20</v>
      </c>
      <c r="BI551" s="18">
        <v>0.0476</v>
      </c>
      <c r="BJ551" s="18">
        <v>1</v>
      </c>
      <c r="BK551" s="18">
        <v>2</v>
      </c>
      <c r="BL551" s="18">
        <v>99.5</v>
      </c>
      <c r="BM551" s="13">
        <f t="shared" si="0"/>
        <v>3499.5</v>
      </c>
    </row>
    <row r="552" customHeight="1" spans="1:65">
      <c r="A552" s="18" t="s">
        <v>1975</v>
      </c>
      <c r="B552" s="18" t="s">
        <v>282</v>
      </c>
      <c r="C552" s="13"/>
      <c r="D552" s="13"/>
      <c r="E552" s="18" t="s">
        <v>1976</v>
      </c>
      <c r="F552" s="18" t="s">
        <v>160</v>
      </c>
      <c r="G552" s="18" t="s">
        <v>83</v>
      </c>
      <c r="H552" s="18" t="s">
        <v>84</v>
      </c>
      <c r="I552" s="18" t="s">
        <v>85</v>
      </c>
      <c r="J552" s="18">
        <v>5</v>
      </c>
      <c r="K552" s="16">
        <v>29.99</v>
      </c>
      <c r="L552" s="10"/>
      <c r="M552" s="16">
        <v>0</v>
      </c>
      <c r="N552" s="16">
        <v>0</v>
      </c>
      <c r="O552" s="18">
        <v>0</v>
      </c>
      <c r="P552" s="18" t="s">
        <v>86</v>
      </c>
      <c r="Q552" s="18">
        <v>3.433665</v>
      </c>
      <c r="R552" s="10"/>
      <c r="S552" s="16">
        <v>217</v>
      </c>
      <c r="T552" s="16">
        <v>10</v>
      </c>
      <c r="U552" s="18" t="s">
        <v>1975</v>
      </c>
      <c r="V552" s="18" t="s">
        <v>282</v>
      </c>
      <c r="W552" s="13"/>
      <c r="X552" s="13"/>
      <c r="Y552" s="18" t="s">
        <v>1976</v>
      </c>
      <c r="Z552" s="18" t="s">
        <v>160</v>
      </c>
      <c r="AA552" s="18" t="s">
        <v>83</v>
      </c>
      <c r="AB552" s="18" t="s">
        <v>84</v>
      </c>
      <c r="AC552" s="18" t="s">
        <v>85</v>
      </c>
      <c r="AD552" s="18">
        <v>54.98</v>
      </c>
      <c r="AE552" s="18">
        <v>0</v>
      </c>
      <c r="AF552" s="18">
        <v>0</v>
      </c>
      <c r="AG552" s="18">
        <v>0</v>
      </c>
      <c r="AH552" s="18">
        <v>1</v>
      </c>
      <c r="AI552" s="18">
        <v>0</v>
      </c>
      <c r="AJ552" s="18">
        <v>0</v>
      </c>
      <c r="AK552" s="18">
        <v>0</v>
      </c>
      <c r="AL552" s="18">
        <v>0</v>
      </c>
      <c r="AM552" s="18">
        <v>0</v>
      </c>
      <c r="AN552" s="18">
        <v>0</v>
      </c>
      <c r="AO552" s="18">
        <v>0</v>
      </c>
      <c r="AP552" s="18">
        <v>1</v>
      </c>
      <c r="AQ552" s="18">
        <v>0</v>
      </c>
      <c r="AR552" s="18">
        <v>0</v>
      </c>
      <c r="AS552" s="18">
        <v>0</v>
      </c>
      <c r="AT552" s="18">
        <v>1</v>
      </c>
      <c r="AU552" s="18">
        <v>0</v>
      </c>
      <c r="AV552" s="18">
        <v>0</v>
      </c>
      <c r="AW552" s="18">
        <v>0</v>
      </c>
      <c r="AX552" s="18">
        <v>0</v>
      </c>
      <c r="AY552" s="13"/>
      <c r="AZ552" s="18">
        <v>1</v>
      </c>
      <c r="BA552" s="18">
        <v>1</v>
      </c>
      <c r="BB552" s="18">
        <v>68.09</v>
      </c>
      <c r="BC552" s="18" t="s">
        <v>285</v>
      </c>
      <c r="BD552" s="18" t="s">
        <v>286</v>
      </c>
      <c r="BE552" s="18" t="s">
        <v>287</v>
      </c>
      <c r="BF552" s="18" t="s">
        <v>77</v>
      </c>
      <c r="BG552" s="18">
        <v>1</v>
      </c>
      <c r="BH552" s="18">
        <v>226</v>
      </c>
      <c r="BI552" s="18">
        <v>0.0044</v>
      </c>
      <c r="BJ552" s="18">
        <v>1</v>
      </c>
      <c r="BK552" s="18">
        <v>2</v>
      </c>
      <c r="BL552" s="18">
        <v>99.5</v>
      </c>
      <c r="BM552" s="13">
        <f t="shared" si="0"/>
        <v>6507.83</v>
      </c>
    </row>
    <row r="553" customHeight="1" spans="1:65">
      <c r="A553" s="18" t="s">
        <v>1924</v>
      </c>
      <c r="B553" s="18" t="s">
        <v>125</v>
      </c>
      <c r="C553" s="13"/>
      <c r="D553" s="13"/>
      <c r="E553" s="18" t="s">
        <v>1925</v>
      </c>
      <c r="F553" s="18" t="s">
        <v>82</v>
      </c>
      <c r="G553" s="18" t="s">
        <v>83</v>
      </c>
      <c r="H553" s="18" t="s">
        <v>138</v>
      </c>
      <c r="I553" s="18" t="s">
        <v>85</v>
      </c>
      <c r="J553" s="18">
        <v>5</v>
      </c>
      <c r="K553" s="16">
        <v>58.98</v>
      </c>
      <c r="L553" s="10"/>
      <c r="M553" s="16">
        <v>0</v>
      </c>
      <c r="N553" s="16">
        <v>0</v>
      </c>
      <c r="O553" s="18">
        <v>0</v>
      </c>
      <c r="P553" s="18" t="s">
        <v>86</v>
      </c>
      <c r="Q553" s="18">
        <v>4.094011</v>
      </c>
      <c r="R553" s="10"/>
      <c r="S553" s="16">
        <v>27</v>
      </c>
      <c r="T553" s="16">
        <v>6</v>
      </c>
      <c r="U553" s="18" t="s">
        <v>1924</v>
      </c>
      <c r="V553" s="18" t="s">
        <v>125</v>
      </c>
      <c r="W553" s="13"/>
      <c r="X553" s="13"/>
      <c r="Y553" s="18" t="s">
        <v>1925</v>
      </c>
      <c r="Z553" s="18" t="s">
        <v>82</v>
      </c>
      <c r="AA553" s="18" t="s">
        <v>83</v>
      </c>
      <c r="AB553" s="18" t="s">
        <v>138</v>
      </c>
      <c r="AC553" s="18" t="s">
        <v>85</v>
      </c>
      <c r="AD553" s="18">
        <v>112.96</v>
      </c>
      <c r="AE553" s="18">
        <v>0</v>
      </c>
      <c r="AF553" s="18">
        <v>0</v>
      </c>
      <c r="AG553" s="18">
        <v>0</v>
      </c>
      <c r="AH553" s="18">
        <v>1</v>
      </c>
      <c r="AI553" s="18">
        <v>0</v>
      </c>
      <c r="AJ553" s="18">
        <v>0</v>
      </c>
      <c r="AK553" s="18">
        <v>0</v>
      </c>
      <c r="AL553" s="18">
        <v>0</v>
      </c>
      <c r="AM553" s="18">
        <v>0</v>
      </c>
      <c r="AN553" s="18">
        <v>0</v>
      </c>
      <c r="AO553" s="18">
        <v>0</v>
      </c>
      <c r="AP553" s="18">
        <v>0</v>
      </c>
      <c r="AQ553" s="18">
        <v>0</v>
      </c>
      <c r="AR553" s="18">
        <v>0</v>
      </c>
      <c r="AS553" s="18">
        <v>0</v>
      </c>
      <c r="AT553" s="18">
        <v>0</v>
      </c>
      <c r="AU553" s="18">
        <v>0</v>
      </c>
      <c r="AV553" s="18">
        <v>0</v>
      </c>
      <c r="AW553" s="18">
        <v>0</v>
      </c>
      <c r="AX553" s="18">
        <v>0</v>
      </c>
      <c r="AY553" s="13"/>
      <c r="AZ553" s="18">
        <v>1</v>
      </c>
      <c r="BA553" s="18">
        <v>1</v>
      </c>
      <c r="BB553" s="18">
        <v>62.49</v>
      </c>
      <c r="BC553" s="18" t="s">
        <v>1926</v>
      </c>
      <c r="BD553" s="18" t="s">
        <v>1927</v>
      </c>
      <c r="BE553" s="18" t="s">
        <v>206</v>
      </c>
      <c r="BF553" s="18" t="s">
        <v>77</v>
      </c>
      <c r="BG553" s="18">
        <v>6</v>
      </c>
      <c r="BH553" s="18">
        <v>213</v>
      </c>
      <c r="BI553" s="18">
        <v>0.0274</v>
      </c>
      <c r="BJ553" s="18">
        <v>0</v>
      </c>
      <c r="BK553" s="18">
        <v>3</v>
      </c>
      <c r="BL553" s="18">
        <v>99.2</v>
      </c>
      <c r="BM553" s="13">
        <f t="shared" si="0"/>
        <v>1592.46</v>
      </c>
    </row>
    <row r="554" customHeight="1" spans="1:65">
      <c r="A554" s="18" t="s">
        <v>1931</v>
      </c>
      <c r="B554" s="18" t="s">
        <v>115</v>
      </c>
      <c r="C554" s="18" t="s">
        <v>1932</v>
      </c>
      <c r="D554" s="18">
        <v>840414663411</v>
      </c>
      <c r="E554" s="18" t="s">
        <v>1933</v>
      </c>
      <c r="F554" s="18" t="s">
        <v>82</v>
      </c>
      <c r="G554" s="18" t="s">
        <v>117</v>
      </c>
      <c r="H554" s="18" t="s">
        <v>107</v>
      </c>
      <c r="I554" s="18" t="s">
        <v>85</v>
      </c>
      <c r="J554" s="18">
        <v>5</v>
      </c>
      <c r="K554" s="16">
        <v>24.99</v>
      </c>
      <c r="L554" s="10"/>
      <c r="M554" s="16">
        <v>0</v>
      </c>
      <c r="N554" s="16">
        <v>0</v>
      </c>
      <c r="O554" s="18">
        <v>0</v>
      </c>
      <c r="P554" s="18" t="s">
        <v>133</v>
      </c>
      <c r="Q554" s="18">
        <v>3.257712</v>
      </c>
      <c r="R554" s="10"/>
      <c r="S554" s="16">
        <v>2</v>
      </c>
      <c r="T554" s="16">
        <v>4</v>
      </c>
      <c r="U554" s="18" t="s">
        <v>1931</v>
      </c>
      <c r="V554" s="18" t="s">
        <v>115</v>
      </c>
      <c r="W554" s="18" t="s">
        <v>1932</v>
      </c>
      <c r="X554" s="18">
        <v>840414663412</v>
      </c>
      <c r="Y554" s="18" t="s">
        <v>1933</v>
      </c>
      <c r="Z554" s="18" t="s">
        <v>82</v>
      </c>
      <c r="AA554" s="18" t="s">
        <v>117</v>
      </c>
      <c r="AB554" s="18" t="s">
        <v>107</v>
      </c>
      <c r="AC554" s="18" t="s">
        <v>85</v>
      </c>
      <c r="AD554" s="18">
        <v>44.98</v>
      </c>
      <c r="AE554" s="18">
        <v>0</v>
      </c>
      <c r="AF554" s="18">
        <v>0</v>
      </c>
      <c r="AG554" s="18">
        <v>0</v>
      </c>
      <c r="AH554" s="18">
        <v>0</v>
      </c>
      <c r="AI554" s="18">
        <v>0</v>
      </c>
      <c r="AJ554" s="18">
        <v>0</v>
      </c>
      <c r="AK554" s="18">
        <v>0</v>
      </c>
      <c r="AL554" s="18">
        <v>0</v>
      </c>
      <c r="AM554" s="18">
        <v>0</v>
      </c>
      <c r="AN554" s="18">
        <v>0</v>
      </c>
      <c r="AO554" s="18">
        <v>0</v>
      </c>
      <c r="AP554" s="18">
        <v>0</v>
      </c>
      <c r="AQ554" s="18">
        <v>0</v>
      </c>
      <c r="AR554" s="18">
        <v>0</v>
      </c>
      <c r="AS554" s="18">
        <v>0</v>
      </c>
      <c r="AT554" s="18">
        <v>0</v>
      </c>
      <c r="AU554" s="18">
        <v>0</v>
      </c>
      <c r="AV554" s="18">
        <v>0</v>
      </c>
      <c r="AW554" s="18">
        <v>0</v>
      </c>
      <c r="AX554" s="18">
        <v>0</v>
      </c>
      <c r="AY554" s="13"/>
      <c r="AZ554" s="18">
        <v>1</v>
      </c>
      <c r="BA554" s="18">
        <v>0</v>
      </c>
      <c r="BB554" s="18">
        <v>13.33</v>
      </c>
      <c r="BC554" s="18" t="s">
        <v>1934</v>
      </c>
      <c r="BD554" s="18" t="s">
        <v>1935</v>
      </c>
      <c r="BE554" s="18" t="s">
        <v>136</v>
      </c>
      <c r="BF554" s="18" t="s">
        <v>77</v>
      </c>
      <c r="BG554" s="18">
        <v>162</v>
      </c>
      <c r="BH554" s="18">
        <v>19</v>
      </c>
      <c r="BI554" s="18">
        <v>0.895</v>
      </c>
      <c r="BJ554" s="18">
        <v>0</v>
      </c>
      <c r="BK554" s="13"/>
      <c r="BL554" s="13"/>
      <c r="BM554" s="13">
        <f t="shared" si="0"/>
        <v>49.98</v>
      </c>
    </row>
    <row r="555" customHeight="1" spans="1:65">
      <c r="A555" s="18" t="s">
        <v>1939</v>
      </c>
      <c r="B555" s="18" t="s">
        <v>301</v>
      </c>
      <c r="C555" s="18" t="s">
        <v>1940</v>
      </c>
      <c r="D555" s="13"/>
      <c r="E555" s="18" t="s">
        <v>81</v>
      </c>
      <c r="F555" s="18" t="s">
        <v>240</v>
      </c>
      <c r="G555" s="18" t="s">
        <v>83</v>
      </c>
      <c r="H555" s="18" t="s">
        <v>84</v>
      </c>
      <c r="I555" s="18" t="s">
        <v>203</v>
      </c>
      <c r="J555" s="18">
        <v>4</v>
      </c>
      <c r="K555" s="16">
        <v>187.5</v>
      </c>
      <c r="L555" s="10"/>
      <c r="M555" s="16">
        <v>0</v>
      </c>
      <c r="N555" s="16">
        <v>0</v>
      </c>
      <c r="O555" s="18">
        <v>0</v>
      </c>
      <c r="P555" s="18" t="s">
        <v>95</v>
      </c>
      <c r="Q555" s="18">
        <v>5.239098</v>
      </c>
      <c r="R555" s="16">
        <v>46.88</v>
      </c>
      <c r="S555" s="10"/>
      <c r="T555" s="10"/>
      <c r="U555" s="18" t="s">
        <v>1939</v>
      </c>
      <c r="V555" s="18" t="s">
        <v>301</v>
      </c>
      <c r="W555" s="18" t="s">
        <v>1940</v>
      </c>
      <c r="X555" s="13"/>
      <c r="Y555" s="18" t="s">
        <v>81</v>
      </c>
      <c r="Z555" s="18" t="s">
        <v>240</v>
      </c>
      <c r="AA555" s="18" t="s">
        <v>83</v>
      </c>
      <c r="AB555" s="18" t="s">
        <v>84</v>
      </c>
      <c r="AC555" s="18" t="s">
        <v>203</v>
      </c>
      <c r="AD555" s="18">
        <v>371</v>
      </c>
      <c r="AE555" s="18">
        <v>0</v>
      </c>
      <c r="AF555" s="18">
        <v>0</v>
      </c>
      <c r="AG555" s="18">
        <v>1</v>
      </c>
      <c r="AH555" s="18">
        <v>0</v>
      </c>
      <c r="AI555" s="18">
        <v>1</v>
      </c>
      <c r="AJ555" s="18">
        <v>0</v>
      </c>
      <c r="AK555" s="18">
        <v>0</v>
      </c>
      <c r="AL555" s="18">
        <v>0</v>
      </c>
      <c r="AM555" s="18">
        <v>0</v>
      </c>
      <c r="AN555" s="18">
        <v>0</v>
      </c>
      <c r="AO555" s="18">
        <v>0</v>
      </c>
      <c r="AP555" s="18">
        <v>0</v>
      </c>
      <c r="AQ555" s="18">
        <v>1</v>
      </c>
      <c r="AR555" s="18">
        <v>0</v>
      </c>
      <c r="AS555" s="18">
        <v>0</v>
      </c>
      <c r="AT555" s="18">
        <v>0</v>
      </c>
      <c r="AU555" s="18">
        <v>0</v>
      </c>
      <c r="AV555" s="18">
        <v>1</v>
      </c>
      <c r="AW555" s="18">
        <v>1</v>
      </c>
      <c r="AX555" s="18">
        <v>0</v>
      </c>
      <c r="AY555" s="18">
        <v>4</v>
      </c>
      <c r="AZ555" s="18">
        <v>1</v>
      </c>
      <c r="BA555" s="18">
        <v>1</v>
      </c>
      <c r="BB555" s="18">
        <v>0</v>
      </c>
      <c r="BC555" s="18" t="s">
        <v>1941</v>
      </c>
      <c r="BD555" s="18" t="s">
        <v>1942</v>
      </c>
      <c r="BE555" s="18" t="s">
        <v>760</v>
      </c>
      <c r="BF555" s="18" t="s">
        <v>77</v>
      </c>
      <c r="BG555" s="18">
        <v>168</v>
      </c>
      <c r="BH555" s="18">
        <v>11</v>
      </c>
      <c r="BI555" s="18">
        <v>0.9385</v>
      </c>
      <c r="BJ555" s="18">
        <v>0</v>
      </c>
      <c r="BK555" s="13"/>
      <c r="BL555" s="13"/>
      <c r="BM555" s="13">
        <f t="shared" si="0"/>
        <v>0</v>
      </c>
    </row>
    <row r="556" customHeight="1" spans="1:65">
      <c r="A556" s="18" t="s">
        <v>1948</v>
      </c>
      <c r="B556" s="18" t="s">
        <v>1135</v>
      </c>
      <c r="C556" s="18" t="s">
        <v>1949</v>
      </c>
      <c r="D556" s="18">
        <v>6973667281805</v>
      </c>
      <c r="E556" s="18" t="s">
        <v>81</v>
      </c>
      <c r="F556" s="18" t="s">
        <v>160</v>
      </c>
      <c r="G556" s="18" t="s">
        <v>83</v>
      </c>
      <c r="H556" s="18" t="s">
        <v>84</v>
      </c>
      <c r="I556" s="18" t="s">
        <v>203</v>
      </c>
      <c r="J556" s="18">
        <v>4</v>
      </c>
      <c r="K556" s="16">
        <v>179.99</v>
      </c>
      <c r="L556" s="10"/>
      <c r="M556" s="16">
        <v>0</v>
      </c>
      <c r="N556" s="16">
        <v>0</v>
      </c>
      <c r="O556" s="18">
        <v>0</v>
      </c>
      <c r="P556" s="18" t="s">
        <v>95</v>
      </c>
      <c r="Q556" s="18">
        <v>5.198442</v>
      </c>
      <c r="R556" s="10"/>
      <c r="S556" s="16">
        <v>91</v>
      </c>
      <c r="T556" s="16">
        <v>5</v>
      </c>
      <c r="U556" s="18" t="s">
        <v>1948</v>
      </c>
      <c r="V556" s="18" t="s">
        <v>1135</v>
      </c>
      <c r="W556" s="18" t="s">
        <v>2656</v>
      </c>
      <c r="X556" s="18">
        <v>6973667281806</v>
      </c>
      <c r="Y556" s="18" t="s">
        <v>81</v>
      </c>
      <c r="Z556" s="18" t="s">
        <v>160</v>
      </c>
      <c r="AA556" s="18" t="s">
        <v>83</v>
      </c>
      <c r="AB556" s="18" t="s">
        <v>84</v>
      </c>
      <c r="AC556" s="18" t="s">
        <v>203</v>
      </c>
      <c r="AD556" s="18">
        <v>355.98</v>
      </c>
      <c r="AE556" s="18">
        <v>1</v>
      </c>
      <c r="AF556" s="18">
        <v>0</v>
      </c>
      <c r="AG556" s="18">
        <v>0</v>
      </c>
      <c r="AH556" s="18">
        <v>1</v>
      </c>
      <c r="AI556" s="18">
        <v>0</v>
      </c>
      <c r="AJ556" s="18">
        <v>0</v>
      </c>
      <c r="AK556" s="18">
        <v>1</v>
      </c>
      <c r="AL556" s="18">
        <v>0</v>
      </c>
      <c r="AM556" s="18">
        <v>0</v>
      </c>
      <c r="AN556" s="18">
        <v>0</v>
      </c>
      <c r="AO556" s="18">
        <v>0</v>
      </c>
      <c r="AP556" s="18">
        <v>0</v>
      </c>
      <c r="AQ556" s="18">
        <v>0</v>
      </c>
      <c r="AR556" s="18">
        <v>0</v>
      </c>
      <c r="AS556" s="18">
        <v>0</v>
      </c>
      <c r="AT556" s="18">
        <v>1</v>
      </c>
      <c r="AU556" s="18">
        <v>0</v>
      </c>
      <c r="AV556" s="18">
        <v>0</v>
      </c>
      <c r="AW556" s="18">
        <v>1</v>
      </c>
      <c r="AX556" s="18">
        <v>0</v>
      </c>
      <c r="AY556" s="13"/>
      <c r="AZ556" s="18">
        <v>1</v>
      </c>
      <c r="BA556" s="18">
        <v>3</v>
      </c>
      <c r="BB556" s="18">
        <v>67.68</v>
      </c>
      <c r="BC556" s="18" t="s">
        <v>1950</v>
      </c>
      <c r="BD556" s="18" t="s">
        <v>225</v>
      </c>
      <c r="BE556" s="18" t="s">
        <v>226</v>
      </c>
      <c r="BF556" s="18" t="s">
        <v>77</v>
      </c>
      <c r="BG556" s="18">
        <v>1</v>
      </c>
      <c r="BH556" s="18">
        <v>14</v>
      </c>
      <c r="BI556" s="18">
        <v>0.0667</v>
      </c>
      <c r="BJ556" s="18">
        <v>1</v>
      </c>
      <c r="BK556" s="18">
        <v>3</v>
      </c>
      <c r="BL556" s="18">
        <v>99.2</v>
      </c>
      <c r="BM556" s="13">
        <f t="shared" si="0"/>
        <v>16379.09</v>
      </c>
    </row>
    <row r="557" customHeight="1" spans="1:65">
      <c r="A557" s="18" t="s">
        <v>1951</v>
      </c>
      <c r="B557" s="18" t="s">
        <v>104</v>
      </c>
      <c r="C557" s="13"/>
      <c r="D557" s="13"/>
      <c r="E557" s="18" t="s">
        <v>275</v>
      </c>
      <c r="F557" s="19" t="s">
        <v>276</v>
      </c>
      <c r="G557" s="18" t="s">
        <v>106</v>
      </c>
      <c r="H557" s="18" t="s">
        <v>107</v>
      </c>
      <c r="I557" s="18" t="s">
        <v>85</v>
      </c>
      <c r="J557" s="18">
        <v>5</v>
      </c>
      <c r="K557" s="16">
        <v>18.99</v>
      </c>
      <c r="L557" s="10"/>
      <c r="M557" s="16">
        <v>0</v>
      </c>
      <c r="N557" s="16">
        <v>0</v>
      </c>
      <c r="O557" s="18">
        <v>0</v>
      </c>
      <c r="P557" s="18" t="s">
        <v>133</v>
      </c>
      <c r="Q557" s="18">
        <v>2.995232</v>
      </c>
      <c r="R557" s="10"/>
      <c r="S557" s="16">
        <v>39</v>
      </c>
      <c r="T557" s="16">
        <v>10</v>
      </c>
      <c r="U557" s="18" t="s">
        <v>1951</v>
      </c>
      <c r="V557" s="18" t="s">
        <v>104</v>
      </c>
      <c r="W557" s="13"/>
      <c r="X557" s="13"/>
      <c r="Y557" s="18" t="s">
        <v>275</v>
      </c>
      <c r="Z557" s="18" t="s">
        <v>276</v>
      </c>
      <c r="AA557" s="18" t="s">
        <v>106</v>
      </c>
      <c r="AB557" s="18" t="s">
        <v>107</v>
      </c>
      <c r="AC557" s="18" t="s">
        <v>85</v>
      </c>
      <c r="AD557" s="18">
        <v>32.98</v>
      </c>
      <c r="AE557" s="18">
        <v>1</v>
      </c>
      <c r="AF557" s="18">
        <v>0</v>
      </c>
      <c r="AG557" s="18">
        <v>0</v>
      </c>
      <c r="AH557" s="18">
        <v>0</v>
      </c>
      <c r="AI557" s="18">
        <v>0</v>
      </c>
      <c r="AJ557" s="18">
        <v>0</v>
      </c>
      <c r="AK557" s="18">
        <v>0</v>
      </c>
      <c r="AL557" s="18">
        <v>0</v>
      </c>
      <c r="AM557" s="18">
        <v>0</v>
      </c>
      <c r="AN557" s="18">
        <v>0</v>
      </c>
      <c r="AO557" s="18">
        <v>0</v>
      </c>
      <c r="AP557" s="18">
        <v>0</v>
      </c>
      <c r="AQ557" s="18">
        <v>0</v>
      </c>
      <c r="AR557" s="18">
        <v>0</v>
      </c>
      <c r="AS557" s="18">
        <v>0</v>
      </c>
      <c r="AT557" s="18">
        <v>0</v>
      </c>
      <c r="AU557" s="18">
        <v>0</v>
      </c>
      <c r="AV557" s="18">
        <v>0</v>
      </c>
      <c r="AW557" s="18">
        <v>0</v>
      </c>
      <c r="AX557" s="18">
        <v>0</v>
      </c>
      <c r="AY557" s="13"/>
      <c r="AZ557" s="18">
        <v>1</v>
      </c>
      <c r="BA557" s="18">
        <v>1</v>
      </c>
      <c r="BB557" s="18">
        <v>59.8</v>
      </c>
      <c r="BC557" s="18" t="s">
        <v>1952</v>
      </c>
      <c r="BD557" s="18" t="s">
        <v>97</v>
      </c>
      <c r="BE557" s="18" t="s">
        <v>98</v>
      </c>
      <c r="BF557" s="18" t="s">
        <v>77</v>
      </c>
      <c r="BG557" s="18">
        <v>1</v>
      </c>
      <c r="BH557" s="18">
        <v>11</v>
      </c>
      <c r="BI557" s="18">
        <v>0.0833</v>
      </c>
      <c r="BJ557" s="18">
        <v>1</v>
      </c>
      <c r="BK557" s="18">
        <v>25</v>
      </c>
      <c r="BL557" s="18">
        <v>93.2</v>
      </c>
      <c r="BM557" s="13">
        <f t="shared" si="0"/>
        <v>740.61</v>
      </c>
    </row>
    <row r="558" customHeight="1" spans="1:65">
      <c r="A558" s="18" t="s">
        <v>2251</v>
      </c>
      <c r="B558" s="18" t="s">
        <v>2252</v>
      </c>
      <c r="C558" s="13"/>
      <c r="D558" s="13"/>
      <c r="E558" s="18" t="s">
        <v>250</v>
      </c>
      <c r="F558" s="19" t="s">
        <v>276</v>
      </c>
      <c r="G558" s="18" t="s">
        <v>83</v>
      </c>
      <c r="H558" s="18" t="s">
        <v>84</v>
      </c>
      <c r="I558" s="18" t="s">
        <v>85</v>
      </c>
      <c r="J558" s="18">
        <v>5</v>
      </c>
      <c r="K558" s="16">
        <v>89.99</v>
      </c>
      <c r="L558" s="10"/>
      <c r="M558" s="16">
        <v>0</v>
      </c>
      <c r="N558" s="16">
        <v>0</v>
      </c>
      <c r="O558" s="18">
        <v>0</v>
      </c>
      <c r="P558" s="18" t="s">
        <v>95</v>
      </c>
      <c r="Q558" s="18">
        <v>4.51075</v>
      </c>
      <c r="R558" s="10"/>
      <c r="S558" s="16">
        <v>4</v>
      </c>
      <c r="T558" s="16">
        <v>10</v>
      </c>
      <c r="U558" s="18" t="s">
        <v>2251</v>
      </c>
      <c r="V558" s="18" t="s">
        <v>2252</v>
      </c>
      <c r="W558" s="13"/>
      <c r="X558" s="13"/>
      <c r="Y558" s="18" t="s">
        <v>250</v>
      </c>
      <c r="Z558" s="18" t="s">
        <v>276</v>
      </c>
      <c r="AA558" s="18" t="s">
        <v>83</v>
      </c>
      <c r="AB558" s="18" t="s">
        <v>84</v>
      </c>
      <c r="AC558" s="18" t="s">
        <v>85</v>
      </c>
      <c r="AD558" s="18">
        <v>174.98</v>
      </c>
      <c r="AE558" s="18">
        <v>0</v>
      </c>
      <c r="AF558" s="18">
        <v>0</v>
      </c>
      <c r="AG558" s="18">
        <v>1</v>
      </c>
      <c r="AH558" s="18">
        <v>0</v>
      </c>
      <c r="AI558" s="18">
        <v>1</v>
      </c>
      <c r="AJ558" s="18">
        <v>0</v>
      </c>
      <c r="AK558" s="18">
        <v>0</v>
      </c>
      <c r="AL558" s="18">
        <v>0</v>
      </c>
      <c r="AM558" s="18">
        <v>0</v>
      </c>
      <c r="AN558" s="18">
        <v>0</v>
      </c>
      <c r="AO558" s="18">
        <v>0</v>
      </c>
      <c r="AP558" s="18">
        <v>0</v>
      </c>
      <c r="AQ558" s="18">
        <v>0</v>
      </c>
      <c r="AR558" s="18">
        <v>0</v>
      </c>
      <c r="AS558" s="18">
        <v>0</v>
      </c>
      <c r="AT558" s="18">
        <v>1</v>
      </c>
      <c r="AU558" s="18">
        <v>0</v>
      </c>
      <c r="AV558" s="18">
        <v>0</v>
      </c>
      <c r="AW558" s="18">
        <v>0</v>
      </c>
      <c r="AX558" s="18">
        <v>0</v>
      </c>
      <c r="AY558" s="13"/>
      <c r="AZ558" s="18">
        <v>1</v>
      </c>
      <c r="BA558" s="18">
        <v>0</v>
      </c>
      <c r="BB558" s="18">
        <v>36.9</v>
      </c>
      <c r="BC558" s="18" t="s">
        <v>1952</v>
      </c>
      <c r="BD558" s="18" t="s">
        <v>97</v>
      </c>
      <c r="BE558" s="18" t="s">
        <v>98</v>
      </c>
      <c r="BF558" s="18" t="s">
        <v>77</v>
      </c>
      <c r="BG558" s="18">
        <v>1</v>
      </c>
      <c r="BH558" s="18">
        <v>11</v>
      </c>
      <c r="BI558" s="18">
        <v>0.0833</v>
      </c>
      <c r="BJ558" s="18">
        <v>1</v>
      </c>
      <c r="BK558" s="18">
        <v>55</v>
      </c>
      <c r="BL558" s="18">
        <v>84.9</v>
      </c>
      <c r="BM558" s="13">
        <f t="shared" si="0"/>
        <v>359.96</v>
      </c>
    </row>
    <row r="559" customHeight="1" spans="1:65">
      <c r="A559" s="18" t="s">
        <v>1959</v>
      </c>
      <c r="B559" s="18" t="s">
        <v>819</v>
      </c>
      <c r="C559" s="13"/>
      <c r="D559" s="18">
        <v>859696007172</v>
      </c>
      <c r="E559" s="18" t="s">
        <v>81</v>
      </c>
      <c r="F559" s="18" t="s">
        <v>82</v>
      </c>
      <c r="G559" s="18" t="s">
        <v>819</v>
      </c>
      <c r="H559" s="18" t="s">
        <v>102</v>
      </c>
      <c r="I559" s="18" t="s">
        <v>85</v>
      </c>
      <c r="J559" s="18">
        <v>5</v>
      </c>
      <c r="K559" s="16">
        <v>69.95</v>
      </c>
      <c r="L559" s="10"/>
      <c r="M559" s="16">
        <v>0</v>
      </c>
      <c r="N559" s="16">
        <v>0</v>
      </c>
      <c r="O559" s="18">
        <v>0</v>
      </c>
      <c r="P559" s="18" t="s">
        <v>86</v>
      </c>
      <c r="Q559" s="18">
        <v>4.261975</v>
      </c>
      <c r="R559" s="10"/>
      <c r="S559" s="16">
        <v>12</v>
      </c>
      <c r="T559" s="16">
        <v>1</v>
      </c>
      <c r="U559" s="18" t="s">
        <v>1959</v>
      </c>
      <c r="V559" s="18" t="s">
        <v>819</v>
      </c>
      <c r="W559" s="13"/>
      <c r="X559" s="18">
        <v>859696007173</v>
      </c>
      <c r="Y559" s="18" t="s">
        <v>81</v>
      </c>
      <c r="Z559" s="18" t="s">
        <v>82</v>
      </c>
      <c r="AA559" s="18" t="s">
        <v>819</v>
      </c>
      <c r="AB559" s="18" t="s">
        <v>102</v>
      </c>
      <c r="AC559" s="18" t="s">
        <v>85</v>
      </c>
      <c r="AD559" s="18">
        <v>134.9</v>
      </c>
      <c r="AE559" s="18">
        <v>0</v>
      </c>
      <c r="AF559" s="18">
        <v>0</v>
      </c>
      <c r="AG559" s="18">
        <v>0</v>
      </c>
      <c r="AH559" s="18">
        <v>0</v>
      </c>
      <c r="AI559" s="18">
        <v>0</v>
      </c>
      <c r="AJ559" s="18">
        <v>0</v>
      </c>
      <c r="AK559" s="18">
        <v>0</v>
      </c>
      <c r="AL559" s="18">
        <v>0</v>
      </c>
      <c r="AM559" s="18">
        <v>0</v>
      </c>
      <c r="AN559" s="18">
        <v>0</v>
      </c>
      <c r="AO559" s="18">
        <v>0</v>
      </c>
      <c r="AP559" s="18">
        <v>0</v>
      </c>
      <c r="AQ559" s="18">
        <v>0</v>
      </c>
      <c r="AR559" s="18">
        <v>0</v>
      </c>
      <c r="AS559" s="18">
        <v>0</v>
      </c>
      <c r="AT559" s="18">
        <v>1</v>
      </c>
      <c r="AU559" s="18">
        <v>1</v>
      </c>
      <c r="AV559" s="18">
        <v>0</v>
      </c>
      <c r="AW559" s="18">
        <v>0</v>
      </c>
      <c r="AX559" s="18">
        <v>0</v>
      </c>
      <c r="AY559" s="13"/>
      <c r="AZ559" s="18">
        <v>1</v>
      </c>
      <c r="BA559" s="18">
        <v>0</v>
      </c>
      <c r="BB559" s="18">
        <v>66.11</v>
      </c>
      <c r="BC559" s="18" t="s">
        <v>1960</v>
      </c>
      <c r="BD559" s="18" t="s">
        <v>1961</v>
      </c>
      <c r="BE559" s="18" t="s">
        <v>407</v>
      </c>
      <c r="BF559" s="18" t="s">
        <v>77</v>
      </c>
      <c r="BG559" s="18">
        <v>162</v>
      </c>
      <c r="BH559" s="18">
        <v>20</v>
      </c>
      <c r="BI559" s="18">
        <v>0.8901</v>
      </c>
      <c r="BJ559" s="18">
        <v>0</v>
      </c>
      <c r="BK559" s="18">
        <v>10</v>
      </c>
      <c r="BL559" s="18">
        <v>97.3</v>
      </c>
      <c r="BM559" s="13">
        <f t="shared" si="0"/>
        <v>839.4</v>
      </c>
    </row>
    <row r="560" customHeight="1" spans="1:65">
      <c r="A560" s="19" t="s">
        <v>1963</v>
      </c>
      <c r="B560" s="18" t="s">
        <v>65</v>
      </c>
      <c r="C560" s="13"/>
      <c r="D560" s="13"/>
      <c r="E560" s="18" t="s">
        <v>250</v>
      </c>
      <c r="F560" s="18" t="s">
        <v>82</v>
      </c>
      <c r="G560" s="18" t="s">
        <v>65</v>
      </c>
      <c r="H560" s="18" t="s">
        <v>69</v>
      </c>
      <c r="I560" s="18" t="s">
        <v>153</v>
      </c>
      <c r="J560" s="18">
        <v>2</v>
      </c>
      <c r="K560" s="16">
        <v>69.95</v>
      </c>
      <c r="L560" s="10"/>
      <c r="M560" s="16">
        <v>0</v>
      </c>
      <c r="N560" s="16">
        <v>0</v>
      </c>
      <c r="O560" s="18">
        <v>0</v>
      </c>
      <c r="P560" s="18" t="s">
        <v>86</v>
      </c>
      <c r="Q560" s="18">
        <v>4.261975</v>
      </c>
      <c r="R560" s="10"/>
      <c r="S560" s="16">
        <v>3</v>
      </c>
      <c r="T560" s="16">
        <v>7</v>
      </c>
      <c r="U560" s="18" t="s">
        <v>1963</v>
      </c>
      <c r="V560" s="18" t="s">
        <v>65</v>
      </c>
      <c r="W560" s="13"/>
      <c r="X560" s="13"/>
      <c r="Y560" s="18" t="s">
        <v>250</v>
      </c>
      <c r="Z560" s="18" t="s">
        <v>82</v>
      </c>
      <c r="AA560" s="18" t="s">
        <v>65</v>
      </c>
      <c r="AB560" s="18" t="s">
        <v>69</v>
      </c>
      <c r="AC560" s="18" t="s">
        <v>153</v>
      </c>
      <c r="AD560" s="18">
        <v>137.9</v>
      </c>
      <c r="AE560" s="18">
        <v>0</v>
      </c>
      <c r="AF560" s="18">
        <v>0</v>
      </c>
      <c r="AG560" s="18">
        <v>0</v>
      </c>
      <c r="AH560" s="18">
        <v>0</v>
      </c>
      <c r="AI560" s="18">
        <v>0</v>
      </c>
      <c r="AJ560" s="18">
        <v>0</v>
      </c>
      <c r="AK560" s="18">
        <v>0</v>
      </c>
      <c r="AL560" s="18">
        <v>0</v>
      </c>
      <c r="AM560" s="18">
        <v>0</v>
      </c>
      <c r="AN560" s="18">
        <v>0</v>
      </c>
      <c r="AO560" s="18">
        <v>0</v>
      </c>
      <c r="AP560" s="18">
        <v>0</v>
      </c>
      <c r="AQ560" s="18">
        <v>0</v>
      </c>
      <c r="AR560" s="18">
        <v>0</v>
      </c>
      <c r="AS560" s="18">
        <v>0</v>
      </c>
      <c r="AT560" s="18">
        <v>0</v>
      </c>
      <c r="AU560" s="18">
        <v>0</v>
      </c>
      <c r="AV560" s="18">
        <v>0</v>
      </c>
      <c r="AW560" s="18">
        <v>0</v>
      </c>
      <c r="AX560" s="18">
        <v>0</v>
      </c>
      <c r="AY560" s="13"/>
      <c r="AZ560" s="18">
        <v>1</v>
      </c>
      <c r="BA560" s="18">
        <v>1</v>
      </c>
      <c r="BB560" s="18">
        <v>37.23</v>
      </c>
      <c r="BC560" s="18" t="s">
        <v>1964</v>
      </c>
      <c r="BD560" s="18" t="s">
        <v>1965</v>
      </c>
      <c r="BE560" s="18" t="s">
        <v>1110</v>
      </c>
      <c r="BF560" s="18" t="s">
        <v>77</v>
      </c>
      <c r="BG560" s="18">
        <v>168</v>
      </c>
      <c r="BH560" s="18">
        <v>11</v>
      </c>
      <c r="BI560" s="18">
        <v>0.9385</v>
      </c>
      <c r="BJ560" s="18">
        <v>0</v>
      </c>
      <c r="BK560" s="18">
        <v>58</v>
      </c>
      <c r="BL560" s="18">
        <v>84.1</v>
      </c>
      <c r="BM560" s="13">
        <f t="shared" si="0"/>
        <v>209.85</v>
      </c>
    </row>
    <row r="561" customHeight="1" spans="1:65">
      <c r="A561" s="18" t="s">
        <v>1967</v>
      </c>
      <c r="B561" s="18" t="s">
        <v>1968</v>
      </c>
      <c r="C561" s="18" t="s">
        <v>1969</v>
      </c>
      <c r="D561" s="13"/>
      <c r="E561" s="18" t="s">
        <v>1970</v>
      </c>
      <c r="F561" s="18" t="s">
        <v>240</v>
      </c>
      <c r="G561" s="18" t="s">
        <v>83</v>
      </c>
      <c r="H561" s="18" t="s">
        <v>84</v>
      </c>
      <c r="I561" s="18" t="s">
        <v>153</v>
      </c>
      <c r="J561" s="18">
        <v>2</v>
      </c>
      <c r="K561" s="16">
        <v>18.3</v>
      </c>
      <c r="L561" s="10"/>
      <c r="M561" s="16">
        <v>0</v>
      </c>
      <c r="N561" s="16">
        <v>0</v>
      </c>
      <c r="O561" s="18">
        <v>0</v>
      </c>
      <c r="P561" s="18" t="s">
        <v>133</v>
      </c>
      <c r="Q561" s="18">
        <v>2.960105</v>
      </c>
      <c r="R561" s="16">
        <v>2.29</v>
      </c>
      <c r="S561" s="10"/>
      <c r="T561" s="10"/>
      <c r="U561" s="18" t="s">
        <v>1967</v>
      </c>
      <c r="V561" s="18" t="s">
        <v>1968</v>
      </c>
      <c r="W561" s="18" t="s">
        <v>2657</v>
      </c>
      <c r="X561" s="13"/>
      <c r="Y561" s="18" t="s">
        <v>1970</v>
      </c>
      <c r="Z561" s="18" t="s">
        <v>240</v>
      </c>
      <c r="AA561" s="18" t="s">
        <v>83</v>
      </c>
      <c r="AB561" s="18" t="s">
        <v>84</v>
      </c>
      <c r="AC561" s="18" t="s">
        <v>153</v>
      </c>
      <c r="AD561" s="18">
        <v>34.6</v>
      </c>
      <c r="AE561" s="18">
        <v>0</v>
      </c>
      <c r="AF561" s="18">
        <v>0</v>
      </c>
      <c r="AG561" s="18">
        <v>0</v>
      </c>
      <c r="AH561" s="18">
        <v>0</v>
      </c>
      <c r="AI561" s="18">
        <v>0</v>
      </c>
      <c r="AJ561" s="18">
        <v>0</v>
      </c>
      <c r="AK561" s="18">
        <v>0</v>
      </c>
      <c r="AL561" s="18">
        <v>0</v>
      </c>
      <c r="AM561" s="18">
        <v>0</v>
      </c>
      <c r="AN561" s="18">
        <v>0</v>
      </c>
      <c r="AO561" s="18">
        <v>0</v>
      </c>
      <c r="AP561" s="18">
        <v>0</v>
      </c>
      <c r="AQ561" s="18">
        <v>1</v>
      </c>
      <c r="AR561" s="18">
        <v>0</v>
      </c>
      <c r="AS561" s="18">
        <v>0</v>
      </c>
      <c r="AT561" s="18">
        <v>0</v>
      </c>
      <c r="AU561" s="18">
        <v>0</v>
      </c>
      <c r="AV561" s="18">
        <v>1</v>
      </c>
      <c r="AW561" s="18">
        <v>1</v>
      </c>
      <c r="AX561" s="18">
        <v>0</v>
      </c>
      <c r="AY561" s="18">
        <v>8</v>
      </c>
      <c r="AZ561" s="18">
        <v>1</v>
      </c>
      <c r="BA561" s="18">
        <v>1</v>
      </c>
      <c r="BB561" s="18">
        <v>29.76</v>
      </c>
      <c r="BC561" s="18" t="s">
        <v>1971</v>
      </c>
      <c r="BD561" s="18" t="s">
        <v>1972</v>
      </c>
      <c r="BE561" s="18" t="s">
        <v>206</v>
      </c>
      <c r="BF561" s="18" t="s">
        <v>77</v>
      </c>
      <c r="BG561" s="18">
        <v>1</v>
      </c>
      <c r="BH561" s="18">
        <v>11</v>
      </c>
      <c r="BI561" s="18">
        <v>0.0833</v>
      </c>
      <c r="BJ561" s="18">
        <v>1</v>
      </c>
      <c r="BK561" s="18">
        <v>3</v>
      </c>
      <c r="BL561" s="18">
        <v>99.2</v>
      </c>
      <c r="BM561" s="13">
        <f t="shared" si="0"/>
        <v>0</v>
      </c>
    </row>
    <row r="562" customHeight="1" spans="1:65">
      <c r="A562" s="18" t="s">
        <v>1746</v>
      </c>
      <c r="B562" s="18" t="s">
        <v>125</v>
      </c>
      <c r="C562" s="13"/>
      <c r="D562" s="13"/>
      <c r="E562" s="18" t="s">
        <v>1194</v>
      </c>
      <c r="F562" s="18" t="s">
        <v>82</v>
      </c>
      <c r="G562" s="18" t="s">
        <v>83</v>
      </c>
      <c r="H562" s="18" t="s">
        <v>138</v>
      </c>
      <c r="I562" s="18" t="s">
        <v>85</v>
      </c>
      <c r="J562" s="18">
        <v>5</v>
      </c>
      <c r="K562" s="16">
        <v>14.99</v>
      </c>
      <c r="L562" s="10"/>
      <c r="M562" s="16">
        <v>0</v>
      </c>
      <c r="N562" s="16">
        <v>0</v>
      </c>
      <c r="O562" s="18">
        <v>0</v>
      </c>
      <c r="P562" s="18" t="s">
        <v>133</v>
      </c>
      <c r="Q562" s="18">
        <v>2.771964</v>
      </c>
      <c r="R562" s="10"/>
      <c r="S562" s="16">
        <v>31</v>
      </c>
      <c r="T562" s="16">
        <v>10</v>
      </c>
      <c r="U562" s="18" t="s">
        <v>1193</v>
      </c>
      <c r="V562" s="18" t="s">
        <v>125</v>
      </c>
      <c r="W562" s="13"/>
      <c r="X562" s="13"/>
      <c r="Y562" s="18" t="s">
        <v>1194</v>
      </c>
      <c r="Z562" s="18" t="s">
        <v>82</v>
      </c>
      <c r="AA562" s="18" t="s">
        <v>83</v>
      </c>
      <c r="AB562" s="18" t="s">
        <v>138</v>
      </c>
      <c r="AC562" s="18" t="s">
        <v>85</v>
      </c>
      <c r="AD562" s="18">
        <v>24.98</v>
      </c>
      <c r="AE562" s="18">
        <v>0</v>
      </c>
      <c r="AF562" s="18">
        <v>1</v>
      </c>
      <c r="AG562" s="18">
        <v>0</v>
      </c>
      <c r="AH562" s="18">
        <v>1</v>
      </c>
      <c r="AI562" s="18">
        <v>0</v>
      </c>
      <c r="AJ562" s="18">
        <v>0</v>
      </c>
      <c r="AK562" s="18">
        <v>0</v>
      </c>
      <c r="AL562" s="18">
        <v>0</v>
      </c>
      <c r="AM562" s="18">
        <v>0</v>
      </c>
      <c r="AN562" s="18">
        <v>0</v>
      </c>
      <c r="AO562" s="18">
        <v>0</v>
      </c>
      <c r="AP562" s="18">
        <v>0</v>
      </c>
      <c r="AQ562" s="18">
        <v>0</v>
      </c>
      <c r="AR562" s="18">
        <v>0</v>
      </c>
      <c r="AS562" s="18">
        <v>0</v>
      </c>
      <c r="AT562" s="18">
        <v>0</v>
      </c>
      <c r="AU562" s="18">
        <v>0</v>
      </c>
      <c r="AV562" s="18">
        <v>0</v>
      </c>
      <c r="AW562" s="18">
        <v>0</v>
      </c>
      <c r="AX562" s="18">
        <v>0</v>
      </c>
      <c r="AY562" s="13"/>
      <c r="AZ562" s="18">
        <v>1</v>
      </c>
      <c r="BA562" s="18">
        <v>1</v>
      </c>
      <c r="BB562" s="18">
        <v>60.09</v>
      </c>
      <c r="BC562" s="18" t="s">
        <v>1973</v>
      </c>
      <c r="BD562" s="13"/>
      <c r="BE562" s="13"/>
      <c r="BF562" s="13"/>
      <c r="BG562" s="18">
        <v>0</v>
      </c>
      <c r="BH562" s="18">
        <v>0</v>
      </c>
      <c r="BI562" s="13"/>
      <c r="BJ562" s="18">
        <v>0</v>
      </c>
      <c r="BK562" s="18">
        <v>2</v>
      </c>
      <c r="BL562" s="18">
        <v>99.5</v>
      </c>
      <c r="BM562" s="13">
        <f t="shared" si="0"/>
        <v>464.69</v>
      </c>
    </row>
    <row r="563" customHeight="1" spans="1:65">
      <c r="A563" s="18" t="s">
        <v>2344</v>
      </c>
      <c r="B563" s="18" t="s">
        <v>125</v>
      </c>
      <c r="C563" s="13"/>
      <c r="D563" s="13"/>
      <c r="E563" s="18" t="s">
        <v>81</v>
      </c>
      <c r="F563" s="18" t="s">
        <v>82</v>
      </c>
      <c r="G563" s="18" t="s">
        <v>83</v>
      </c>
      <c r="H563" s="18" t="s">
        <v>138</v>
      </c>
      <c r="I563" s="18" t="s">
        <v>85</v>
      </c>
      <c r="J563" s="18">
        <v>5</v>
      </c>
      <c r="K563" s="16">
        <v>27.99</v>
      </c>
      <c r="L563" s="10"/>
      <c r="M563" s="16">
        <v>0</v>
      </c>
      <c r="N563" s="16">
        <v>0</v>
      </c>
      <c r="O563" s="18">
        <v>0</v>
      </c>
      <c r="P563" s="18" t="s">
        <v>86</v>
      </c>
      <c r="Q563" s="18">
        <v>3.366951</v>
      </c>
      <c r="R563" s="10"/>
      <c r="S563" s="16">
        <v>49</v>
      </c>
      <c r="T563" s="16">
        <v>10</v>
      </c>
      <c r="U563" s="18" t="s">
        <v>2344</v>
      </c>
      <c r="V563" s="18" t="s">
        <v>125</v>
      </c>
      <c r="W563" s="13"/>
      <c r="X563" s="13"/>
      <c r="Y563" s="18" t="s">
        <v>81</v>
      </c>
      <c r="Z563" s="18" t="s">
        <v>82</v>
      </c>
      <c r="AA563" s="18" t="s">
        <v>83</v>
      </c>
      <c r="AB563" s="18" t="s">
        <v>138</v>
      </c>
      <c r="AC563" s="18" t="s">
        <v>85</v>
      </c>
      <c r="AD563" s="18">
        <v>50.98</v>
      </c>
      <c r="AE563" s="18">
        <v>0</v>
      </c>
      <c r="AF563" s="18">
        <v>0</v>
      </c>
      <c r="AG563" s="18">
        <v>0</v>
      </c>
      <c r="AH563" s="18">
        <v>1</v>
      </c>
      <c r="AI563" s="18">
        <v>0</v>
      </c>
      <c r="AJ563" s="18">
        <v>0</v>
      </c>
      <c r="AK563" s="18">
        <v>0</v>
      </c>
      <c r="AL563" s="18">
        <v>0</v>
      </c>
      <c r="AM563" s="18">
        <v>0</v>
      </c>
      <c r="AN563" s="18">
        <v>0</v>
      </c>
      <c r="AO563" s="18">
        <v>0</v>
      </c>
      <c r="AP563" s="18">
        <v>0</v>
      </c>
      <c r="AQ563" s="18">
        <v>1</v>
      </c>
      <c r="AR563" s="18">
        <v>0</v>
      </c>
      <c r="AS563" s="18">
        <v>0</v>
      </c>
      <c r="AT563" s="18">
        <v>0</v>
      </c>
      <c r="AU563" s="18">
        <v>0</v>
      </c>
      <c r="AV563" s="18">
        <v>1</v>
      </c>
      <c r="AW563" s="18">
        <v>0</v>
      </c>
      <c r="AX563" s="18">
        <v>0</v>
      </c>
      <c r="AY563" s="13"/>
      <c r="AZ563" s="18">
        <v>1</v>
      </c>
      <c r="BA563" s="18">
        <v>2</v>
      </c>
      <c r="BB563" s="18">
        <v>62.98</v>
      </c>
      <c r="BC563" s="18" t="s">
        <v>1980</v>
      </c>
      <c r="BD563" s="18" t="s">
        <v>356</v>
      </c>
      <c r="BE563" s="18" t="s">
        <v>287</v>
      </c>
      <c r="BF563" s="18" t="s">
        <v>77</v>
      </c>
      <c r="BG563" s="18">
        <v>1</v>
      </c>
      <c r="BH563" s="18">
        <v>48</v>
      </c>
      <c r="BI563" s="18">
        <v>0.0204</v>
      </c>
      <c r="BJ563" s="18">
        <v>1</v>
      </c>
      <c r="BK563" s="18">
        <v>3</v>
      </c>
      <c r="BL563" s="18">
        <v>99.2</v>
      </c>
      <c r="BM563" s="13">
        <f t="shared" si="0"/>
        <v>1371.51</v>
      </c>
    </row>
    <row r="564" customHeight="1" spans="1:65">
      <c r="A564" s="18" t="s">
        <v>1979</v>
      </c>
      <c r="B564" s="18" t="s">
        <v>125</v>
      </c>
      <c r="C564" s="13"/>
      <c r="D564" s="13"/>
      <c r="E564" s="18" t="s">
        <v>1313</v>
      </c>
      <c r="F564" s="18" t="s">
        <v>82</v>
      </c>
      <c r="G564" s="18" t="s">
        <v>83</v>
      </c>
      <c r="H564" s="18" t="s">
        <v>138</v>
      </c>
      <c r="I564" s="18" t="s">
        <v>85</v>
      </c>
      <c r="J564" s="18">
        <v>5</v>
      </c>
      <c r="K564" s="16">
        <v>23.99</v>
      </c>
      <c r="L564" s="10"/>
      <c r="M564" s="16">
        <v>0</v>
      </c>
      <c r="N564" s="16">
        <v>0</v>
      </c>
      <c r="O564" s="18">
        <v>0</v>
      </c>
      <c r="P564" s="18" t="s">
        <v>133</v>
      </c>
      <c r="Q564" s="18">
        <v>3.218476</v>
      </c>
      <c r="R564" s="10"/>
      <c r="S564" s="16">
        <v>26</v>
      </c>
      <c r="T564" s="16">
        <v>10</v>
      </c>
      <c r="U564" s="18" t="s">
        <v>1979</v>
      </c>
      <c r="V564" s="18" t="s">
        <v>125</v>
      </c>
      <c r="W564" s="13"/>
      <c r="X564" s="13"/>
      <c r="Y564" s="18" t="s">
        <v>1313</v>
      </c>
      <c r="Z564" s="18" t="s">
        <v>82</v>
      </c>
      <c r="AA564" s="18" t="s">
        <v>83</v>
      </c>
      <c r="AB564" s="18" t="s">
        <v>138</v>
      </c>
      <c r="AC564" s="18" t="s">
        <v>85</v>
      </c>
      <c r="AD564" s="18">
        <v>42.98</v>
      </c>
      <c r="AE564" s="18">
        <v>0</v>
      </c>
      <c r="AF564" s="18">
        <v>0</v>
      </c>
      <c r="AG564" s="18">
        <v>0</v>
      </c>
      <c r="AH564" s="18">
        <v>1</v>
      </c>
      <c r="AI564" s="18">
        <v>0</v>
      </c>
      <c r="AJ564" s="18">
        <v>0</v>
      </c>
      <c r="AK564" s="18">
        <v>0</v>
      </c>
      <c r="AL564" s="18">
        <v>0</v>
      </c>
      <c r="AM564" s="18">
        <v>0</v>
      </c>
      <c r="AN564" s="18">
        <v>0</v>
      </c>
      <c r="AO564" s="18">
        <v>0</v>
      </c>
      <c r="AP564" s="18">
        <v>0</v>
      </c>
      <c r="AQ564" s="18">
        <v>1</v>
      </c>
      <c r="AR564" s="18">
        <v>0</v>
      </c>
      <c r="AS564" s="18">
        <v>0</v>
      </c>
      <c r="AT564" s="18">
        <v>0</v>
      </c>
      <c r="AU564" s="18">
        <v>0</v>
      </c>
      <c r="AV564" s="18">
        <v>1</v>
      </c>
      <c r="AW564" s="18">
        <v>0</v>
      </c>
      <c r="AX564" s="18">
        <v>0</v>
      </c>
      <c r="AY564" s="13"/>
      <c r="AZ564" s="18">
        <v>1</v>
      </c>
      <c r="BA564" s="18">
        <v>2</v>
      </c>
      <c r="BB564" s="18">
        <v>58.74</v>
      </c>
      <c r="BC564" s="18" t="s">
        <v>1980</v>
      </c>
      <c r="BD564" s="13"/>
      <c r="BE564" s="13"/>
      <c r="BF564" s="13"/>
      <c r="BG564" s="18">
        <v>0</v>
      </c>
      <c r="BH564" s="18">
        <v>0</v>
      </c>
      <c r="BI564" s="13"/>
      <c r="BJ564" s="18">
        <v>0</v>
      </c>
      <c r="BK564" s="18">
        <v>2</v>
      </c>
      <c r="BL564" s="18">
        <v>99.5</v>
      </c>
      <c r="BM564" s="13">
        <f t="shared" si="0"/>
        <v>623.74</v>
      </c>
    </row>
    <row r="565" customHeight="1" spans="1:65">
      <c r="A565" s="18" t="s">
        <v>579</v>
      </c>
      <c r="B565" s="18" t="s">
        <v>293</v>
      </c>
      <c r="C565" s="13"/>
      <c r="D565" s="13"/>
      <c r="E565" s="18" t="s">
        <v>294</v>
      </c>
      <c r="F565" s="18" t="s">
        <v>198</v>
      </c>
      <c r="G565" s="18" t="s">
        <v>83</v>
      </c>
      <c r="H565" s="18" t="s">
        <v>84</v>
      </c>
      <c r="I565" s="18" t="s">
        <v>85</v>
      </c>
      <c r="J565" s="18">
        <v>5</v>
      </c>
      <c r="K565" s="16">
        <v>38.39</v>
      </c>
      <c r="L565" s="10"/>
      <c r="M565" s="16">
        <v>0</v>
      </c>
      <c r="N565" s="16">
        <v>0</v>
      </c>
      <c r="O565" s="18">
        <v>0</v>
      </c>
      <c r="P565" s="18" t="s">
        <v>86</v>
      </c>
      <c r="Q565" s="18">
        <v>3.673512</v>
      </c>
      <c r="R565" s="10"/>
      <c r="S565" s="16">
        <v>93</v>
      </c>
      <c r="T565" s="16">
        <v>7</v>
      </c>
      <c r="U565" s="18" t="s">
        <v>579</v>
      </c>
      <c r="V565" s="18" t="s">
        <v>293</v>
      </c>
      <c r="W565" s="13"/>
      <c r="X565" s="13"/>
      <c r="Y565" s="18" t="s">
        <v>294</v>
      </c>
      <c r="Z565" s="18" t="s">
        <v>198</v>
      </c>
      <c r="AA565" s="18" t="s">
        <v>83</v>
      </c>
      <c r="AB565" s="18" t="s">
        <v>84</v>
      </c>
      <c r="AC565" s="18" t="s">
        <v>85</v>
      </c>
      <c r="AD565" s="18">
        <v>71.78</v>
      </c>
      <c r="AE565" s="18">
        <v>1</v>
      </c>
      <c r="AF565" s="18">
        <v>0</v>
      </c>
      <c r="AG565" s="18">
        <v>0</v>
      </c>
      <c r="AH565" s="18">
        <v>0</v>
      </c>
      <c r="AI565" s="18">
        <v>0</v>
      </c>
      <c r="AJ565" s="18">
        <v>0</v>
      </c>
      <c r="AK565" s="18">
        <v>0</v>
      </c>
      <c r="AL565" s="18">
        <v>0</v>
      </c>
      <c r="AM565" s="18">
        <v>0</v>
      </c>
      <c r="AN565" s="18">
        <v>0</v>
      </c>
      <c r="AO565" s="18">
        <v>0</v>
      </c>
      <c r="AP565" s="18">
        <v>0</v>
      </c>
      <c r="AQ565" s="18">
        <v>0</v>
      </c>
      <c r="AR565" s="18">
        <v>0</v>
      </c>
      <c r="AS565" s="18">
        <v>0</v>
      </c>
      <c r="AT565" s="18">
        <v>0</v>
      </c>
      <c r="AU565" s="18">
        <v>0</v>
      </c>
      <c r="AV565" s="18">
        <v>0</v>
      </c>
      <c r="AW565" s="18">
        <v>1</v>
      </c>
      <c r="AX565" s="18">
        <v>0</v>
      </c>
      <c r="AY565" s="13"/>
      <c r="AZ565" s="18">
        <v>1</v>
      </c>
      <c r="BA565" s="18">
        <v>1</v>
      </c>
      <c r="BB565" s="18">
        <v>63.33</v>
      </c>
      <c r="BC565" s="18" t="s">
        <v>295</v>
      </c>
      <c r="BD565" s="18" t="s">
        <v>356</v>
      </c>
      <c r="BE565" s="18" t="s">
        <v>423</v>
      </c>
      <c r="BF565" s="18" t="s">
        <v>77</v>
      </c>
      <c r="BG565" s="18">
        <v>162</v>
      </c>
      <c r="BH565" s="18">
        <v>46</v>
      </c>
      <c r="BI565" s="18">
        <v>0.7788</v>
      </c>
      <c r="BJ565" s="18">
        <v>0</v>
      </c>
      <c r="BK565" s="18">
        <v>47</v>
      </c>
      <c r="BL565" s="18">
        <v>87.1</v>
      </c>
      <c r="BM565" s="13">
        <f t="shared" si="0"/>
        <v>3570.27</v>
      </c>
    </row>
    <row r="566" customHeight="1" spans="1:65">
      <c r="A566" s="18" t="s">
        <v>1637</v>
      </c>
      <c r="B566" s="18" t="s">
        <v>293</v>
      </c>
      <c r="C566" s="13"/>
      <c r="D566" s="13"/>
      <c r="E566" s="18" t="s">
        <v>294</v>
      </c>
      <c r="F566" s="18" t="s">
        <v>198</v>
      </c>
      <c r="G566" s="18" t="s">
        <v>83</v>
      </c>
      <c r="H566" s="18" t="s">
        <v>84</v>
      </c>
      <c r="I566" s="18" t="s">
        <v>85</v>
      </c>
      <c r="J566" s="18">
        <v>5</v>
      </c>
      <c r="K566" s="16">
        <v>43.19</v>
      </c>
      <c r="L566" s="10"/>
      <c r="M566" s="16">
        <v>0</v>
      </c>
      <c r="N566" s="16">
        <v>0</v>
      </c>
      <c r="O566" s="18">
        <v>0</v>
      </c>
      <c r="P566" s="18" t="s">
        <v>86</v>
      </c>
      <c r="Q566" s="18">
        <v>3.788499</v>
      </c>
      <c r="R566" s="10"/>
      <c r="S566" s="16">
        <v>24</v>
      </c>
      <c r="T566" s="16">
        <v>76</v>
      </c>
      <c r="U566" s="18" t="s">
        <v>1637</v>
      </c>
      <c r="V566" s="18" t="s">
        <v>293</v>
      </c>
      <c r="W566" s="13"/>
      <c r="X566" s="13"/>
      <c r="Y566" s="18" t="s">
        <v>294</v>
      </c>
      <c r="Z566" s="18" t="s">
        <v>198</v>
      </c>
      <c r="AA566" s="18" t="s">
        <v>83</v>
      </c>
      <c r="AB566" s="18" t="s">
        <v>84</v>
      </c>
      <c r="AC566" s="18" t="s">
        <v>85</v>
      </c>
      <c r="AD566" s="18">
        <v>81.38</v>
      </c>
      <c r="AE566" s="18">
        <v>1</v>
      </c>
      <c r="AF566" s="18">
        <v>0</v>
      </c>
      <c r="AG566" s="18">
        <v>0</v>
      </c>
      <c r="AH566" s="18">
        <v>0</v>
      </c>
      <c r="AI566" s="18">
        <v>0</v>
      </c>
      <c r="AJ566" s="18">
        <v>0</v>
      </c>
      <c r="AK566" s="18">
        <v>0</v>
      </c>
      <c r="AL566" s="18">
        <v>0</v>
      </c>
      <c r="AM566" s="18">
        <v>0</v>
      </c>
      <c r="AN566" s="18">
        <v>0</v>
      </c>
      <c r="AO566" s="18">
        <v>0</v>
      </c>
      <c r="AP566" s="18">
        <v>0</v>
      </c>
      <c r="AQ566" s="18">
        <v>0</v>
      </c>
      <c r="AR566" s="18">
        <v>0</v>
      </c>
      <c r="AS566" s="18">
        <v>0</v>
      </c>
      <c r="AT566" s="18">
        <v>1</v>
      </c>
      <c r="AU566" s="18">
        <v>0</v>
      </c>
      <c r="AV566" s="18">
        <v>0</v>
      </c>
      <c r="AW566" s="18">
        <v>1</v>
      </c>
      <c r="AX566" s="18">
        <v>0</v>
      </c>
      <c r="AY566" s="13"/>
      <c r="AZ566" s="18">
        <v>1</v>
      </c>
      <c r="BA566" s="18">
        <v>1</v>
      </c>
      <c r="BB566" s="18">
        <v>35.73</v>
      </c>
      <c r="BC566" s="18" t="s">
        <v>295</v>
      </c>
      <c r="BD566" s="18" t="s">
        <v>97</v>
      </c>
      <c r="BE566" s="18" t="s">
        <v>98</v>
      </c>
      <c r="BF566" s="18" t="s">
        <v>77</v>
      </c>
      <c r="BG566" s="18">
        <v>162</v>
      </c>
      <c r="BH566" s="18">
        <v>46</v>
      </c>
      <c r="BI566" s="18">
        <v>0.7788</v>
      </c>
      <c r="BJ566" s="18">
        <v>0</v>
      </c>
      <c r="BK566" s="18">
        <v>47</v>
      </c>
      <c r="BL566" s="18">
        <v>87.1</v>
      </c>
      <c r="BM566" s="13">
        <f t="shared" si="0"/>
        <v>1036.56</v>
      </c>
    </row>
    <row r="567" customHeight="1" spans="1:65">
      <c r="A567" s="18" t="s">
        <v>292</v>
      </c>
      <c r="B567" s="18" t="s">
        <v>293</v>
      </c>
      <c r="C567" s="13"/>
      <c r="D567" s="13"/>
      <c r="E567" s="18" t="s">
        <v>294</v>
      </c>
      <c r="F567" s="18" t="s">
        <v>198</v>
      </c>
      <c r="G567" s="18" t="s">
        <v>83</v>
      </c>
      <c r="H567" s="18" t="s">
        <v>84</v>
      </c>
      <c r="I567" s="18" t="s">
        <v>85</v>
      </c>
      <c r="J567" s="18">
        <v>5</v>
      </c>
      <c r="K567" s="16">
        <v>49.99</v>
      </c>
      <c r="L567" s="10"/>
      <c r="M567" s="16">
        <v>0</v>
      </c>
      <c r="N567" s="16">
        <v>0</v>
      </c>
      <c r="O567" s="18">
        <v>0</v>
      </c>
      <c r="P567" s="18" t="s">
        <v>86</v>
      </c>
      <c r="Q567" s="18">
        <v>3.93163</v>
      </c>
      <c r="R567" s="10"/>
      <c r="S567" s="16">
        <v>205</v>
      </c>
      <c r="T567" s="16">
        <v>45</v>
      </c>
      <c r="U567" s="18" t="s">
        <v>292</v>
      </c>
      <c r="V567" s="18" t="s">
        <v>293</v>
      </c>
      <c r="W567" s="13"/>
      <c r="X567" s="13"/>
      <c r="Y567" s="18" t="s">
        <v>294</v>
      </c>
      <c r="Z567" s="18" t="s">
        <v>198</v>
      </c>
      <c r="AA567" s="18" t="s">
        <v>83</v>
      </c>
      <c r="AB567" s="18" t="s">
        <v>84</v>
      </c>
      <c r="AC567" s="18" t="s">
        <v>85</v>
      </c>
      <c r="AD567" s="18">
        <v>94.98</v>
      </c>
      <c r="AE567" s="18">
        <v>0</v>
      </c>
      <c r="AF567" s="18">
        <v>0</v>
      </c>
      <c r="AG567" s="18">
        <v>0</v>
      </c>
      <c r="AH567" s="18">
        <v>1</v>
      </c>
      <c r="AI567" s="18">
        <v>0</v>
      </c>
      <c r="AJ567" s="18">
        <v>0</v>
      </c>
      <c r="AK567" s="18">
        <v>0</v>
      </c>
      <c r="AL567" s="18">
        <v>0</v>
      </c>
      <c r="AM567" s="18">
        <v>0</v>
      </c>
      <c r="AN567" s="18">
        <v>0</v>
      </c>
      <c r="AO567" s="18">
        <v>0</v>
      </c>
      <c r="AP567" s="18">
        <v>0</v>
      </c>
      <c r="AQ567" s="18">
        <v>0</v>
      </c>
      <c r="AR567" s="18">
        <v>0</v>
      </c>
      <c r="AS567" s="18">
        <v>0</v>
      </c>
      <c r="AT567" s="18">
        <v>0</v>
      </c>
      <c r="AU567" s="18">
        <v>0</v>
      </c>
      <c r="AV567" s="18">
        <v>0</v>
      </c>
      <c r="AW567" s="18">
        <v>0</v>
      </c>
      <c r="AX567" s="18">
        <v>0</v>
      </c>
      <c r="AY567" s="13"/>
      <c r="AZ567" s="18">
        <v>1</v>
      </c>
      <c r="BA567" s="18">
        <v>1</v>
      </c>
      <c r="BB567" s="18">
        <v>60.91</v>
      </c>
      <c r="BC567" s="18" t="s">
        <v>295</v>
      </c>
      <c r="BD567" s="18" t="s">
        <v>97</v>
      </c>
      <c r="BE567" s="18" t="s">
        <v>76</v>
      </c>
      <c r="BF567" s="18" t="s">
        <v>77</v>
      </c>
      <c r="BG567" s="18">
        <v>168</v>
      </c>
      <c r="BH567" s="18">
        <v>18</v>
      </c>
      <c r="BI567" s="18">
        <v>0.9032</v>
      </c>
      <c r="BJ567" s="18">
        <v>0</v>
      </c>
      <c r="BK567" s="18">
        <v>23</v>
      </c>
      <c r="BL567" s="18">
        <v>93.7</v>
      </c>
      <c r="BM567" s="13">
        <f t="shared" si="0"/>
        <v>10247.95</v>
      </c>
    </row>
    <row r="568" customHeight="1" spans="1:65">
      <c r="A568" s="18" t="s">
        <v>1463</v>
      </c>
      <c r="B568" s="18" t="s">
        <v>293</v>
      </c>
      <c r="C568" s="13"/>
      <c r="D568" s="13"/>
      <c r="E568" s="18" t="s">
        <v>294</v>
      </c>
      <c r="F568" s="18" t="s">
        <v>198</v>
      </c>
      <c r="G568" s="18" t="s">
        <v>83</v>
      </c>
      <c r="H568" s="18" t="s">
        <v>84</v>
      </c>
      <c r="I568" s="18" t="s">
        <v>85</v>
      </c>
      <c r="J568" s="18">
        <v>5</v>
      </c>
      <c r="K568" s="16">
        <v>119.99</v>
      </c>
      <c r="L568" s="10"/>
      <c r="M568" s="16">
        <v>0</v>
      </c>
      <c r="N568" s="16">
        <v>0</v>
      </c>
      <c r="O568" s="18">
        <v>0</v>
      </c>
      <c r="P568" s="18" t="s">
        <v>95</v>
      </c>
      <c r="Q568" s="18">
        <v>4.795708</v>
      </c>
      <c r="R568" s="10"/>
      <c r="S568" s="16">
        <v>20</v>
      </c>
      <c r="T568" s="16">
        <v>10</v>
      </c>
      <c r="U568" s="18" t="s">
        <v>1463</v>
      </c>
      <c r="V568" s="18" t="s">
        <v>293</v>
      </c>
      <c r="W568" s="13"/>
      <c r="X568" s="13"/>
      <c r="Y568" s="18" t="s">
        <v>294</v>
      </c>
      <c r="Z568" s="18" t="s">
        <v>198</v>
      </c>
      <c r="AA568" s="18" t="s">
        <v>83</v>
      </c>
      <c r="AB568" s="18" t="s">
        <v>84</v>
      </c>
      <c r="AC568" s="18" t="s">
        <v>85</v>
      </c>
      <c r="AD568" s="18">
        <v>234.98</v>
      </c>
      <c r="AE568" s="18">
        <v>1</v>
      </c>
      <c r="AF568" s="18">
        <v>0</v>
      </c>
      <c r="AG568" s="18">
        <v>0</v>
      </c>
      <c r="AH568" s="18">
        <v>0</v>
      </c>
      <c r="AI568" s="18">
        <v>0</v>
      </c>
      <c r="AJ568" s="18">
        <v>0</v>
      </c>
      <c r="AK568" s="18">
        <v>0</v>
      </c>
      <c r="AL568" s="18">
        <v>0</v>
      </c>
      <c r="AM568" s="18">
        <v>0</v>
      </c>
      <c r="AN568" s="18">
        <v>0</v>
      </c>
      <c r="AO568" s="18">
        <v>0</v>
      </c>
      <c r="AP568" s="18">
        <v>0</v>
      </c>
      <c r="AQ568" s="18">
        <v>0</v>
      </c>
      <c r="AR568" s="18">
        <v>0</v>
      </c>
      <c r="AS568" s="18">
        <v>0</v>
      </c>
      <c r="AT568" s="18">
        <v>0</v>
      </c>
      <c r="AU568" s="18">
        <v>0</v>
      </c>
      <c r="AV568" s="18">
        <v>0</v>
      </c>
      <c r="AW568" s="18">
        <v>1</v>
      </c>
      <c r="AX568" s="18">
        <v>0</v>
      </c>
      <c r="AY568" s="13"/>
      <c r="AZ568" s="18">
        <v>1</v>
      </c>
      <c r="BA568" s="18">
        <v>1</v>
      </c>
      <c r="BB568" s="18">
        <v>55.59</v>
      </c>
      <c r="BC568" s="18" t="s">
        <v>295</v>
      </c>
      <c r="BD568" s="18" t="s">
        <v>97</v>
      </c>
      <c r="BE568" s="18" t="s">
        <v>76</v>
      </c>
      <c r="BF568" s="18" t="s">
        <v>77</v>
      </c>
      <c r="BG568" s="18">
        <v>168</v>
      </c>
      <c r="BH568" s="18">
        <v>46</v>
      </c>
      <c r="BI568" s="18">
        <v>0.785</v>
      </c>
      <c r="BJ568" s="18">
        <v>0</v>
      </c>
      <c r="BK568" s="18">
        <v>13</v>
      </c>
      <c r="BL568" s="18">
        <v>96.4</v>
      </c>
      <c r="BM568" s="13">
        <f t="shared" si="0"/>
        <v>2399.8</v>
      </c>
    </row>
    <row r="569" customHeight="1" spans="1:65">
      <c r="A569" s="18" t="s">
        <v>1981</v>
      </c>
      <c r="B569" s="18" t="s">
        <v>1268</v>
      </c>
      <c r="C569" s="13"/>
      <c r="D569" s="13"/>
      <c r="E569" s="18" t="s">
        <v>239</v>
      </c>
      <c r="F569" s="18" t="s">
        <v>240</v>
      </c>
      <c r="G569" s="18" t="s">
        <v>83</v>
      </c>
      <c r="H569" s="18" t="s">
        <v>84</v>
      </c>
      <c r="I569" s="18" t="s">
        <v>508</v>
      </c>
      <c r="J569" s="18">
        <v>1</v>
      </c>
      <c r="K569" s="16">
        <v>114.95</v>
      </c>
      <c r="L569" s="10"/>
      <c r="M569" s="16">
        <v>0</v>
      </c>
      <c r="N569" s="16">
        <v>0</v>
      </c>
      <c r="O569" s="18">
        <v>0</v>
      </c>
      <c r="P569" s="18" t="s">
        <v>95</v>
      </c>
      <c r="Q569" s="18">
        <v>4.753159</v>
      </c>
      <c r="R569" s="10"/>
      <c r="S569" s="10"/>
      <c r="T569" s="10"/>
      <c r="U569" s="18" t="s">
        <v>1981</v>
      </c>
      <c r="V569" s="18" t="s">
        <v>1268</v>
      </c>
      <c r="W569" s="13"/>
      <c r="X569" s="13"/>
      <c r="Y569" s="18" t="s">
        <v>239</v>
      </c>
      <c r="Z569" s="18" t="s">
        <v>240</v>
      </c>
      <c r="AA569" s="18" t="s">
        <v>83</v>
      </c>
      <c r="AB569" s="18" t="s">
        <v>84</v>
      </c>
      <c r="AC569" s="18" t="s">
        <v>508</v>
      </c>
      <c r="AD569" s="18">
        <v>228.9</v>
      </c>
      <c r="AE569" s="18">
        <v>0</v>
      </c>
      <c r="AF569" s="18">
        <v>0</v>
      </c>
      <c r="AG569" s="18">
        <v>1</v>
      </c>
      <c r="AH569" s="18">
        <v>0</v>
      </c>
      <c r="AI569" s="18">
        <v>1</v>
      </c>
      <c r="AJ569" s="18">
        <v>0</v>
      </c>
      <c r="AK569" s="18">
        <v>0</v>
      </c>
      <c r="AL569" s="18">
        <v>0</v>
      </c>
      <c r="AM569" s="18">
        <v>0</v>
      </c>
      <c r="AN569" s="18">
        <v>0</v>
      </c>
      <c r="AO569" s="18">
        <v>0</v>
      </c>
      <c r="AP569" s="18">
        <v>0</v>
      </c>
      <c r="AQ569" s="18">
        <v>0</v>
      </c>
      <c r="AR569" s="18">
        <v>0</v>
      </c>
      <c r="AS569" s="18">
        <v>0</v>
      </c>
      <c r="AT569" s="18">
        <v>0</v>
      </c>
      <c r="AU569" s="18">
        <v>0</v>
      </c>
      <c r="AV569" s="18">
        <v>0</v>
      </c>
      <c r="AW569" s="18">
        <v>1</v>
      </c>
      <c r="AX569" s="18">
        <v>0</v>
      </c>
      <c r="AY569" s="13"/>
      <c r="AZ569" s="18">
        <v>1</v>
      </c>
      <c r="BA569" s="18">
        <v>0</v>
      </c>
      <c r="BB569" s="18">
        <v>27.87</v>
      </c>
      <c r="BC569" s="18" t="s">
        <v>1982</v>
      </c>
      <c r="BD569" s="13"/>
      <c r="BE569" s="13"/>
      <c r="BF569" s="13"/>
      <c r="BG569" s="18">
        <v>0</v>
      </c>
      <c r="BH569" s="18">
        <v>0</v>
      </c>
      <c r="BI569" s="13"/>
      <c r="BJ569" s="18">
        <v>0</v>
      </c>
      <c r="BK569" s="18">
        <v>26</v>
      </c>
      <c r="BL569" s="18">
        <v>92.9</v>
      </c>
      <c r="BM569" s="13">
        <f t="shared" si="0"/>
        <v>0</v>
      </c>
    </row>
    <row r="570" customHeight="1" spans="1:65">
      <c r="A570" s="18" t="s">
        <v>1983</v>
      </c>
      <c r="B570" s="34" t="s">
        <v>1984</v>
      </c>
      <c r="C570" s="18" t="s">
        <v>1985</v>
      </c>
      <c r="D570" s="13"/>
      <c r="E570" s="18" t="s">
        <v>1986</v>
      </c>
      <c r="F570" s="18" t="s">
        <v>68</v>
      </c>
      <c r="G570" s="18" t="s">
        <v>83</v>
      </c>
      <c r="H570" s="18" t="s">
        <v>84</v>
      </c>
      <c r="I570" s="18" t="s">
        <v>85</v>
      </c>
      <c r="J570" s="18">
        <v>5</v>
      </c>
      <c r="K570" s="16">
        <v>37.46</v>
      </c>
      <c r="L570" s="16">
        <v>49.95</v>
      </c>
      <c r="M570" s="16">
        <v>25.01</v>
      </c>
      <c r="N570" s="16">
        <v>12.49</v>
      </c>
      <c r="O570" s="18">
        <v>1</v>
      </c>
      <c r="P570" s="18" t="s">
        <v>86</v>
      </c>
      <c r="Q570" s="18">
        <v>3.649619</v>
      </c>
      <c r="R570" s="10"/>
      <c r="S570" s="16">
        <v>29</v>
      </c>
      <c r="T570" s="16">
        <v>10</v>
      </c>
      <c r="U570" s="18" t="s">
        <v>1983</v>
      </c>
      <c r="V570" s="34" t="s">
        <v>1984</v>
      </c>
      <c r="W570" s="18" t="s">
        <v>1985</v>
      </c>
      <c r="X570" s="13"/>
      <c r="Y570" s="18" t="s">
        <v>1986</v>
      </c>
      <c r="Z570" s="18" t="s">
        <v>68</v>
      </c>
      <c r="AA570" s="18" t="s">
        <v>83</v>
      </c>
      <c r="AB570" s="18" t="s">
        <v>84</v>
      </c>
      <c r="AC570" s="18" t="s">
        <v>85</v>
      </c>
      <c r="AD570" s="18">
        <v>9.83333333333334</v>
      </c>
      <c r="AE570" s="18">
        <v>0</v>
      </c>
      <c r="AF570" s="18">
        <v>0</v>
      </c>
      <c r="AG570" s="18">
        <v>0</v>
      </c>
      <c r="AH570" s="18">
        <v>0</v>
      </c>
      <c r="AI570" s="18">
        <v>0</v>
      </c>
      <c r="AJ570" s="18">
        <v>1</v>
      </c>
      <c r="AK570" s="18">
        <v>0</v>
      </c>
      <c r="AL570" s="18">
        <v>0</v>
      </c>
      <c r="AM570" s="18">
        <v>0</v>
      </c>
      <c r="AN570" s="18">
        <v>0</v>
      </c>
      <c r="AO570" s="18">
        <v>0</v>
      </c>
      <c r="AP570" s="18">
        <v>0</v>
      </c>
      <c r="AQ570" s="18">
        <v>0</v>
      </c>
      <c r="AR570" s="18">
        <v>0</v>
      </c>
      <c r="AS570" s="18">
        <v>0</v>
      </c>
      <c r="AT570" s="18">
        <v>0</v>
      </c>
      <c r="AU570" s="18">
        <v>0</v>
      </c>
      <c r="AV570" s="18">
        <v>0</v>
      </c>
      <c r="AW570" s="18">
        <v>0</v>
      </c>
      <c r="AX570" s="18">
        <v>0</v>
      </c>
      <c r="AY570" s="13"/>
      <c r="AZ570" s="18">
        <v>1</v>
      </c>
      <c r="BA570" s="18">
        <v>0</v>
      </c>
      <c r="BB570" s="18">
        <v>50.9</v>
      </c>
      <c r="BC570" s="18" t="s">
        <v>1987</v>
      </c>
      <c r="BD570" s="13"/>
      <c r="BE570" s="13"/>
      <c r="BF570" s="13"/>
      <c r="BG570" s="18">
        <v>0</v>
      </c>
      <c r="BH570" s="18">
        <v>0</v>
      </c>
      <c r="BI570" s="13"/>
      <c r="BJ570" s="18">
        <v>0</v>
      </c>
      <c r="BK570" s="18">
        <v>199</v>
      </c>
      <c r="BL570" s="18">
        <v>45.5</v>
      </c>
      <c r="BM570" s="13">
        <f t="shared" si="0"/>
        <v>1086.34</v>
      </c>
    </row>
    <row r="571" customHeight="1" spans="1:65">
      <c r="A571" s="18" t="s">
        <v>1988</v>
      </c>
      <c r="B571" s="18" t="s">
        <v>1989</v>
      </c>
      <c r="C571" s="18" t="s">
        <v>1990</v>
      </c>
      <c r="D571" s="13"/>
      <c r="E571" s="18" t="s">
        <v>1991</v>
      </c>
      <c r="F571" s="18" t="s">
        <v>240</v>
      </c>
      <c r="G571" s="18" t="s">
        <v>83</v>
      </c>
      <c r="H571" s="18" t="s">
        <v>84</v>
      </c>
      <c r="I571" s="18" t="s">
        <v>203</v>
      </c>
      <c r="J571" s="18">
        <v>4</v>
      </c>
      <c r="K571" s="16">
        <v>400</v>
      </c>
      <c r="L571" s="10"/>
      <c r="M571" s="16">
        <v>0</v>
      </c>
      <c r="N571" s="16">
        <v>0</v>
      </c>
      <c r="O571" s="18">
        <v>0</v>
      </c>
      <c r="P571" s="18" t="s">
        <v>71</v>
      </c>
      <c r="Q571" s="18">
        <v>5.993961</v>
      </c>
      <c r="R571" s="16">
        <v>100</v>
      </c>
      <c r="S571" s="10"/>
      <c r="T571" s="10"/>
      <c r="U571" s="18" t="s">
        <v>1988</v>
      </c>
      <c r="V571" s="18" t="s">
        <v>1989</v>
      </c>
      <c r="W571" s="18" t="s">
        <v>1990</v>
      </c>
      <c r="X571" s="13"/>
      <c r="Y571" s="18" t="s">
        <v>1991</v>
      </c>
      <c r="Z571" s="18" t="s">
        <v>240</v>
      </c>
      <c r="AA571" s="18" t="s">
        <v>83</v>
      </c>
      <c r="AB571" s="18" t="s">
        <v>84</v>
      </c>
      <c r="AC571" s="18" t="s">
        <v>203</v>
      </c>
      <c r="AD571" s="18">
        <v>796</v>
      </c>
      <c r="AE571" s="18">
        <v>0</v>
      </c>
      <c r="AF571" s="18">
        <v>0</v>
      </c>
      <c r="AG571" s="18">
        <v>0</v>
      </c>
      <c r="AH571" s="18">
        <v>0</v>
      </c>
      <c r="AI571" s="18">
        <v>0</v>
      </c>
      <c r="AJ571" s="18">
        <v>0</v>
      </c>
      <c r="AK571" s="18">
        <v>0</v>
      </c>
      <c r="AL571" s="18">
        <v>0</v>
      </c>
      <c r="AM571" s="18">
        <v>0</v>
      </c>
      <c r="AN571" s="18">
        <v>0</v>
      </c>
      <c r="AO571" s="18">
        <v>0</v>
      </c>
      <c r="AP571" s="18">
        <v>0</v>
      </c>
      <c r="AQ571" s="18">
        <v>0</v>
      </c>
      <c r="AR571" s="18">
        <v>0</v>
      </c>
      <c r="AS571" s="18">
        <v>0</v>
      </c>
      <c r="AT571" s="18">
        <v>0</v>
      </c>
      <c r="AU571" s="18">
        <v>0</v>
      </c>
      <c r="AV571" s="18">
        <v>0</v>
      </c>
      <c r="AW571" s="18">
        <v>1</v>
      </c>
      <c r="AX571" s="18">
        <v>0</v>
      </c>
      <c r="AY571" s="18">
        <v>4</v>
      </c>
      <c r="AZ571" s="18">
        <v>1</v>
      </c>
      <c r="BA571" s="18">
        <v>0</v>
      </c>
      <c r="BB571" s="18">
        <v>28.68</v>
      </c>
      <c r="BC571" s="18" t="s">
        <v>1992</v>
      </c>
      <c r="BD571" s="18" t="s">
        <v>1993</v>
      </c>
      <c r="BE571" s="18" t="s">
        <v>789</v>
      </c>
      <c r="BF571" s="18" t="s">
        <v>77</v>
      </c>
      <c r="BG571" s="18">
        <v>1</v>
      </c>
      <c r="BH571" s="18">
        <v>11</v>
      </c>
      <c r="BI571" s="18">
        <v>0.0833</v>
      </c>
      <c r="BJ571" s="18">
        <v>1</v>
      </c>
      <c r="BK571" s="18">
        <v>16</v>
      </c>
      <c r="BL571" s="18">
        <v>95.6</v>
      </c>
      <c r="BM571" s="13">
        <f t="shared" si="0"/>
        <v>0</v>
      </c>
    </row>
    <row r="572" customHeight="1" spans="1:65">
      <c r="A572" s="18" t="s">
        <v>1999</v>
      </c>
      <c r="B572" s="18" t="s">
        <v>65</v>
      </c>
      <c r="C572" s="18" t="s">
        <v>2000</v>
      </c>
      <c r="D572" s="18">
        <v>695529051413</v>
      </c>
      <c r="E572" s="18" t="s">
        <v>250</v>
      </c>
      <c r="F572" s="18" t="s">
        <v>68</v>
      </c>
      <c r="G572" s="18" t="s">
        <v>65</v>
      </c>
      <c r="H572" s="18" t="s">
        <v>69</v>
      </c>
      <c r="I572" s="18" t="s">
        <v>153</v>
      </c>
      <c r="J572" s="18">
        <v>2</v>
      </c>
      <c r="K572" s="16">
        <v>129</v>
      </c>
      <c r="L572" s="10"/>
      <c r="M572" s="16">
        <v>0</v>
      </c>
      <c r="N572" s="16">
        <v>0</v>
      </c>
      <c r="O572" s="18">
        <v>0</v>
      </c>
      <c r="P572" s="18" t="s">
        <v>95</v>
      </c>
      <c r="Q572" s="18">
        <v>4.867534</v>
      </c>
      <c r="R572" s="10"/>
      <c r="S572" s="16">
        <v>1</v>
      </c>
      <c r="T572" s="16">
        <v>1</v>
      </c>
      <c r="U572" s="18" t="s">
        <v>1999</v>
      </c>
      <c r="V572" s="18" t="s">
        <v>65</v>
      </c>
      <c r="W572" s="18" t="s">
        <v>2000</v>
      </c>
      <c r="X572" s="18">
        <v>695529051414</v>
      </c>
      <c r="Y572" s="18" t="s">
        <v>250</v>
      </c>
      <c r="Z572" s="18" t="s">
        <v>68</v>
      </c>
      <c r="AA572" s="18" t="s">
        <v>65</v>
      </c>
      <c r="AB572" s="18" t="s">
        <v>69</v>
      </c>
      <c r="AC572" s="18" t="s">
        <v>153</v>
      </c>
      <c r="AD572" s="18">
        <v>256</v>
      </c>
      <c r="AE572" s="18">
        <v>0</v>
      </c>
      <c r="AF572" s="18">
        <v>0</v>
      </c>
      <c r="AG572" s="18">
        <v>1</v>
      </c>
      <c r="AH572" s="18">
        <v>0</v>
      </c>
      <c r="AI572" s="18">
        <v>0</v>
      </c>
      <c r="AJ572" s="18">
        <v>0</v>
      </c>
      <c r="AK572" s="18">
        <v>0</v>
      </c>
      <c r="AL572" s="18">
        <v>0</v>
      </c>
      <c r="AM572" s="18">
        <v>0</v>
      </c>
      <c r="AN572" s="18">
        <v>0</v>
      </c>
      <c r="AO572" s="18">
        <v>0</v>
      </c>
      <c r="AP572" s="18">
        <v>0</v>
      </c>
      <c r="AQ572" s="18">
        <v>0</v>
      </c>
      <c r="AR572" s="18">
        <v>0</v>
      </c>
      <c r="AS572" s="18">
        <v>0</v>
      </c>
      <c r="AT572" s="18">
        <v>1</v>
      </c>
      <c r="AU572" s="18">
        <v>0</v>
      </c>
      <c r="AV572" s="18">
        <v>0</v>
      </c>
      <c r="AW572" s="18">
        <v>0</v>
      </c>
      <c r="AX572" s="18">
        <v>0</v>
      </c>
      <c r="AY572" s="13"/>
      <c r="AZ572" s="18">
        <v>1</v>
      </c>
      <c r="BA572" s="18">
        <v>0</v>
      </c>
      <c r="BB572" s="18">
        <v>49.25</v>
      </c>
      <c r="BC572" s="18" t="s">
        <v>2001</v>
      </c>
      <c r="BD572" s="18" t="s">
        <v>2002</v>
      </c>
      <c r="BE572" s="18" t="s">
        <v>453</v>
      </c>
      <c r="BF572" s="18" t="s">
        <v>77</v>
      </c>
      <c r="BG572" s="18">
        <v>1</v>
      </c>
      <c r="BH572" s="18">
        <v>28</v>
      </c>
      <c r="BI572" s="18">
        <v>0.0345</v>
      </c>
      <c r="BJ572" s="18">
        <v>1</v>
      </c>
      <c r="BK572" s="18">
        <v>9</v>
      </c>
      <c r="BL572" s="18">
        <v>97.5</v>
      </c>
      <c r="BM572" s="13">
        <f t="shared" si="0"/>
        <v>129</v>
      </c>
    </row>
    <row r="573" customHeight="1" spans="1:65">
      <c r="A573" s="18" t="s">
        <v>2009</v>
      </c>
      <c r="B573" s="18" t="s">
        <v>819</v>
      </c>
      <c r="C573" s="18" t="s">
        <v>2010</v>
      </c>
      <c r="D573" s="18">
        <v>850025015691</v>
      </c>
      <c r="E573" s="18" t="s">
        <v>81</v>
      </c>
      <c r="F573" s="18" t="s">
        <v>82</v>
      </c>
      <c r="G573" s="18" t="s">
        <v>819</v>
      </c>
      <c r="H573" s="18" t="s">
        <v>102</v>
      </c>
      <c r="I573" s="18" t="s">
        <v>85</v>
      </c>
      <c r="J573" s="18">
        <v>5</v>
      </c>
      <c r="K573" s="16">
        <v>59.99</v>
      </c>
      <c r="L573" s="10"/>
      <c r="M573" s="16">
        <v>0</v>
      </c>
      <c r="N573" s="16">
        <v>0</v>
      </c>
      <c r="O573" s="18">
        <v>0</v>
      </c>
      <c r="P573" s="18" t="s">
        <v>86</v>
      </c>
      <c r="Q573" s="18">
        <v>4.11071</v>
      </c>
      <c r="R573" s="10"/>
      <c r="S573" s="16">
        <v>36</v>
      </c>
      <c r="T573" s="16">
        <v>4</v>
      </c>
      <c r="U573" s="18" t="s">
        <v>2009</v>
      </c>
      <c r="V573" s="18" t="s">
        <v>819</v>
      </c>
      <c r="W573" s="18" t="s">
        <v>2010</v>
      </c>
      <c r="X573" s="18">
        <v>850025015692</v>
      </c>
      <c r="Y573" s="18" t="s">
        <v>81</v>
      </c>
      <c r="Z573" s="18" t="s">
        <v>82</v>
      </c>
      <c r="AA573" s="18" t="s">
        <v>819</v>
      </c>
      <c r="AB573" s="18" t="s">
        <v>102</v>
      </c>
      <c r="AC573" s="18" t="s">
        <v>85</v>
      </c>
      <c r="AD573" s="18">
        <v>114.98</v>
      </c>
      <c r="AE573" s="18">
        <v>0</v>
      </c>
      <c r="AF573" s="18">
        <v>0</v>
      </c>
      <c r="AG573" s="18">
        <v>0</v>
      </c>
      <c r="AH573" s="18">
        <v>0</v>
      </c>
      <c r="AI573" s="18">
        <v>0</v>
      </c>
      <c r="AJ573" s="18">
        <v>0</v>
      </c>
      <c r="AK573" s="18">
        <v>0</v>
      </c>
      <c r="AL573" s="18">
        <v>0</v>
      </c>
      <c r="AM573" s="18">
        <v>0</v>
      </c>
      <c r="AN573" s="18">
        <v>0</v>
      </c>
      <c r="AO573" s="18">
        <v>0</v>
      </c>
      <c r="AP573" s="18">
        <v>1</v>
      </c>
      <c r="AQ573" s="18">
        <v>0</v>
      </c>
      <c r="AR573" s="18">
        <v>0</v>
      </c>
      <c r="AS573" s="18">
        <v>0</v>
      </c>
      <c r="AT573" s="18">
        <v>1</v>
      </c>
      <c r="AU573" s="18">
        <v>0</v>
      </c>
      <c r="AV573" s="18">
        <v>0</v>
      </c>
      <c r="AW573" s="18">
        <v>0</v>
      </c>
      <c r="AX573" s="18">
        <v>0</v>
      </c>
      <c r="AY573" s="13"/>
      <c r="AZ573" s="18">
        <v>1</v>
      </c>
      <c r="BA573" s="18">
        <v>0</v>
      </c>
      <c r="BB573" s="18">
        <v>36</v>
      </c>
      <c r="BC573" s="18" t="s">
        <v>2011</v>
      </c>
      <c r="BD573" s="18" t="s">
        <v>2012</v>
      </c>
      <c r="BE573" s="18" t="s">
        <v>166</v>
      </c>
      <c r="BF573" s="18" t="s">
        <v>77</v>
      </c>
      <c r="BG573" s="18">
        <v>168</v>
      </c>
      <c r="BH573" s="18">
        <v>11</v>
      </c>
      <c r="BI573" s="18">
        <v>0.9385</v>
      </c>
      <c r="BJ573" s="18">
        <v>0</v>
      </c>
      <c r="BK573" s="13"/>
      <c r="BL573" s="13"/>
      <c r="BM573" s="13">
        <f t="shared" si="0"/>
        <v>2159.64</v>
      </c>
    </row>
    <row r="574" customHeight="1" spans="1:65">
      <c r="A574" s="18" t="s">
        <v>2043</v>
      </c>
      <c r="B574" s="18" t="s">
        <v>2044</v>
      </c>
      <c r="C574" s="18" t="s">
        <v>2045</v>
      </c>
      <c r="D574" s="13"/>
      <c r="E574" s="18" t="s">
        <v>2046</v>
      </c>
      <c r="F574" s="18" t="s">
        <v>82</v>
      </c>
      <c r="G574" s="18" t="s">
        <v>83</v>
      </c>
      <c r="H574" s="18" t="s">
        <v>84</v>
      </c>
      <c r="I574" s="18" t="s">
        <v>85</v>
      </c>
      <c r="J574" s="18">
        <v>5</v>
      </c>
      <c r="K574" s="16">
        <v>14.95</v>
      </c>
      <c r="L574" s="10"/>
      <c r="M574" s="16">
        <v>0</v>
      </c>
      <c r="N574" s="16">
        <v>0</v>
      </c>
      <c r="O574" s="18">
        <v>0</v>
      </c>
      <c r="P574" s="18" t="s">
        <v>133</v>
      </c>
      <c r="Q574" s="18">
        <v>2.769459</v>
      </c>
      <c r="R574" s="10"/>
      <c r="S574" s="16">
        <v>84</v>
      </c>
      <c r="T574" s="16">
        <v>10</v>
      </c>
      <c r="U574" s="18" t="s">
        <v>2043</v>
      </c>
      <c r="V574" s="18" t="s">
        <v>2044</v>
      </c>
      <c r="W574" s="18" t="s">
        <v>2045</v>
      </c>
      <c r="X574" s="13"/>
      <c r="Y574" s="18" t="s">
        <v>2046</v>
      </c>
      <c r="Z574" s="18" t="s">
        <v>82</v>
      </c>
      <c r="AA574" s="18" t="s">
        <v>83</v>
      </c>
      <c r="AB574" s="18" t="s">
        <v>84</v>
      </c>
      <c r="AC574" s="18" t="s">
        <v>85</v>
      </c>
      <c r="AD574" s="18">
        <v>24.9</v>
      </c>
      <c r="AE574" s="18">
        <v>0</v>
      </c>
      <c r="AF574" s="18">
        <v>0</v>
      </c>
      <c r="AG574" s="18">
        <v>0</v>
      </c>
      <c r="AH574" s="18">
        <v>0</v>
      </c>
      <c r="AI574" s="18">
        <v>0</v>
      </c>
      <c r="AJ574" s="18">
        <v>0</v>
      </c>
      <c r="AK574" s="18">
        <v>0</v>
      </c>
      <c r="AL574" s="18">
        <v>0</v>
      </c>
      <c r="AM574" s="18">
        <v>0</v>
      </c>
      <c r="AN574" s="18">
        <v>0</v>
      </c>
      <c r="AO574" s="18">
        <v>0</v>
      </c>
      <c r="AP574" s="18">
        <v>0</v>
      </c>
      <c r="AQ574" s="18">
        <v>0</v>
      </c>
      <c r="AR574" s="18">
        <v>0</v>
      </c>
      <c r="AS574" s="18">
        <v>0</v>
      </c>
      <c r="AT574" s="18">
        <v>0</v>
      </c>
      <c r="AU574" s="18">
        <v>0</v>
      </c>
      <c r="AV574" s="18">
        <v>0</v>
      </c>
      <c r="AW574" s="18">
        <v>0</v>
      </c>
      <c r="AX574" s="18">
        <v>0</v>
      </c>
      <c r="AY574" s="13"/>
      <c r="AZ574" s="18">
        <v>1</v>
      </c>
      <c r="BA574" s="18">
        <v>0</v>
      </c>
      <c r="BB574" s="18">
        <v>56.77</v>
      </c>
      <c r="BC574" s="18" t="s">
        <v>2047</v>
      </c>
      <c r="BD574" s="18" t="s">
        <v>180</v>
      </c>
      <c r="BE574" s="18" t="s">
        <v>113</v>
      </c>
      <c r="BF574" s="18" t="s">
        <v>77</v>
      </c>
      <c r="BG574" s="18">
        <v>1</v>
      </c>
      <c r="BH574" s="18">
        <v>27</v>
      </c>
      <c r="BI574" s="18">
        <v>0.0357</v>
      </c>
      <c r="BJ574" s="18">
        <v>1</v>
      </c>
      <c r="BK574" s="18">
        <v>109</v>
      </c>
      <c r="BL574" s="18">
        <v>70.1</v>
      </c>
      <c r="BM574" s="13">
        <f t="shared" si="0"/>
        <v>1255.8</v>
      </c>
    </row>
    <row r="575" customHeight="1" spans="1:65">
      <c r="A575" s="18" t="s">
        <v>2049</v>
      </c>
      <c r="B575" s="18" t="s">
        <v>125</v>
      </c>
      <c r="C575" s="31">
        <v>60550</v>
      </c>
      <c r="D575" s="18">
        <v>744759414236</v>
      </c>
      <c r="E575" s="18" t="s">
        <v>163</v>
      </c>
      <c r="F575" s="18" t="s">
        <v>160</v>
      </c>
      <c r="G575" s="18" t="s">
        <v>83</v>
      </c>
      <c r="H575" s="18" t="s">
        <v>138</v>
      </c>
      <c r="I575" s="18" t="s">
        <v>85</v>
      </c>
      <c r="J575" s="18">
        <v>5</v>
      </c>
      <c r="K575" s="16">
        <v>47.18</v>
      </c>
      <c r="L575" s="10"/>
      <c r="M575" s="16">
        <v>0</v>
      </c>
      <c r="N575" s="16">
        <v>0</v>
      </c>
      <c r="O575" s="18">
        <v>0</v>
      </c>
      <c r="P575" s="18" t="s">
        <v>86</v>
      </c>
      <c r="Q575" s="18">
        <v>3.874944</v>
      </c>
      <c r="R575" s="10"/>
      <c r="S575" s="16">
        <v>45</v>
      </c>
      <c r="T575" s="16">
        <v>10</v>
      </c>
      <c r="U575" s="18" t="s">
        <v>2049</v>
      </c>
      <c r="V575" s="18" t="s">
        <v>125</v>
      </c>
      <c r="W575" s="31">
        <v>1489518767922</v>
      </c>
      <c r="X575" s="18">
        <v>2234278121608</v>
      </c>
      <c r="Y575" s="18" t="s">
        <v>163</v>
      </c>
      <c r="Z575" s="18" t="s">
        <v>160</v>
      </c>
      <c r="AA575" s="18" t="s">
        <v>83</v>
      </c>
      <c r="AB575" s="18" t="s">
        <v>138</v>
      </c>
      <c r="AC575" s="18" t="s">
        <v>85</v>
      </c>
      <c r="AD575" s="18">
        <v>89.36</v>
      </c>
      <c r="AE575" s="18">
        <v>0</v>
      </c>
      <c r="AF575" s="18">
        <v>0</v>
      </c>
      <c r="AG575" s="18">
        <v>0</v>
      </c>
      <c r="AH575" s="18">
        <v>0</v>
      </c>
      <c r="AI575" s="18">
        <v>0</v>
      </c>
      <c r="AJ575" s="18">
        <v>0</v>
      </c>
      <c r="AK575" s="18">
        <v>0</v>
      </c>
      <c r="AL575" s="18">
        <v>0</v>
      </c>
      <c r="AM575" s="18">
        <v>0</v>
      </c>
      <c r="AN575" s="18">
        <v>0</v>
      </c>
      <c r="AO575" s="18">
        <v>0</v>
      </c>
      <c r="AP575" s="18">
        <v>0</v>
      </c>
      <c r="AQ575" s="18">
        <v>0</v>
      </c>
      <c r="AR575" s="18">
        <v>0</v>
      </c>
      <c r="AS575" s="18">
        <v>0</v>
      </c>
      <c r="AT575" s="18">
        <v>0</v>
      </c>
      <c r="AU575" s="18">
        <v>0</v>
      </c>
      <c r="AV575" s="18">
        <v>0</v>
      </c>
      <c r="AW575" s="18">
        <v>0</v>
      </c>
      <c r="AX575" s="18">
        <v>0</v>
      </c>
      <c r="AY575" s="13"/>
      <c r="AZ575" s="18">
        <v>1</v>
      </c>
      <c r="BA575" s="18">
        <v>0</v>
      </c>
      <c r="BB575" s="18">
        <v>62.4</v>
      </c>
      <c r="BC575" s="18" t="s">
        <v>2050</v>
      </c>
      <c r="BD575" s="18" t="s">
        <v>940</v>
      </c>
      <c r="BE575" s="18" t="s">
        <v>941</v>
      </c>
      <c r="BF575" s="18" t="s">
        <v>77</v>
      </c>
      <c r="BG575" s="18">
        <v>162</v>
      </c>
      <c r="BH575" s="18">
        <v>20</v>
      </c>
      <c r="BI575" s="18">
        <v>0.8901</v>
      </c>
      <c r="BJ575" s="18">
        <v>0</v>
      </c>
      <c r="BK575" s="18">
        <v>4</v>
      </c>
      <c r="BL575" s="18">
        <v>98.9</v>
      </c>
      <c r="BM575" s="13">
        <f t="shared" si="0"/>
        <v>2123.1</v>
      </c>
    </row>
    <row r="576" customHeight="1" spans="1:65">
      <c r="A576" s="18" t="s">
        <v>2052</v>
      </c>
      <c r="B576" s="18" t="s">
        <v>125</v>
      </c>
      <c r="C576" s="13"/>
      <c r="D576" s="13"/>
      <c r="E576" s="18" t="s">
        <v>81</v>
      </c>
      <c r="F576" s="18" t="s">
        <v>160</v>
      </c>
      <c r="G576" s="18" t="s">
        <v>83</v>
      </c>
      <c r="H576" s="18" t="s">
        <v>138</v>
      </c>
      <c r="I576" s="18" t="s">
        <v>85</v>
      </c>
      <c r="J576" s="18">
        <v>5</v>
      </c>
      <c r="K576" s="16">
        <v>58.39</v>
      </c>
      <c r="L576" s="16">
        <v>72.99</v>
      </c>
      <c r="M576" s="16">
        <v>20</v>
      </c>
      <c r="N576" s="16">
        <v>14.6</v>
      </c>
      <c r="O576" s="18">
        <v>1</v>
      </c>
      <c r="P576" s="18" t="s">
        <v>86</v>
      </c>
      <c r="Q576" s="18">
        <v>4.084126</v>
      </c>
      <c r="R576" s="10"/>
      <c r="S576" s="16">
        <v>76</v>
      </c>
      <c r="T576" s="16">
        <v>10</v>
      </c>
      <c r="U576" s="18" t="s">
        <v>2658</v>
      </c>
      <c r="V576" s="18" t="s">
        <v>125</v>
      </c>
      <c r="W576" s="13"/>
      <c r="X576" s="13"/>
      <c r="Y576" s="18" t="s">
        <v>81</v>
      </c>
      <c r="Z576" s="18" t="s">
        <v>160</v>
      </c>
      <c r="AA576" s="18" t="s">
        <v>83</v>
      </c>
      <c r="AB576" s="18" t="s">
        <v>138</v>
      </c>
      <c r="AC576" s="18" t="s">
        <v>85</v>
      </c>
      <c r="AD576" s="18">
        <v>8.22733333333336</v>
      </c>
      <c r="AE576" s="18">
        <v>0</v>
      </c>
      <c r="AF576" s="18">
        <v>0</v>
      </c>
      <c r="AG576" s="18">
        <v>0</v>
      </c>
      <c r="AH576" s="18">
        <v>1</v>
      </c>
      <c r="AI576" s="18">
        <v>0</v>
      </c>
      <c r="AJ576" s="18">
        <v>1</v>
      </c>
      <c r="AK576" s="18">
        <v>0</v>
      </c>
      <c r="AL576" s="18">
        <v>0</v>
      </c>
      <c r="AM576" s="18">
        <v>0</v>
      </c>
      <c r="AN576" s="18">
        <v>0</v>
      </c>
      <c r="AO576" s="18">
        <v>0</v>
      </c>
      <c r="AP576" s="18">
        <v>0</v>
      </c>
      <c r="AQ576" s="18">
        <v>0</v>
      </c>
      <c r="AR576" s="18">
        <v>0</v>
      </c>
      <c r="AS576" s="18">
        <v>0</v>
      </c>
      <c r="AT576" s="18">
        <v>1</v>
      </c>
      <c r="AU576" s="18">
        <v>0</v>
      </c>
      <c r="AV576" s="18">
        <v>0</v>
      </c>
      <c r="AW576" s="18">
        <v>1</v>
      </c>
      <c r="AX576" s="18">
        <v>0</v>
      </c>
      <c r="AY576" s="13"/>
      <c r="AZ576" s="18">
        <v>4</v>
      </c>
      <c r="BA576" s="18">
        <v>2</v>
      </c>
      <c r="BB576" s="18">
        <v>67.33</v>
      </c>
      <c r="BC576" s="18" t="s">
        <v>2053</v>
      </c>
      <c r="BD576" s="18" t="s">
        <v>684</v>
      </c>
      <c r="BE576" s="18" t="s">
        <v>128</v>
      </c>
      <c r="BF576" s="18" t="s">
        <v>77</v>
      </c>
      <c r="BG576" s="18">
        <v>1</v>
      </c>
      <c r="BH576" s="18">
        <v>65</v>
      </c>
      <c r="BI576" s="18">
        <v>0.0152</v>
      </c>
      <c r="BJ576" s="18">
        <v>1</v>
      </c>
      <c r="BK576" s="18">
        <v>49</v>
      </c>
      <c r="BL576" s="18">
        <v>86.6</v>
      </c>
      <c r="BM576" s="13">
        <f t="shared" si="0"/>
        <v>4437.64</v>
      </c>
    </row>
    <row r="577" customHeight="1" spans="1:65">
      <c r="A577" s="18" t="s">
        <v>2399</v>
      </c>
      <c r="B577" s="18" t="s">
        <v>1503</v>
      </c>
      <c r="C577" s="13"/>
      <c r="D577" s="13"/>
      <c r="E577" s="18" t="s">
        <v>2400</v>
      </c>
      <c r="F577" s="18" t="s">
        <v>82</v>
      </c>
      <c r="G577" s="18" t="s">
        <v>83</v>
      </c>
      <c r="H577" s="18" t="s">
        <v>84</v>
      </c>
      <c r="I577" s="18" t="s">
        <v>85</v>
      </c>
      <c r="J577" s="18">
        <v>5</v>
      </c>
      <c r="K577" s="16">
        <v>29.99</v>
      </c>
      <c r="L577" s="16">
        <v>34.99</v>
      </c>
      <c r="M577" s="16">
        <v>14.29</v>
      </c>
      <c r="N577" s="16">
        <v>5</v>
      </c>
      <c r="O577" s="18">
        <v>1</v>
      </c>
      <c r="P577" s="18" t="s">
        <v>86</v>
      </c>
      <c r="Q577" s="18">
        <v>3.433665</v>
      </c>
      <c r="R577" s="10"/>
      <c r="S577" s="16">
        <v>19</v>
      </c>
      <c r="T577" s="16">
        <v>10</v>
      </c>
      <c r="U577" s="18" t="s">
        <v>2659</v>
      </c>
      <c r="V577" s="18" t="s">
        <v>1503</v>
      </c>
      <c r="W577" s="13"/>
      <c r="X577" s="13"/>
      <c r="Y577" s="18" t="s">
        <v>2400</v>
      </c>
      <c r="Z577" s="18" t="s">
        <v>82</v>
      </c>
      <c r="AA577" s="18" t="s">
        <v>83</v>
      </c>
      <c r="AB577" s="18" t="s">
        <v>84</v>
      </c>
      <c r="AC577" s="18" t="s">
        <v>85</v>
      </c>
      <c r="AD577" s="18">
        <v>3.47800000000006</v>
      </c>
      <c r="AE577" s="18">
        <v>0</v>
      </c>
      <c r="AF577" s="18">
        <v>0</v>
      </c>
      <c r="AG577" s="18">
        <v>0</v>
      </c>
      <c r="AH577" s="18">
        <v>0</v>
      </c>
      <c r="AI577" s="18">
        <v>0</v>
      </c>
      <c r="AJ577" s="18">
        <v>0</v>
      </c>
      <c r="AK577" s="18">
        <v>0</v>
      </c>
      <c r="AL577" s="18">
        <v>0</v>
      </c>
      <c r="AM577" s="18">
        <v>1</v>
      </c>
      <c r="AN577" s="18">
        <v>0</v>
      </c>
      <c r="AO577" s="18">
        <v>0</v>
      </c>
      <c r="AP577" s="18">
        <v>0</v>
      </c>
      <c r="AQ577" s="18">
        <v>0</v>
      </c>
      <c r="AR577" s="18">
        <v>0</v>
      </c>
      <c r="AS577" s="18">
        <v>0</v>
      </c>
      <c r="AT577" s="18">
        <v>1</v>
      </c>
      <c r="AU577" s="18">
        <v>0</v>
      </c>
      <c r="AV577" s="18">
        <v>0</v>
      </c>
      <c r="AW577" s="18">
        <v>0</v>
      </c>
      <c r="AX577" s="18">
        <v>0</v>
      </c>
      <c r="AY577" s="13"/>
      <c r="AZ577" s="18">
        <v>1</v>
      </c>
      <c r="BA577" s="18">
        <v>1</v>
      </c>
      <c r="BB577" s="18">
        <v>60.34</v>
      </c>
      <c r="BC577" s="18" t="s">
        <v>2056</v>
      </c>
      <c r="BD577" s="18" t="s">
        <v>537</v>
      </c>
      <c r="BE577" s="18" t="s">
        <v>226</v>
      </c>
      <c r="BF577" s="18" t="s">
        <v>77</v>
      </c>
      <c r="BG577" s="18">
        <v>1</v>
      </c>
      <c r="BH577" s="18">
        <v>93</v>
      </c>
      <c r="BI577" s="18">
        <v>0.0106</v>
      </c>
      <c r="BJ577" s="18">
        <v>1</v>
      </c>
      <c r="BK577" s="18">
        <v>2</v>
      </c>
      <c r="BL577" s="18">
        <v>99.5</v>
      </c>
      <c r="BM577" s="13">
        <f t="shared" si="0"/>
        <v>569.81</v>
      </c>
    </row>
    <row r="578" customHeight="1" spans="1:65">
      <c r="A578" s="18" t="s">
        <v>2054</v>
      </c>
      <c r="B578" s="18" t="s">
        <v>1503</v>
      </c>
      <c r="C578" s="13"/>
      <c r="D578" s="13"/>
      <c r="E578" s="18" t="s">
        <v>2055</v>
      </c>
      <c r="F578" s="18" t="s">
        <v>198</v>
      </c>
      <c r="G578" s="18" t="s">
        <v>83</v>
      </c>
      <c r="H578" s="18" t="s">
        <v>84</v>
      </c>
      <c r="I578" s="18" t="s">
        <v>85</v>
      </c>
      <c r="J578" s="18">
        <v>5</v>
      </c>
      <c r="K578" s="16">
        <v>19.9</v>
      </c>
      <c r="L578" s="16">
        <v>24.9</v>
      </c>
      <c r="M578" s="16">
        <v>20.08</v>
      </c>
      <c r="N578" s="16">
        <v>5</v>
      </c>
      <c r="O578" s="18">
        <v>1</v>
      </c>
      <c r="P578" s="18" t="s">
        <v>133</v>
      </c>
      <c r="Q578" s="18">
        <v>3.039749</v>
      </c>
      <c r="R578" s="10"/>
      <c r="S578" s="16">
        <v>42</v>
      </c>
      <c r="T578" s="16">
        <v>10</v>
      </c>
      <c r="U578" s="18" t="s">
        <v>2054</v>
      </c>
      <c r="V578" s="18" t="s">
        <v>1503</v>
      </c>
      <c r="W578" s="13"/>
      <c r="X578" s="13"/>
      <c r="Y578" s="18" t="s">
        <v>2055</v>
      </c>
      <c r="Z578" s="18" t="s">
        <v>198</v>
      </c>
      <c r="AA578" s="18" t="s">
        <v>83</v>
      </c>
      <c r="AB578" s="18" t="s">
        <v>84</v>
      </c>
      <c r="AC578" s="18" t="s">
        <v>85</v>
      </c>
      <c r="AD578" s="18">
        <v>5.69466666666664</v>
      </c>
      <c r="AE578" s="18">
        <v>0</v>
      </c>
      <c r="AF578" s="18">
        <v>0</v>
      </c>
      <c r="AG578" s="18">
        <v>0</v>
      </c>
      <c r="AH578" s="18">
        <v>0</v>
      </c>
      <c r="AI578" s="18">
        <v>0</v>
      </c>
      <c r="AJ578" s="18">
        <v>0</v>
      </c>
      <c r="AK578" s="18">
        <v>0</v>
      </c>
      <c r="AL578" s="18">
        <v>1</v>
      </c>
      <c r="AM578" s="18">
        <v>0</v>
      </c>
      <c r="AN578" s="18">
        <v>0</v>
      </c>
      <c r="AO578" s="18">
        <v>0</v>
      </c>
      <c r="AP578" s="18">
        <v>0</v>
      </c>
      <c r="AQ578" s="18">
        <v>0</v>
      </c>
      <c r="AR578" s="18">
        <v>0</v>
      </c>
      <c r="AS578" s="18">
        <v>0</v>
      </c>
      <c r="AT578" s="18">
        <v>0</v>
      </c>
      <c r="AU578" s="18">
        <v>0</v>
      </c>
      <c r="AV578" s="18">
        <v>0</v>
      </c>
      <c r="AW578" s="18">
        <v>0</v>
      </c>
      <c r="AX578" s="18">
        <v>0</v>
      </c>
      <c r="AY578" s="13"/>
      <c r="AZ578" s="18">
        <v>1</v>
      </c>
      <c r="BA578" s="18">
        <v>0</v>
      </c>
      <c r="BB578" s="18">
        <v>68.18</v>
      </c>
      <c r="BC578" s="18" t="s">
        <v>2056</v>
      </c>
      <c r="BD578" s="18" t="s">
        <v>1506</v>
      </c>
      <c r="BE578" s="18" t="s">
        <v>226</v>
      </c>
      <c r="BF578" s="18" t="s">
        <v>77</v>
      </c>
      <c r="BG578" s="18">
        <v>1</v>
      </c>
      <c r="BH578" s="18">
        <v>20</v>
      </c>
      <c r="BI578" s="18">
        <v>0.0476</v>
      </c>
      <c r="BJ578" s="18">
        <v>1</v>
      </c>
      <c r="BK578" s="18">
        <v>2</v>
      </c>
      <c r="BL578" s="18">
        <v>99.5</v>
      </c>
      <c r="BM578" s="13">
        <f t="shared" si="0"/>
        <v>835.8</v>
      </c>
    </row>
    <row r="579" customHeight="1" spans="1:65">
      <c r="A579" s="18" t="s">
        <v>200</v>
      </c>
      <c r="B579" s="18" t="s">
        <v>125</v>
      </c>
      <c r="C579" s="13"/>
      <c r="D579" s="13"/>
      <c r="E579" s="18" t="s">
        <v>81</v>
      </c>
      <c r="F579" s="18" t="s">
        <v>82</v>
      </c>
      <c r="G579" s="18" t="s">
        <v>83</v>
      </c>
      <c r="H579" s="18" t="s">
        <v>138</v>
      </c>
      <c r="I579" s="18" t="s">
        <v>85</v>
      </c>
      <c r="J579" s="18">
        <v>5</v>
      </c>
      <c r="K579" s="16">
        <v>79.97</v>
      </c>
      <c r="L579" s="10"/>
      <c r="M579" s="16">
        <v>0</v>
      </c>
      <c r="N579" s="16">
        <v>0</v>
      </c>
      <c r="O579" s="18">
        <v>0</v>
      </c>
      <c r="P579" s="18" t="s">
        <v>95</v>
      </c>
      <c r="Q579" s="18">
        <v>4.394079</v>
      </c>
      <c r="R579" s="10"/>
      <c r="S579" s="16">
        <v>5</v>
      </c>
      <c r="T579" s="16">
        <v>5</v>
      </c>
      <c r="U579" s="18" t="s">
        <v>200</v>
      </c>
      <c r="V579" s="18" t="s">
        <v>125</v>
      </c>
      <c r="W579" s="13"/>
      <c r="X579" s="13"/>
      <c r="Y579" s="18" t="s">
        <v>81</v>
      </c>
      <c r="Z579" s="18" t="s">
        <v>82</v>
      </c>
      <c r="AA579" s="18" t="s">
        <v>83</v>
      </c>
      <c r="AB579" s="18" t="s">
        <v>138</v>
      </c>
      <c r="AC579" s="18" t="s">
        <v>85</v>
      </c>
      <c r="AD579" s="18">
        <v>154.94</v>
      </c>
      <c r="AE579" s="18">
        <v>0</v>
      </c>
      <c r="AF579" s="18">
        <v>0</v>
      </c>
      <c r="AG579" s="18">
        <v>0</v>
      </c>
      <c r="AH579" s="18">
        <v>1</v>
      </c>
      <c r="AI579" s="18">
        <v>0</v>
      </c>
      <c r="AJ579" s="18">
        <v>1</v>
      </c>
      <c r="AK579" s="18">
        <v>0</v>
      </c>
      <c r="AL579" s="18">
        <v>0</v>
      </c>
      <c r="AM579" s="18">
        <v>0</v>
      </c>
      <c r="AN579" s="18">
        <v>0</v>
      </c>
      <c r="AO579" s="18">
        <v>0</v>
      </c>
      <c r="AP579" s="18">
        <v>0</v>
      </c>
      <c r="AQ579" s="18">
        <v>0</v>
      </c>
      <c r="AR579" s="18">
        <v>0</v>
      </c>
      <c r="AS579" s="18">
        <v>0</v>
      </c>
      <c r="AT579" s="18">
        <v>1</v>
      </c>
      <c r="AU579" s="18">
        <v>0</v>
      </c>
      <c r="AV579" s="18">
        <v>0</v>
      </c>
      <c r="AW579" s="18">
        <v>1</v>
      </c>
      <c r="AX579" s="18">
        <v>0</v>
      </c>
      <c r="AY579" s="13"/>
      <c r="AZ579" s="18">
        <v>1</v>
      </c>
      <c r="BA579" s="18">
        <v>2</v>
      </c>
      <c r="BB579" s="18">
        <v>49.85</v>
      </c>
      <c r="BC579" s="18" t="s">
        <v>2058</v>
      </c>
      <c r="BD579" s="18" t="s">
        <v>141</v>
      </c>
      <c r="BE579" s="18" t="s">
        <v>142</v>
      </c>
      <c r="BF579" s="18" t="s">
        <v>77</v>
      </c>
      <c r="BG579" s="18">
        <v>1</v>
      </c>
      <c r="BH579" s="18">
        <v>28</v>
      </c>
      <c r="BI579" s="18">
        <v>0.0345</v>
      </c>
      <c r="BJ579" s="18">
        <v>1</v>
      </c>
      <c r="BK579" s="18">
        <v>2</v>
      </c>
      <c r="BL579" s="18">
        <v>99.5</v>
      </c>
      <c r="BM579" s="13">
        <f t="shared" si="0"/>
        <v>399.85</v>
      </c>
    </row>
    <row r="580" customHeight="1" spans="1:65">
      <c r="A580" s="18" t="s">
        <v>296</v>
      </c>
      <c r="B580" s="18" t="s">
        <v>297</v>
      </c>
      <c r="C580" s="13"/>
      <c r="D580" s="18">
        <v>6901425854312</v>
      </c>
      <c r="E580" s="19" t="s">
        <v>298</v>
      </c>
      <c r="F580" s="18" t="s">
        <v>160</v>
      </c>
      <c r="G580" s="18" t="s">
        <v>83</v>
      </c>
      <c r="H580" s="18" t="s">
        <v>84</v>
      </c>
      <c r="I580" s="18" t="s">
        <v>85</v>
      </c>
      <c r="J580" s="18">
        <v>5</v>
      </c>
      <c r="K580" s="16">
        <v>229.49</v>
      </c>
      <c r="L580" s="10"/>
      <c r="M580" s="16">
        <v>0</v>
      </c>
      <c r="N580" s="16">
        <v>0</v>
      </c>
      <c r="O580" s="18">
        <v>0</v>
      </c>
      <c r="P580" s="18" t="s">
        <v>71</v>
      </c>
      <c r="Q580" s="18">
        <v>5.440207</v>
      </c>
      <c r="R580" s="16">
        <v>22.95</v>
      </c>
      <c r="S580" s="10"/>
      <c r="T580" s="16">
        <v>5</v>
      </c>
      <c r="U580" s="18" t="s">
        <v>296</v>
      </c>
      <c r="V580" s="18" t="s">
        <v>297</v>
      </c>
      <c r="W580" s="13"/>
      <c r="X580" s="18">
        <v>6901425854313</v>
      </c>
      <c r="Y580" s="19" t="s">
        <v>298</v>
      </c>
      <c r="Z580" s="18" t="s">
        <v>160</v>
      </c>
      <c r="AA580" s="18" t="s">
        <v>83</v>
      </c>
      <c r="AB580" s="18" t="s">
        <v>84</v>
      </c>
      <c r="AC580" s="18" t="s">
        <v>85</v>
      </c>
      <c r="AD580" s="18">
        <v>453.98</v>
      </c>
      <c r="AE580" s="18">
        <v>0</v>
      </c>
      <c r="AF580" s="18">
        <v>0</v>
      </c>
      <c r="AG580" s="18">
        <v>0</v>
      </c>
      <c r="AH580" s="18">
        <v>1</v>
      </c>
      <c r="AI580" s="18">
        <v>0</v>
      </c>
      <c r="AJ580" s="18">
        <v>0</v>
      </c>
      <c r="AK580" s="18">
        <v>0</v>
      </c>
      <c r="AL580" s="18">
        <v>0</v>
      </c>
      <c r="AM580" s="18">
        <v>0</v>
      </c>
      <c r="AN580" s="18">
        <v>0</v>
      </c>
      <c r="AO580" s="18">
        <v>0</v>
      </c>
      <c r="AP580" s="18">
        <v>0</v>
      </c>
      <c r="AQ580" s="18">
        <v>1</v>
      </c>
      <c r="AR580" s="18">
        <v>0</v>
      </c>
      <c r="AS580" s="18">
        <v>0</v>
      </c>
      <c r="AT580" s="18">
        <v>0</v>
      </c>
      <c r="AU580" s="18">
        <v>0</v>
      </c>
      <c r="AV580" s="18">
        <v>1</v>
      </c>
      <c r="AW580" s="18">
        <v>0</v>
      </c>
      <c r="AX580" s="18">
        <v>0</v>
      </c>
      <c r="AY580" s="18">
        <v>10</v>
      </c>
      <c r="AZ580" s="18">
        <v>8</v>
      </c>
      <c r="BA580" s="18">
        <v>2</v>
      </c>
      <c r="BB580" s="18">
        <v>28.02</v>
      </c>
      <c r="BC580" s="18" t="s">
        <v>299</v>
      </c>
      <c r="BD580" s="18" t="s">
        <v>169</v>
      </c>
      <c r="BE580" s="18" t="s">
        <v>113</v>
      </c>
      <c r="BF580" s="18" t="s">
        <v>77</v>
      </c>
      <c r="BG580" s="18">
        <v>161</v>
      </c>
      <c r="BH580" s="18">
        <v>50</v>
      </c>
      <c r="BI580" s="18">
        <v>0.763</v>
      </c>
      <c r="BJ580" s="18">
        <v>0</v>
      </c>
      <c r="BK580" s="18">
        <v>24</v>
      </c>
      <c r="BL580" s="18">
        <v>93.4</v>
      </c>
      <c r="BM580" s="13">
        <f t="shared" si="0"/>
        <v>0</v>
      </c>
    </row>
    <row r="581" customHeight="1" spans="1:65">
      <c r="A581" s="18" t="s">
        <v>2059</v>
      </c>
      <c r="B581" s="18" t="s">
        <v>125</v>
      </c>
      <c r="C581" s="18" t="s">
        <v>2060</v>
      </c>
      <c r="D581" s="13"/>
      <c r="E581" s="18" t="s">
        <v>122</v>
      </c>
      <c r="F581" s="18" t="s">
        <v>82</v>
      </c>
      <c r="G581" s="18" t="s">
        <v>117</v>
      </c>
      <c r="H581" s="18" t="s">
        <v>138</v>
      </c>
      <c r="I581" s="18" t="s">
        <v>85</v>
      </c>
      <c r="J581" s="18">
        <v>5</v>
      </c>
      <c r="K581" s="16">
        <v>16.49</v>
      </c>
      <c r="L581" s="10"/>
      <c r="M581" s="16">
        <v>0</v>
      </c>
      <c r="N581" s="16">
        <v>0</v>
      </c>
      <c r="O581" s="18">
        <v>0</v>
      </c>
      <c r="P581" s="18" t="s">
        <v>133</v>
      </c>
      <c r="Q581" s="18">
        <v>2.861629</v>
      </c>
      <c r="R581" s="10"/>
      <c r="S581" s="16">
        <v>52</v>
      </c>
      <c r="T581" s="16">
        <v>10</v>
      </c>
      <c r="U581" s="18" t="s">
        <v>2059</v>
      </c>
      <c r="V581" s="18" t="s">
        <v>125</v>
      </c>
      <c r="W581" s="18" t="s">
        <v>2660</v>
      </c>
      <c r="X581" s="13"/>
      <c r="Y581" s="18" t="s">
        <v>122</v>
      </c>
      <c r="Z581" s="18" t="s">
        <v>82</v>
      </c>
      <c r="AA581" s="18" t="s">
        <v>117</v>
      </c>
      <c r="AB581" s="18" t="s">
        <v>138</v>
      </c>
      <c r="AC581" s="18" t="s">
        <v>85</v>
      </c>
      <c r="AD581" s="18">
        <v>27.98</v>
      </c>
      <c r="AE581" s="18">
        <v>0</v>
      </c>
      <c r="AF581" s="18">
        <v>1</v>
      </c>
      <c r="AG581" s="18">
        <v>0</v>
      </c>
      <c r="AH581" s="18">
        <v>0</v>
      </c>
      <c r="AI581" s="18">
        <v>0</v>
      </c>
      <c r="AJ581" s="18">
        <v>0</v>
      </c>
      <c r="AK581" s="18">
        <v>0</v>
      </c>
      <c r="AL581" s="18">
        <v>0</v>
      </c>
      <c r="AM581" s="18">
        <v>0</v>
      </c>
      <c r="AN581" s="18">
        <v>0</v>
      </c>
      <c r="AO581" s="18">
        <v>0</v>
      </c>
      <c r="AP581" s="18">
        <v>0</v>
      </c>
      <c r="AQ581" s="18">
        <v>0</v>
      </c>
      <c r="AR581" s="18">
        <v>0</v>
      </c>
      <c r="AS581" s="18">
        <v>1</v>
      </c>
      <c r="AT581" s="18">
        <v>0</v>
      </c>
      <c r="AU581" s="18">
        <v>0</v>
      </c>
      <c r="AV581" s="18">
        <v>0</v>
      </c>
      <c r="AW581" s="18">
        <v>1</v>
      </c>
      <c r="AX581" s="18">
        <v>0</v>
      </c>
      <c r="AY581" s="13"/>
      <c r="AZ581" s="18">
        <v>1</v>
      </c>
      <c r="BA581" s="18">
        <v>0</v>
      </c>
      <c r="BB581" s="18">
        <v>61.99</v>
      </c>
      <c r="BC581" s="18" t="s">
        <v>2061</v>
      </c>
      <c r="BD581" s="18" t="s">
        <v>225</v>
      </c>
      <c r="BE581" s="18" t="s">
        <v>226</v>
      </c>
      <c r="BF581" s="18" t="s">
        <v>77</v>
      </c>
      <c r="BG581" s="18">
        <v>1</v>
      </c>
      <c r="BH581" s="18">
        <v>12</v>
      </c>
      <c r="BI581" s="18">
        <v>0.0769</v>
      </c>
      <c r="BJ581" s="18">
        <v>1</v>
      </c>
      <c r="BK581" s="18">
        <v>19</v>
      </c>
      <c r="BL581" s="18">
        <v>94.8</v>
      </c>
      <c r="BM581" s="13">
        <f t="shared" si="0"/>
        <v>857.48</v>
      </c>
    </row>
    <row r="582" customHeight="1" spans="1:65">
      <c r="A582" s="18" t="s">
        <v>2062</v>
      </c>
      <c r="B582" s="18" t="s">
        <v>819</v>
      </c>
      <c r="C582" s="18" t="s">
        <v>2063</v>
      </c>
      <c r="D582" s="18">
        <v>810083474830</v>
      </c>
      <c r="E582" s="18" t="s">
        <v>163</v>
      </c>
      <c r="F582" s="18" t="s">
        <v>68</v>
      </c>
      <c r="G582" s="18" t="s">
        <v>819</v>
      </c>
      <c r="H582" s="18" t="s">
        <v>102</v>
      </c>
      <c r="I582" s="18" t="s">
        <v>85</v>
      </c>
      <c r="J582" s="18">
        <v>5</v>
      </c>
      <c r="K582" s="16">
        <v>49.98</v>
      </c>
      <c r="L582" s="10"/>
      <c r="M582" s="16">
        <v>0</v>
      </c>
      <c r="N582" s="16">
        <v>0</v>
      </c>
      <c r="O582" s="18">
        <v>0</v>
      </c>
      <c r="P582" s="18" t="s">
        <v>86</v>
      </c>
      <c r="Q582" s="18">
        <v>3.931433</v>
      </c>
      <c r="R582" s="10"/>
      <c r="S582" s="16">
        <v>206</v>
      </c>
      <c r="T582" s="16">
        <v>10</v>
      </c>
      <c r="U582" s="18" t="s">
        <v>2062</v>
      </c>
      <c r="V582" s="18" t="s">
        <v>819</v>
      </c>
      <c r="W582" s="18" t="s">
        <v>2063</v>
      </c>
      <c r="X582" s="18">
        <v>810083474831</v>
      </c>
      <c r="Y582" s="18" t="s">
        <v>163</v>
      </c>
      <c r="Z582" s="18" t="s">
        <v>68</v>
      </c>
      <c r="AA582" s="18" t="s">
        <v>819</v>
      </c>
      <c r="AB582" s="18" t="s">
        <v>102</v>
      </c>
      <c r="AC582" s="18" t="s">
        <v>85</v>
      </c>
      <c r="AD582" s="18">
        <v>94.96</v>
      </c>
      <c r="AE582" s="18">
        <v>0</v>
      </c>
      <c r="AF582" s="18">
        <v>0</v>
      </c>
      <c r="AG582" s="18">
        <v>0</v>
      </c>
      <c r="AH582" s="18">
        <v>1</v>
      </c>
      <c r="AI582" s="18">
        <v>0</v>
      </c>
      <c r="AJ582" s="18">
        <v>0</v>
      </c>
      <c r="AK582" s="18">
        <v>0</v>
      </c>
      <c r="AL582" s="18">
        <v>0</v>
      </c>
      <c r="AM582" s="18">
        <v>0</v>
      </c>
      <c r="AN582" s="18">
        <v>0</v>
      </c>
      <c r="AO582" s="18">
        <v>0</v>
      </c>
      <c r="AP582" s="18">
        <v>0</v>
      </c>
      <c r="AQ582" s="18">
        <v>0</v>
      </c>
      <c r="AR582" s="18">
        <v>0</v>
      </c>
      <c r="AS582" s="18">
        <v>0</v>
      </c>
      <c r="AT582" s="18">
        <v>0</v>
      </c>
      <c r="AU582" s="18">
        <v>0</v>
      </c>
      <c r="AV582" s="18">
        <v>0</v>
      </c>
      <c r="AW582" s="18">
        <v>0</v>
      </c>
      <c r="AX582" s="18">
        <v>0</v>
      </c>
      <c r="AY582" s="13"/>
      <c r="AZ582" s="18">
        <v>1</v>
      </c>
      <c r="BA582" s="18">
        <v>3</v>
      </c>
      <c r="BB582" s="18">
        <v>67.91</v>
      </c>
      <c r="BC582" s="18" t="s">
        <v>2064</v>
      </c>
      <c r="BD582" s="18" t="s">
        <v>2065</v>
      </c>
      <c r="BE582" s="19" t="s">
        <v>2066</v>
      </c>
      <c r="BF582" s="18" t="s">
        <v>77</v>
      </c>
      <c r="BG582" s="18">
        <v>1</v>
      </c>
      <c r="BH582" s="18">
        <v>27</v>
      </c>
      <c r="BI582" s="18">
        <v>0.0357</v>
      </c>
      <c r="BJ582" s="18">
        <v>1</v>
      </c>
      <c r="BK582" s="18">
        <v>3</v>
      </c>
      <c r="BL582" s="18">
        <v>99.2</v>
      </c>
      <c r="BM582" s="13">
        <f t="shared" si="0"/>
        <v>10295.88</v>
      </c>
    </row>
    <row r="583" customHeight="1" spans="1:65">
      <c r="A583" s="18" t="s">
        <v>2067</v>
      </c>
      <c r="B583" s="18" t="s">
        <v>2068</v>
      </c>
      <c r="C583" s="13"/>
      <c r="D583" s="13"/>
      <c r="E583" s="18" t="s">
        <v>239</v>
      </c>
      <c r="F583" s="18" t="s">
        <v>240</v>
      </c>
      <c r="G583" s="18" t="s">
        <v>83</v>
      </c>
      <c r="H583" s="18" t="s">
        <v>84</v>
      </c>
      <c r="I583" s="18" t="s">
        <v>153</v>
      </c>
      <c r="J583" s="18">
        <v>2</v>
      </c>
      <c r="K583" s="16">
        <v>51.99</v>
      </c>
      <c r="L583" s="10"/>
      <c r="M583" s="16">
        <v>0</v>
      </c>
      <c r="N583" s="16">
        <v>0</v>
      </c>
      <c r="O583" s="18">
        <v>0</v>
      </c>
      <c r="P583" s="18" t="s">
        <v>86</v>
      </c>
      <c r="Q583" s="18">
        <v>3.970103</v>
      </c>
      <c r="R583" s="16">
        <v>13</v>
      </c>
      <c r="S583" s="10"/>
      <c r="T583" s="10"/>
      <c r="U583" s="18" t="s">
        <v>2067</v>
      </c>
      <c r="V583" s="18" t="s">
        <v>2068</v>
      </c>
      <c r="W583" s="13"/>
      <c r="X583" s="13"/>
      <c r="Y583" s="18" t="s">
        <v>239</v>
      </c>
      <c r="Z583" s="18" t="s">
        <v>240</v>
      </c>
      <c r="AA583" s="18" t="s">
        <v>83</v>
      </c>
      <c r="AB583" s="18" t="s">
        <v>84</v>
      </c>
      <c r="AC583" s="18" t="s">
        <v>153</v>
      </c>
      <c r="AD583" s="18">
        <v>101.98</v>
      </c>
      <c r="AE583" s="18">
        <v>0</v>
      </c>
      <c r="AF583" s="18">
        <v>0</v>
      </c>
      <c r="AG583" s="18">
        <v>0</v>
      </c>
      <c r="AH583" s="18">
        <v>0</v>
      </c>
      <c r="AI583" s="18">
        <v>0</v>
      </c>
      <c r="AJ583" s="18">
        <v>0</v>
      </c>
      <c r="AK583" s="18">
        <v>0</v>
      </c>
      <c r="AL583" s="18">
        <v>0</v>
      </c>
      <c r="AM583" s="18">
        <v>0</v>
      </c>
      <c r="AN583" s="18">
        <v>0</v>
      </c>
      <c r="AO583" s="18">
        <v>0</v>
      </c>
      <c r="AP583" s="18">
        <v>0</v>
      </c>
      <c r="AQ583" s="18">
        <v>1</v>
      </c>
      <c r="AR583" s="18">
        <v>0</v>
      </c>
      <c r="AS583" s="18">
        <v>0</v>
      </c>
      <c r="AT583" s="18">
        <v>0</v>
      </c>
      <c r="AU583" s="18">
        <v>0</v>
      </c>
      <c r="AV583" s="18">
        <v>1</v>
      </c>
      <c r="AW583" s="18">
        <v>0</v>
      </c>
      <c r="AX583" s="18">
        <v>0</v>
      </c>
      <c r="AY583" s="18">
        <v>4</v>
      </c>
      <c r="AZ583" s="18">
        <v>1</v>
      </c>
      <c r="BA583" s="18">
        <v>1</v>
      </c>
      <c r="BB583" s="18">
        <v>17.1</v>
      </c>
      <c r="BC583" s="18" t="s">
        <v>2069</v>
      </c>
      <c r="BD583" s="18" t="s">
        <v>2002</v>
      </c>
      <c r="BE583" s="18" t="s">
        <v>987</v>
      </c>
      <c r="BF583" s="18" t="s">
        <v>77</v>
      </c>
      <c r="BG583" s="18">
        <v>168</v>
      </c>
      <c r="BH583" s="18">
        <v>11</v>
      </c>
      <c r="BI583" s="18">
        <v>0.9385</v>
      </c>
      <c r="BJ583" s="18">
        <v>0</v>
      </c>
      <c r="BK583" s="18">
        <v>157</v>
      </c>
      <c r="BL583" s="18">
        <v>57</v>
      </c>
      <c r="BM583" s="13">
        <f t="shared" si="0"/>
        <v>0</v>
      </c>
    </row>
    <row r="584" customHeight="1" spans="1:65">
      <c r="A584" s="18" t="s">
        <v>2070</v>
      </c>
      <c r="B584" s="18" t="s">
        <v>938</v>
      </c>
      <c r="C584" s="13"/>
      <c r="D584" s="13"/>
      <c r="E584" s="18" t="s">
        <v>2071</v>
      </c>
      <c r="F584" s="18" t="s">
        <v>240</v>
      </c>
      <c r="G584" s="18" t="s">
        <v>83</v>
      </c>
      <c r="H584" s="18" t="s">
        <v>84</v>
      </c>
      <c r="I584" s="18" t="s">
        <v>153</v>
      </c>
      <c r="J584" s="18">
        <v>2</v>
      </c>
      <c r="K584" s="16">
        <v>277.19</v>
      </c>
      <c r="L584" s="16">
        <v>346.49</v>
      </c>
      <c r="M584" s="16">
        <v>20</v>
      </c>
      <c r="N584" s="16">
        <v>69.3</v>
      </c>
      <c r="O584" s="18">
        <v>1</v>
      </c>
      <c r="P584" s="18" t="s">
        <v>71</v>
      </c>
      <c r="Q584" s="18">
        <v>5.628304</v>
      </c>
      <c r="R584" s="16">
        <v>17.32</v>
      </c>
      <c r="S584" s="10"/>
      <c r="T584" s="10"/>
      <c r="U584" s="18" t="s">
        <v>2070</v>
      </c>
      <c r="V584" s="18" t="s">
        <v>938</v>
      </c>
      <c r="W584" s="13"/>
      <c r="X584" s="13"/>
      <c r="Y584" s="18" t="s">
        <v>2071</v>
      </c>
      <c r="Z584" s="18" t="s">
        <v>240</v>
      </c>
      <c r="AA584" s="18" t="s">
        <v>83</v>
      </c>
      <c r="AB584" s="18" t="s">
        <v>84</v>
      </c>
      <c r="AC584" s="18" t="s">
        <v>153</v>
      </c>
      <c r="AD584" s="18">
        <v>23.8139999999998</v>
      </c>
      <c r="AE584" s="18">
        <v>0</v>
      </c>
      <c r="AF584" s="18">
        <v>0</v>
      </c>
      <c r="AG584" s="18">
        <v>0</v>
      </c>
      <c r="AH584" s="18">
        <v>0</v>
      </c>
      <c r="AI584" s="18">
        <v>0</v>
      </c>
      <c r="AJ584" s="18">
        <v>0</v>
      </c>
      <c r="AK584" s="18">
        <v>0</v>
      </c>
      <c r="AL584" s="18">
        <v>0</v>
      </c>
      <c r="AM584" s="18">
        <v>0</v>
      </c>
      <c r="AN584" s="18">
        <v>0</v>
      </c>
      <c r="AO584" s="18">
        <v>0</v>
      </c>
      <c r="AP584" s="18">
        <v>0</v>
      </c>
      <c r="AQ584" s="18">
        <v>1</v>
      </c>
      <c r="AR584" s="18">
        <v>0</v>
      </c>
      <c r="AS584" s="18">
        <v>0</v>
      </c>
      <c r="AT584" s="18">
        <v>0</v>
      </c>
      <c r="AU584" s="18">
        <v>0</v>
      </c>
      <c r="AV584" s="18">
        <v>1</v>
      </c>
      <c r="AW584" s="18">
        <v>1</v>
      </c>
      <c r="AX584" s="18">
        <v>0</v>
      </c>
      <c r="AY584" s="18">
        <v>16</v>
      </c>
      <c r="AZ584" s="18">
        <v>1</v>
      </c>
      <c r="BA584" s="18">
        <v>1</v>
      </c>
      <c r="BB584" s="18">
        <v>6</v>
      </c>
      <c r="BC584" s="18" t="s">
        <v>2072</v>
      </c>
      <c r="BD584" s="18" t="s">
        <v>1641</v>
      </c>
      <c r="BE584" s="18" t="s">
        <v>2073</v>
      </c>
      <c r="BF584" s="18" t="s">
        <v>77</v>
      </c>
      <c r="BG584" s="18">
        <v>162</v>
      </c>
      <c r="BH584" s="18">
        <v>18</v>
      </c>
      <c r="BI584" s="18">
        <v>0.9</v>
      </c>
      <c r="BJ584" s="18">
        <v>0</v>
      </c>
      <c r="BK584" s="13"/>
      <c r="BL584" s="13"/>
      <c r="BM584" s="13">
        <f t="shared" si="0"/>
        <v>0</v>
      </c>
    </row>
    <row r="585" customHeight="1" spans="1:65">
      <c r="A585" s="18" t="s">
        <v>2074</v>
      </c>
      <c r="B585" s="18" t="s">
        <v>350</v>
      </c>
      <c r="C585" s="18" t="s">
        <v>2075</v>
      </c>
      <c r="D585" s="18">
        <v>814763020782</v>
      </c>
      <c r="E585" s="18" t="s">
        <v>250</v>
      </c>
      <c r="F585" s="18" t="s">
        <v>352</v>
      </c>
      <c r="G585" s="18" t="s">
        <v>83</v>
      </c>
      <c r="H585" s="18" t="s">
        <v>84</v>
      </c>
      <c r="I585" s="18" t="s">
        <v>85</v>
      </c>
      <c r="J585" s="18">
        <v>5</v>
      </c>
      <c r="K585" s="16">
        <v>17.91</v>
      </c>
      <c r="L585" s="16">
        <v>18.85</v>
      </c>
      <c r="M585" s="16">
        <v>4.99</v>
      </c>
      <c r="N585" s="16">
        <v>0.94</v>
      </c>
      <c r="O585" s="18">
        <v>1</v>
      </c>
      <c r="P585" s="18" t="s">
        <v>133</v>
      </c>
      <c r="Q585" s="18">
        <v>2.939691</v>
      </c>
      <c r="R585" s="10"/>
      <c r="S585" s="16">
        <v>627</v>
      </c>
      <c r="T585" s="16">
        <v>3</v>
      </c>
      <c r="U585" s="18" t="s">
        <v>2661</v>
      </c>
      <c r="V585" s="18" t="s">
        <v>350</v>
      </c>
      <c r="W585" s="18" t="s">
        <v>2075</v>
      </c>
      <c r="X585" s="18">
        <v>814763020783</v>
      </c>
      <c r="Y585" s="18" t="s">
        <v>250</v>
      </c>
      <c r="Z585" s="18" t="s">
        <v>352</v>
      </c>
      <c r="AA585" s="18" t="s">
        <v>83</v>
      </c>
      <c r="AB585" s="18" t="s">
        <v>84</v>
      </c>
      <c r="AC585" s="18" t="s">
        <v>85</v>
      </c>
      <c r="AD585" s="18">
        <v>-0.362</v>
      </c>
      <c r="AE585" s="18">
        <v>1</v>
      </c>
      <c r="AF585" s="18">
        <v>0</v>
      </c>
      <c r="AG585" s="18">
        <v>0</v>
      </c>
      <c r="AH585" s="18">
        <v>0</v>
      </c>
      <c r="AI585" s="18">
        <v>0</v>
      </c>
      <c r="AJ585" s="18">
        <v>0</v>
      </c>
      <c r="AK585" s="18">
        <v>0</v>
      </c>
      <c r="AL585" s="18">
        <v>0</v>
      </c>
      <c r="AM585" s="18">
        <v>0</v>
      </c>
      <c r="AN585" s="18">
        <v>0</v>
      </c>
      <c r="AO585" s="18">
        <v>0</v>
      </c>
      <c r="AP585" s="18">
        <v>0</v>
      </c>
      <c r="AQ585" s="18">
        <v>0</v>
      </c>
      <c r="AR585" s="18">
        <v>0</v>
      </c>
      <c r="AS585" s="18">
        <v>0</v>
      </c>
      <c r="AT585" s="18">
        <v>0</v>
      </c>
      <c r="AU585" s="18">
        <v>0</v>
      </c>
      <c r="AV585" s="18">
        <v>0</v>
      </c>
      <c r="AW585" s="18">
        <v>1</v>
      </c>
      <c r="AX585" s="18">
        <v>0</v>
      </c>
      <c r="AY585" s="13"/>
      <c r="AZ585" s="18">
        <v>2</v>
      </c>
      <c r="BA585" s="18">
        <v>1</v>
      </c>
      <c r="BB585" s="18">
        <v>70.64</v>
      </c>
      <c r="BC585" s="18" t="s">
        <v>2076</v>
      </c>
      <c r="BD585" s="18" t="s">
        <v>261</v>
      </c>
      <c r="BE585" s="18" t="s">
        <v>262</v>
      </c>
      <c r="BF585" s="18" t="s">
        <v>77</v>
      </c>
      <c r="BG585" s="18">
        <v>1</v>
      </c>
      <c r="BH585" s="18">
        <v>26</v>
      </c>
      <c r="BI585" s="18">
        <v>0.037</v>
      </c>
      <c r="BJ585" s="18">
        <v>1</v>
      </c>
      <c r="BK585" s="18">
        <v>8</v>
      </c>
      <c r="BL585" s="18">
        <v>97.8</v>
      </c>
      <c r="BM585" s="13">
        <f t="shared" si="0"/>
        <v>11229.57</v>
      </c>
    </row>
    <row r="586" customHeight="1" spans="1:65">
      <c r="A586" s="18" t="s">
        <v>2444</v>
      </c>
      <c r="B586" s="18" t="s">
        <v>350</v>
      </c>
      <c r="C586" s="18" t="s">
        <v>2075</v>
      </c>
      <c r="D586" s="18">
        <v>814763020782</v>
      </c>
      <c r="E586" s="18" t="s">
        <v>250</v>
      </c>
      <c r="F586" s="18" t="s">
        <v>352</v>
      </c>
      <c r="G586" s="18" t="s">
        <v>83</v>
      </c>
      <c r="H586" s="18" t="s">
        <v>84</v>
      </c>
      <c r="I586" s="18" t="s">
        <v>85</v>
      </c>
      <c r="J586" s="18">
        <v>5</v>
      </c>
      <c r="K586" s="16">
        <v>24.65</v>
      </c>
      <c r="L586" s="16">
        <v>25.95</v>
      </c>
      <c r="M586" s="16">
        <v>5.01</v>
      </c>
      <c r="N586" s="16">
        <v>1.3</v>
      </c>
      <c r="O586" s="18">
        <v>1</v>
      </c>
      <c r="P586" s="18" t="s">
        <v>133</v>
      </c>
      <c r="Q586" s="18">
        <v>3.244544</v>
      </c>
      <c r="R586" s="10"/>
      <c r="S586" s="16">
        <v>663</v>
      </c>
      <c r="T586" s="16">
        <v>7</v>
      </c>
      <c r="U586" s="18" t="s">
        <v>2444</v>
      </c>
      <c r="V586" s="18" t="s">
        <v>350</v>
      </c>
      <c r="W586" s="18" t="s">
        <v>2075</v>
      </c>
      <c r="X586" s="18">
        <v>814763020783</v>
      </c>
      <c r="Y586" s="18" t="s">
        <v>250</v>
      </c>
      <c r="Z586" s="18" t="s">
        <v>352</v>
      </c>
      <c r="AA586" s="18" t="s">
        <v>83</v>
      </c>
      <c r="AB586" s="18" t="s">
        <v>84</v>
      </c>
      <c r="AC586" s="18" t="s">
        <v>85</v>
      </c>
      <c r="AD586" s="18">
        <v>-0.614000000000001</v>
      </c>
      <c r="AE586" s="18">
        <v>1</v>
      </c>
      <c r="AF586" s="18">
        <v>0</v>
      </c>
      <c r="AG586" s="18">
        <v>0</v>
      </c>
      <c r="AH586" s="18">
        <v>0</v>
      </c>
      <c r="AI586" s="18">
        <v>0</v>
      </c>
      <c r="AJ586" s="18">
        <v>0</v>
      </c>
      <c r="AK586" s="18">
        <v>0</v>
      </c>
      <c r="AL586" s="18">
        <v>0</v>
      </c>
      <c r="AM586" s="18">
        <v>0</v>
      </c>
      <c r="AN586" s="18">
        <v>0</v>
      </c>
      <c r="AO586" s="18">
        <v>0</v>
      </c>
      <c r="AP586" s="18">
        <v>0</v>
      </c>
      <c r="AQ586" s="18">
        <v>0</v>
      </c>
      <c r="AR586" s="18">
        <v>0</v>
      </c>
      <c r="AS586" s="18">
        <v>0</v>
      </c>
      <c r="AT586" s="18">
        <v>0</v>
      </c>
      <c r="AU586" s="18">
        <v>0</v>
      </c>
      <c r="AV586" s="18">
        <v>0</v>
      </c>
      <c r="AW586" s="18">
        <v>0</v>
      </c>
      <c r="AX586" s="18">
        <v>0</v>
      </c>
      <c r="AY586" s="13"/>
      <c r="AZ586" s="18">
        <v>1</v>
      </c>
      <c r="BA586" s="18">
        <v>1</v>
      </c>
      <c r="BB586" s="18">
        <v>69.2</v>
      </c>
      <c r="BC586" s="18" t="s">
        <v>2076</v>
      </c>
      <c r="BD586" s="18" t="s">
        <v>261</v>
      </c>
      <c r="BE586" s="18" t="s">
        <v>262</v>
      </c>
      <c r="BF586" s="18" t="s">
        <v>77</v>
      </c>
      <c r="BG586" s="18">
        <v>1</v>
      </c>
      <c r="BH586" s="18">
        <v>26</v>
      </c>
      <c r="BI586" s="18">
        <v>0.037</v>
      </c>
      <c r="BJ586" s="18">
        <v>1</v>
      </c>
      <c r="BK586" s="18">
        <v>23</v>
      </c>
      <c r="BL586" s="18">
        <v>93.7</v>
      </c>
      <c r="BM586" s="13">
        <f t="shared" si="0"/>
        <v>16342.95</v>
      </c>
    </row>
    <row r="587" customHeight="1" spans="1:65">
      <c r="A587" s="18" t="s">
        <v>2372</v>
      </c>
      <c r="B587" s="18" t="s">
        <v>144</v>
      </c>
      <c r="C587" s="13"/>
      <c r="D587" s="18">
        <v>814763020782</v>
      </c>
      <c r="E587" s="18" t="s">
        <v>250</v>
      </c>
      <c r="F587" s="18" t="s">
        <v>352</v>
      </c>
      <c r="G587" s="18" t="s">
        <v>83</v>
      </c>
      <c r="H587" s="18" t="s">
        <v>84</v>
      </c>
      <c r="I587" s="18" t="s">
        <v>85</v>
      </c>
      <c r="J587" s="18">
        <v>5</v>
      </c>
      <c r="K587" s="16">
        <v>16.95</v>
      </c>
      <c r="L587" s="10"/>
      <c r="M587" s="16">
        <v>0</v>
      </c>
      <c r="N587" s="16">
        <v>0</v>
      </c>
      <c r="O587" s="18">
        <v>0</v>
      </c>
      <c r="P587" s="18" t="s">
        <v>133</v>
      </c>
      <c r="Q587" s="18">
        <v>2.88759</v>
      </c>
      <c r="R587" s="10"/>
      <c r="S587" s="16">
        <v>157</v>
      </c>
      <c r="T587" s="16">
        <v>5</v>
      </c>
      <c r="U587" s="18" t="s">
        <v>2662</v>
      </c>
      <c r="V587" s="18" t="s">
        <v>144</v>
      </c>
      <c r="W587" s="13"/>
      <c r="X587" s="18">
        <v>814763020783</v>
      </c>
      <c r="Y587" s="18" t="s">
        <v>250</v>
      </c>
      <c r="Z587" s="18" t="s">
        <v>352</v>
      </c>
      <c r="AA587" s="18" t="s">
        <v>83</v>
      </c>
      <c r="AB587" s="18" t="s">
        <v>84</v>
      </c>
      <c r="AC587" s="18" t="s">
        <v>85</v>
      </c>
      <c r="AD587" s="18">
        <v>28.9</v>
      </c>
      <c r="AE587" s="18">
        <v>0</v>
      </c>
      <c r="AF587" s="18">
        <v>0</v>
      </c>
      <c r="AG587" s="18">
        <v>0</v>
      </c>
      <c r="AH587" s="18">
        <v>0</v>
      </c>
      <c r="AI587" s="18">
        <v>0</v>
      </c>
      <c r="AJ587" s="18">
        <v>0</v>
      </c>
      <c r="AK587" s="18">
        <v>0</v>
      </c>
      <c r="AL587" s="18">
        <v>0</v>
      </c>
      <c r="AM587" s="18">
        <v>0</v>
      </c>
      <c r="AN587" s="18">
        <v>0</v>
      </c>
      <c r="AO587" s="18">
        <v>0</v>
      </c>
      <c r="AP587" s="18">
        <v>0</v>
      </c>
      <c r="AQ587" s="18">
        <v>0</v>
      </c>
      <c r="AR587" s="18">
        <v>0</v>
      </c>
      <c r="AS587" s="18">
        <v>0</v>
      </c>
      <c r="AT587" s="18">
        <v>0</v>
      </c>
      <c r="AU587" s="18">
        <v>0</v>
      </c>
      <c r="AV587" s="18">
        <v>0</v>
      </c>
      <c r="AW587" s="18">
        <v>1</v>
      </c>
      <c r="AX587" s="18">
        <v>0</v>
      </c>
      <c r="AY587" s="13"/>
      <c r="AZ587" s="18">
        <v>3</v>
      </c>
      <c r="BA587" s="18">
        <v>1</v>
      </c>
      <c r="BB587" s="18">
        <v>66.06</v>
      </c>
      <c r="BC587" s="18" t="s">
        <v>2076</v>
      </c>
      <c r="BD587" s="18" t="s">
        <v>261</v>
      </c>
      <c r="BE587" s="18" t="s">
        <v>262</v>
      </c>
      <c r="BF587" s="18" t="s">
        <v>77</v>
      </c>
      <c r="BG587" s="18">
        <v>1</v>
      </c>
      <c r="BH587" s="18">
        <v>26</v>
      </c>
      <c r="BI587" s="18">
        <v>0.037</v>
      </c>
      <c r="BJ587" s="18">
        <v>1</v>
      </c>
      <c r="BK587" s="18">
        <v>33</v>
      </c>
      <c r="BL587" s="18">
        <v>91</v>
      </c>
      <c r="BM587" s="13">
        <f t="shared" si="0"/>
        <v>2661.15</v>
      </c>
    </row>
    <row r="588" customHeight="1" spans="1:65">
      <c r="A588" s="18" t="s">
        <v>2077</v>
      </c>
      <c r="B588" s="18" t="s">
        <v>2078</v>
      </c>
      <c r="C588" s="13"/>
      <c r="D588" s="13"/>
      <c r="E588" s="18" t="s">
        <v>255</v>
      </c>
      <c r="F588" s="18" t="s">
        <v>82</v>
      </c>
      <c r="G588" s="18" t="s">
        <v>83</v>
      </c>
      <c r="H588" s="18" t="s">
        <v>84</v>
      </c>
      <c r="I588" s="18" t="s">
        <v>153</v>
      </c>
      <c r="J588" s="18">
        <v>2</v>
      </c>
      <c r="K588" s="16">
        <v>95</v>
      </c>
      <c r="L588" s="10"/>
      <c r="M588" s="16">
        <v>0</v>
      </c>
      <c r="N588" s="16">
        <v>0</v>
      </c>
      <c r="O588" s="18">
        <v>0</v>
      </c>
      <c r="P588" s="18" t="s">
        <v>95</v>
      </c>
      <c r="Q588" s="18">
        <v>4.564348</v>
      </c>
      <c r="R588" s="10"/>
      <c r="S588" s="16">
        <v>1</v>
      </c>
      <c r="T588" s="16">
        <v>1</v>
      </c>
      <c r="U588" s="18" t="s">
        <v>2077</v>
      </c>
      <c r="V588" s="18" t="s">
        <v>2078</v>
      </c>
      <c r="W588" s="13"/>
      <c r="X588" s="13"/>
      <c r="Y588" s="18" t="s">
        <v>255</v>
      </c>
      <c r="Z588" s="18" t="s">
        <v>82</v>
      </c>
      <c r="AA588" s="18" t="s">
        <v>83</v>
      </c>
      <c r="AB588" s="18" t="s">
        <v>84</v>
      </c>
      <c r="AC588" s="18" t="s">
        <v>153</v>
      </c>
      <c r="AD588" s="18">
        <v>188</v>
      </c>
      <c r="AE588" s="18">
        <v>0</v>
      </c>
      <c r="AF588" s="18">
        <v>0</v>
      </c>
      <c r="AG588" s="18">
        <v>0</v>
      </c>
      <c r="AH588" s="18">
        <v>0</v>
      </c>
      <c r="AI588" s="18">
        <v>0</v>
      </c>
      <c r="AJ588" s="18">
        <v>0</v>
      </c>
      <c r="AK588" s="18">
        <v>0</v>
      </c>
      <c r="AL588" s="18">
        <v>0</v>
      </c>
      <c r="AM588" s="18">
        <v>0</v>
      </c>
      <c r="AN588" s="18">
        <v>0</v>
      </c>
      <c r="AO588" s="18">
        <v>0</v>
      </c>
      <c r="AP588" s="18">
        <v>0</v>
      </c>
      <c r="AQ588" s="18">
        <v>0</v>
      </c>
      <c r="AR588" s="18">
        <v>0</v>
      </c>
      <c r="AS588" s="18">
        <v>0</v>
      </c>
      <c r="AT588" s="18">
        <v>1</v>
      </c>
      <c r="AU588" s="18">
        <v>0</v>
      </c>
      <c r="AV588" s="18">
        <v>0</v>
      </c>
      <c r="AW588" s="18">
        <v>0</v>
      </c>
      <c r="AX588" s="18">
        <v>0</v>
      </c>
      <c r="AY588" s="13"/>
      <c r="AZ588" s="18">
        <v>1</v>
      </c>
      <c r="BA588" s="18">
        <v>0</v>
      </c>
      <c r="BB588" s="18">
        <v>49.67</v>
      </c>
      <c r="BC588" s="18" t="s">
        <v>2079</v>
      </c>
      <c r="BD588" s="18" t="s">
        <v>2080</v>
      </c>
      <c r="BE588" s="18" t="s">
        <v>142</v>
      </c>
      <c r="BF588" s="18" t="s">
        <v>77</v>
      </c>
      <c r="BG588" s="18">
        <v>1</v>
      </c>
      <c r="BH588" s="18">
        <v>11</v>
      </c>
      <c r="BI588" s="18">
        <v>0.0833</v>
      </c>
      <c r="BJ588" s="18">
        <v>1</v>
      </c>
      <c r="BK588" s="18">
        <v>4</v>
      </c>
      <c r="BL588" s="18">
        <v>98.9</v>
      </c>
      <c r="BM588" s="13">
        <f t="shared" si="0"/>
        <v>95</v>
      </c>
    </row>
    <row r="589" customHeight="1" spans="1:65">
      <c r="A589" s="18" t="s">
        <v>2083</v>
      </c>
      <c r="B589" s="18" t="s">
        <v>1197</v>
      </c>
      <c r="C589" s="19" t="s">
        <v>2084</v>
      </c>
      <c r="D589" s="13"/>
      <c r="E589" s="18" t="s">
        <v>1048</v>
      </c>
      <c r="F589" s="18" t="s">
        <v>240</v>
      </c>
      <c r="G589" s="18" t="s">
        <v>1197</v>
      </c>
      <c r="H589" s="18" t="s">
        <v>69</v>
      </c>
      <c r="I589" s="18" t="s">
        <v>85</v>
      </c>
      <c r="J589" s="18">
        <v>5</v>
      </c>
      <c r="K589" s="16">
        <v>299.99</v>
      </c>
      <c r="L589" s="10"/>
      <c r="M589" s="16">
        <v>0</v>
      </c>
      <c r="N589" s="16">
        <v>0</v>
      </c>
      <c r="O589" s="18">
        <v>0</v>
      </c>
      <c r="P589" s="18" t="s">
        <v>71</v>
      </c>
      <c r="Q589" s="18">
        <v>5.707077</v>
      </c>
      <c r="R589" s="16">
        <v>37.5</v>
      </c>
      <c r="S589" s="16">
        <v>52</v>
      </c>
      <c r="T589" s="16">
        <v>6</v>
      </c>
      <c r="U589" s="18" t="s">
        <v>2083</v>
      </c>
      <c r="V589" s="18" t="s">
        <v>1197</v>
      </c>
      <c r="W589" s="19" t="s">
        <v>2084</v>
      </c>
      <c r="X589" s="13"/>
      <c r="Y589" s="18" t="s">
        <v>1048</v>
      </c>
      <c r="Z589" s="18" t="s">
        <v>240</v>
      </c>
      <c r="AA589" s="18" t="s">
        <v>1197</v>
      </c>
      <c r="AB589" s="18" t="s">
        <v>69</v>
      </c>
      <c r="AC589" s="18" t="s">
        <v>85</v>
      </c>
      <c r="AD589" s="18">
        <v>594.98</v>
      </c>
      <c r="AE589" s="18">
        <v>0</v>
      </c>
      <c r="AF589" s="18">
        <v>0</v>
      </c>
      <c r="AG589" s="18">
        <v>0</v>
      </c>
      <c r="AH589" s="18">
        <v>0</v>
      </c>
      <c r="AI589" s="18">
        <v>0</v>
      </c>
      <c r="AJ589" s="18">
        <v>0</v>
      </c>
      <c r="AK589" s="18">
        <v>0</v>
      </c>
      <c r="AL589" s="18">
        <v>0</v>
      </c>
      <c r="AM589" s="18">
        <v>0</v>
      </c>
      <c r="AN589" s="18">
        <v>0</v>
      </c>
      <c r="AO589" s="18">
        <v>0</v>
      </c>
      <c r="AP589" s="18">
        <v>0</v>
      </c>
      <c r="AQ589" s="18">
        <v>1</v>
      </c>
      <c r="AR589" s="18">
        <v>0</v>
      </c>
      <c r="AS589" s="18">
        <v>0</v>
      </c>
      <c r="AT589" s="18">
        <v>0</v>
      </c>
      <c r="AU589" s="18">
        <v>0</v>
      </c>
      <c r="AV589" s="18">
        <v>1</v>
      </c>
      <c r="AW589" s="18">
        <v>1</v>
      </c>
      <c r="AX589" s="18">
        <v>0</v>
      </c>
      <c r="AY589" s="18">
        <v>8</v>
      </c>
      <c r="AZ589" s="18">
        <v>1</v>
      </c>
      <c r="BA589" s="18">
        <v>1</v>
      </c>
      <c r="BB589" s="18">
        <v>59.2</v>
      </c>
      <c r="BC589" s="18" t="s">
        <v>2085</v>
      </c>
      <c r="BD589" s="18" t="s">
        <v>2086</v>
      </c>
      <c r="BE589" s="18" t="s">
        <v>136</v>
      </c>
      <c r="BF589" s="18" t="s">
        <v>77</v>
      </c>
      <c r="BG589" s="18">
        <v>162</v>
      </c>
      <c r="BH589" s="18">
        <v>24</v>
      </c>
      <c r="BI589" s="18">
        <v>0.871</v>
      </c>
      <c r="BJ589" s="18">
        <v>0</v>
      </c>
      <c r="BK589" s="18">
        <v>81</v>
      </c>
      <c r="BL589" s="18">
        <v>77.8</v>
      </c>
      <c r="BM589" s="13">
        <f t="shared" si="0"/>
        <v>15599.48</v>
      </c>
    </row>
    <row r="590" customHeight="1" spans="1:65">
      <c r="A590" s="18" t="s">
        <v>2087</v>
      </c>
      <c r="B590" s="18" t="s">
        <v>104</v>
      </c>
      <c r="C590" s="18" t="s">
        <v>2088</v>
      </c>
      <c r="D590" s="18">
        <v>194644036287</v>
      </c>
      <c r="E590" s="18" t="s">
        <v>81</v>
      </c>
      <c r="F590" s="18" t="s">
        <v>82</v>
      </c>
      <c r="G590" s="18" t="s">
        <v>106</v>
      </c>
      <c r="H590" s="18" t="s">
        <v>107</v>
      </c>
      <c r="I590" s="18" t="s">
        <v>85</v>
      </c>
      <c r="J590" s="18">
        <v>5</v>
      </c>
      <c r="K590" s="16">
        <v>179.95</v>
      </c>
      <c r="L590" s="16">
        <v>359.9</v>
      </c>
      <c r="M590" s="16">
        <v>50</v>
      </c>
      <c r="N590" s="16">
        <v>179.95</v>
      </c>
      <c r="O590" s="18">
        <v>1</v>
      </c>
      <c r="P590" s="18" t="s">
        <v>95</v>
      </c>
      <c r="Q590" s="18">
        <v>5.198221</v>
      </c>
      <c r="R590" s="10"/>
      <c r="S590" s="16">
        <v>169</v>
      </c>
      <c r="T590" s="16">
        <v>10</v>
      </c>
      <c r="U590" s="18" t="s">
        <v>2663</v>
      </c>
      <c r="V590" s="18" t="s">
        <v>104</v>
      </c>
      <c r="W590" s="18" t="s">
        <v>2088</v>
      </c>
      <c r="X590" s="18">
        <v>194644036288</v>
      </c>
      <c r="Y590" s="18" t="s">
        <v>81</v>
      </c>
      <c r="Z590" s="18" t="s">
        <v>82</v>
      </c>
      <c r="AA590" s="18" t="s">
        <v>106</v>
      </c>
      <c r="AB590" s="18" t="s">
        <v>107</v>
      </c>
      <c r="AC590" s="18" t="s">
        <v>85</v>
      </c>
      <c r="AD590" s="18">
        <v>96.3100000000003</v>
      </c>
      <c r="AE590" s="18">
        <v>1</v>
      </c>
      <c r="AF590" s="18">
        <v>0</v>
      </c>
      <c r="AG590" s="18">
        <v>0</v>
      </c>
      <c r="AH590" s="18">
        <v>1</v>
      </c>
      <c r="AI590" s="18">
        <v>0</v>
      </c>
      <c r="AJ590" s="18">
        <v>0</v>
      </c>
      <c r="AK590" s="18">
        <v>0</v>
      </c>
      <c r="AL590" s="18">
        <v>0</v>
      </c>
      <c r="AM590" s="18">
        <v>0</v>
      </c>
      <c r="AN590" s="18">
        <v>0</v>
      </c>
      <c r="AO590" s="18">
        <v>0</v>
      </c>
      <c r="AP590" s="18">
        <v>0</v>
      </c>
      <c r="AQ590" s="18">
        <v>0</v>
      </c>
      <c r="AR590" s="18">
        <v>0</v>
      </c>
      <c r="AS590" s="18">
        <v>0</v>
      </c>
      <c r="AT590" s="18">
        <v>1</v>
      </c>
      <c r="AU590" s="18">
        <v>0</v>
      </c>
      <c r="AV590" s="18">
        <v>0</v>
      </c>
      <c r="AW590" s="18">
        <v>1</v>
      </c>
      <c r="AX590" s="18">
        <v>0</v>
      </c>
      <c r="AY590" s="13"/>
      <c r="AZ590" s="18">
        <v>3</v>
      </c>
      <c r="BA590" s="18">
        <v>3</v>
      </c>
      <c r="BB590" s="18">
        <v>82.01</v>
      </c>
      <c r="BC590" s="18" t="s">
        <v>2089</v>
      </c>
      <c r="BD590" s="18" t="s">
        <v>1271</v>
      </c>
      <c r="BE590" s="18" t="s">
        <v>136</v>
      </c>
      <c r="BF590" s="18" t="s">
        <v>77</v>
      </c>
      <c r="BG590" s="18">
        <v>168</v>
      </c>
      <c r="BH590" s="18">
        <v>11</v>
      </c>
      <c r="BI590" s="18">
        <v>0.9385</v>
      </c>
      <c r="BJ590" s="18">
        <v>0</v>
      </c>
      <c r="BK590" s="18">
        <v>9</v>
      </c>
      <c r="BL590" s="18">
        <v>97.5</v>
      </c>
      <c r="BM590" s="13">
        <f t="shared" si="0"/>
        <v>30411.55</v>
      </c>
    </row>
    <row r="591" customHeight="1" spans="1:65">
      <c r="A591" s="18" t="s">
        <v>2443</v>
      </c>
      <c r="B591" s="18" t="s">
        <v>901</v>
      </c>
      <c r="C591" s="13"/>
      <c r="D591" s="18">
        <v>193575030968</v>
      </c>
      <c r="E591" s="18" t="s">
        <v>81</v>
      </c>
      <c r="F591" s="18" t="s">
        <v>82</v>
      </c>
      <c r="G591" s="18" t="s">
        <v>901</v>
      </c>
      <c r="H591" s="18" t="s">
        <v>107</v>
      </c>
      <c r="I591" s="18" t="s">
        <v>85</v>
      </c>
      <c r="J591" s="18">
        <v>5</v>
      </c>
      <c r="K591" s="16">
        <v>119</v>
      </c>
      <c r="L591" s="10"/>
      <c r="M591" s="16">
        <v>0</v>
      </c>
      <c r="N591" s="16">
        <v>0</v>
      </c>
      <c r="O591" s="18">
        <v>0</v>
      </c>
      <c r="P591" s="18" t="s">
        <v>95</v>
      </c>
      <c r="Q591" s="18">
        <v>4.787492</v>
      </c>
      <c r="R591" s="10"/>
      <c r="S591" s="16">
        <v>15</v>
      </c>
      <c r="T591" s="16">
        <v>10</v>
      </c>
      <c r="U591" s="18" t="s">
        <v>2443</v>
      </c>
      <c r="V591" s="18" t="s">
        <v>901</v>
      </c>
      <c r="W591" s="13"/>
      <c r="X591" s="18">
        <v>193575030969</v>
      </c>
      <c r="Y591" s="18" t="s">
        <v>81</v>
      </c>
      <c r="Z591" s="18" t="s">
        <v>82</v>
      </c>
      <c r="AA591" s="18" t="s">
        <v>901</v>
      </c>
      <c r="AB591" s="18" t="s">
        <v>107</v>
      </c>
      <c r="AC591" s="18" t="s">
        <v>85</v>
      </c>
      <c r="AD591" s="18">
        <v>233</v>
      </c>
      <c r="AE591" s="18">
        <v>0</v>
      </c>
      <c r="AF591" s="18">
        <v>0</v>
      </c>
      <c r="AG591" s="18">
        <v>0</v>
      </c>
      <c r="AH591" s="18">
        <v>0</v>
      </c>
      <c r="AI591" s="18">
        <v>0</v>
      </c>
      <c r="AJ591" s="18">
        <v>0</v>
      </c>
      <c r="AK591" s="18">
        <v>0</v>
      </c>
      <c r="AL591" s="18">
        <v>0</v>
      </c>
      <c r="AM591" s="18">
        <v>0</v>
      </c>
      <c r="AN591" s="18">
        <v>0</v>
      </c>
      <c r="AO591" s="18">
        <v>0</v>
      </c>
      <c r="AP591" s="18">
        <v>1</v>
      </c>
      <c r="AQ591" s="18">
        <v>0</v>
      </c>
      <c r="AR591" s="18">
        <v>0</v>
      </c>
      <c r="AS591" s="18">
        <v>0</v>
      </c>
      <c r="AT591" s="18">
        <v>0</v>
      </c>
      <c r="AU591" s="18">
        <v>0</v>
      </c>
      <c r="AV591" s="18">
        <v>0</v>
      </c>
      <c r="AW591" s="18">
        <v>0</v>
      </c>
      <c r="AX591" s="18">
        <v>0</v>
      </c>
      <c r="AY591" s="13"/>
      <c r="AZ591" s="18">
        <v>1</v>
      </c>
      <c r="BA591" s="18">
        <v>0</v>
      </c>
      <c r="BB591" s="18">
        <v>53.58</v>
      </c>
      <c r="BC591" s="18" t="s">
        <v>2089</v>
      </c>
      <c r="BD591" s="18" t="s">
        <v>1271</v>
      </c>
      <c r="BE591" s="18" t="s">
        <v>136</v>
      </c>
      <c r="BF591" s="18" t="s">
        <v>77</v>
      </c>
      <c r="BG591" s="18">
        <v>168</v>
      </c>
      <c r="BH591" s="18">
        <v>11</v>
      </c>
      <c r="BI591" s="18">
        <v>0.9385</v>
      </c>
      <c r="BJ591" s="18">
        <v>0</v>
      </c>
      <c r="BK591" s="18">
        <v>5</v>
      </c>
      <c r="BL591" s="18">
        <v>98.6</v>
      </c>
      <c r="BM591" s="13">
        <f t="shared" si="0"/>
        <v>1785</v>
      </c>
    </row>
    <row r="592" customHeight="1" spans="1:65">
      <c r="A592" s="18" t="s">
        <v>2093</v>
      </c>
      <c r="B592" s="18" t="s">
        <v>339</v>
      </c>
      <c r="C592" s="18" t="s">
        <v>2094</v>
      </c>
      <c r="D592" s="13"/>
      <c r="E592" s="18" t="s">
        <v>340</v>
      </c>
      <c r="F592" s="18" t="s">
        <v>160</v>
      </c>
      <c r="G592" s="18" t="s">
        <v>83</v>
      </c>
      <c r="H592" s="18" t="s">
        <v>84</v>
      </c>
      <c r="I592" s="18" t="s">
        <v>85</v>
      </c>
      <c r="J592" s="18">
        <v>5</v>
      </c>
      <c r="K592" s="16">
        <v>279</v>
      </c>
      <c r="L592" s="10"/>
      <c r="M592" s="16">
        <v>0</v>
      </c>
      <c r="N592" s="16">
        <v>0</v>
      </c>
      <c r="O592" s="18">
        <v>0</v>
      </c>
      <c r="P592" s="18" t="s">
        <v>71</v>
      </c>
      <c r="Q592" s="18">
        <v>5.63479</v>
      </c>
      <c r="R592" s="10"/>
      <c r="S592" s="16">
        <v>116</v>
      </c>
      <c r="T592" s="16">
        <v>5</v>
      </c>
      <c r="U592" s="18" t="s">
        <v>2093</v>
      </c>
      <c r="V592" s="18" t="s">
        <v>339</v>
      </c>
      <c r="W592" s="18" t="s">
        <v>2664</v>
      </c>
      <c r="X592" s="13"/>
      <c r="Y592" s="18" t="s">
        <v>340</v>
      </c>
      <c r="Z592" s="18" t="s">
        <v>160</v>
      </c>
      <c r="AA592" s="18" t="s">
        <v>83</v>
      </c>
      <c r="AB592" s="18" t="s">
        <v>84</v>
      </c>
      <c r="AC592" s="18" t="s">
        <v>85</v>
      </c>
      <c r="AD592" s="18">
        <v>553</v>
      </c>
      <c r="AE592" s="18">
        <v>0</v>
      </c>
      <c r="AF592" s="18">
        <v>0</v>
      </c>
      <c r="AG592" s="18">
        <v>0</v>
      </c>
      <c r="AH592" s="18">
        <v>0</v>
      </c>
      <c r="AI592" s="18">
        <v>0</v>
      </c>
      <c r="AJ592" s="18">
        <v>1</v>
      </c>
      <c r="AK592" s="18">
        <v>0</v>
      </c>
      <c r="AL592" s="18">
        <v>0</v>
      </c>
      <c r="AM592" s="18">
        <v>0</v>
      </c>
      <c r="AN592" s="18">
        <v>0</v>
      </c>
      <c r="AO592" s="18">
        <v>0</v>
      </c>
      <c r="AP592" s="18">
        <v>0</v>
      </c>
      <c r="AQ592" s="18">
        <v>0</v>
      </c>
      <c r="AR592" s="18">
        <v>0</v>
      </c>
      <c r="AS592" s="18">
        <v>0</v>
      </c>
      <c r="AT592" s="18">
        <v>0</v>
      </c>
      <c r="AU592" s="18">
        <v>0</v>
      </c>
      <c r="AV592" s="18">
        <v>0</v>
      </c>
      <c r="AW592" s="18">
        <v>1</v>
      </c>
      <c r="AX592" s="18">
        <v>0</v>
      </c>
      <c r="AY592" s="13"/>
      <c r="AZ592" s="18">
        <v>1</v>
      </c>
      <c r="BA592" s="18">
        <v>0</v>
      </c>
      <c r="BB592" s="18">
        <v>67.93</v>
      </c>
      <c r="BC592" s="18" t="s">
        <v>2095</v>
      </c>
      <c r="BD592" s="18" t="s">
        <v>257</v>
      </c>
      <c r="BE592" s="18" t="s">
        <v>128</v>
      </c>
      <c r="BF592" s="18" t="s">
        <v>77</v>
      </c>
      <c r="BG592" s="18">
        <v>1</v>
      </c>
      <c r="BH592" s="18">
        <v>24</v>
      </c>
      <c r="BI592" s="18">
        <v>0.04</v>
      </c>
      <c r="BJ592" s="18">
        <v>1</v>
      </c>
      <c r="BK592" s="18">
        <v>5</v>
      </c>
      <c r="BL592" s="18">
        <v>98.6</v>
      </c>
      <c r="BM592" s="13">
        <f t="shared" si="0"/>
        <v>32364</v>
      </c>
    </row>
    <row r="593" customHeight="1" spans="1:65">
      <c r="A593" s="18" t="s">
        <v>1815</v>
      </c>
      <c r="B593" s="18" t="s">
        <v>819</v>
      </c>
      <c r="C593" s="13"/>
      <c r="D593" s="13"/>
      <c r="E593" s="18" t="s">
        <v>81</v>
      </c>
      <c r="F593" s="18" t="s">
        <v>68</v>
      </c>
      <c r="G593" s="18" t="s">
        <v>819</v>
      </c>
      <c r="H593" s="18" t="s">
        <v>102</v>
      </c>
      <c r="I593" s="18" t="s">
        <v>85</v>
      </c>
      <c r="J593" s="18">
        <v>5</v>
      </c>
      <c r="K593" s="16">
        <v>29</v>
      </c>
      <c r="L593" s="10"/>
      <c r="M593" s="16">
        <v>0</v>
      </c>
      <c r="N593" s="16">
        <v>0</v>
      </c>
      <c r="O593" s="18">
        <v>0</v>
      </c>
      <c r="P593" s="18" t="s">
        <v>86</v>
      </c>
      <c r="Q593" s="18">
        <v>3.401197</v>
      </c>
      <c r="R593" s="10"/>
      <c r="S593" s="16">
        <v>138</v>
      </c>
      <c r="T593" s="16">
        <v>10</v>
      </c>
      <c r="U593" s="18" t="s">
        <v>1815</v>
      </c>
      <c r="V593" s="18" t="s">
        <v>819</v>
      </c>
      <c r="W593" s="13"/>
      <c r="X593" s="13"/>
      <c r="Y593" s="18" t="s">
        <v>81</v>
      </c>
      <c r="Z593" s="18" t="s">
        <v>68</v>
      </c>
      <c r="AA593" s="18" t="s">
        <v>819</v>
      </c>
      <c r="AB593" s="18" t="s">
        <v>102</v>
      </c>
      <c r="AC593" s="18" t="s">
        <v>85</v>
      </c>
      <c r="AD593" s="18">
        <v>53</v>
      </c>
      <c r="AE593" s="18">
        <v>0</v>
      </c>
      <c r="AF593" s="18">
        <v>0</v>
      </c>
      <c r="AG593" s="18">
        <v>0</v>
      </c>
      <c r="AH593" s="18">
        <v>1</v>
      </c>
      <c r="AI593" s="18">
        <v>0</v>
      </c>
      <c r="AJ593" s="18">
        <v>0</v>
      </c>
      <c r="AK593" s="18">
        <v>0</v>
      </c>
      <c r="AL593" s="18">
        <v>0</v>
      </c>
      <c r="AM593" s="18">
        <v>0</v>
      </c>
      <c r="AN593" s="18">
        <v>0</v>
      </c>
      <c r="AO593" s="18">
        <v>0</v>
      </c>
      <c r="AP593" s="18">
        <v>0</v>
      </c>
      <c r="AQ593" s="18">
        <v>0</v>
      </c>
      <c r="AR593" s="18">
        <v>0</v>
      </c>
      <c r="AS593" s="18">
        <v>0</v>
      </c>
      <c r="AT593" s="18">
        <v>1</v>
      </c>
      <c r="AU593" s="18">
        <v>1</v>
      </c>
      <c r="AV593" s="18">
        <v>0</v>
      </c>
      <c r="AW593" s="18">
        <v>0</v>
      </c>
      <c r="AX593" s="18">
        <v>0</v>
      </c>
      <c r="AY593" s="13"/>
      <c r="AZ593" s="18">
        <v>1</v>
      </c>
      <c r="BA593" s="18">
        <v>1</v>
      </c>
      <c r="BB593" s="18">
        <v>66.55</v>
      </c>
      <c r="BC593" s="18" t="s">
        <v>2098</v>
      </c>
      <c r="BD593" s="13"/>
      <c r="BE593" s="13"/>
      <c r="BF593" s="13"/>
      <c r="BG593" s="18">
        <v>0</v>
      </c>
      <c r="BH593" s="18">
        <v>0</v>
      </c>
      <c r="BI593" s="13"/>
      <c r="BJ593" s="18">
        <v>0</v>
      </c>
      <c r="BK593" s="18">
        <v>9</v>
      </c>
      <c r="BL593" s="18">
        <v>97.5</v>
      </c>
      <c r="BM593" s="13">
        <f t="shared" si="0"/>
        <v>4002</v>
      </c>
    </row>
    <row r="594" customHeight="1" spans="1:65">
      <c r="A594" s="18" t="s">
        <v>300</v>
      </c>
      <c r="B594" s="18" t="s">
        <v>301</v>
      </c>
      <c r="C594" s="13"/>
      <c r="D594" s="13"/>
      <c r="E594" s="18" t="s">
        <v>302</v>
      </c>
      <c r="F594" s="18" t="s">
        <v>240</v>
      </c>
      <c r="G594" s="18" t="s">
        <v>83</v>
      </c>
      <c r="H594" s="18" t="s">
        <v>84</v>
      </c>
      <c r="I594" s="18" t="s">
        <v>153</v>
      </c>
      <c r="J594" s="18">
        <v>2</v>
      </c>
      <c r="K594" s="16">
        <v>85</v>
      </c>
      <c r="L594" s="10"/>
      <c r="M594" s="16">
        <v>0</v>
      </c>
      <c r="N594" s="16">
        <v>0</v>
      </c>
      <c r="O594" s="18">
        <v>0</v>
      </c>
      <c r="P594" s="18" t="s">
        <v>95</v>
      </c>
      <c r="Q594" s="18">
        <v>4.454347</v>
      </c>
      <c r="R594" s="16">
        <v>10.62</v>
      </c>
      <c r="S594" s="10"/>
      <c r="T594" s="10"/>
      <c r="U594" s="18" t="s">
        <v>2665</v>
      </c>
      <c r="V594" s="18" t="s">
        <v>301</v>
      </c>
      <c r="W594" s="13"/>
      <c r="X594" s="13"/>
      <c r="Y594" s="18" t="s">
        <v>302</v>
      </c>
      <c r="Z594" s="18" t="s">
        <v>240</v>
      </c>
      <c r="AA594" s="18" t="s">
        <v>83</v>
      </c>
      <c r="AB594" s="18" t="s">
        <v>84</v>
      </c>
      <c r="AC594" s="18" t="s">
        <v>153</v>
      </c>
      <c r="AD594" s="18">
        <v>168</v>
      </c>
      <c r="AE594" s="18">
        <v>0</v>
      </c>
      <c r="AF594" s="18">
        <v>0</v>
      </c>
      <c r="AG594" s="18">
        <v>0</v>
      </c>
      <c r="AH594" s="18">
        <v>0</v>
      </c>
      <c r="AI594" s="18">
        <v>0</v>
      </c>
      <c r="AJ594" s="18">
        <v>0</v>
      </c>
      <c r="AK594" s="18">
        <v>0</v>
      </c>
      <c r="AL594" s="18">
        <v>0</v>
      </c>
      <c r="AM594" s="18">
        <v>0</v>
      </c>
      <c r="AN594" s="18">
        <v>0</v>
      </c>
      <c r="AO594" s="18">
        <v>0</v>
      </c>
      <c r="AP594" s="18">
        <v>0</v>
      </c>
      <c r="AQ594" s="18">
        <v>1</v>
      </c>
      <c r="AR594" s="18">
        <v>0</v>
      </c>
      <c r="AS594" s="18">
        <v>0</v>
      </c>
      <c r="AT594" s="18">
        <v>0</v>
      </c>
      <c r="AU594" s="18">
        <v>0</v>
      </c>
      <c r="AV594" s="18">
        <v>1</v>
      </c>
      <c r="AW594" s="18">
        <v>1</v>
      </c>
      <c r="AX594" s="18">
        <v>0</v>
      </c>
      <c r="AY594" s="18">
        <v>8</v>
      </c>
      <c r="AZ594" s="18">
        <v>1</v>
      </c>
      <c r="BA594" s="18">
        <v>1</v>
      </c>
      <c r="BB594" s="18">
        <v>5.76</v>
      </c>
      <c r="BC594" s="18" t="s">
        <v>303</v>
      </c>
      <c r="BD594" s="18" t="s">
        <v>304</v>
      </c>
      <c r="BE594" s="18" t="s">
        <v>128</v>
      </c>
      <c r="BF594" s="18" t="s">
        <v>77</v>
      </c>
      <c r="BG594" s="18">
        <v>46</v>
      </c>
      <c r="BH594" s="18">
        <v>11</v>
      </c>
      <c r="BI594" s="18">
        <v>0.807</v>
      </c>
      <c r="BJ594" s="18">
        <v>0</v>
      </c>
      <c r="BK594" s="18">
        <v>295</v>
      </c>
      <c r="BL594" s="18">
        <v>19.2</v>
      </c>
      <c r="BM594" s="13">
        <f t="shared" si="0"/>
        <v>0</v>
      </c>
    </row>
    <row r="595" customHeight="1" spans="1:65">
      <c r="A595" s="18" t="s">
        <v>2103</v>
      </c>
      <c r="B595" s="18" t="s">
        <v>739</v>
      </c>
      <c r="C595" s="13"/>
      <c r="D595" s="13"/>
      <c r="E595" s="18" t="s">
        <v>81</v>
      </c>
      <c r="F595" s="18" t="s">
        <v>82</v>
      </c>
      <c r="G595" s="18" t="s">
        <v>83</v>
      </c>
      <c r="H595" s="18" t="s">
        <v>84</v>
      </c>
      <c r="I595" s="18" t="s">
        <v>85</v>
      </c>
      <c r="J595" s="18">
        <v>5</v>
      </c>
      <c r="K595" s="16">
        <v>234.99</v>
      </c>
      <c r="L595" s="10"/>
      <c r="M595" s="16">
        <v>0</v>
      </c>
      <c r="N595" s="16">
        <v>0</v>
      </c>
      <c r="O595" s="18">
        <v>0</v>
      </c>
      <c r="P595" s="18" t="s">
        <v>71</v>
      </c>
      <c r="Q595" s="18">
        <v>5.463789</v>
      </c>
      <c r="R595" s="10"/>
      <c r="S595" s="16">
        <v>9</v>
      </c>
      <c r="T595" s="16">
        <v>10</v>
      </c>
      <c r="U595" s="18" t="s">
        <v>2103</v>
      </c>
      <c r="V595" s="18" t="s">
        <v>739</v>
      </c>
      <c r="W595" s="13"/>
      <c r="X595" s="13"/>
      <c r="Y595" s="18" t="s">
        <v>81</v>
      </c>
      <c r="Z595" s="18" t="s">
        <v>82</v>
      </c>
      <c r="AA595" s="18" t="s">
        <v>83</v>
      </c>
      <c r="AB595" s="18" t="s">
        <v>84</v>
      </c>
      <c r="AC595" s="18" t="s">
        <v>85</v>
      </c>
      <c r="AD595" s="18">
        <v>464.98</v>
      </c>
      <c r="AE595" s="18">
        <v>1</v>
      </c>
      <c r="AF595" s="18">
        <v>0</v>
      </c>
      <c r="AG595" s="18">
        <v>0</v>
      </c>
      <c r="AH595" s="18">
        <v>1</v>
      </c>
      <c r="AI595" s="18">
        <v>0</v>
      </c>
      <c r="AJ595" s="18">
        <v>0</v>
      </c>
      <c r="AK595" s="18">
        <v>0</v>
      </c>
      <c r="AL595" s="18">
        <v>0</v>
      </c>
      <c r="AM595" s="18">
        <v>0</v>
      </c>
      <c r="AN595" s="18">
        <v>0</v>
      </c>
      <c r="AO595" s="18">
        <v>0</v>
      </c>
      <c r="AP595" s="18">
        <v>0</v>
      </c>
      <c r="AQ595" s="18">
        <v>0</v>
      </c>
      <c r="AR595" s="18">
        <v>0</v>
      </c>
      <c r="AS595" s="18">
        <v>0</v>
      </c>
      <c r="AT595" s="18">
        <v>1</v>
      </c>
      <c r="AU595" s="18">
        <v>0</v>
      </c>
      <c r="AV595" s="18">
        <v>0</v>
      </c>
      <c r="AW595" s="18">
        <v>1</v>
      </c>
      <c r="AX595" s="18">
        <v>0</v>
      </c>
      <c r="AY595" s="13"/>
      <c r="AZ595" s="18">
        <v>1</v>
      </c>
      <c r="BA595" s="18">
        <v>4</v>
      </c>
      <c r="BB595" s="18">
        <v>48.62</v>
      </c>
      <c r="BC595" s="18" t="s">
        <v>2104</v>
      </c>
      <c r="BD595" s="18" t="s">
        <v>1888</v>
      </c>
      <c r="BE595" s="18" t="s">
        <v>113</v>
      </c>
      <c r="BF595" s="18" t="s">
        <v>77</v>
      </c>
      <c r="BG595" s="18">
        <v>168</v>
      </c>
      <c r="BH595" s="18">
        <v>11</v>
      </c>
      <c r="BI595" s="18">
        <v>0.9385</v>
      </c>
      <c r="BJ595" s="18">
        <v>0</v>
      </c>
      <c r="BK595" s="18">
        <v>4</v>
      </c>
      <c r="BL595" s="18">
        <v>98.9</v>
      </c>
      <c r="BM595" s="13">
        <f t="shared" si="0"/>
        <v>2114.91</v>
      </c>
    </row>
    <row r="596" customHeight="1" spans="1:65">
      <c r="A596" s="18" t="s">
        <v>2105</v>
      </c>
      <c r="B596" s="18" t="s">
        <v>849</v>
      </c>
      <c r="C596" s="13"/>
      <c r="D596" s="13"/>
      <c r="E596" s="18" t="s">
        <v>81</v>
      </c>
      <c r="F596" s="18" t="s">
        <v>82</v>
      </c>
      <c r="G596" s="18" t="s">
        <v>83</v>
      </c>
      <c r="H596" s="18" t="s">
        <v>84</v>
      </c>
      <c r="I596" s="18" t="s">
        <v>153</v>
      </c>
      <c r="J596" s="18">
        <v>2</v>
      </c>
      <c r="K596" s="16">
        <v>100</v>
      </c>
      <c r="L596" s="10"/>
      <c r="M596" s="16">
        <v>0</v>
      </c>
      <c r="N596" s="16">
        <v>0</v>
      </c>
      <c r="O596" s="18">
        <v>0</v>
      </c>
      <c r="P596" s="18" t="s">
        <v>95</v>
      </c>
      <c r="Q596" s="18">
        <v>4.615121</v>
      </c>
      <c r="R596" s="10"/>
      <c r="S596" s="10"/>
      <c r="T596" s="16">
        <v>5</v>
      </c>
      <c r="U596" s="18" t="s">
        <v>2105</v>
      </c>
      <c r="V596" s="18" t="s">
        <v>849</v>
      </c>
      <c r="W596" s="13"/>
      <c r="X596" s="13"/>
      <c r="Y596" s="18" t="s">
        <v>81</v>
      </c>
      <c r="Z596" s="18" t="s">
        <v>82</v>
      </c>
      <c r="AA596" s="18" t="s">
        <v>83</v>
      </c>
      <c r="AB596" s="18" t="s">
        <v>84</v>
      </c>
      <c r="AC596" s="18" t="s">
        <v>153</v>
      </c>
      <c r="AD596" s="18">
        <v>198</v>
      </c>
      <c r="AE596" s="18">
        <v>0</v>
      </c>
      <c r="AF596" s="18">
        <v>0</v>
      </c>
      <c r="AG596" s="18">
        <v>0</v>
      </c>
      <c r="AH596" s="18">
        <v>0</v>
      </c>
      <c r="AI596" s="18">
        <v>0</v>
      </c>
      <c r="AJ596" s="18">
        <v>0</v>
      </c>
      <c r="AK596" s="18">
        <v>1</v>
      </c>
      <c r="AL596" s="18">
        <v>0</v>
      </c>
      <c r="AM596" s="18">
        <v>0</v>
      </c>
      <c r="AN596" s="18">
        <v>0</v>
      </c>
      <c r="AO596" s="18">
        <v>0</v>
      </c>
      <c r="AP596" s="18">
        <v>0</v>
      </c>
      <c r="AQ596" s="18">
        <v>0</v>
      </c>
      <c r="AR596" s="18">
        <v>0</v>
      </c>
      <c r="AS596" s="18">
        <v>0</v>
      </c>
      <c r="AT596" s="18">
        <v>0</v>
      </c>
      <c r="AU596" s="18">
        <v>0</v>
      </c>
      <c r="AV596" s="18">
        <v>0</v>
      </c>
      <c r="AW596" s="18">
        <v>0</v>
      </c>
      <c r="AX596" s="18">
        <v>0</v>
      </c>
      <c r="AY596" s="13"/>
      <c r="AZ596" s="18">
        <v>1</v>
      </c>
      <c r="BA596" s="18">
        <v>1</v>
      </c>
      <c r="BB596" s="18">
        <v>0</v>
      </c>
      <c r="BC596" s="18" t="s">
        <v>2106</v>
      </c>
      <c r="BD596" s="18" t="s">
        <v>2107</v>
      </c>
      <c r="BE596" s="18" t="s">
        <v>620</v>
      </c>
      <c r="BF596" s="18" t="s">
        <v>77</v>
      </c>
      <c r="BG596" s="18">
        <v>1</v>
      </c>
      <c r="BH596" s="18">
        <v>11</v>
      </c>
      <c r="BI596" s="18">
        <v>0.0833</v>
      </c>
      <c r="BJ596" s="18">
        <v>1</v>
      </c>
      <c r="BK596" s="13"/>
      <c r="BL596" s="13"/>
      <c r="BM596" s="13">
        <f t="shared" si="0"/>
        <v>0</v>
      </c>
    </row>
    <row r="597" customHeight="1" spans="1:65">
      <c r="A597" s="18" t="s">
        <v>2108</v>
      </c>
      <c r="B597" s="18" t="s">
        <v>658</v>
      </c>
      <c r="C597" s="13"/>
      <c r="D597" s="13"/>
      <c r="E597" s="18" t="s">
        <v>2109</v>
      </c>
      <c r="F597" s="18" t="s">
        <v>240</v>
      </c>
      <c r="G597" s="18" t="s">
        <v>83</v>
      </c>
      <c r="H597" s="18" t="s">
        <v>84</v>
      </c>
      <c r="I597" s="18" t="s">
        <v>508</v>
      </c>
      <c r="J597" s="18">
        <v>1</v>
      </c>
      <c r="K597" s="16">
        <v>160</v>
      </c>
      <c r="L597" s="10"/>
      <c r="M597" s="16">
        <v>0</v>
      </c>
      <c r="N597" s="16">
        <v>0</v>
      </c>
      <c r="O597" s="18">
        <v>0</v>
      </c>
      <c r="P597" s="18" t="s">
        <v>95</v>
      </c>
      <c r="Q597" s="18">
        <v>5.081404</v>
      </c>
      <c r="R597" s="16">
        <v>40</v>
      </c>
      <c r="S597" s="10"/>
      <c r="T597" s="10"/>
      <c r="U597" s="18" t="s">
        <v>2108</v>
      </c>
      <c r="V597" s="18" t="s">
        <v>658</v>
      </c>
      <c r="W597" s="13"/>
      <c r="X597" s="13"/>
      <c r="Y597" s="18" t="s">
        <v>2109</v>
      </c>
      <c r="Z597" s="18" t="s">
        <v>240</v>
      </c>
      <c r="AA597" s="18" t="s">
        <v>83</v>
      </c>
      <c r="AB597" s="18" t="s">
        <v>84</v>
      </c>
      <c r="AC597" s="18" t="s">
        <v>508</v>
      </c>
      <c r="AD597" s="18">
        <v>319</v>
      </c>
      <c r="AE597" s="18">
        <v>0</v>
      </c>
      <c r="AF597" s="18">
        <v>0</v>
      </c>
      <c r="AG597" s="18">
        <v>1</v>
      </c>
      <c r="AH597" s="18">
        <v>0</v>
      </c>
      <c r="AI597" s="18">
        <v>1</v>
      </c>
      <c r="AJ597" s="18">
        <v>0</v>
      </c>
      <c r="AK597" s="18">
        <v>0</v>
      </c>
      <c r="AL597" s="18">
        <v>0</v>
      </c>
      <c r="AM597" s="18">
        <v>0</v>
      </c>
      <c r="AN597" s="18">
        <v>0</v>
      </c>
      <c r="AO597" s="18">
        <v>0</v>
      </c>
      <c r="AP597" s="18">
        <v>0</v>
      </c>
      <c r="AQ597" s="18">
        <v>0</v>
      </c>
      <c r="AR597" s="18">
        <v>0</v>
      </c>
      <c r="AS597" s="18">
        <v>0</v>
      </c>
      <c r="AT597" s="18">
        <v>0</v>
      </c>
      <c r="AU597" s="18">
        <v>0</v>
      </c>
      <c r="AV597" s="18">
        <v>0</v>
      </c>
      <c r="AW597" s="18">
        <v>1</v>
      </c>
      <c r="AX597" s="18">
        <v>0</v>
      </c>
      <c r="AY597" s="18">
        <v>4</v>
      </c>
      <c r="AZ597" s="18">
        <v>1</v>
      </c>
      <c r="BA597" s="18">
        <v>0</v>
      </c>
      <c r="BB597" s="18">
        <v>0</v>
      </c>
      <c r="BC597" s="18" t="s">
        <v>2110</v>
      </c>
      <c r="BD597" s="18" t="s">
        <v>2111</v>
      </c>
      <c r="BE597" s="18" t="s">
        <v>407</v>
      </c>
      <c r="BF597" s="18" t="s">
        <v>77</v>
      </c>
      <c r="BG597" s="18">
        <v>168</v>
      </c>
      <c r="BH597" s="18">
        <v>11</v>
      </c>
      <c r="BI597" s="18">
        <v>0.9385</v>
      </c>
      <c r="BJ597" s="18">
        <v>0</v>
      </c>
      <c r="BK597" s="13"/>
      <c r="BL597" s="13"/>
      <c r="BM597" s="13">
        <f t="shared" si="0"/>
        <v>0</v>
      </c>
    </row>
    <row r="598" customHeight="1" spans="1:65">
      <c r="A598" s="18" t="s">
        <v>2115</v>
      </c>
      <c r="B598" s="18" t="s">
        <v>195</v>
      </c>
      <c r="C598" s="18" t="s">
        <v>2116</v>
      </c>
      <c r="D598" s="18">
        <v>843261112378</v>
      </c>
      <c r="E598" s="18" t="s">
        <v>81</v>
      </c>
      <c r="F598" s="18" t="s">
        <v>160</v>
      </c>
      <c r="G598" s="18" t="s">
        <v>83</v>
      </c>
      <c r="H598" s="18" t="s">
        <v>84</v>
      </c>
      <c r="I598" s="18" t="s">
        <v>203</v>
      </c>
      <c r="J598" s="18">
        <v>4</v>
      </c>
      <c r="K598" s="16">
        <v>109.95</v>
      </c>
      <c r="L598" s="10"/>
      <c r="M598" s="16">
        <v>0</v>
      </c>
      <c r="N598" s="16">
        <v>0</v>
      </c>
      <c r="O598" s="18">
        <v>0</v>
      </c>
      <c r="P598" s="18" t="s">
        <v>95</v>
      </c>
      <c r="Q598" s="18">
        <v>4.70908</v>
      </c>
      <c r="R598" s="10"/>
      <c r="S598" s="16">
        <v>225</v>
      </c>
      <c r="T598" s="16">
        <v>10</v>
      </c>
      <c r="U598" s="18" t="s">
        <v>2115</v>
      </c>
      <c r="V598" s="18" t="s">
        <v>195</v>
      </c>
      <c r="W598" s="18" t="s">
        <v>2666</v>
      </c>
      <c r="X598" s="18">
        <v>843261112379</v>
      </c>
      <c r="Y598" s="18" t="s">
        <v>81</v>
      </c>
      <c r="Z598" s="18" t="s">
        <v>160</v>
      </c>
      <c r="AA598" s="18" t="s">
        <v>83</v>
      </c>
      <c r="AB598" s="18" t="s">
        <v>84</v>
      </c>
      <c r="AC598" s="18" t="s">
        <v>203</v>
      </c>
      <c r="AD598" s="18">
        <v>215.9</v>
      </c>
      <c r="AE598" s="18">
        <v>0</v>
      </c>
      <c r="AF598" s="18">
        <v>0</v>
      </c>
      <c r="AG598" s="18">
        <v>0</v>
      </c>
      <c r="AH598" s="18">
        <v>1</v>
      </c>
      <c r="AI598" s="18">
        <v>0</v>
      </c>
      <c r="AJ598" s="18">
        <v>0</v>
      </c>
      <c r="AK598" s="18">
        <v>0</v>
      </c>
      <c r="AL598" s="18">
        <v>0</v>
      </c>
      <c r="AM598" s="18">
        <v>0</v>
      </c>
      <c r="AN598" s="18">
        <v>0</v>
      </c>
      <c r="AO598" s="18">
        <v>0</v>
      </c>
      <c r="AP598" s="18">
        <v>0</v>
      </c>
      <c r="AQ598" s="18">
        <v>0</v>
      </c>
      <c r="AR598" s="18">
        <v>0</v>
      </c>
      <c r="AS598" s="18">
        <v>0</v>
      </c>
      <c r="AT598" s="18">
        <v>0</v>
      </c>
      <c r="AU598" s="18">
        <v>1</v>
      </c>
      <c r="AV598" s="18">
        <v>0</v>
      </c>
      <c r="AW598" s="18">
        <v>0</v>
      </c>
      <c r="AX598" s="18">
        <v>0</v>
      </c>
      <c r="AY598" s="13"/>
      <c r="AZ598" s="18">
        <v>1</v>
      </c>
      <c r="BA598" s="18">
        <v>1</v>
      </c>
      <c r="BB598" s="18">
        <v>67.82</v>
      </c>
      <c r="BC598" s="18" t="s">
        <v>2117</v>
      </c>
      <c r="BD598" s="18" t="s">
        <v>1415</v>
      </c>
      <c r="BE598" s="18" t="s">
        <v>113</v>
      </c>
      <c r="BF598" s="18" t="s">
        <v>77</v>
      </c>
      <c r="BG598" s="18">
        <v>168</v>
      </c>
      <c r="BH598" s="18">
        <v>11</v>
      </c>
      <c r="BI598" s="18">
        <v>0.9385</v>
      </c>
      <c r="BJ598" s="18">
        <v>0</v>
      </c>
      <c r="BK598" s="18">
        <v>6</v>
      </c>
      <c r="BL598" s="18">
        <v>98.4</v>
      </c>
      <c r="BM598" s="13">
        <f t="shared" si="0"/>
        <v>24738.75</v>
      </c>
    </row>
    <row r="599" customHeight="1" spans="1:65">
      <c r="A599" s="18" t="s">
        <v>2118</v>
      </c>
      <c r="B599" s="18" t="s">
        <v>125</v>
      </c>
      <c r="C599" s="13"/>
      <c r="D599" s="13"/>
      <c r="E599" s="18" t="s">
        <v>505</v>
      </c>
      <c r="F599" s="18" t="s">
        <v>160</v>
      </c>
      <c r="G599" s="18" t="s">
        <v>83</v>
      </c>
      <c r="H599" s="18" t="s">
        <v>138</v>
      </c>
      <c r="I599" s="18" t="s">
        <v>85</v>
      </c>
      <c r="J599" s="18">
        <v>5</v>
      </c>
      <c r="K599" s="16">
        <v>4.78</v>
      </c>
      <c r="L599" s="16">
        <v>5.98</v>
      </c>
      <c r="M599" s="16">
        <v>20.07</v>
      </c>
      <c r="N599" s="16">
        <v>1.2</v>
      </c>
      <c r="O599" s="18">
        <v>1</v>
      </c>
      <c r="P599" s="18" t="s">
        <v>133</v>
      </c>
      <c r="Q599" s="18">
        <v>1.754404</v>
      </c>
      <c r="R599" s="10"/>
      <c r="S599" s="16">
        <v>12</v>
      </c>
      <c r="T599" s="16">
        <v>2</v>
      </c>
      <c r="U599" s="18" t="s">
        <v>2118</v>
      </c>
      <c r="V599" s="18" t="s">
        <v>125</v>
      </c>
      <c r="W599" s="13"/>
      <c r="X599" s="13"/>
      <c r="Y599" s="18" t="s">
        <v>505</v>
      </c>
      <c r="Z599" s="18" t="s">
        <v>160</v>
      </c>
      <c r="AA599" s="18" t="s">
        <v>83</v>
      </c>
      <c r="AB599" s="18" t="s">
        <v>138</v>
      </c>
      <c r="AC599" s="18" t="s">
        <v>85</v>
      </c>
      <c r="AD599" s="18">
        <v>4.67333333333333</v>
      </c>
      <c r="AE599" s="18">
        <v>0</v>
      </c>
      <c r="AF599" s="18">
        <v>0</v>
      </c>
      <c r="AG599" s="18">
        <v>0</v>
      </c>
      <c r="AH599" s="18">
        <v>1</v>
      </c>
      <c r="AI599" s="18">
        <v>0</v>
      </c>
      <c r="AJ599" s="18">
        <v>0</v>
      </c>
      <c r="AK599" s="18">
        <v>0</v>
      </c>
      <c r="AL599" s="18">
        <v>0</v>
      </c>
      <c r="AM599" s="18">
        <v>0</v>
      </c>
      <c r="AN599" s="18">
        <v>0</v>
      </c>
      <c r="AO599" s="18">
        <v>0</v>
      </c>
      <c r="AP599" s="18">
        <v>0</v>
      </c>
      <c r="AQ599" s="18">
        <v>0</v>
      </c>
      <c r="AR599" s="18">
        <v>0</v>
      </c>
      <c r="AS599" s="18">
        <v>0</v>
      </c>
      <c r="AT599" s="18">
        <v>0</v>
      </c>
      <c r="AU599" s="18">
        <v>0</v>
      </c>
      <c r="AV599" s="18">
        <v>0</v>
      </c>
      <c r="AW599" s="18">
        <v>1</v>
      </c>
      <c r="AX599" s="18">
        <v>0</v>
      </c>
      <c r="AY599" s="13"/>
      <c r="AZ599" s="18">
        <v>1</v>
      </c>
      <c r="BA599" s="18">
        <v>1</v>
      </c>
      <c r="BB599" s="18">
        <v>69.64</v>
      </c>
      <c r="BC599" s="18" t="s">
        <v>2119</v>
      </c>
      <c r="BD599" s="18" t="s">
        <v>1054</v>
      </c>
      <c r="BE599" s="18" t="s">
        <v>673</v>
      </c>
      <c r="BF599" s="18" t="s">
        <v>77</v>
      </c>
      <c r="BG599" s="18">
        <v>168</v>
      </c>
      <c r="BH599" s="18">
        <v>11</v>
      </c>
      <c r="BI599" s="18">
        <v>0.9385</v>
      </c>
      <c r="BJ599" s="18">
        <v>0</v>
      </c>
      <c r="BK599" s="18">
        <v>8</v>
      </c>
      <c r="BL599" s="18">
        <v>97.8</v>
      </c>
      <c r="BM599" s="13">
        <f t="shared" si="0"/>
        <v>57.36</v>
      </c>
    </row>
    <row r="600" customHeight="1" spans="1:65">
      <c r="A600" s="18" t="s">
        <v>2124</v>
      </c>
      <c r="B600" s="18" t="s">
        <v>739</v>
      </c>
      <c r="C600" s="13"/>
      <c r="D600" s="18">
        <v>6977118370568</v>
      </c>
      <c r="E600" s="18" t="s">
        <v>2125</v>
      </c>
      <c r="F600" s="18" t="s">
        <v>82</v>
      </c>
      <c r="G600" s="18" t="s">
        <v>83</v>
      </c>
      <c r="H600" s="18" t="s">
        <v>84</v>
      </c>
      <c r="I600" s="18" t="s">
        <v>85</v>
      </c>
      <c r="J600" s="18">
        <v>5</v>
      </c>
      <c r="K600" s="16">
        <v>399.99</v>
      </c>
      <c r="L600" s="10"/>
      <c r="M600" s="16">
        <v>0</v>
      </c>
      <c r="N600" s="16">
        <v>0</v>
      </c>
      <c r="O600" s="18">
        <v>0</v>
      </c>
      <c r="P600" s="18" t="s">
        <v>71</v>
      </c>
      <c r="Q600" s="18">
        <v>5.993936</v>
      </c>
      <c r="R600" s="10"/>
      <c r="S600" s="10"/>
      <c r="T600" s="10"/>
      <c r="U600" s="18" t="s">
        <v>2124</v>
      </c>
      <c r="V600" s="18" t="s">
        <v>739</v>
      </c>
      <c r="W600" s="13"/>
      <c r="X600" s="18">
        <v>6977118370569</v>
      </c>
      <c r="Y600" s="18" t="s">
        <v>2125</v>
      </c>
      <c r="Z600" s="18" t="s">
        <v>82</v>
      </c>
      <c r="AA600" s="18" t="s">
        <v>83</v>
      </c>
      <c r="AB600" s="18" t="s">
        <v>84</v>
      </c>
      <c r="AC600" s="18" t="s">
        <v>85</v>
      </c>
      <c r="AD600" s="18">
        <v>794.98</v>
      </c>
      <c r="AE600" s="18">
        <v>1</v>
      </c>
      <c r="AF600" s="18">
        <v>0</v>
      </c>
      <c r="AG600" s="18">
        <v>0</v>
      </c>
      <c r="AH600" s="18">
        <v>1</v>
      </c>
      <c r="AI600" s="18">
        <v>0</v>
      </c>
      <c r="AJ600" s="18">
        <v>0</v>
      </c>
      <c r="AK600" s="18">
        <v>0</v>
      </c>
      <c r="AL600" s="18">
        <v>0</v>
      </c>
      <c r="AM600" s="18">
        <v>0</v>
      </c>
      <c r="AN600" s="18">
        <v>0</v>
      </c>
      <c r="AO600" s="18">
        <v>0</v>
      </c>
      <c r="AP600" s="18">
        <v>0</v>
      </c>
      <c r="AQ600" s="18">
        <v>0</v>
      </c>
      <c r="AR600" s="18">
        <v>0</v>
      </c>
      <c r="AS600" s="18">
        <v>0</v>
      </c>
      <c r="AT600" s="18">
        <v>0</v>
      </c>
      <c r="AU600" s="18">
        <v>0</v>
      </c>
      <c r="AV600" s="18">
        <v>0</v>
      </c>
      <c r="AW600" s="18">
        <v>1</v>
      </c>
      <c r="AX600" s="18">
        <v>0</v>
      </c>
      <c r="AY600" s="13"/>
      <c r="AZ600" s="18">
        <v>1</v>
      </c>
      <c r="BA600" s="18">
        <v>2</v>
      </c>
      <c r="BB600" s="18">
        <v>0</v>
      </c>
      <c r="BC600" s="18" t="s">
        <v>2126</v>
      </c>
      <c r="BD600" s="18" t="s">
        <v>2127</v>
      </c>
      <c r="BE600" s="18" t="s">
        <v>128</v>
      </c>
      <c r="BF600" s="18" t="s">
        <v>77</v>
      </c>
      <c r="BG600" s="18">
        <v>2</v>
      </c>
      <c r="BH600" s="18">
        <v>220</v>
      </c>
      <c r="BI600" s="18">
        <v>0.009</v>
      </c>
      <c r="BJ600" s="18">
        <v>0</v>
      </c>
      <c r="BK600" s="13"/>
      <c r="BL600" s="13"/>
      <c r="BM600" s="13">
        <f t="shared" si="0"/>
        <v>0</v>
      </c>
    </row>
    <row r="601" customHeight="1" spans="1:65">
      <c r="A601" s="18" t="s">
        <v>2137</v>
      </c>
      <c r="B601" s="18" t="s">
        <v>2138</v>
      </c>
      <c r="C601" s="13"/>
      <c r="D601" s="13"/>
      <c r="E601" s="18" t="s">
        <v>438</v>
      </c>
      <c r="F601" s="18" t="s">
        <v>240</v>
      </c>
      <c r="G601" s="18" t="s">
        <v>83</v>
      </c>
      <c r="H601" s="18" t="s">
        <v>84</v>
      </c>
      <c r="I601" s="18" t="s">
        <v>203</v>
      </c>
      <c r="J601" s="18">
        <v>4</v>
      </c>
      <c r="K601" s="16">
        <v>100</v>
      </c>
      <c r="L601" s="10"/>
      <c r="M601" s="16">
        <v>0</v>
      </c>
      <c r="N601" s="16">
        <v>0</v>
      </c>
      <c r="O601" s="18">
        <v>0</v>
      </c>
      <c r="P601" s="18" t="s">
        <v>95</v>
      </c>
      <c r="Q601" s="18">
        <v>4.615121</v>
      </c>
      <c r="R601" s="16">
        <v>12.5</v>
      </c>
      <c r="S601" s="10"/>
      <c r="T601" s="10"/>
      <c r="U601" s="18" t="s">
        <v>2137</v>
      </c>
      <c r="V601" s="18" t="s">
        <v>2138</v>
      </c>
      <c r="W601" s="13"/>
      <c r="X601" s="13"/>
      <c r="Y601" s="18" t="s">
        <v>438</v>
      </c>
      <c r="Z601" s="18" t="s">
        <v>240</v>
      </c>
      <c r="AA601" s="18" t="s">
        <v>83</v>
      </c>
      <c r="AB601" s="18" t="s">
        <v>84</v>
      </c>
      <c r="AC601" s="18" t="s">
        <v>203</v>
      </c>
      <c r="AD601" s="18">
        <v>196</v>
      </c>
      <c r="AE601" s="18">
        <v>0</v>
      </c>
      <c r="AF601" s="18">
        <v>0</v>
      </c>
      <c r="AG601" s="18">
        <v>0</v>
      </c>
      <c r="AH601" s="18">
        <v>0</v>
      </c>
      <c r="AI601" s="18">
        <v>0</v>
      </c>
      <c r="AJ601" s="18">
        <v>0</v>
      </c>
      <c r="AK601" s="18">
        <v>0</v>
      </c>
      <c r="AL601" s="18">
        <v>0</v>
      </c>
      <c r="AM601" s="18">
        <v>0</v>
      </c>
      <c r="AN601" s="18">
        <v>0</v>
      </c>
      <c r="AO601" s="18">
        <v>0</v>
      </c>
      <c r="AP601" s="18">
        <v>0</v>
      </c>
      <c r="AQ601" s="18">
        <v>0</v>
      </c>
      <c r="AR601" s="18">
        <v>0</v>
      </c>
      <c r="AS601" s="18">
        <v>0</v>
      </c>
      <c r="AT601" s="18">
        <v>0</v>
      </c>
      <c r="AU601" s="18">
        <v>0</v>
      </c>
      <c r="AV601" s="18">
        <v>0</v>
      </c>
      <c r="AW601" s="18">
        <v>1</v>
      </c>
      <c r="AX601" s="18">
        <v>0</v>
      </c>
      <c r="AY601" s="18">
        <v>8</v>
      </c>
      <c r="AZ601" s="18">
        <v>1</v>
      </c>
      <c r="BA601" s="18">
        <v>0</v>
      </c>
      <c r="BB601" s="18">
        <v>23.25</v>
      </c>
      <c r="BC601" s="18" t="s">
        <v>2139</v>
      </c>
      <c r="BD601" s="18" t="s">
        <v>1274</v>
      </c>
      <c r="BE601" s="18" t="s">
        <v>756</v>
      </c>
      <c r="BF601" s="18" t="s">
        <v>77</v>
      </c>
      <c r="BG601" s="18">
        <v>192</v>
      </c>
      <c r="BH601" s="18">
        <v>11</v>
      </c>
      <c r="BI601" s="18">
        <v>0.9458</v>
      </c>
      <c r="BJ601" s="18">
        <v>0</v>
      </c>
      <c r="BK601" s="18">
        <v>82</v>
      </c>
      <c r="BL601" s="18">
        <v>77.5</v>
      </c>
      <c r="BM601" s="13">
        <f t="shared" si="0"/>
        <v>0</v>
      </c>
    </row>
    <row r="602" customHeight="1" spans="1:65">
      <c r="A602" s="18" t="s">
        <v>2141</v>
      </c>
      <c r="B602" s="18" t="s">
        <v>2142</v>
      </c>
      <c r="C602" s="13"/>
      <c r="D602" s="13"/>
      <c r="E602" s="18" t="s">
        <v>390</v>
      </c>
      <c r="F602" s="18" t="s">
        <v>240</v>
      </c>
      <c r="G602" s="18" t="s">
        <v>83</v>
      </c>
      <c r="H602" s="18" t="s">
        <v>84</v>
      </c>
      <c r="I602" s="18" t="s">
        <v>153</v>
      </c>
      <c r="J602" s="18">
        <v>2</v>
      </c>
      <c r="K602" s="16">
        <v>158.1</v>
      </c>
      <c r="L602" s="10"/>
      <c r="M602" s="16">
        <v>0</v>
      </c>
      <c r="N602" s="16">
        <v>0</v>
      </c>
      <c r="O602" s="18">
        <v>0</v>
      </c>
      <c r="P602" s="18" t="s">
        <v>95</v>
      </c>
      <c r="Q602" s="18">
        <v>5.069533</v>
      </c>
      <c r="R602" s="10"/>
      <c r="S602" s="10"/>
      <c r="T602" s="10"/>
      <c r="U602" s="18" t="s">
        <v>2667</v>
      </c>
      <c r="V602" s="18" t="s">
        <v>2142</v>
      </c>
      <c r="W602" s="13"/>
      <c r="X602" s="13"/>
      <c r="Y602" s="18" t="s">
        <v>390</v>
      </c>
      <c r="Z602" s="18" t="s">
        <v>240</v>
      </c>
      <c r="AA602" s="18" t="s">
        <v>83</v>
      </c>
      <c r="AB602" s="18" t="s">
        <v>84</v>
      </c>
      <c r="AC602" s="18" t="s">
        <v>153</v>
      </c>
      <c r="AD602" s="18">
        <v>314.2</v>
      </c>
      <c r="AE602" s="18">
        <v>0</v>
      </c>
      <c r="AF602" s="18">
        <v>0</v>
      </c>
      <c r="AG602" s="18">
        <v>0</v>
      </c>
      <c r="AH602" s="18">
        <v>0</v>
      </c>
      <c r="AI602" s="18">
        <v>0</v>
      </c>
      <c r="AJ602" s="18">
        <v>0</v>
      </c>
      <c r="AK602" s="18">
        <v>0</v>
      </c>
      <c r="AL602" s="18">
        <v>0</v>
      </c>
      <c r="AM602" s="18">
        <v>0</v>
      </c>
      <c r="AN602" s="18">
        <v>0</v>
      </c>
      <c r="AO602" s="18">
        <v>0</v>
      </c>
      <c r="AP602" s="18">
        <v>0</v>
      </c>
      <c r="AQ602" s="18">
        <v>0</v>
      </c>
      <c r="AR602" s="18">
        <v>0</v>
      </c>
      <c r="AS602" s="18">
        <v>0</v>
      </c>
      <c r="AT602" s="18">
        <v>0</v>
      </c>
      <c r="AU602" s="18">
        <v>0</v>
      </c>
      <c r="AV602" s="18">
        <v>1</v>
      </c>
      <c r="AW602" s="18">
        <v>0</v>
      </c>
      <c r="AX602" s="18">
        <v>0</v>
      </c>
      <c r="AY602" s="13"/>
      <c r="AZ602" s="18">
        <v>1</v>
      </c>
      <c r="BA602" s="18">
        <v>0</v>
      </c>
      <c r="BB602" s="18">
        <v>29.58</v>
      </c>
      <c r="BC602" s="18" t="s">
        <v>2143</v>
      </c>
      <c r="BD602" s="18" t="s">
        <v>2144</v>
      </c>
      <c r="BE602" s="18" t="s">
        <v>690</v>
      </c>
      <c r="BF602" s="18" t="s">
        <v>77</v>
      </c>
      <c r="BG602" s="18">
        <v>162</v>
      </c>
      <c r="BH602" s="18">
        <v>58</v>
      </c>
      <c r="BI602" s="18">
        <v>0.7364</v>
      </c>
      <c r="BJ602" s="18">
        <v>0</v>
      </c>
      <c r="BK602" s="18">
        <v>5</v>
      </c>
      <c r="BL602" s="18">
        <v>98.6</v>
      </c>
      <c r="BM602" s="13">
        <f t="shared" si="0"/>
        <v>0</v>
      </c>
    </row>
    <row r="603" customHeight="1" spans="1:65">
      <c r="A603" s="18" t="s">
        <v>2145</v>
      </c>
      <c r="B603" s="18" t="s">
        <v>125</v>
      </c>
      <c r="C603" s="13"/>
      <c r="D603" s="13"/>
      <c r="E603" s="18" t="s">
        <v>559</v>
      </c>
      <c r="F603" s="18" t="s">
        <v>240</v>
      </c>
      <c r="G603" s="18" t="s">
        <v>83</v>
      </c>
      <c r="H603" s="18" t="s">
        <v>138</v>
      </c>
      <c r="I603" s="18" t="s">
        <v>85</v>
      </c>
      <c r="J603" s="18">
        <v>5</v>
      </c>
      <c r="K603" s="16">
        <v>190</v>
      </c>
      <c r="L603" s="10"/>
      <c r="M603" s="16">
        <v>0</v>
      </c>
      <c r="N603" s="16">
        <v>0</v>
      </c>
      <c r="O603" s="18">
        <v>0</v>
      </c>
      <c r="P603" s="18" t="s">
        <v>95</v>
      </c>
      <c r="Q603" s="18">
        <v>5.252273</v>
      </c>
      <c r="R603" s="16">
        <v>23.75</v>
      </c>
      <c r="S603" s="16">
        <v>3</v>
      </c>
      <c r="T603" s="16">
        <v>7</v>
      </c>
      <c r="U603" s="18" t="s">
        <v>2145</v>
      </c>
      <c r="V603" s="18" t="s">
        <v>125</v>
      </c>
      <c r="W603" s="13"/>
      <c r="X603" s="13"/>
      <c r="Y603" s="18" t="s">
        <v>559</v>
      </c>
      <c r="Z603" s="18" t="s">
        <v>240</v>
      </c>
      <c r="AA603" s="18" t="s">
        <v>83</v>
      </c>
      <c r="AB603" s="18" t="s">
        <v>138</v>
      </c>
      <c r="AC603" s="18" t="s">
        <v>85</v>
      </c>
      <c r="AD603" s="18">
        <v>375</v>
      </c>
      <c r="AE603" s="18">
        <v>0</v>
      </c>
      <c r="AF603" s="18">
        <v>0</v>
      </c>
      <c r="AG603" s="18">
        <v>1</v>
      </c>
      <c r="AH603" s="18">
        <v>0</v>
      </c>
      <c r="AI603" s="18">
        <v>0</v>
      </c>
      <c r="AJ603" s="18">
        <v>0</v>
      </c>
      <c r="AK603" s="18">
        <v>0</v>
      </c>
      <c r="AL603" s="18">
        <v>0</v>
      </c>
      <c r="AM603" s="18">
        <v>0</v>
      </c>
      <c r="AN603" s="18">
        <v>0</v>
      </c>
      <c r="AO603" s="18">
        <v>0</v>
      </c>
      <c r="AP603" s="18">
        <v>0</v>
      </c>
      <c r="AQ603" s="18">
        <v>1</v>
      </c>
      <c r="AR603" s="18">
        <v>0</v>
      </c>
      <c r="AS603" s="18">
        <v>0</v>
      </c>
      <c r="AT603" s="18">
        <v>0</v>
      </c>
      <c r="AU603" s="18">
        <v>0</v>
      </c>
      <c r="AV603" s="18">
        <v>1</v>
      </c>
      <c r="AW603" s="18">
        <v>0</v>
      </c>
      <c r="AX603" s="18">
        <v>0</v>
      </c>
      <c r="AY603" s="18">
        <v>8</v>
      </c>
      <c r="AZ603" s="18">
        <v>1</v>
      </c>
      <c r="BA603" s="18">
        <v>1</v>
      </c>
      <c r="BB603" s="18">
        <v>12</v>
      </c>
      <c r="BC603" s="18" t="s">
        <v>2146</v>
      </c>
      <c r="BD603" s="13"/>
      <c r="BE603" s="13"/>
      <c r="BF603" s="13"/>
      <c r="BG603" s="18">
        <v>0</v>
      </c>
      <c r="BH603" s="18">
        <v>0</v>
      </c>
      <c r="BI603" s="13"/>
      <c r="BJ603" s="18">
        <v>0</v>
      </c>
      <c r="BK603" s="13"/>
      <c r="BL603" s="13"/>
      <c r="BM603" s="13">
        <f t="shared" si="0"/>
        <v>570</v>
      </c>
    </row>
    <row r="604" customHeight="1" spans="1:65">
      <c r="A604" s="18" t="s">
        <v>2147</v>
      </c>
      <c r="B604" s="18" t="s">
        <v>115</v>
      </c>
      <c r="C604" s="13"/>
      <c r="D604" s="13"/>
      <c r="E604" s="18" t="s">
        <v>2148</v>
      </c>
      <c r="F604" s="18" t="s">
        <v>82</v>
      </c>
      <c r="G604" s="18" t="s">
        <v>117</v>
      </c>
      <c r="H604" s="18" t="s">
        <v>107</v>
      </c>
      <c r="I604" s="18" t="s">
        <v>85</v>
      </c>
      <c r="J604" s="18">
        <v>5</v>
      </c>
      <c r="K604" s="16">
        <v>66.98</v>
      </c>
      <c r="L604" s="10"/>
      <c r="M604" s="16">
        <v>0</v>
      </c>
      <c r="N604" s="16">
        <v>0</v>
      </c>
      <c r="O604" s="18">
        <v>0</v>
      </c>
      <c r="P604" s="18" t="s">
        <v>86</v>
      </c>
      <c r="Q604" s="18">
        <v>4.219214</v>
      </c>
      <c r="R604" s="10"/>
      <c r="S604" s="16">
        <v>115</v>
      </c>
      <c r="T604" s="16">
        <v>10</v>
      </c>
      <c r="U604" s="18" t="s">
        <v>2147</v>
      </c>
      <c r="V604" s="18" t="s">
        <v>115</v>
      </c>
      <c r="W604" s="13"/>
      <c r="X604" s="13"/>
      <c r="Y604" s="18" t="s">
        <v>2148</v>
      </c>
      <c r="Z604" s="18" t="s">
        <v>82</v>
      </c>
      <c r="AA604" s="18" t="s">
        <v>117</v>
      </c>
      <c r="AB604" s="18" t="s">
        <v>107</v>
      </c>
      <c r="AC604" s="18" t="s">
        <v>85</v>
      </c>
      <c r="AD604" s="18">
        <v>128.96</v>
      </c>
      <c r="AE604" s="18">
        <v>0</v>
      </c>
      <c r="AF604" s="18">
        <v>0</v>
      </c>
      <c r="AG604" s="18">
        <v>0</v>
      </c>
      <c r="AH604" s="18">
        <v>0</v>
      </c>
      <c r="AI604" s="18">
        <v>0</v>
      </c>
      <c r="AJ604" s="18">
        <v>0</v>
      </c>
      <c r="AK604" s="18">
        <v>0</v>
      </c>
      <c r="AL604" s="18">
        <v>0</v>
      </c>
      <c r="AM604" s="18">
        <v>0</v>
      </c>
      <c r="AN604" s="18">
        <v>0</v>
      </c>
      <c r="AO604" s="18">
        <v>0</v>
      </c>
      <c r="AP604" s="18">
        <v>0</v>
      </c>
      <c r="AQ604" s="18">
        <v>0</v>
      </c>
      <c r="AR604" s="18">
        <v>0</v>
      </c>
      <c r="AS604" s="18">
        <v>0</v>
      </c>
      <c r="AT604" s="18">
        <v>1</v>
      </c>
      <c r="AU604" s="18">
        <v>0</v>
      </c>
      <c r="AV604" s="18">
        <v>0</v>
      </c>
      <c r="AW604" s="18">
        <v>0</v>
      </c>
      <c r="AX604" s="18">
        <v>0</v>
      </c>
      <c r="AY604" s="13"/>
      <c r="AZ604" s="18">
        <v>1</v>
      </c>
      <c r="BA604" s="18">
        <v>0</v>
      </c>
      <c r="BB604" s="18">
        <v>66.47</v>
      </c>
      <c r="BC604" s="18" t="s">
        <v>2149</v>
      </c>
      <c r="BD604" s="18" t="s">
        <v>1506</v>
      </c>
      <c r="BE604" s="18" t="s">
        <v>91</v>
      </c>
      <c r="BF604" s="18" t="s">
        <v>77</v>
      </c>
      <c r="BG604" s="18">
        <v>162</v>
      </c>
      <c r="BH604" s="18">
        <v>60</v>
      </c>
      <c r="BI604" s="18">
        <v>0.7297</v>
      </c>
      <c r="BJ604" s="18">
        <v>0</v>
      </c>
      <c r="BK604" s="18">
        <v>4</v>
      </c>
      <c r="BL604" s="18">
        <v>98.9</v>
      </c>
      <c r="BM604" s="13">
        <f t="shared" si="0"/>
        <v>7702.7</v>
      </c>
    </row>
    <row r="605" customHeight="1" spans="1:65">
      <c r="A605" s="18" t="s">
        <v>1515</v>
      </c>
      <c r="B605" s="18" t="s">
        <v>384</v>
      </c>
      <c r="C605" s="13"/>
      <c r="D605" s="13"/>
      <c r="E605" s="18" t="s">
        <v>81</v>
      </c>
      <c r="F605" s="18" t="s">
        <v>82</v>
      </c>
      <c r="G605" s="18" t="s">
        <v>83</v>
      </c>
      <c r="H605" s="18" t="s">
        <v>84</v>
      </c>
      <c r="I605" s="18" t="s">
        <v>85</v>
      </c>
      <c r="J605" s="18">
        <v>5</v>
      </c>
      <c r="K605" s="16">
        <v>36.99</v>
      </c>
      <c r="L605" s="16">
        <v>41.1</v>
      </c>
      <c r="M605" s="16">
        <v>10</v>
      </c>
      <c r="N605" s="16">
        <v>4.11</v>
      </c>
      <c r="O605" s="18">
        <v>1</v>
      </c>
      <c r="P605" s="18" t="s">
        <v>86</v>
      </c>
      <c r="Q605" s="18">
        <v>3.637323</v>
      </c>
      <c r="R605" s="10"/>
      <c r="S605" s="16">
        <v>669</v>
      </c>
      <c r="T605" s="16">
        <v>10</v>
      </c>
      <c r="U605" s="18" t="s">
        <v>1515</v>
      </c>
      <c r="V605" s="18" t="s">
        <v>384</v>
      </c>
      <c r="W605" s="13"/>
      <c r="X605" s="13"/>
      <c r="Y605" s="18" t="s">
        <v>81</v>
      </c>
      <c r="Z605" s="18" t="s">
        <v>82</v>
      </c>
      <c r="AA605" s="18" t="s">
        <v>83</v>
      </c>
      <c r="AB605" s="18" t="s">
        <v>84</v>
      </c>
      <c r="AC605" s="18" t="s">
        <v>85</v>
      </c>
      <c r="AD605" s="18">
        <v>1.39266666666664</v>
      </c>
      <c r="AE605" s="18">
        <v>1</v>
      </c>
      <c r="AF605" s="18">
        <v>1</v>
      </c>
      <c r="AG605" s="18">
        <v>0</v>
      </c>
      <c r="AH605" s="18">
        <v>1</v>
      </c>
      <c r="AI605" s="18">
        <v>0</v>
      </c>
      <c r="AJ605" s="18">
        <v>0</v>
      </c>
      <c r="AK605" s="18">
        <v>0</v>
      </c>
      <c r="AL605" s="18">
        <v>0</v>
      </c>
      <c r="AM605" s="18">
        <v>0</v>
      </c>
      <c r="AN605" s="18">
        <v>0</v>
      </c>
      <c r="AO605" s="18">
        <v>0</v>
      </c>
      <c r="AP605" s="18">
        <v>0</v>
      </c>
      <c r="AQ605" s="18">
        <v>0</v>
      </c>
      <c r="AR605" s="18">
        <v>0</v>
      </c>
      <c r="AS605" s="18">
        <v>0</v>
      </c>
      <c r="AT605" s="18">
        <v>1</v>
      </c>
      <c r="AU605" s="18">
        <v>0</v>
      </c>
      <c r="AV605" s="18">
        <v>0</v>
      </c>
      <c r="AW605" s="18">
        <v>0</v>
      </c>
      <c r="AX605" s="18">
        <v>0</v>
      </c>
      <c r="AY605" s="13"/>
      <c r="AZ605" s="18">
        <v>1</v>
      </c>
      <c r="BA605" s="18">
        <v>2</v>
      </c>
      <c r="BB605" s="18">
        <v>72.08</v>
      </c>
      <c r="BC605" s="18" t="s">
        <v>309</v>
      </c>
      <c r="BD605" s="18" t="s">
        <v>773</v>
      </c>
      <c r="BE605" s="18" t="s">
        <v>774</v>
      </c>
      <c r="BF605" s="18" t="s">
        <v>77</v>
      </c>
      <c r="BG605" s="18">
        <v>1</v>
      </c>
      <c r="BH605" s="18">
        <v>28</v>
      </c>
      <c r="BI605" s="18">
        <v>0.0345</v>
      </c>
      <c r="BJ605" s="18">
        <v>1</v>
      </c>
      <c r="BK605" s="18">
        <v>4</v>
      </c>
      <c r="BL605" s="18">
        <v>98.9</v>
      </c>
      <c r="BM605" s="13">
        <f t="shared" si="0"/>
        <v>24746.31</v>
      </c>
    </row>
    <row r="606" customHeight="1" spans="1:65">
      <c r="A606" s="18" t="s">
        <v>1889</v>
      </c>
      <c r="B606" s="18" t="s">
        <v>384</v>
      </c>
      <c r="C606" s="13"/>
      <c r="D606" s="13"/>
      <c r="E606" s="18" t="s">
        <v>81</v>
      </c>
      <c r="F606" s="18" t="s">
        <v>160</v>
      </c>
      <c r="G606" s="18" t="s">
        <v>83</v>
      </c>
      <c r="H606" s="18" t="s">
        <v>84</v>
      </c>
      <c r="I606" s="18" t="s">
        <v>85</v>
      </c>
      <c r="J606" s="18">
        <v>5</v>
      </c>
      <c r="K606" s="16">
        <v>36.99</v>
      </c>
      <c r="L606" s="16">
        <v>52.84</v>
      </c>
      <c r="M606" s="16">
        <v>30</v>
      </c>
      <c r="N606" s="16">
        <v>15.85</v>
      </c>
      <c r="O606" s="18">
        <v>1</v>
      </c>
      <c r="P606" s="18" t="s">
        <v>86</v>
      </c>
      <c r="Q606" s="18">
        <v>3.637323</v>
      </c>
      <c r="R606" s="10"/>
      <c r="S606" s="16">
        <v>49</v>
      </c>
      <c r="T606" s="16">
        <v>10</v>
      </c>
      <c r="U606" s="18" t="s">
        <v>1889</v>
      </c>
      <c r="V606" s="18" t="s">
        <v>384</v>
      </c>
      <c r="W606" s="13"/>
      <c r="X606" s="13"/>
      <c r="Y606" s="18" t="s">
        <v>81</v>
      </c>
      <c r="Z606" s="18" t="s">
        <v>160</v>
      </c>
      <c r="AA606" s="18" t="s">
        <v>83</v>
      </c>
      <c r="AB606" s="18" t="s">
        <v>84</v>
      </c>
      <c r="AC606" s="18" t="s">
        <v>85</v>
      </c>
      <c r="AD606" s="18">
        <v>12.9873333333333</v>
      </c>
      <c r="AE606" s="18">
        <v>1</v>
      </c>
      <c r="AF606" s="18">
        <v>0</v>
      </c>
      <c r="AG606" s="18">
        <v>0</v>
      </c>
      <c r="AH606" s="18">
        <v>1</v>
      </c>
      <c r="AI606" s="18">
        <v>0</v>
      </c>
      <c r="AJ606" s="18">
        <v>0</v>
      </c>
      <c r="AK606" s="18">
        <v>1</v>
      </c>
      <c r="AL606" s="18">
        <v>0</v>
      </c>
      <c r="AM606" s="18">
        <v>0</v>
      </c>
      <c r="AN606" s="18">
        <v>0</v>
      </c>
      <c r="AO606" s="18">
        <v>0</v>
      </c>
      <c r="AP606" s="18">
        <v>0</v>
      </c>
      <c r="AQ606" s="18">
        <v>0</v>
      </c>
      <c r="AR606" s="18">
        <v>0</v>
      </c>
      <c r="AS606" s="18">
        <v>0</v>
      </c>
      <c r="AT606" s="18">
        <v>1</v>
      </c>
      <c r="AU606" s="18">
        <v>0</v>
      </c>
      <c r="AV606" s="18">
        <v>0</v>
      </c>
      <c r="AW606" s="18">
        <v>0</v>
      </c>
      <c r="AX606" s="18">
        <v>0</v>
      </c>
      <c r="AY606" s="13"/>
      <c r="AZ606" s="18">
        <v>3</v>
      </c>
      <c r="BA606" s="18">
        <v>3</v>
      </c>
      <c r="BB606" s="18">
        <v>71.74</v>
      </c>
      <c r="BC606" s="18" t="s">
        <v>309</v>
      </c>
      <c r="BD606" s="18" t="s">
        <v>773</v>
      </c>
      <c r="BE606" s="18" t="s">
        <v>774</v>
      </c>
      <c r="BF606" s="18" t="s">
        <v>77</v>
      </c>
      <c r="BG606" s="18">
        <v>1</v>
      </c>
      <c r="BH606" s="18">
        <v>43</v>
      </c>
      <c r="BI606" s="18">
        <v>0.0227</v>
      </c>
      <c r="BJ606" s="18">
        <v>1</v>
      </c>
      <c r="BK606" s="18">
        <v>6</v>
      </c>
      <c r="BL606" s="18">
        <v>98.4</v>
      </c>
      <c r="BM606" s="13">
        <f t="shared" si="0"/>
        <v>1812.51</v>
      </c>
    </row>
    <row r="607" customHeight="1" spans="1:65">
      <c r="A607" s="18" t="s">
        <v>1070</v>
      </c>
      <c r="B607" s="18" t="s">
        <v>384</v>
      </c>
      <c r="C607" s="18" t="s">
        <v>1071</v>
      </c>
      <c r="D607" s="13"/>
      <c r="E607" s="18" t="s">
        <v>209</v>
      </c>
      <c r="F607" s="18" t="s">
        <v>160</v>
      </c>
      <c r="G607" s="18" t="s">
        <v>83</v>
      </c>
      <c r="H607" s="18" t="s">
        <v>84</v>
      </c>
      <c r="I607" s="18" t="s">
        <v>85</v>
      </c>
      <c r="J607" s="18">
        <v>5</v>
      </c>
      <c r="K607" s="16">
        <v>65.99</v>
      </c>
      <c r="L607" s="16">
        <v>82.49</v>
      </c>
      <c r="M607" s="16">
        <v>20</v>
      </c>
      <c r="N607" s="16">
        <v>16.5</v>
      </c>
      <c r="O607" s="18">
        <v>1</v>
      </c>
      <c r="P607" s="18" t="s">
        <v>86</v>
      </c>
      <c r="Q607" s="18">
        <v>4.204543</v>
      </c>
      <c r="R607" s="16">
        <v>4.12</v>
      </c>
      <c r="S607" s="16">
        <v>16</v>
      </c>
      <c r="T607" s="16">
        <v>10</v>
      </c>
      <c r="U607" s="18" t="s">
        <v>1070</v>
      </c>
      <c r="V607" s="18" t="s">
        <v>384</v>
      </c>
      <c r="W607" s="18" t="s">
        <v>1071</v>
      </c>
      <c r="X607" s="13"/>
      <c r="Y607" s="18" t="s">
        <v>209</v>
      </c>
      <c r="Z607" s="18" t="s">
        <v>160</v>
      </c>
      <c r="AA607" s="18" t="s">
        <v>83</v>
      </c>
      <c r="AB607" s="18" t="s">
        <v>84</v>
      </c>
      <c r="AC607" s="18" t="s">
        <v>85</v>
      </c>
      <c r="AD607" s="18">
        <v>8.73400000000007</v>
      </c>
      <c r="AE607" s="18">
        <v>0</v>
      </c>
      <c r="AF607" s="18">
        <v>0</v>
      </c>
      <c r="AG607" s="18">
        <v>0</v>
      </c>
      <c r="AH607" s="18">
        <v>1</v>
      </c>
      <c r="AI607" s="18">
        <v>0</v>
      </c>
      <c r="AJ607" s="18">
        <v>0</v>
      </c>
      <c r="AK607" s="18">
        <v>1</v>
      </c>
      <c r="AL607" s="18">
        <v>0</v>
      </c>
      <c r="AM607" s="18">
        <v>0</v>
      </c>
      <c r="AN607" s="18">
        <v>0</v>
      </c>
      <c r="AO607" s="18">
        <v>0</v>
      </c>
      <c r="AP607" s="18">
        <v>0</v>
      </c>
      <c r="AQ607" s="18">
        <v>1</v>
      </c>
      <c r="AR607" s="18">
        <v>0</v>
      </c>
      <c r="AS607" s="18">
        <v>0</v>
      </c>
      <c r="AT607" s="18">
        <v>1</v>
      </c>
      <c r="AU607" s="18">
        <v>0</v>
      </c>
      <c r="AV607" s="18">
        <v>1</v>
      </c>
      <c r="AW607" s="18">
        <v>1</v>
      </c>
      <c r="AX607" s="18">
        <v>0</v>
      </c>
      <c r="AY607" s="18">
        <v>16</v>
      </c>
      <c r="AZ607" s="18">
        <v>1</v>
      </c>
      <c r="BA607" s="18">
        <v>3</v>
      </c>
      <c r="BB607" s="18">
        <v>60.38</v>
      </c>
      <c r="BC607" s="18" t="s">
        <v>309</v>
      </c>
      <c r="BD607" s="18" t="s">
        <v>773</v>
      </c>
      <c r="BE607" s="18" t="s">
        <v>774</v>
      </c>
      <c r="BF607" s="18" t="s">
        <v>77</v>
      </c>
      <c r="BG607" s="18">
        <v>1</v>
      </c>
      <c r="BH607" s="18">
        <v>43</v>
      </c>
      <c r="BI607" s="18">
        <v>0.0227</v>
      </c>
      <c r="BJ607" s="18">
        <v>1</v>
      </c>
      <c r="BK607" s="18">
        <v>3</v>
      </c>
      <c r="BL607" s="18">
        <v>99.2</v>
      </c>
      <c r="BM607" s="13">
        <f t="shared" si="0"/>
        <v>1055.84</v>
      </c>
    </row>
    <row r="608" customHeight="1" spans="1:65">
      <c r="A608" s="18" t="s">
        <v>1436</v>
      </c>
      <c r="B608" s="18" t="s">
        <v>384</v>
      </c>
      <c r="C608" s="13"/>
      <c r="D608" s="13"/>
      <c r="E608" s="18" t="s">
        <v>81</v>
      </c>
      <c r="F608" s="18" t="s">
        <v>82</v>
      </c>
      <c r="G608" s="18" t="s">
        <v>83</v>
      </c>
      <c r="H608" s="18" t="s">
        <v>84</v>
      </c>
      <c r="I608" s="18" t="s">
        <v>85</v>
      </c>
      <c r="J608" s="18">
        <v>5</v>
      </c>
      <c r="K608" s="16">
        <v>69.99</v>
      </c>
      <c r="L608" s="16">
        <v>87.49</v>
      </c>
      <c r="M608" s="16">
        <v>20</v>
      </c>
      <c r="N608" s="16">
        <v>17.5</v>
      </c>
      <c r="O608" s="18">
        <v>1</v>
      </c>
      <c r="P608" s="18" t="s">
        <v>86</v>
      </c>
      <c r="Q608" s="18">
        <v>4.262539</v>
      </c>
      <c r="R608" s="10"/>
      <c r="S608" s="16">
        <v>320</v>
      </c>
      <c r="T608" s="16">
        <v>10</v>
      </c>
      <c r="U608" s="18" t="s">
        <v>1436</v>
      </c>
      <c r="V608" s="18" t="s">
        <v>384</v>
      </c>
      <c r="W608" s="13"/>
      <c r="X608" s="13"/>
      <c r="Y608" s="18" t="s">
        <v>81</v>
      </c>
      <c r="Z608" s="18" t="s">
        <v>82</v>
      </c>
      <c r="AA608" s="18" t="s">
        <v>83</v>
      </c>
      <c r="AB608" s="18" t="s">
        <v>84</v>
      </c>
      <c r="AC608" s="18" t="s">
        <v>85</v>
      </c>
      <c r="AD608" s="18">
        <v>9.00066666666667</v>
      </c>
      <c r="AE608" s="18">
        <v>1</v>
      </c>
      <c r="AF608" s="18">
        <v>1</v>
      </c>
      <c r="AG608" s="18">
        <v>0</v>
      </c>
      <c r="AH608" s="18">
        <v>1</v>
      </c>
      <c r="AI608" s="18">
        <v>0</v>
      </c>
      <c r="AJ608" s="18">
        <v>0</v>
      </c>
      <c r="AK608" s="18">
        <v>0</v>
      </c>
      <c r="AL608" s="18">
        <v>0</v>
      </c>
      <c r="AM608" s="18">
        <v>0</v>
      </c>
      <c r="AN608" s="18">
        <v>0</v>
      </c>
      <c r="AO608" s="18">
        <v>0</v>
      </c>
      <c r="AP608" s="18">
        <v>0</v>
      </c>
      <c r="AQ608" s="18">
        <v>0</v>
      </c>
      <c r="AR608" s="18">
        <v>0</v>
      </c>
      <c r="AS608" s="18">
        <v>0</v>
      </c>
      <c r="AT608" s="18">
        <v>1</v>
      </c>
      <c r="AU608" s="18">
        <v>0</v>
      </c>
      <c r="AV608" s="18">
        <v>0</v>
      </c>
      <c r="AW608" s="18">
        <v>0</v>
      </c>
      <c r="AX608" s="18">
        <v>0</v>
      </c>
      <c r="AY608" s="13"/>
      <c r="AZ608" s="18">
        <v>2</v>
      </c>
      <c r="BA608" s="18">
        <v>2</v>
      </c>
      <c r="BB608" s="18">
        <v>74.46</v>
      </c>
      <c r="BC608" s="18" t="s">
        <v>309</v>
      </c>
      <c r="BD608" s="18" t="s">
        <v>1437</v>
      </c>
      <c r="BE608" s="18" t="s">
        <v>774</v>
      </c>
      <c r="BF608" s="18" t="s">
        <v>77</v>
      </c>
      <c r="BG608" s="18">
        <v>1</v>
      </c>
      <c r="BH608" s="18">
        <v>28</v>
      </c>
      <c r="BI608" s="18">
        <v>0.0345</v>
      </c>
      <c r="BJ608" s="18">
        <v>1</v>
      </c>
      <c r="BK608" s="18">
        <v>4</v>
      </c>
      <c r="BL608" s="18">
        <v>98.9</v>
      </c>
      <c r="BM608" s="13">
        <f t="shared" si="0"/>
        <v>22396.8</v>
      </c>
    </row>
    <row r="609" customHeight="1" spans="1:65">
      <c r="A609" s="18" t="s">
        <v>307</v>
      </c>
      <c r="B609" s="18" t="s">
        <v>125</v>
      </c>
      <c r="C609" s="13"/>
      <c r="D609" s="13"/>
      <c r="E609" s="18" t="s">
        <v>308</v>
      </c>
      <c r="F609" s="18" t="s">
        <v>160</v>
      </c>
      <c r="G609" s="18" t="s">
        <v>83</v>
      </c>
      <c r="H609" s="18" t="s">
        <v>138</v>
      </c>
      <c r="I609" s="18" t="s">
        <v>85</v>
      </c>
      <c r="J609" s="18">
        <v>5</v>
      </c>
      <c r="K609" s="16">
        <v>69.99</v>
      </c>
      <c r="L609" s="16">
        <v>111.1</v>
      </c>
      <c r="M609" s="16">
        <v>37</v>
      </c>
      <c r="N609" s="16">
        <v>41.11</v>
      </c>
      <c r="O609" s="18">
        <v>1</v>
      </c>
      <c r="P609" s="18" t="s">
        <v>86</v>
      </c>
      <c r="Q609" s="18">
        <v>4.262539</v>
      </c>
      <c r="R609" s="16">
        <v>17.5</v>
      </c>
      <c r="S609" s="16">
        <v>11</v>
      </c>
      <c r="T609" s="16">
        <v>2</v>
      </c>
      <c r="U609" s="18" t="s">
        <v>307</v>
      </c>
      <c r="V609" s="18" t="s">
        <v>125</v>
      </c>
      <c r="W609" s="13"/>
      <c r="X609" s="13"/>
      <c r="Y609" s="18" t="s">
        <v>308</v>
      </c>
      <c r="Z609" s="18" t="s">
        <v>160</v>
      </c>
      <c r="AA609" s="18" t="s">
        <v>83</v>
      </c>
      <c r="AB609" s="18" t="s">
        <v>138</v>
      </c>
      <c r="AC609" s="18" t="s">
        <v>85</v>
      </c>
      <c r="AD609" s="18">
        <v>26.126</v>
      </c>
      <c r="AE609" s="18">
        <v>0</v>
      </c>
      <c r="AF609" s="18">
        <v>0</v>
      </c>
      <c r="AG609" s="18">
        <v>1</v>
      </c>
      <c r="AH609" s="18">
        <v>0</v>
      </c>
      <c r="AI609" s="18">
        <v>1</v>
      </c>
      <c r="AJ609" s="18">
        <v>0</v>
      </c>
      <c r="AK609" s="18">
        <v>0</v>
      </c>
      <c r="AL609" s="18">
        <v>0</v>
      </c>
      <c r="AM609" s="18">
        <v>0</v>
      </c>
      <c r="AN609" s="18">
        <v>0</v>
      </c>
      <c r="AO609" s="18">
        <v>0</v>
      </c>
      <c r="AP609" s="18">
        <v>0</v>
      </c>
      <c r="AQ609" s="18">
        <v>1</v>
      </c>
      <c r="AR609" s="18">
        <v>0</v>
      </c>
      <c r="AS609" s="18">
        <v>0</v>
      </c>
      <c r="AT609" s="18">
        <v>1</v>
      </c>
      <c r="AU609" s="18">
        <v>0</v>
      </c>
      <c r="AV609" s="18">
        <v>1</v>
      </c>
      <c r="AW609" s="18">
        <v>1</v>
      </c>
      <c r="AX609" s="18">
        <v>0</v>
      </c>
      <c r="AY609" s="18">
        <v>4</v>
      </c>
      <c r="AZ609" s="18">
        <v>4</v>
      </c>
      <c r="BA609" s="18">
        <v>1</v>
      </c>
      <c r="BB609" s="18">
        <v>74.8</v>
      </c>
      <c r="BC609" s="18" t="s">
        <v>309</v>
      </c>
      <c r="BD609" s="18" t="s">
        <v>97</v>
      </c>
      <c r="BE609" s="18" t="s">
        <v>98</v>
      </c>
      <c r="BF609" s="18" t="s">
        <v>77</v>
      </c>
      <c r="BG609" s="18">
        <v>1</v>
      </c>
      <c r="BH609" s="18">
        <v>28</v>
      </c>
      <c r="BI609" s="18">
        <v>0.0345</v>
      </c>
      <c r="BJ609" s="18">
        <v>1</v>
      </c>
      <c r="BK609" s="18">
        <v>2</v>
      </c>
      <c r="BL609" s="18">
        <v>99.5</v>
      </c>
      <c r="BM609" s="13">
        <f t="shared" si="0"/>
        <v>769.89</v>
      </c>
    </row>
    <row r="610" customHeight="1" spans="1:65">
      <c r="A610" s="18" t="s">
        <v>1577</v>
      </c>
      <c r="B610" s="18" t="s">
        <v>384</v>
      </c>
      <c r="C610" s="13"/>
      <c r="D610" s="13"/>
      <c r="E610" s="18" t="s">
        <v>81</v>
      </c>
      <c r="F610" s="18" t="s">
        <v>160</v>
      </c>
      <c r="G610" s="18" t="s">
        <v>83</v>
      </c>
      <c r="H610" s="18" t="s">
        <v>84</v>
      </c>
      <c r="I610" s="18" t="s">
        <v>85</v>
      </c>
      <c r="J610" s="18">
        <v>5</v>
      </c>
      <c r="K610" s="16">
        <v>39.99</v>
      </c>
      <c r="L610" s="10"/>
      <c r="M610" s="16">
        <v>0</v>
      </c>
      <c r="N610" s="16">
        <v>0</v>
      </c>
      <c r="O610" s="18">
        <v>0</v>
      </c>
      <c r="P610" s="18" t="s">
        <v>86</v>
      </c>
      <c r="Q610" s="18">
        <v>3.713328</v>
      </c>
      <c r="R610" s="16">
        <v>4</v>
      </c>
      <c r="S610" s="16">
        <v>239</v>
      </c>
      <c r="T610" s="16">
        <v>8</v>
      </c>
      <c r="U610" s="18" t="s">
        <v>1577</v>
      </c>
      <c r="V610" s="18" t="s">
        <v>384</v>
      </c>
      <c r="W610" s="13"/>
      <c r="X610" s="13"/>
      <c r="Y610" s="18" t="s">
        <v>81</v>
      </c>
      <c r="Z610" s="18" t="s">
        <v>160</v>
      </c>
      <c r="AA610" s="18" t="s">
        <v>83</v>
      </c>
      <c r="AB610" s="18" t="s">
        <v>84</v>
      </c>
      <c r="AC610" s="18" t="s">
        <v>85</v>
      </c>
      <c r="AD610" s="18">
        <v>74.98</v>
      </c>
      <c r="AE610" s="18">
        <v>0</v>
      </c>
      <c r="AF610" s="18">
        <v>0</v>
      </c>
      <c r="AG610" s="18">
        <v>0</v>
      </c>
      <c r="AH610" s="18">
        <v>1</v>
      </c>
      <c r="AI610" s="18">
        <v>0</v>
      </c>
      <c r="AJ610" s="18">
        <v>0</v>
      </c>
      <c r="AK610" s="18">
        <v>0</v>
      </c>
      <c r="AL610" s="18">
        <v>0</v>
      </c>
      <c r="AM610" s="18">
        <v>0</v>
      </c>
      <c r="AN610" s="18">
        <v>0</v>
      </c>
      <c r="AO610" s="18">
        <v>0</v>
      </c>
      <c r="AP610" s="18">
        <v>0</v>
      </c>
      <c r="AQ610" s="18">
        <v>1</v>
      </c>
      <c r="AR610" s="18">
        <v>0</v>
      </c>
      <c r="AS610" s="18">
        <v>0</v>
      </c>
      <c r="AT610" s="18">
        <v>0</v>
      </c>
      <c r="AU610" s="18">
        <v>0</v>
      </c>
      <c r="AV610" s="18">
        <v>1</v>
      </c>
      <c r="AW610" s="18">
        <v>1</v>
      </c>
      <c r="AX610" s="18">
        <v>0</v>
      </c>
      <c r="AY610" s="18">
        <v>10</v>
      </c>
      <c r="AZ610" s="18">
        <v>1</v>
      </c>
      <c r="BA610" s="18">
        <v>2</v>
      </c>
      <c r="BB610" s="18">
        <v>68.22</v>
      </c>
      <c r="BC610" s="18" t="s">
        <v>309</v>
      </c>
      <c r="BD610" s="18" t="s">
        <v>386</v>
      </c>
      <c r="BE610" s="18" t="s">
        <v>226</v>
      </c>
      <c r="BF610" s="18" t="s">
        <v>77</v>
      </c>
      <c r="BG610" s="18">
        <v>1</v>
      </c>
      <c r="BH610" s="18">
        <v>28</v>
      </c>
      <c r="BI610" s="18">
        <v>0.0345</v>
      </c>
      <c r="BJ610" s="18">
        <v>1</v>
      </c>
      <c r="BK610" s="18">
        <v>6</v>
      </c>
      <c r="BL610" s="18">
        <v>98.4</v>
      </c>
      <c r="BM610" s="13">
        <f t="shared" si="0"/>
        <v>9557.61</v>
      </c>
    </row>
    <row r="611" customHeight="1" spans="1:65">
      <c r="A611" s="18" t="s">
        <v>2478</v>
      </c>
      <c r="B611" s="18" t="s">
        <v>384</v>
      </c>
      <c r="C611" s="13"/>
      <c r="D611" s="13"/>
      <c r="E611" s="18" t="s">
        <v>876</v>
      </c>
      <c r="F611" s="18" t="s">
        <v>462</v>
      </c>
      <c r="G611" s="18" t="s">
        <v>83</v>
      </c>
      <c r="H611" s="18" t="s">
        <v>84</v>
      </c>
      <c r="I611" s="18" t="s">
        <v>85</v>
      </c>
      <c r="J611" s="18">
        <v>5</v>
      </c>
      <c r="K611" s="16">
        <v>189.99</v>
      </c>
      <c r="L611" s="16">
        <v>287.49</v>
      </c>
      <c r="M611" s="16">
        <v>33.91</v>
      </c>
      <c r="N611" s="16">
        <v>97.5</v>
      </c>
      <c r="O611" s="18">
        <v>1</v>
      </c>
      <c r="P611" s="18" t="s">
        <v>95</v>
      </c>
      <c r="Q611" s="18">
        <v>5.252221</v>
      </c>
      <c r="R611" s="16">
        <v>19</v>
      </c>
      <c r="S611" s="16">
        <v>4</v>
      </c>
      <c r="T611" s="16">
        <v>4</v>
      </c>
      <c r="U611" s="18" t="s">
        <v>2478</v>
      </c>
      <c r="V611" s="18" t="s">
        <v>384</v>
      </c>
      <c r="W611" s="13"/>
      <c r="X611" s="13"/>
      <c r="Y611" s="18" t="s">
        <v>876</v>
      </c>
      <c r="Z611" s="18" t="s">
        <v>462</v>
      </c>
      <c r="AA611" s="18" t="s">
        <v>83</v>
      </c>
      <c r="AB611" s="18" t="s">
        <v>84</v>
      </c>
      <c r="AC611" s="18" t="s">
        <v>85</v>
      </c>
      <c r="AD611" s="18">
        <v>47.3766666666668</v>
      </c>
      <c r="AE611" s="18">
        <v>1</v>
      </c>
      <c r="AF611" s="18">
        <v>1</v>
      </c>
      <c r="AG611" s="18">
        <v>0</v>
      </c>
      <c r="AH611" s="18">
        <v>1</v>
      </c>
      <c r="AI611" s="18">
        <v>0</v>
      </c>
      <c r="AJ611" s="18">
        <v>0</v>
      </c>
      <c r="AK611" s="18">
        <v>0</v>
      </c>
      <c r="AL611" s="18">
        <v>0</v>
      </c>
      <c r="AM611" s="18">
        <v>1</v>
      </c>
      <c r="AN611" s="18">
        <v>0</v>
      </c>
      <c r="AO611" s="18">
        <v>0</v>
      </c>
      <c r="AP611" s="18">
        <v>0</v>
      </c>
      <c r="AQ611" s="18">
        <v>0</v>
      </c>
      <c r="AR611" s="18">
        <v>0</v>
      </c>
      <c r="AS611" s="18">
        <v>0</v>
      </c>
      <c r="AT611" s="18">
        <v>0</v>
      </c>
      <c r="AU611" s="18">
        <v>0</v>
      </c>
      <c r="AV611" s="18">
        <v>0</v>
      </c>
      <c r="AW611" s="18">
        <v>1</v>
      </c>
      <c r="AX611" s="18">
        <v>0</v>
      </c>
      <c r="AY611" s="18">
        <v>10</v>
      </c>
      <c r="AZ611" s="18">
        <v>1</v>
      </c>
      <c r="BA611" s="18">
        <v>3</v>
      </c>
      <c r="BB611" s="18">
        <v>59.75</v>
      </c>
      <c r="BC611" s="18" t="s">
        <v>309</v>
      </c>
      <c r="BD611" s="13"/>
      <c r="BE611" s="13"/>
      <c r="BF611" s="13"/>
      <c r="BG611" s="18">
        <v>0</v>
      </c>
      <c r="BH611" s="18">
        <v>0</v>
      </c>
      <c r="BI611" s="13"/>
      <c r="BJ611" s="18">
        <v>0</v>
      </c>
      <c r="BK611" s="18">
        <v>5</v>
      </c>
      <c r="BL611" s="18">
        <v>98.6</v>
      </c>
      <c r="BM611" s="13">
        <f t="shared" si="0"/>
        <v>759.96</v>
      </c>
    </row>
    <row r="612" customHeight="1" spans="1:65">
      <c r="A612" s="18" t="s">
        <v>2412</v>
      </c>
      <c r="B612" s="18" t="s">
        <v>384</v>
      </c>
      <c r="C612" s="18" t="s">
        <v>1071</v>
      </c>
      <c r="D612" s="13"/>
      <c r="E612" s="18" t="s">
        <v>209</v>
      </c>
      <c r="F612" s="18" t="s">
        <v>462</v>
      </c>
      <c r="G612" s="18" t="s">
        <v>83</v>
      </c>
      <c r="H612" s="18" t="s">
        <v>84</v>
      </c>
      <c r="I612" s="18" t="s">
        <v>85</v>
      </c>
      <c r="J612" s="18">
        <v>5</v>
      </c>
      <c r="K612" s="16">
        <v>145.99</v>
      </c>
      <c r="L612" s="16">
        <v>162.21</v>
      </c>
      <c r="M612" s="16">
        <v>10</v>
      </c>
      <c r="N612" s="16">
        <v>16.22</v>
      </c>
      <c r="O612" s="18">
        <v>1</v>
      </c>
      <c r="P612" s="18" t="s">
        <v>95</v>
      </c>
      <c r="Q612" s="18">
        <v>4.990365</v>
      </c>
      <c r="R612" s="16">
        <v>9.12</v>
      </c>
      <c r="S612" s="16">
        <v>46</v>
      </c>
      <c r="T612" s="16">
        <v>2</v>
      </c>
      <c r="U612" s="18" t="s">
        <v>2412</v>
      </c>
      <c r="V612" s="18" t="s">
        <v>384</v>
      </c>
      <c r="W612" s="18" t="s">
        <v>1071</v>
      </c>
      <c r="X612" s="13"/>
      <c r="Y612" s="18" t="s">
        <v>209</v>
      </c>
      <c r="Z612" s="18" t="s">
        <v>462</v>
      </c>
      <c r="AA612" s="18" t="s">
        <v>83</v>
      </c>
      <c r="AB612" s="18" t="s">
        <v>84</v>
      </c>
      <c r="AC612" s="18" t="s">
        <v>85</v>
      </c>
      <c r="AD612" s="18">
        <v>0.584666666666607</v>
      </c>
      <c r="AE612" s="18">
        <v>0</v>
      </c>
      <c r="AF612" s="18">
        <v>0</v>
      </c>
      <c r="AG612" s="18">
        <v>0</v>
      </c>
      <c r="AH612" s="18">
        <v>1</v>
      </c>
      <c r="AI612" s="18">
        <v>0</v>
      </c>
      <c r="AJ612" s="18">
        <v>1</v>
      </c>
      <c r="AK612" s="18">
        <v>1</v>
      </c>
      <c r="AL612" s="18">
        <v>0</v>
      </c>
      <c r="AM612" s="18">
        <v>0</v>
      </c>
      <c r="AN612" s="18">
        <v>0</v>
      </c>
      <c r="AO612" s="18">
        <v>0</v>
      </c>
      <c r="AP612" s="18">
        <v>0</v>
      </c>
      <c r="AQ612" s="18">
        <v>1</v>
      </c>
      <c r="AR612" s="18">
        <v>0</v>
      </c>
      <c r="AS612" s="18">
        <v>0</v>
      </c>
      <c r="AT612" s="18">
        <v>0</v>
      </c>
      <c r="AU612" s="18">
        <v>0</v>
      </c>
      <c r="AV612" s="18">
        <v>1</v>
      </c>
      <c r="AW612" s="18">
        <v>1</v>
      </c>
      <c r="AX612" s="18">
        <v>0</v>
      </c>
      <c r="AY612" s="18">
        <v>16</v>
      </c>
      <c r="AZ612" s="18">
        <v>4</v>
      </c>
      <c r="BA612" s="18">
        <v>3</v>
      </c>
      <c r="BB612" s="18">
        <v>70.85</v>
      </c>
      <c r="BC612" s="18" t="s">
        <v>309</v>
      </c>
      <c r="BD612" s="13"/>
      <c r="BE612" s="13"/>
      <c r="BF612" s="13"/>
      <c r="BG612" s="18">
        <v>0</v>
      </c>
      <c r="BH612" s="18">
        <v>0</v>
      </c>
      <c r="BI612" s="13"/>
      <c r="BJ612" s="18">
        <v>0</v>
      </c>
      <c r="BK612" s="18">
        <v>6</v>
      </c>
      <c r="BL612" s="18">
        <v>98.4</v>
      </c>
      <c r="BM612" s="13">
        <f t="shared" si="0"/>
        <v>6715.54</v>
      </c>
    </row>
    <row r="613" customHeight="1" spans="1:65">
      <c r="A613" s="18" t="s">
        <v>2150</v>
      </c>
      <c r="B613" s="18" t="s">
        <v>2151</v>
      </c>
      <c r="C613" s="13"/>
      <c r="D613" s="13"/>
      <c r="E613" s="18" t="s">
        <v>2152</v>
      </c>
      <c r="F613" s="18" t="s">
        <v>240</v>
      </c>
      <c r="G613" s="18" t="s">
        <v>83</v>
      </c>
      <c r="H613" s="18" t="s">
        <v>84</v>
      </c>
      <c r="I613" s="18" t="s">
        <v>153</v>
      </c>
      <c r="J613" s="18">
        <v>2</v>
      </c>
      <c r="K613" s="16">
        <v>100</v>
      </c>
      <c r="L613" s="10"/>
      <c r="M613" s="16">
        <v>0</v>
      </c>
      <c r="N613" s="16">
        <v>0</v>
      </c>
      <c r="O613" s="18">
        <v>0</v>
      </c>
      <c r="P613" s="18" t="s">
        <v>95</v>
      </c>
      <c r="Q613" s="18">
        <v>4.615121</v>
      </c>
      <c r="R613" s="10"/>
      <c r="S613" s="10"/>
      <c r="T613" s="10"/>
      <c r="U613" s="18" t="s">
        <v>2150</v>
      </c>
      <c r="V613" s="18" t="s">
        <v>2151</v>
      </c>
      <c r="W613" s="13"/>
      <c r="X613" s="13"/>
      <c r="Y613" s="18" t="s">
        <v>2152</v>
      </c>
      <c r="Z613" s="18" t="s">
        <v>240</v>
      </c>
      <c r="AA613" s="18" t="s">
        <v>83</v>
      </c>
      <c r="AB613" s="18" t="s">
        <v>84</v>
      </c>
      <c r="AC613" s="18" t="s">
        <v>153</v>
      </c>
      <c r="AD613" s="18">
        <v>198</v>
      </c>
      <c r="AE613" s="18">
        <v>0</v>
      </c>
      <c r="AF613" s="18">
        <v>0</v>
      </c>
      <c r="AG613" s="18">
        <v>0</v>
      </c>
      <c r="AH613" s="18">
        <v>0</v>
      </c>
      <c r="AI613" s="18">
        <v>0</v>
      </c>
      <c r="AJ613" s="18">
        <v>0</v>
      </c>
      <c r="AK613" s="18">
        <v>0</v>
      </c>
      <c r="AL613" s="18">
        <v>0</v>
      </c>
      <c r="AM613" s="18">
        <v>0</v>
      </c>
      <c r="AN613" s="18">
        <v>0</v>
      </c>
      <c r="AO613" s="18">
        <v>0</v>
      </c>
      <c r="AP613" s="18">
        <v>0</v>
      </c>
      <c r="AQ613" s="18">
        <v>0</v>
      </c>
      <c r="AR613" s="18">
        <v>0</v>
      </c>
      <c r="AS613" s="18">
        <v>0</v>
      </c>
      <c r="AT613" s="18">
        <v>0</v>
      </c>
      <c r="AU613" s="18">
        <v>0</v>
      </c>
      <c r="AV613" s="18">
        <v>0</v>
      </c>
      <c r="AW613" s="18">
        <v>0</v>
      </c>
      <c r="AX613" s="18">
        <v>0</v>
      </c>
      <c r="AY613" s="13"/>
      <c r="AZ613" s="18">
        <v>1</v>
      </c>
      <c r="BA613" s="18">
        <v>0</v>
      </c>
      <c r="BB613" s="18">
        <v>0</v>
      </c>
      <c r="BC613" s="18" t="s">
        <v>2153</v>
      </c>
      <c r="BD613" s="18" t="s">
        <v>2154</v>
      </c>
      <c r="BE613" s="18" t="s">
        <v>1110</v>
      </c>
      <c r="BF613" s="18" t="s">
        <v>77</v>
      </c>
      <c r="BG613" s="18">
        <v>168</v>
      </c>
      <c r="BH613" s="18">
        <v>11</v>
      </c>
      <c r="BI613" s="18">
        <v>0.9385</v>
      </c>
      <c r="BJ613" s="18">
        <v>0</v>
      </c>
      <c r="BK613" s="13"/>
      <c r="BL613" s="13"/>
      <c r="BM613" s="13">
        <f t="shared" si="0"/>
        <v>0</v>
      </c>
    </row>
    <row r="614" customHeight="1" spans="1:65">
      <c r="A614" s="18" t="s">
        <v>2287</v>
      </c>
      <c r="B614" s="18" t="s">
        <v>2151</v>
      </c>
      <c r="C614" s="13"/>
      <c r="D614" s="13"/>
      <c r="E614" s="18" t="s">
        <v>2288</v>
      </c>
      <c r="F614" s="18" t="s">
        <v>240</v>
      </c>
      <c r="G614" s="18" t="s">
        <v>83</v>
      </c>
      <c r="H614" s="18" t="s">
        <v>84</v>
      </c>
      <c r="I614" s="18" t="s">
        <v>153</v>
      </c>
      <c r="J614" s="18">
        <v>2</v>
      </c>
      <c r="K614" s="16">
        <v>150</v>
      </c>
      <c r="L614" s="10"/>
      <c r="M614" s="16">
        <v>0</v>
      </c>
      <c r="N614" s="16">
        <v>0</v>
      </c>
      <c r="O614" s="18">
        <v>0</v>
      </c>
      <c r="P614" s="18" t="s">
        <v>95</v>
      </c>
      <c r="Q614" s="18">
        <v>5.01728</v>
      </c>
      <c r="R614" s="10"/>
      <c r="S614" s="10"/>
      <c r="T614" s="10"/>
      <c r="U614" s="18" t="s">
        <v>2287</v>
      </c>
      <c r="V614" s="18" t="s">
        <v>2151</v>
      </c>
      <c r="W614" s="13"/>
      <c r="X614" s="13"/>
      <c r="Y614" s="18" t="s">
        <v>2288</v>
      </c>
      <c r="Z614" s="18" t="s">
        <v>240</v>
      </c>
      <c r="AA614" s="18" t="s">
        <v>83</v>
      </c>
      <c r="AB614" s="18" t="s">
        <v>84</v>
      </c>
      <c r="AC614" s="18" t="s">
        <v>153</v>
      </c>
      <c r="AD614" s="18">
        <v>298</v>
      </c>
      <c r="AE614" s="18">
        <v>0</v>
      </c>
      <c r="AF614" s="18">
        <v>0</v>
      </c>
      <c r="AG614" s="18">
        <v>0</v>
      </c>
      <c r="AH614" s="18">
        <v>0</v>
      </c>
      <c r="AI614" s="18">
        <v>0</v>
      </c>
      <c r="AJ614" s="18">
        <v>0</v>
      </c>
      <c r="AK614" s="18">
        <v>0</v>
      </c>
      <c r="AL614" s="18">
        <v>0</v>
      </c>
      <c r="AM614" s="18">
        <v>0</v>
      </c>
      <c r="AN614" s="18">
        <v>0</v>
      </c>
      <c r="AO614" s="18">
        <v>0</v>
      </c>
      <c r="AP614" s="18">
        <v>0</v>
      </c>
      <c r="AQ614" s="18">
        <v>0</v>
      </c>
      <c r="AR614" s="18">
        <v>0</v>
      </c>
      <c r="AS614" s="18">
        <v>0</v>
      </c>
      <c r="AT614" s="18">
        <v>0</v>
      </c>
      <c r="AU614" s="18">
        <v>0</v>
      </c>
      <c r="AV614" s="18">
        <v>0</v>
      </c>
      <c r="AW614" s="18">
        <v>0</v>
      </c>
      <c r="AX614" s="18">
        <v>0</v>
      </c>
      <c r="AY614" s="13"/>
      <c r="AZ614" s="18">
        <v>1</v>
      </c>
      <c r="BA614" s="18">
        <v>0</v>
      </c>
      <c r="BB614" s="18">
        <v>19.65</v>
      </c>
      <c r="BC614" s="18" t="s">
        <v>2153</v>
      </c>
      <c r="BD614" s="18" t="s">
        <v>2154</v>
      </c>
      <c r="BE614" s="18" t="s">
        <v>398</v>
      </c>
      <c r="BF614" s="18" t="s">
        <v>77</v>
      </c>
      <c r="BG614" s="18">
        <v>168</v>
      </c>
      <c r="BH614" s="18">
        <v>11</v>
      </c>
      <c r="BI614" s="18">
        <v>0.9385</v>
      </c>
      <c r="BJ614" s="18">
        <v>0</v>
      </c>
      <c r="BK614" s="18">
        <v>126</v>
      </c>
      <c r="BL614" s="18">
        <v>65.5</v>
      </c>
      <c r="BM614" s="13">
        <f t="shared" si="0"/>
        <v>0</v>
      </c>
    </row>
    <row r="615" customHeight="1" spans="1:65">
      <c r="A615" s="18" t="s">
        <v>2156</v>
      </c>
      <c r="B615" s="18" t="s">
        <v>2157</v>
      </c>
      <c r="C615" s="18" t="s">
        <v>2158</v>
      </c>
      <c r="D615" s="18">
        <v>808226371665</v>
      </c>
      <c r="E615" s="18" t="s">
        <v>1098</v>
      </c>
      <c r="F615" s="18" t="s">
        <v>160</v>
      </c>
      <c r="G615" s="18" t="s">
        <v>83</v>
      </c>
      <c r="H615" s="18" t="s">
        <v>84</v>
      </c>
      <c r="I615" s="18" t="s">
        <v>85</v>
      </c>
      <c r="J615" s="18">
        <v>5</v>
      </c>
      <c r="K615" s="16">
        <v>64</v>
      </c>
      <c r="L615" s="10"/>
      <c r="M615" s="16">
        <v>0</v>
      </c>
      <c r="N615" s="16">
        <v>0</v>
      </c>
      <c r="O615" s="18">
        <v>0</v>
      </c>
      <c r="P615" s="18" t="s">
        <v>86</v>
      </c>
      <c r="Q615" s="18">
        <v>4.174387</v>
      </c>
      <c r="R615" s="10"/>
      <c r="S615" s="16">
        <v>71</v>
      </c>
      <c r="T615" s="16">
        <v>10</v>
      </c>
      <c r="U615" s="18" t="s">
        <v>2156</v>
      </c>
      <c r="V615" s="18" t="s">
        <v>2157</v>
      </c>
      <c r="W615" s="18" t="s">
        <v>2668</v>
      </c>
      <c r="X615" s="18">
        <v>808226371666</v>
      </c>
      <c r="Y615" s="18" t="s">
        <v>1098</v>
      </c>
      <c r="Z615" s="18" t="s">
        <v>160</v>
      </c>
      <c r="AA615" s="18" t="s">
        <v>83</v>
      </c>
      <c r="AB615" s="18" t="s">
        <v>84</v>
      </c>
      <c r="AC615" s="18" t="s">
        <v>85</v>
      </c>
      <c r="AD615" s="18">
        <v>123</v>
      </c>
      <c r="AE615" s="18">
        <v>0</v>
      </c>
      <c r="AF615" s="18">
        <v>0</v>
      </c>
      <c r="AG615" s="18">
        <v>0</v>
      </c>
      <c r="AH615" s="18">
        <v>1</v>
      </c>
      <c r="AI615" s="18">
        <v>0</v>
      </c>
      <c r="AJ615" s="18">
        <v>0</v>
      </c>
      <c r="AK615" s="18">
        <v>0</v>
      </c>
      <c r="AL615" s="18">
        <v>0</v>
      </c>
      <c r="AM615" s="18">
        <v>0</v>
      </c>
      <c r="AN615" s="18">
        <v>0</v>
      </c>
      <c r="AO615" s="18">
        <v>0</v>
      </c>
      <c r="AP615" s="18">
        <v>0</v>
      </c>
      <c r="AQ615" s="18">
        <v>0</v>
      </c>
      <c r="AR615" s="18">
        <v>0</v>
      </c>
      <c r="AS615" s="18">
        <v>0</v>
      </c>
      <c r="AT615" s="18">
        <v>0</v>
      </c>
      <c r="AU615" s="18">
        <v>0</v>
      </c>
      <c r="AV615" s="18">
        <v>0</v>
      </c>
      <c r="AW615" s="18">
        <v>0</v>
      </c>
      <c r="AX615" s="18">
        <v>0</v>
      </c>
      <c r="AY615" s="13"/>
      <c r="AZ615" s="18">
        <v>1</v>
      </c>
      <c r="BA615" s="18">
        <v>1</v>
      </c>
      <c r="BB615" s="18">
        <v>64.25</v>
      </c>
      <c r="BC615" s="18" t="s">
        <v>2159</v>
      </c>
      <c r="BD615" s="18" t="s">
        <v>2160</v>
      </c>
      <c r="BE615" s="18" t="s">
        <v>220</v>
      </c>
      <c r="BF615" s="18" t="s">
        <v>77</v>
      </c>
      <c r="BG615" s="18">
        <v>168</v>
      </c>
      <c r="BH615" s="18">
        <v>11</v>
      </c>
      <c r="BI615" s="18">
        <v>0.9385</v>
      </c>
      <c r="BJ615" s="18">
        <v>0</v>
      </c>
      <c r="BK615" s="18">
        <v>10</v>
      </c>
      <c r="BL615" s="18">
        <v>97.3</v>
      </c>
      <c r="BM615" s="13">
        <f t="shared" si="0"/>
        <v>4544</v>
      </c>
    </row>
    <row r="616" customHeight="1" spans="1:65">
      <c r="A616" s="18" t="s">
        <v>2162</v>
      </c>
      <c r="B616" s="18" t="s">
        <v>125</v>
      </c>
      <c r="C616" s="13"/>
      <c r="D616" s="13"/>
      <c r="E616" s="18" t="s">
        <v>131</v>
      </c>
      <c r="F616" s="18" t="s">
        <v>132</v>
      </c>
      <c r="G616" s="18" t="s">
        <v>83</v>
      </c>
      <c r="H616" s="18" t="s">
        <v>138</v>
      </c>
      <c r="I616" s="18" t="s">
        <v>85</v>
      </c>
      <c r="J616" s="18">
        <v>5</v>
      </c>
      <c r="K616" s="16">
        <v>10.99</v>
      </c>
      <c r="L616" s="10"/>
      <c r="M616" s="16">
        <v>0</v>
      </c>
      <c r="N616" s="16">
        <v>0</v>
      </c>
      <c r="O616" s="18">
        <v>0</v>
      </c>
      <c r="P616" s="18" t="s">
        <v>133</v>
      </c>
      <c r="Q616" s="18">
        <v>2.484073</v>
      </c>
      <c r="R616" s="10"/>
      <c r="S616" s="16">
        <v>210</v>
      </c>
      <c r="T616" s="16">
        <v>10</v>
      </c>
      <c r="U616" s="18" t="s">
        <v>2162</v>
      </c>
      <c r="V616" s="18" t="s">
        <v>125</v>
      </c>
      <c r="W616" s="13"/>
      <c r="X616" s="13"/>
      <c r="Y616" s="18" t="s">
        <v>131</v>
      </c>
      <c r="Z616" s="18" t="s">
        <v>132</v>
      </c>
      <c r="AA616" s="18" t="s">
        <v>83</v>
      </c>
      <c r="AB616" s="18" t="s">
        <v>138</v>
      </c>
      <c r="AC616" s="18" t="s">
        <v>85</v>
      </c>
      <c r="AD616" s="18">
        <v>16.98</v>
      </c>
      <c r="AE616" s="18">
        <v>0</v>
      </c>
      <c r="AF616" s="18">
        <v>0</v>
      </c>
      <c r="AG616" s="18">
        <v>0</v>
      </c>
      <c r="AH616" s="18">
        <v>0</v>
      </c>
      <c r="AI616" s="18">
        <v>0</v>
      </c>
      <c r="AJ616" s="18">
        <v>0</v>
      </c>
      <c r="AK616" s="18">
        <v>0</v>
      </c>
      <c r="AL616" s="18">
        <v>0</v>
      </c>
      <c r="AM616" s="18">
        <v>0</v>
      </c>
      <c r="AN616" s="18">
        <v>0</v>
      </c>
      <c r="AO616" s="18">
        <v>0</v>
      </c>
      <c r="AP616" s="18">
        <v>0</v>
      </c>
      <c r="AQ616" s="18">
        <v>1</v>
      </c>
      <c r="AR616" s="18">
        <v>0</v>
      </c>
      <c r="AS616" s="18">
        <v>0</v>
      </c>
      <c r="AT616" s="18">
        <v>0</v>
      </c>
      <c r="AU616" s="18">
        <v>0</v>
      </c>
      <c r="AV616" s="18">
        <v>1</v>
      </c>
      <c r="AW616" s="18">
        <v>0</v>
      </c>
      <c r="AX616" s="18">
        <v>0</v>
      </c>
      <c r="AY616" s="13"/>
      <c r="AZ616" s="18">
        <v>1</v>
      </c>
      <c r="BA616" s="18">
        <v>1</v>
      </c>
      <c r="BB616" s="18">
        <v>40.16</v>
      </c>
      <c r="BC616" s="18" t="s">
        <v>2163</v>
      </c>
      <c r="BD616" s="18" t="s">
        <v>2164</v>
      </c>
      <c r="BE616" s="18" t="s">
        <v>262</v>
      </c>
      <c r="BF616" s="18" t="s">
        <v>77</v>
      </c>
      <c r="BG616" s="18">
        <v>164</v>
      </c>
      <c r="BH616" s="18">
        <v>50</v>
      </c>
      <c r="BI616" s="18">
        <v>0.7664</v>
      </c>
      <c r="BJ616" s="18">
        <v>0</v>
      </c>
      <c r="BK616" s="18">
        <v>341</v>
      </c>
      <c r="BL616" s="18">
        <v>6.6</v>
      </c>
      <c r="BM616" s="13">
        <f t="shared" si="0"/>
        <v>2307.9</v>
      </c>
    </row>
    <row r="617" customHeight="1" spans="1:65">
      <c r="A617" s="18" t="s">
        <v>2417</v>
      </c>
      <c r="B617" s="18" t="s">
        <v>202</v>
      </c>
      <c r="C617" s="18" t="s">
        <v>2418</v>
      </c>
      <c r="D617" s="13"/>
      <c r="E617" s="18" t="s">
        <v>81</v>
      </c>
      <c r="F617" s="18" t="s">
        <v>82</v>
      </c>
      <c r="G617" s="18" t="s">
        <v>83</v>
      </c>
      <c r="H617" s="18" t="s">
        <v>84</v>
      </c>
      <c r="I617" s="18" t="s">
        <v>203</v>
      </c>
      <c r="J617" s="18">
        <v>4</v>
      </c>
      <c r="K617" s="16">
        <v>30</v>
      </c>
      <c r="L617" s="10"/>
      <c r="M617" s="16">
        <v>0</v>
      </c>
      <c r="N617" s="16">
        <v>0</v>
      </c>
      <c r="O617" s="18">
        <v>0</v>
      </c>
      <c r="P617" s="18" t="s">
        <v>86</v>
      </c>
      <c r="Q617" s="18">
        <v>3.433987</v>
      </c>
      <c r="R617" s="10"/>
      <c r="S617" s="16">
        <v>118</v>
      </c>
      <c r="T617" s="16">
        <v>4</v>
      </c>
      <c r="U617" s="18" t="s">
        <v>2417</v>
      </c>
      <c r="V617" s="18" t="s">
        <v>202</v>
      </c>
      <c r="W617" s="18" t="s">
        <v>2418</v>
      </c>
      <c r="X617" s="13"/>
      <c r="Y617" s="18" t="s">
        <v>81</v>
      </c>
      <c r="Z617" s="18" t="s">
        <v>82</v>
      </c>
      <c r="AA617" s="18" t="s">
        <v>83</v>
      </c>
      <c r="AB617" s="18" t="s">
        <v>84</v>
      </c>
      <c r="AC617" s="18" t="s">
        <v>203</v>
      </c>
      <c r="AD617" s="18">
        <v>56</v>
      </c>
      <c r="AE617" s="18">
        <v>0</v>
      </c>
      <c r="AF617" s="18">
        <v>0</v>
      </c>
      <c r="AG617" s="18">
        <v>1</v>
      </c>
      <c r="AH617" s="18">
        <v>0</v>
      </c>
      <c r="AI617" s="18">
        <v>0</v>
      </c>
      <c r="AJ617" s="18">
        <v>0</v>
      </c>
      <c r="AK617" s="18">
        <v>0</v>
      </c>
      <c r="AL617" s="18">
        <v>0</v>
      </c>
      <c r="AM617" s="18">
        <v>0</v>
      </c>
      <c r="AN617" s="18">
        <v>0</v>
      </c>
      <c r="AO617" s="18">
        <v>0</v>
      </c>
      <c r="AP617" s="18">
        <v>1</v>
      </c>
      <c r="AQ617" s="18">
        <v>0</v>
      </c>
      <c r="AR617" s="18">
        <v>0</v>
      </c>
      <c r="AS617" s="18">
        <v>0</v>
      </c>
      <c r="AT617" s="18">
        <v>0</v>
      </c>
      <c r="AU617" s="18">
        <v>0</v>
      </c>
      <c r="AV617" s="18">
        <v>0</v>
      </c>
      <c r="AW617" s="18">
        <v>0</v>
      </c>
      <c r="AX617" s="18">
        <v>0</v>
      </c>
      <c r="AY617" s="13"/>
      <c r="AZ617" s="18">
        <v>1</v>
      </c>
      <c r="BA617" s="18">
        <v>0</v>
      </c>
      <c r="BB617" s="18">
        <v>68.54</v>
      </c>
      <c r="BC617" s="18" t="s">
        <v>2167</v>
      </c>
      <c r="BD617" s="18" t="s">
        <v>698</v>
      </c>
      <c r="BE617" s="18" t="s">
        <v>166</v>
      </c>
      <c r="BF617" s="18" t="s">
        <v>77</v>
      </c>
      <c r="BG617" s="18">
        <v>168</v>
      </c>
      <c r="BH617" s="18">
        <v>11</v>
      </c>
      <c r="BI617" s="18">
        <v>0.9385</v>
      </c>
      <c r="BJ617" s="18">
        <v>0</v>
      </c>
      <c r="BK617" s="18">
        <v>2</v>
      </c>
      <c r="BL617" s="18">
        <v>99.5</v>
      </c>
      <c r="BM617" s="13">
        <f t="shared" si="0"/>
        <v>3540</v>
      </c>
    </row>
    <row r="618" customHeight="1" spans="1:65">
      <c r="A618" s="18" t="s">
        <v>2165</v>
      </c>
      <c r="B618" s="18" t="s">
        <v>819</v>
      </c>
      <c r="C618" s="18" t="s">
        <v>2166</v>
      </c>
      <c r="D618" s="18">
        <v>810083472119</v>
      </c>
      <c r="E618" s="18" t="s">
        <v>477</v>
      </c>
      <c r="F618" s="18" t="s">
        <v>82</v>
      </c>
      <c r="G618" s="18" t="s">
        <v>819</v>
      </c>
      <c r="H618" s="18" t="s">
        <v>102</v>
      </c>
      <c r="I618" s="18" t="s">
        <v>70</v>
      </c>
      <c r="J618" s="18">
        <v>3</v>
      </c>
      <c r="K618" s="16">
        <v>58</v>
      </c>
      <c r="L618" s="10"/>
      <c r="M618" s="16">
        <v>0</v>
      </c>
      <c r="N618" s="16">
        <v>0</v>
      </c>
      <c r="O618" s="18">
        <v>0</v>
      </c>
      <c r="P618" s="18" t="s">
        <v>86</v>
      </c>
      <c r="Q618" s="18">
        <v>4.077537</v>
      </c>
      <c r="R618" s="10"/>
      <c r="S618" s="16">
        <v>103</v>
      </c>
      <c r="T618" s="16">
        <v>1</v>
      </c>
      <c r="U618" s="18" t="s">
        <v>2165</v>
      </c>
      <c r="V618" s="18" t="s">
        <v>819</v>
      </c>
      <c r="W618" s="18" t="s">
        <v>2166</v>
      </c>
      <c r="X618" s="18">
        <v>810083472120</v>
      </c>
      <c r="Y618" s="18" t="s">
        <v>477</v>
      </c>
      <c r="Z618" s="18" t="s">
        <v>82</v>
      </c>
      <c r="AA618" s="18" t="s">
        <v>819</v>
      </c>
      <c r="AB618" s="18" t="s">
        <v>102</v>
      </c>
      <c r="AC618" s="18" t="s">
        <v>70</v>
      </c>
      <c r="AD618" s="18">
        <v>113</v>
      </c>
      <c r="AE618" s="18">
        <v>0</v>
      </c>
      <c r="AF618" s="18">
        <v>0</v>
      </c>
      <c r="AG618" s="18">
        <v>0</v>
      </c>
      <c r="AH618" s="18">
        <v>0</v>
      </c>
      <c r="AI618" s="18">
        <v>0</v>
      </c>
      <c r="AJ618" s="18">
        <v>0</v>
      </c>
      <c r="AK618" s="18">
        <v>0</v>
      </c>
      <c r="AL618" s="18">
        <v>0</v>
      </c>
      <c r="AM618" s="18">
        <v>0</v>
      </c>
      <c r="AN618" s="18">
        <v>0</v>
      </c>
      <c r="AO618" s="18">
        <v>0</v>
      </c>
      <c r="AP618" s="18">
        <v>1</v>
      </c>
      <c r="AQ618" s="18">
        <v>0</v>
      </c>
      <c r="AR618" s="18">
        <v>0</v>
      </c>
      <c r="AS618" s="18">
        <v>0</v>
      </c>
      <c r="AT618" s="18">
        <v>1</v>
      </c>
      <c r="AU618" s="18">
        <v>0</v>
      </c>
      <c r="AV618" s="18">
        <v>0</v>
      </c>
      <c r="AW618" s="18">
        <v>0</v>
      </c>
      <c r="AX618" s="18">
        <v>0</v>
      </c>
      <c r="AY618" s="13"/>
      <c r="AZ618" s="18">
        <v>1</v>
      </c>
      <c r="BA618" s="18">
        <v>0</v>
      </c>
      <c r="BB618" s="18">
        <v>69.38</v>
      </c>
      <c r="BC618" s="18" t="s">
        <v>2167</v>
      </c>
      <c r="BD618" s="18" t="s">
        <v>698</v>
      </c>
      <c r="BE618" s="18" t="s">
        <v>627</v>
      </c>
      <c r="BF618" s="18" t="s">
        <v>77</v>
      </c>
      <c r="BG618" s="18">
        <v>168</v>
      </c>
      <c r="BH618" s="18">
        <v>11</v>
      </c>
      <c r="BI618" s="18">
        <v>0.9385</v>
      </c>
      <c r="BJ618" s="18">
        <v>0</v>
      </c>
      <c r="BK618" s="18">
        <v>3</v>
      </c>
      <c r="BL618" s="18">
        <v>99.2</v>
      </c>
      <c r="BM618" s="13">
        <f t="shared" si="0"/>
        <v>5974</v>
      </c>
    </row>
    <row r="619" customHeight="1" spans="1:65">
      <c r="A619" s="18" t="s">
        <v>2168</v>
      </c>
      <c r="B619" s="18" t="s">
        <v>65</v>
      </c>
      <c r="C619" s="18" t="s">
        <v>2169</v>
      </c>
      <c r="D619" s="18">
        <v>695529055633</v>
      </c>
      <c r="E619" s="18" t="s">
        <v>250</v>
      </c>
      <c r="F619" s="18" t="s">
        <v>160</v>
      </c>
      <c r="G619" s="18" t="s">
        <v>65</v>
      </c>
      <c r="H619" s="18" t="s">
        <v>69</v>
      </c>
      <c r="I619" s="18" t="s">
        <v>85</v>
      </c>
      <c r="J619" s="18">
        <v>5</v>
      </c>
      <c r="K619" s="16">
        <v>799.99</v>
      </c>
      <c r="L619" s="16">
        <v>1099.99</v>
      </c>
      <c r="M619" s="16">
        <v>27.27</v>
      </c>
      <c r="N619" s="16">
        <v>300</v>
      </c>
      <c r="O619" s="18">
        <v>1</v>
      </c>
      <c r="P619" s="18" t="s">
        <v>147</v>
      </c>
      <c r="Q619" s="18">
        <v>6.685848</v>
      </c>
      <c r="R619" s="10"/>
      <c r="S619" s="16">
        <v>6</v>
      </c>
      <c r="T619" s="16">
        <v>50</v>
      </c>
      <c r="U619" s="18" t="s">
        <v>2168</v>
      </c>
      <c r="V619" s="18" t="s">
        <v>65</v>
      </c>
      <c r="W619" s="18" t="s">
        <v>2169</v>
      </c>
      <c r="X619" s="18">
        <v>695529055634</v>
      </c>
      <c r="Y619" s="18" t="s">
        <v>250</v>
      </c>
      <c r="Z619" s="18" t="s">
        <v>160</v>
      </c>
      <c r="AA619" s="18" t="s">
        <v>65</v>
      </c>
      <c r="AB619" s="18" t="s">
        <v>69</v>
      </c>
      <c r="AC619" s="18" t="s">
        <v>85</v>
      </c>
      <c r="AD619" s="18">
        <v>112.939333333333</v>
      </c>
      <c r="AE619" s="18">
        <v>0</v>
      </c>
      <c r="AF619" s="18">
        <v>0</v>
      </c>
      <c r="AG619" s="18">
        <v>1</v>
      </c>
      <c r="AH619" s="18">
        <v>0</v>
      </c>
      <c r="AI619" s="18">
        <v>0</v>
      </c>
      <c r="AJ619" s="18">
        <v>0</v>
      </c>
      <c r="AK619" s="18">
        <v>0</v>
      </c>
      <c r="AL619" s="18">
        <v>0</v>
      </c>
      <c r="AM619" s="18">
        <v>0</v>
      </c>
      <c r="AN619" s="18">
        <v>0</v>
      </c>
      <c r="AO619" s="18">
        <v>0</v>
      </c>
      <c r="AP619" s="18">
        <v>0</v>
      </c>
      <c r="AQ619" s="18">
        <v>1</v>
      </c>
      <c r="AR619" s="18">
        <v>0</v>
      </c>
      <c r="AS619" s="18">
        <v>0</v>
      </c>
      <c r="AT619" s="18">
        <v>0</v>
      </c>
      <c r="AU619" s="18">
        <v>0</v>
      </c>
      <c r="AV619" s="18">
        <v>1</v>
      </c>
      <c r="AW619" s="18">
        <v>1</v>
      </c>
      <c r="AX619" s="18">
        <v>0</v>
      </c>
      <c r="AY619" s="13"/>
      <c r="AZ619" s="18">
        <v>1</v>
      </c>
      <c r="BA619" s="18">
        <v>1</v>
      </c>
      <c r="BB619" s="18">
        <v>42.22</v>
      </c>
      <c r="BC619" s="18" t="s">
        <v>2170</v>
      </c>
      <c r="BD619" s="18" t="s">
        <v>2171</v>
      </c>
      <c r="BE619" s="18" t="s">
        <v>226</v>
      </c>
      <c r="BF619" s="18" t="s">
        <v>77</v>
      </c>
      <c r="BG619" s="18">
        <v>161</v>
      </c>
      <c r="BH619" s="18">
        <v>28</v>
      </c>
      <c r="BI619" s="18">
        <v>0.8519</v>
      </c>
      <c r="BJ619" s="18">
        <v>0</v>
      </c>
      <c r="BK619" s="18">
        <v>3</v>
      </c>
      <c r="BL619" s="18">
        <v>99.2</v>
      </c>
      <c r="BM619" s="13">
        <f t="shared" si="0"/>
        <v>4799.94</v>
      </c>
    </row>
    <row r="620" customHeight="1" spans="1:65">
      <c r="A620" s="18" t="s">
        <v>1931</v>
      </c>
      <c r="B620" s="18" t="s">
        <v>115</v>
      </c>
      <c r="C620" s="18" t="s">
        <v>1932</v>
      </c>
      <c r="D620" s="18">
        <v>840414663411</v>
      </c>
      <c r="E620" s="18" t="s">
        <v>1933</v>
      </c>
      <c r="F620" s="18" t="s">
        <v>82</v>
      </c>
      <c r="G620" s="18" t="s">
        <v>117</v>
      </c>
      <c r="H620" s="18" t="s">
        <v>107</v>
      </c>
      <c r="I620" s="18" t="s">
        <v>85</v>
      </c>
      <c r="J620" s="18">
        <v>5</v>
      </c>
      <c r="K620" s="16">
        <v>26</v>
      </c>
      <c r="L620" s="10"/>
      <c r="M620" s="16">
        <v>0</v>
      </c>
      <c r="N620" s="16">
        <v>0</v>
      </c>
      <c r="O620" s="18">
        <v>0</v>
      </c>
      <c r="P620" s="18" t="s">
        <v>86</v>
      </c>
      <c r="Q620" s="18">
        <v>3.295837</v>
      </c>
      <c r="R620" s="10"/>
      <c r="S620" s="16">
        <v>1</v>
      </c>
      <c r="T620" s="16">
        <v>1</v>
      </c>
      <c r="U620" s="18" t="s">
        <v>1931</v>
      </c>
      <c r="V620" s="18" t="s">
        <v>115</v>
      </c>
      <c r="W620" s="18" t="s">
        <v>1932</v>
      </c>
      <c r="X620" s="18">
        <v>840414663412</v>
      </c>
      <c r="Y620" s="18" t="s">
        <v>1933</v>
      </c>
      <c r="Z620" s="18" t="s">
        <v>82</v>
      </c>
      <c r="AA620" s="18" t="s">
        <v>117</v>
      </c>
      <c r="AB620" s="18" t="s">
        <v>107</v>
      </c>
      <c r="AC620" s="18" t="s">
        <v>85</v>
      </c>
      <c r="AD620" s="18">
        <v>47</v>
      </c>
      <c r="AE620" s="18">
        <v>0</v>
      </c>
      <c r="AF620" s="18">
        <v>0</v>
      </c>
      <c r="AG620" s="18">
        <v>0</v>
      </c>
      <c r="AH620" s="18">
        <v>0</v>
      </c>
      <c r="AI620" s="18">
        <v>0</v>
      </c>
      <c r="AJ620" s="18">
        <v>0</v>
      </c>
      <c r="AK620" s="18">
        <v>0</v>
      </c>
      <c r="AL620" s="18">
        <v>0</v>
      </c>
      <c r="AM620" s="18">
        <v>0</v>
      </c>
      <c r="AN620" s="18">
        <v>0</v>
      </c>
      <c r="AO620" s="18">
        <v>0</v>
      </c>
      <c r="AP620" s="18">
        <v>0</v>
      </c>
      <c r="AQ620" s="18">
        <v>0</v>
      </c>
      <c r="AR620" s="18">
        <v>0</v>
      </c>
      <c r="AS620" s="18">
        <v>0</v>
      </c>
      <c r="AT620" s="18">
        <v>0</v>
      </c>
      <c r="AU620" s="18">
        <v>0</v>
      </c>
      <c r="AV620" s="18">
        <v>0</v>
      </c>
      <c r="AW620" s="18">
        <v>0</v>
      </c>
      <c r="AX620" s="18">
        <v>0</v>
      </c>
      <c r="AY620" s="13"/>
      <c r="AZ620" s="18">
        <v>1</v>
      </c>
      <c r="BA620" s="18">
        <v>0</v>
      </c>
      <c r="BB620" s="18">
        <v>20</v>
      </c>
      <c r="BC620" s="18" t="s">
        <v>2181</v>
      </c>
      <c r="BD620" s="18" t="s">
        <v>2182</v>
      </c>
      <c r="BE620" s="18" t="s">
        <v>2183</v>
      </c>
      <c r="BF620" s="18" t="s">
        <v>77</v>
      </c>
      <c r="BG620" s="18">
        <v>168</v>
      </c>
      <c r="BH620" s="18">
        <v>11</v>
      </c>
      <c r="BI620" s="18">
        <v>0.9385</v>
      </c>
      <c r="BJ620" s="18">
        <v>0</v>
      </c>
      <c r="BK620" s="13"/>
      <c r="BL620" s="13"/>
      <c r="BM620" s="13">
        <f t="shared" si="0"/>
        <v>26</v>
      </c>
    </row>
    <row r="621" customHeight="1" spans="1:65">
      <c r="A621" s="18" t="s">
        <v>2186</v>
      </c>
      <c r="B621" s="18" t="s">
        <v>2187</v>
      </c>
      <c r="C621" s="13"/>
      <c r="D621" s="13"/>
      <c r="E621" s="18" t="s">
        <v>2188</v>
      </c>
      <c r="F621" s="18" t="s">
        <v>198</v>
      </c>
      <c r="G621" s="18" t="s">
        <v>83</v>
      </c>
      <c r="H621" s="18" t="s">
        <v>84</v>
      </c>
      <c r="I621" s="18" t="s">
        <v>85</v>
      </c>
      <c r="J621" s="18">
        <v>5</v>
      </c>
      <c r="K621" s="16">
        <v>18</v>
      </c>
      <c r="L621" s="10"/>
      <c r="M621" s="16">
        <v>0</v>
      </c>
      <c r="N621" s="16">
        <v>0</v>
      </c>
      <c r="O621" s="18">
        <v>0</v>
      </c>
      <c r="P621" s="18" t="s">
        <v>133</v>
      </c>
      <c r="Q621" s="18">
        <v>2.944439</v>
      </c>
      <c r="R621" s="10"/>
      <c r="S621" s="16">
        <v>2</v>
      </c>
      <c r="T621" s="16">
        <v>10</v>
      </c>
      <c r="U621" s="18" t="s">
        <v>2186</v>
      </c>
      <c r="V621" s="18" t="s">
        <v>2187</v>
      </c>
      <c r="W621" s="13"/>
      <c r="X621" s="13"/>
      <c r="Y621" s="18" t="s">
        <v>2188</v>
      </c>
      <c r="Z621" s="18" t="s">
        <v>198</v>
      </c>
      <c r="AA621" s="18" t="s">
        <v>83</v>
      </c>
      <c r="AB621" s="18" t="s">
        <v>84</v>
      </c>
      <c r="AC621" s="18" t="s">
        <v>85</v>
      </c>
      <c r="AD621" s="18">
        <v>31</v>
      </c>
      <c r="AE621" s="18">
        <v>0</v>
      </c>
      <c r="AF621" s="18">
        <v>0</v>
      </c>
      <c r="AG621" s="18">
        <v>0</v>
      </c>
      <c r="AH621" s="18">
        <v>1</v>
      </c>
      <c r="AI621" s="18">
        <v>0</v>
      </c>
      <c r="AJ621" s="18">
        <v>0</v>
      </c>
      <c r="AK621" s="18">
        <v>0</v>
      </c>
      <c r="AL621" s="18">
        <v>0</v>
      </c>
      <c r="AM621" s="18">
        <v>0</v>
      </c>
      <c r="AN621" s="18">
        <v>0</v>
      </c>
      <c r="AO621" s="18">
        <v>0</v>
      </c>
      <c r="AP621" s="18">
        <v>0</v>
      </c>
      <c r="AQ621" s="18">
        <v>0</v>
      </c>
      <c r="AR621" s="18">
        <v>0</v>
      </c>
      <c r="AS621" s="18">
        <v>0</v>
      </c>
      <c r="AT621" s="18">
        <v>0</v>
      </c>
      <c r="AU621" s="18">
        <v>0</v>
      </c>
      <c r="AV621" s="18">
        <v>0</v>
      </c>
      <c r="AW621" s="18">
        <v>0</v>
      </c>
      <c r="AX621" s="18">
        <v>0</v>
      </c>
      <c r="AY621" s="13"/>
      <c r="AZ621" s="18">
        <v>1</v>
      </c>
      <c r="BA621" s="18">
        <v>1</v>
      </c>
      <c r="BB621" s="18">
        <v>6.67</v>
      </c>
      <c r="BC621" s="18" t="s">
        <v>2189</v>
      </c>
      <c r="BD621" s="18" t="s">
        <v>2190</v>
      </c>
      <c r="BE621" s="18" t="s">
        <v>997</v>
      </c>
      <c r="BF621" s="18" t="s">
        <v>77</v>
      </c>
      <c r="BG621" s="18">
        <v>168</v>
      </c>
      <c r="BH621" s="18">
        <v>11</v>
      </c>
      <c r="BI621" s="18">
        <v>0.9385</v>
      </c>
      <c r="BJ621" s="18">
        <v>0</v>
      </c>
      <c r="BK621" s="13"/>
      <c r="BL621" s="13"/>
      <c r="BM621" s="13">
        <f t="shared" si="0"/>
        <v>36</v>
      </c>
    </row>
    <row r="622" customHeight="1" spans="1:65">
      <c r="A622" s="18" t="s">
        <v>2191</v>
      </c>
      <c r="B622" s="18" t="s">
        <v>222</v>
      </c>
      <c r="C622" s="18" t="s">
        <v>2192</v>
      </c>
      <c r="D622" s="13"/>
      <c r="E622" s="18" t="s">
        <v>255</v>
      </c>
      <c r="F622" s="18" t="s">
        <v>82</v>
      </c>
      <c r="G622" s="18" t="s">
        <v>83</v>
      </c>
      <c r="H622" s="18" t="s">
        <v>84</v>
      </c>
      <c r="I622" s="18" t="s">
        <v>85</v>
      </c>
      <c r="J622" s="18">
        <v>5</v>
      </c>
      <c r="K622" s="16">
        <v>49.99</v>
      </c>
      <c r="L622" s="10"/>
      <c r="M622" s="16">
        <v>0</v>
      </c>
      <c r="N622" s="16">
        <v>0</v>
      </c>
      <c r="O622" s="18">
        <v>0</v>
      </c>
      <c r="P622" s="18" t="s">
        <v>86</v>
      </c>
      <c r="Q622" s="18">
        <v>3.93163</v>
      </c>
      <c r="R622" s="10"/>
      <c r="S622" s="16">
        <v>32</v>
      </c>
      <c r="T622" s="16">
        <v>10</v>
      </c>
      <c r="U622" s="18" t="s">
        <v>2191</v>
      </c>
      <c r="V622" s="18" t="s">
        <v>222</v>
      </c>
      <c r="W622" s="18" t="s">
        <v>2669</v>
      </c>
      <c r="X622" s="13"/>
      <c r="Y622" s="18" t="s">
        <v>255</v>
      </c>
      <c r="Z622" s="18" t="s">
        <v>82</v>
      </c>
      <c r="AA622" s="18" t="s">
        <v>83</v>
      </c>
      <c r="AB622" s="18" t="s">
        <v>84</v>
      </c>
      <c r="AC622" s="18" t="s">
        <v>85</v>
      </c>
      <c r="AD622" s="18">
        <v>94.98</v>
      </c>
      <c r="AE622" s="18">
        <v>1</v>
      </c>
      <c r="AF622" s="18">
        <v>1</v>
      </c>
      <c r="AG622" s="18">
        <v>0</v>
      </c>
      <c r="AH622" s="18">
        <v>1</v>
      </c>
      <c r="AI622" s="18">
        <v>0</v>
      </c>
      <c r="AJ622" s="18">
        <v>0</v>
      </c>
      <c r="AK622" s="18">
        <v>0</v>
      </c>
      <c r="AL622" s="18">
        <v>0</v>
      </c>
      <c r="AM622" s="18">
        <v>0</v>
      </c>
      <c r="AN622" s="18">
        <v>0</v>
      </c>
      <c r="AO622" s="18">
        <v>0</v>
      </c>
      <c r="AP622" s="18">
        <v>0</v>
      </c>
      <c r="AQ622" s="18">
        <v>0</v>
      </c>
      <c r="AR622" s="18">
        <v>0</v>
      </c>
      <c r="AS622" s="18">
        <v>0</v>
      </c>
      <c r="AT622" s="18">
        <v>1</v>
      </c>
      <c r="AU622" s="18">
        <v>0</v>
      </c>
      <c r="AV622" s="18">
        <v>0</v>
      </c>
      <c r="AW622" s="18">
        <v>1</v>
      </c>
      <c r="AX622" s="18">
        <v>0</v>
      </c>
      <c r="AY622" s="13"/>
      <c r="AZ622" s="18">
        <v>1</v>
      </c>
      <c r="BA622" s="18">
        <v>2</v>
      </c>
      <c r="BB622" s="18">
        <v>60.15</v>
      </c>
      <c r="BC622" s="18" t="s">
        <v>2193</v>
      </c>
      <c r="BD622" s="18" t="s">
        <v>225</v>
      </c>
      <c r="BE622" s="18" t="s">
        <v>226</v>
      </c>
      <c r="BF622" s="18" t="s">
        <v>77</v>
      </c>
      <c r="BG622" s="18">
        <v>1</v>
      </c>
      <c r="BH622" s="18">
        <v>143</v>
      </c>
      <c r="BI622" s="18">
        <v>0.0069</v>
      </c>
      <c r="BJ622" s="18">
        <v>1</v>
      </c>
      <c r="BK622" s="18">
        <v>4</v>
      </c>
      <c r="BL622" s="18">
        <v>98.9</v>
      </c>
      <c r="BM622" s="13">
        <f t="shared" si="0"/>
        <v>1599.68</v>
      </c>
    </row>
    <row r="623" customHeight="1" spans="1:65">
      <c r="A623" s="18" t="s">
        <v>2194</v>
      </c>
      <c r="B623" s="18" t="s">
        <v>2195</v>
      </c>
      <c r="C623" s="13"/>
      <c r="D623" s="13"/>
      <c r="E623" s="18" t="s">
        <v>2196</v>
      </c>
      <c r="F623" s="18" t="s">
        <v>82</v>
      </c>
      <c r="G623" s="18" t="s">
        <v>819</v>
      </c>
      <c r="H623" s="18" t="s">
        <v>84</v>
      </c>
      <c r="I623" s="18" t="s">
        <v>85</v>
      </c>
      <c r="J623" s="18">
        <v>5</v>
      </c>
      <c r="K623" s="16">
        <v>9.01</v>
      </c>
      <c r="L623" s="10"/>
      <c r="M623" s="16">
        <v>0</v>
      </c>
      <c r="N623" s="16">
        <v>0</v>
      </c>
      <c r="O623" s="18">
        <v>0</v>
      </c>
      <c r="P623" s="18" t="s">
        <v>133</v>
      </c>
      <c r="Q623" s="18">
        <v>2.303585</v>
      </c>
      <c r="R623" s="10"/>
      <c r="S623" s="16">
        <v>373</v>
      </c>
      <c r="T623" s="16">
        <v>2</v>
      </c>
      <c r="U623" s="18" t="s">
        <v>2194</v>
      </c>
      <c r="V623" s="18" t="s">
        <v>2195</v>
      </c>
      <c r="W623" s="13"/>
      <c r="X623" s="13"/>
      <c r="Y623" s="18" t="s">
        <v>2196</v>
      </c>
      <c r="Z623" s="18" t="s">
        <v>82</v>
      </c>
      <c r="AA623" s="18" t="s">
        <v>819</v>
      </c>
      <c r="AB623" s="18" t="s">
        <v>84</v>
      </c>
      <c r="AC623" s="18" t="s">
        <v>85</v>
      </c>
      <c r="AD623" s="18">
        <v>13.02</v>
      </c>
      <c r="AE623" s="18">
        <v>0</v>
      </c>
      <c r="AF623" s="18">
        <v>0</v>
      </c>
      <c r="AG623" s="18">
        <v>0</v>
      </c>
      <c r="AH623" s="18">
        <v>0</v>
      </c>
      <c r="AI623" s="18">
        <v>0</v>
      </c>
      <c r="AJ623" s="18">
        <v>0</v>
      </c>
      <c r="AK623" s="18">
        <v>0</v>
      </c>
      <c r="AL623" s="18">
        <v>0</v>
      </c>
      <c r="AM623" s="18">
        <v>0</v>
      </c>
      <c r="AN623" s="18">
        <v>0</v>
      </c>
      <c r="AO623" s="18">
        <v>0</v>
      </c>
      <c r="AP623" s="18">
        <v>0</v>
      </c>
      <c r="AQ623" s="18">
        <v>0</v>
      </c>
      <c r="AR623" s="18">
        <v>0</v>
      </c>
      <c r="AS623" s="18">
        <v>0</v>
      </c>
      <c r="AT623" s="18">
        <v>1</v>
      </c>
      <c r="AU623" s="18">
        <v>1</v>
      </c>
      <c r="AV623" s="18">
        <v>0</v>
      </c>
      <c r="AW623" s="18">
        <v>1</v>
      </c>
      <c r="AX623" s="18">
        <v>0</v>
      </c>
      <c r="AY623" s="13"/>
      <c r="AZ623" s="18">
        <v>1</v>
      </c>
      <c r="BA623" s="18">
        <v>0</v>
      </c>
      <c r="BB623" s="18">
        <v>69.64</v>
      </c>
      <c r="BC623" s="18" t="s">
        <v>2197</v>
      </c>
      <c r="BD623" s="18" t="s">
        <v>1506</v>
      </c>
      <c r="BE623" s="18" t="s">
        <v>226</v>
      </c>
      <c r="BF623" s="18" t="s">
        <v>77</v>
      </c>
      <c r="BG623" s="18">
        <v>1</v>
      </c>
      <c r="BH623" s="18">
        <v>48</v>
      </c>
      <c r="BI623" s="18">
        <v>0.0204</v>
      </c>
      <c r="BJ623" s="18">
        <v>1</v>
      </c>
      <c r="BK623" s="18">
        <v>2</v>
      </c>
      <c r="BL623" s="18">
        <v>99.5</v>
      </c>
      <c r="BM623" s="13">
        <f t="shared" si="0"/>
        <v>3360.73</v>
      </c>
    </row>
    <row r="624" customHeight="1" spans="1:65">
      <c r="A624" s="18" t="s">
        <v>2198</v>
      </c>
      <c r="B624" s="18" t="s">
        <v>2199</v>
      </c>
      <c r="C624" s="31">
        <v>826</v>
      </c>
      <c r="D624" s="13"/>
      <c r="E624" s="18" t="s">
        <v>81</v>
      </c>
      <c r="F624" s="18" t="s">
        <v>82</v>
      </c>
      <c r="G624" s="18" t="s">
        <v>83</v>
      </c>
      <c r="H624" s="18" t="s">
        <v>84</v>
      </c>
      <c r="I624" s="18" t="s">
        <v>203</v>
      </c>
      <c r="J624" s="18">
        <v>4</v>
      </c>
      <c r="K624" s="16">
        <v>40</v>
      </c>
      <c r="L624" s="10"/>
      <c r="M624" s="16">
        <v>0</v>
      </c>
      <c r="N624" s="16">
        <v>0</v>
      </c>
      <c r="O624" s="18">
        <v>0</v>
      </c>
      <c r="P624" s="18" t="s">
        <v>86</v>
      </c>
      <c r="Q624" s="18">
        <v>3.713572</v>
      </c>
      <c r="R624" s="10"/>
      <c r="S624" s="10"/>
      <c r="T624" s="10"/>
      <c r="U624" s="18" t="s">
        <v>2198</v>
      </c>
      <c r="V624" s="18" t="s">
        <v>2199</v>
      </c>
      <c r="W624" s="31">
        <v>827</v>
      </c>
      <c r="X624" s="13"/>
      <c r="Y624" s="18" t="s">
        <v>81</v>
      </c>
      <c r="Z624" s="18" t="s">
        <v>82</v>
      </c>
      <c r="AA624" s="18" t="s">
        <v>83</v>
      </c>
      <c r="AB624" s="18" t="s">
        <v>84</v>
      </c>
      <c r="AC624" s="18" t="s">
        <v>203</v>
      </c>
      <c r="AD624" s="18">
        <v>76</v>
      </c>
      <c r="AE624" s="18">
        <v>0</v>
      </c>
      <c r="AF624" s="18">
        <v>0</v>
      </c>
      <c r="AG624" s="18">
        <v>0</v>
      </c>
      <c r="AH624" s="18">
        <v>1</v>
      </c>
      <c r="AI624" s="18">
        <v>0</v>
      </c>
      <c r="AJ624" s="18">
        <v>0</v>
      </c>
      <c r="AK624" s="18">
        <v>0</v>
      </c>
      <c r="AL624" s="18">
        <v>0</v>
      </c>
      <c r="AM624" s="18">
        <v>0</v>
      </c>
      <c r="AN624" s="18">
        <v>0</v>
      </c>
      <c r="AO624" s="18">
        <v>0</v>
      </c>
      <c r="AP624" s="18">
        <v>0</v>
      </c>
      <c r="AQ624" s="18">
        <v>0</v>
      </c>
      <c r="AR624" s="18">
        <v>0</v>
      </c>
      <c r="AS624" s="18">
        <v>0</v>
      </c>
      <c r="AT624" s="18">
        <v>0</v>
      </c>
      <c r="AU624" s="18">
        <v>0</v>
      </c>
      <c r="AV624" s="18">
        <v>0</v>
      </c>
      <c r="AW624" s="18">
        <v>0</v>
      </c>
      <c r="AX624" s="18">
        <v>0</v>
      </c>
      <c r="AY624" s="13"/>
      <c r="AZ624" s="18">
        <v>1</v>
      </c>
      <c r="BA624" s="18">
        <v>1</v>
      </c>
      <c r="BB624" s="18">
        <v>0</v>
      </c>
      <c r="BC624" s="18" t="s">
        <v>2200</v>
      </c>
      <c r="BD624" s="18" t="s">
        <v>2201</v>
      </c>
      <c r="BE624" s="18" t="s">
        <v>620</v>
      </c>
      <c r="BF624" s="18" t="s">
        <v>77</v>
      </c>
      <c r="BG624" s="18">
        <v>1</v>
      </c>
      <c r="BH624" s="18">
        <v>11</v>
      </c>
      <c r="BI624" s="18">
        <v>0.0833</v>
      </c>
      <c r="BJ624" s="18">
        <v>1</v>
      </c>
      <c r="BK624" s="13"/>
      <c r="BL624" s="13"/>
      <c r="BM624" s="13">
        <f t="shared" si="0"/>
        <v>0</v>
      </c>
    </row>
    <row r="625" customHeight="1" spans="1:65">
      <c r="A625" s="18" t="s">
        <v>103</v>
      </c>
      <c r="B625" s="18" t="s">
        <v>104</v>
      </c>
      <c r="C625" s="18" t="s">
        <v>105</v>
      </c>
      <c r="D625" s="18">
        <v>194644179267</v>
      </c>
      <c r="E625" s="18" t="s">
        <v>81</v>
      </c>
      <c r="F625" s="18" t="s">
        <v>82</v>
      </c>
      <c r="G625" s="18" t="s">
        <v>106</v>
      </c>
      <c r="H625" s="18" t="s">
        <v>107</v>
      </c>
      <c r="I625" s="18" t="s">
        <v>108</v>
      </c>
      <c r="J625" s="18">
        <v>3</v>
      </c>
      <c r="K625" s="16">
        <v>146</v>
      </c>
      <c r="L625" s="16">
        <v>219.99</v>
      </c>
      <c r="M625" s="16">
        <v>33.63</v>
      </c>
      <c r="N625" s="16">
        <v>73.99</v>
      </c>
      <c r="O625" s="18">
        <v>1</v>
      </c>
      <c r="P625" s="18" t="s">
        <v>95</v>
      </c>
      <c r="Q625" s="18">
        <v>4.990433</v>
      </c>
      <c r="R625" s="10"/>
      <c r="S625" s="16">
        <v>1830</v>
      </c>
      <c r="T625" s="16">
        <v>315</v>
      </c>
      <c r="U625" s="18" t="s">
        <v>103</v>
      </c>
      <c r="V625" s="18" t="s">
        <v>104</v>
      </c>
      <c r="W625" s="18" t="s">
        <v>1133</v>
      </c>
      <c r="X625" s="18">
        <v>194644179268</v>
      </c>
      <c r="Y625" s="18" t="s">
        <v>81</v>
      </c>
      <c r="Z625" s="18" t="s">
        <v>82</v>
      </c>
      <c r="AA625" s="18" t="s">
        <v>106</v>
      </c>
      <c r="AB625" s="18" t="s">
        <v>107</v>
      </c>
      <c r="AC625" s="18" t="s">
        <v>108</v>
      </c>
      <c r="AD625" s="18">
        <v>38.3626666666666</v>
      </c>
      <c r="AE625" s="18">
        <v>0</v>
      </c>
      <c r="AF625" s="18">
        <v>0</v>
      </c>
      <c r="AG625" s="18">
        <v>0</v>
      </c>
      <c r="AH625" s="18">
        <v>0</v>
      </c>
      <c r="AI625" s="18">
        <v>0</v>
      </c>
      <c r="AJ625" s="18">
        <v>0</v>
      </c>
      <c r="AK625" s="18">
        <v>0</v>
      </c>
      <c r="AL625" s="18">
        <v>0</v>
      </c>
      <c r="AM625" s="18">
        <v>0</v>
      </c>
      <c r="AN625" s="18">
        <v>0</v>
      </c>
      <c r="AO625" s="18">
        <v>0</v>
      </c>
      <c r="AP625" s="18">
        <v>1</v>
      </c>
      <c r="AQ625" s="18">
        <v>0</v>
      </c>
      <c r="AR625" s="18">
        <v>0</v>
      </c>
      <c r="AS625" s="18">
        <v>0</v>
      </c>
      <c r="AT625" s="18">
        <v>0</v>
      </c>
      <c r="AU625" s="18">
        <v>0</v>
      </c>
      <c r="AV625" s="18">
        <v>0</v>
      </c>
      <c r="AW625" s="18">
        <v>0</v>
      </c>
      <c r="AX625" s="18">
        <v>0</v>
      </c>
      <c r="AY625" s="13"/>
      <c r="AZ625" s="18">
        <v>1</v>
      </c>
      <c r="BA625" s="18">
        <v>2</v>
      </c>
      <c r="BB625" s="18">
        <v>74.06</v>
      </c>
      <c r="BC625" s="18" t="s">
        <v>111</v>
      </c>
      <c r="BD625" s="18" t="s">
        <v>112</v>
      </c>
      <c r="BE625" s="18" t="s">
        <v>113</v>
      </c>
      <c r="BF625" s="18" t="s">
        <v>77</v>
      </c>
      <c r="BG625" s="18">
        <v>162</v>
      </c>
      <c r="BH625" s="18">
        <v>24</v>
      </c>
      <c r="BI625" s="18">
        <v>0.871</v>
      </c>
      <c r="BJ625" s="18">
        <v>0</v>
      </c>
      <c r="BK625" s="18">
        <v>2</v>
      </c>
      <c r="BL625" s="18">
        <v>99.5</v>
      </c>
      <c r="BM625" s="13">
        <f t="shared" si="0"/>
        <v>267180</v>
      </c>
    </row>
    <row r="626" customHeight="1" spans="1:65">
      <c r="A626" s="18" t="s">
        <v>185</v>
      </c>
      <c r="B626" s="18" t="s">
        <v>104</v>
      </c>
      <c r="C626" s="18" t="s">
        <v>186</v>
      </c>
      <c r="D626" s="18">
        <v>194644294090</v>
      </c>
      <c r="E626" s="18" t="s">
        <v>81</v>
      </c>
      <c r="F626" s="18" t="s">
        <v>82</v>
      </c>
      <c r="G626" s="18" t="s">
        <v>106</v>
      </c>
      <c r="H626" s="18" t="s">
        <v>107</v>
      </c>
      <c r="I626" s="18" t="s">
        <v>108</v>
      </c>
      <c r="J626" s="18">
        <v>3</v>
      </c>
      <c r="K626" s="16">
        <v>26.99</v>
      </c>
      <c r="L626" s="16">
        <v>34.99</v>
      </c>
      <c r="M626" s="16">
        <v>22.86</v>
      </c>
      <c r="N626" s="16">
        <v>8</v>
      </c>
      <c r="O626" s="18">
        <v>1</v>
      </c>
      <c r="P626" s="18" t="s">
        <v>86</v>
      </c>
      <c r="Q626" s="18">
        <v>3.331847</v>
      </c>
      <c r="R626" s="10"/>
      <c r="S626" s="16">
        <v>1707</v>
      </c>
      <c r="T626" s="16">
        <v>400</v>
      </c>
      <c r="U626" s="18" t="s">
        <v>185</v>
      </c>
      <c r="V626" s="18" t="s">
        <v>104</v>
      </c>
      <c r="W626" s="18" t="s">
        <v>2670</v>
      </c>
      <c r="X626" s="18">
        <v>194644294091</v>
      </c>
      <c r="Y626" s="18" t="s">
        <v>81</v>
      </c>
      <c r="Z626" s="18" t="s">
        <v>82</v>
      </c>
      <c r="AA626" s="18" t="s">
        <v>106</v>
      </c>
      <c r="AB626" s="18" t="s">
        <v>107</v>
      </c>
      <c r="AC626" s="18" t="s">
        <v>108</v>
      </c>
      <c r="AD626" s="18">
        <v>8.23</v>
      </c>
      <c r="AE626" s="18">
        <v>0</v>
      </c>
      <c r="AF626" s="18">
        <v>0</v>
      </c>
      <c r="AG626" s="18">
        <v>0</v>
      </c>
      <c r="AH626" s="18">
        <v>0</v>
      </c>
      <c r="AI626" s="18">
        <v>0</v>
      </c>
      <c r="AJ626" s="18">
        <v>0</v>
      </c>
      <c r="AK626" s="18">
        <v>0</v>
      </c>
      <c r="AL626" s="18">
        <v>0</v>
      </c>
      <c r="AM626" s="18">
        <v>0</v>
      </c>
      <c r="AN626" s="18">
        <v>0</v>
      </c>
      <c r="AO626" s="18">
        <v>0</v>
      </c>
      <c r="AP626" s="18">
        <v>0</v>
      </c>
      <c r="AQ626" s="18">
        <v>0</v>
      </c>
      <c r="AR626" s="18">
        <v>0</v>
      </c>
      <c r="AS626" s="18">
        <v>0</v>
      </c>
      <c r="AT626" s="18">
        <v>0</v>
      </c>
      <c r="AU626" s="18">
        <v>1</v>
      </c>
      <c r="AV626" s="18">
        <v>0</v>
      </c>
      <c r="AW626" s="18">
        <v>0</v>
      </c>
      <c r="AX626" s="18">
        <v>1</v>
      </c>
      <c r="AY626" s="13"/>
      <c r="AZ626" s="18">
        <v>1</v>
      </c>
      <c r="BA626" s="18">
        <v>1</v>
      </c>
      <c r="BB626" s="18">
        <v>69.12</v>
      </c>
      <c r="BC626" s="18" t="s">
        <v>111</v>
      </c>
      <c r="BD626" s="18" t="s">
        <v>112</v>
      </c>
      <c r="BE626" s="18" t="s">
        <v>113</v>
      </c>
      <c r="BF626" s="18" t="s">
        <v>77</v>
      </c>
      <c r="BG626" s="18">
        <v>162</v>
      </c>
      <c r="BH626" s="18">
        <v>24</v>
      </c>
      <c r="BI626" s="18">
        <v>0.871</v>
      </c>
      <c r="BJ626" s="18">
        <v>0</v>
      </c>
      <c r="BK626" s="18">
        <v>2</v>
      </c>
      <c r="BL626" s="18">
        <v>99.5</v>
      </c>
      <c r="BM626" s="13">
        <f t="shared" si="0"/>
        <v>46071.93</v>
      </c>
    </row>
    <row r="627" customHeight="1" spans="1:65">
      <c r="A627" s="18" t="s">
        <v>401</v>
      </c>
      <c r="B627" s="18" t="s">
        <v>104</v>
      </c>
      <c r="C627" s="18" t="s">
        <v>402</v>
      </c>
      <c r="D627" s="18">
        <v>194644293987</v>
      </c>
      <c r="E627" s="18" t="s">
        <v>81</v>
      </c>
      <c r="F627" s="18" t="s">
        <v>82</v>
      </c>
      <c r="G627" s="18" t="s">
        <v>106</v>
      </c>
      <c r="H627" s="18" t="s">
        <v>107</v>
      </c>
      <c r="I627" s="18" t="s">
        <v>108</v>
      </c>
      <c r="J627" s="18">
        <v>3</v>
      </c>
      <c r="K627" s="16">
        <v>24.99</v>
      </c>
      <c r="L627" s="16">
        <v>29.99</v>
      </c>
      <c r="M627" s="16">
        <v>16.67</v>
      </c>
      <c r="N627" s="16">
        <v>5</v>
      </c>
      <c r="O627" s="18">
        <v>1</v>
      </c>
      <c r="P627" s="18" t="s">
        <v>133</v>
      </c>
      <c r="Q627" s="18">
        <v>3.257712</v>
      </c>
      <c r="R627" s="10"/>
      <c r="S627" s="16">
        <v>2762</v>
      </c>
      <c r="T627" s="16">
        <v>4</v>
      </c>
      <c r="U627" s="18" t="s">
        <v>401</v>
      </c>
      <c r="V627" s="18" t="s">
        <v>104</v>
      </c>
      <c r="W627" s="18" t="s">
        <v>2671</v>
      </c>
      <c r="X627" s="18">
        <v>194644293988</v>
      </c>
      <c r="Y627" s="18" t="s">
        <v>81</v>
      </c>
      <c r="Z627" s="18" t="s">
        <v>82</v>
      </c>
      <c r="AA627" s="18" t="s">
        <v>106</v>
      </c>
      <c r="AB627" s="18" t="s">
        <v>107</v>
      </c>
      <c r="AC627" s="18" t="s">
        <v>108</v>
      </c>
      <c r="AD627" s="18">
        <v>5.11266666666672</v>
      </c>
      <c r="AE627" s="18">
        <v>0</v>
      </c>
      <c r="AF627" s="18">
        <v>0</v>
      </c>
      <c r="AG627" s="18">
        <v>0</v>
      </c>
      <c r="AH627" s="18">
        <v>0</v>
      </c>
      <c r="AI627" s="18">
        <v>0</v>
      </c>
      <c r="AJ627" s="18">
        <v>0</v>
      </c>
      <c r="AK627" s="18">
        <v>1</v>
      </c>
      <c r="AL627" s="18">
        <v>0</v>
      </c>
      <c r="AM627" s="18">
        <v>0</v>
      </c>
      <c r="AN627" s="18">
        <v>0</v>
      </c>
      <c r="AO627" s="18">
        <v>0</v>
      </c>
      <c r="AP627" s="18">
        <v>0</v>
      </c>
      <c r="AQ627" s="18">
        <v>0</v>
      </c>
      <c r="AR627" s="18">
        <v>0</v>
      </c>
      <c r="AS627" s="18">
        <v>0</v>
      </c>
      <c r="AT627" s="18">
        <v>0</v>
      </c>
      <c r="AU627" s="18">
        <v>1</v>
      </c>
      <c r="AV627" s="18">
        <v>0</v>
      </c>
      <c r="AW627" s="18">
        <v>0</v>
      </c>
      <c r="AX627" s="18">
        <v>1</v>
      </c>
      <c r="AY627" s="13"/>
      <c r="AZ627" s="18">
        <v>1</v>
      </c>
      <c r="BA627" s="18">
        <v>2</v>
      </c>
      <c r="BB627" s="18">
        <v>74.8</v>
      </c>
      <c r="BC627" s="18" t="s">
        <v>111</v>
      </c>
      <c r="BD627" s="18" t="s">
        <v>112</v>
      </c>
      <c r="BE627" s="18" t="s">
        <v>113</v>
      </c>
      <c r="BF627" s="18" t="s">
        <v>77</v>
      </c>
      <c r="BG627" s="18">
        <v>162</v>
      </c>
      <c r="BH627" s="18">
        <v>24</v>
      </c>
      <c r="BI627" s="18">
        <v>0.871</v>
      </c>
      <c r="BJ627" s="18">
        <v>0</v>
      </c>
      <c r="BK627" s="18">
        <v>2</v>
      </c>
      <c r="BL627" s="18">
        <v>99.5</v>
      </c>
      <c r="BM627" s="13">
        <f t="shared" si="0"/>
        <v>69022.38</v>
      </c>
    </row>
    <row r="628" customHeight="1" spans="1:65">
      <c r="A628" s="18" t="s">
        <v>445</v>
      </c>
      <c r="B628" s="18" t="s">
        <v>104</v>
      </c>
      <c r="C628" s="18" t="s">
        <v>446</v>
      </c>
      <c r="D628" s="18">
        <v>194644190903</v>
      </c>
      <c r="E628" s="18" t="s">
        <v>81</v>
      </c>
      <c r="F628" s="18" t="s">
        <v>82</v>
      </c>
      <c r="G628" s="18" t="s">
        <v>106</v>
      </c>
      <c r="H628" s="18" t="s">
        <v>107</v>
      </c>
      <c r="I628" s="18" t="s">
        <v>108</v>
      </c>
      <c r="J628" s="18">
        <v>3</v>
      </c>
      <c r="K628" s="16">
        <v>135.99</v>
      </c>
      <c r="L628" s="16">
        <v>259.99</v>
      </c>
      <c r="M628" s="16">
        <v>47.69</v>
      </c>
      <c r="N628" s="16">
        <v>124</v>
      </c>
      <c r="O628" s="18">
        <v>1</v>
      </c>
      <c r="P628" s="18" t="s">
        <v>95</v>
      </c>
      <c r="Q628" s="18">
        <v>4.919908</v>
      </c>
      <c r="R628" s="10"/>
      <c r="S628" s="16">
        <v>192</v>
      </c>
      <c r="T628" s="16">
        <v>244</v>
      </c>
      <c r="U628" s="18" t="s">
        <v>2672</v>
      </c>
      <c r="V628" s="18" t="s">
        <v>104</v>
      </c>
      <c r="W628" s="18" t="s">
        <v>2673</v>
      </c>
      <c r="X628" s="18">
        <v>194644190904</v>
      </c>
      <c r="Y628" s="18" t="s">
        <v>81</v>
      </c>
      <c r="Z628" s="18" t="s">
        <v>82</v>
      </c>
      <c r="AA628" s="18" t="s">
        <v>106</v>
      </c>
      <c r="AB628" s="18" t="s">
        <v>107</v>
      </c>
      <c r="AC628" s="18" t="s">
        <v>108</v>
      </c>
      <c r="AD628" s="18">
        <v>69.4513333333338</v>
      </c>
      <c r="AE628" s="18">
        <v>0</v>
      </c>
      <c r="AF628" s="18">
        <v>0</v>
      </c>
      <c r="AG628" s="18">
        <v>0</v>
      </c>
      <c r="AH628" s="18">
        <v>0</v>
      </c>
      <c r="AI628" s="18">
        <v>0</v>
      </c>
      <c r="AJ628" s="18">
        <v>0</v>
      </c>
      <c r="AK628" s="18">
        <v>0</v>
      </c>
      <c r="AL628" s="18">
        <v>0</v>
      </c>
      <c r="AM628" s="18">
        <v>0</v>
      </c>
      <c r="AN628" s="18">
        <v>0</v>
      </c>
      <c r="AO628" s="18">
        <v>0</v>
      </c>
      <c r="AP628" s="18">
        <v>0</v>
      </c>
      <c r="AQ628" s="18">
        <v>0</v>
      </c>
      <c r="AR628" s="18">
        <v>0</v>
      </c>
      <c r="AS628" s="18">
        <v>0</v>
      </c>
      <c r="AT628" s="18">
        <v>0</v>
      </c>
      <c r="AU628" s="18">
        <v>1</v>
      </c>
      <c r="AV628" s="18">
        <v>0</v>
      </c>
      <c r="AW628" s="18">
        <v>0</v>
      </c>
      <c r="AX628" s="18">
        <v>0</v>
      </c>
      <c r="AY628" s="13"/>
      <c r="AZ628" s="18">
        <v>1</v>
      </c>
      <c r="BA628" s="18">
        <v>0</v>
      </c>
      <c r="BB628" s="18">
        <v>61.77</v>
      </c>
      <c r="BC628" s="18" t="s">
        <v>111</v>
      </c>
      <c r="BD628" s="18" t="s">
        <v>112</v>
      </c>
      <c r="BE628" s="18" t="s">
        <v>113</v>
      </c>
      <c r="BF628" s="18" t="s">
        <v>77</v>
      </c>
      <c r="BG628" s="18">
        <v>162</v>
      </c>
      <c r="BH628" s="18">
        <v>24</v>
      </c>
      <c r="BI628" s="18">
        <v>0.871</v>
      </c>
      <c r="BJ628" s="18">
        <v>0</v>
      </c>
      <c r="BK628" s="18">
        <v>2</v>
      </c>
      <c r="BL628" s="18">
        <v>99.5</v>
      </c>
      <c r="BM628" s="13">
        <f t="shared" si="0"/>
        <v>26110.08</v>
      </c>
    </row>
    <row r="629" customHeight="1" spans="1:65">
      <c r="A629" s="18" t="s">
        <v>494</v>
      </c>
      <c r="B629" s="18" t="s">
        <v>104</v>
      </c>
      <c r="C629" s="18" t="s">
        <v>495</v>
      </c>
      <c r="D629" s="18">
        <v>194644036287</v>
      </c>
      <c r="E629" s="18" t="s">
        <v>81</v>
      </c>
      <c r="F629" s="18" t="s">
        <v>82</v>
      </c>
      <c r="G629" s="18" t="s">
        <v>106</v>
      </c>
      <c r="H629" s="18" t="s">
        <v>107</v>
      </c>
      <c r="I629" s="18" t="s">
        <v>108</v>
      </c>
      <c r="J629" s="18">
        <v>3</v>
      </c>
      <c r="K629" s="16">
        <v>145.99</v>
      </c>
      <c r="L629" s="16">
        <v>449.99</v>
      </c>
      <c r="M629" s="16">
        <v>67.56</v>
      </c>
      <c r="N629" s="16">
        <v>304</v>
      </c>
      <c r="O629" s="18">
        <v>1</v>
      </c>
      <c r="P629" s="18" t="s">
        <v>95</v>
      </c>
      <c r="Q629" s="18">
        <v>4.990365</v>
      </c>
      <c r="R629" s="10"/>
      <c r="S629" s="16">
        <v>1230</v>
      </c>
      <c r="T629" s="16">
        <v>400</v>
      </c>
      <c r="U629" s="18" t="s">
        <v>494</v>
      </c>
      <c r="V629" s="18" t="s">
        <v>104</v>
      </c>
      <c r="W629" s="18" t="s">
        <v>2674</v>
      </c>
      <c r="X629" s="18">
        <v>194644036288</v>
      </c>
      <c r="Y629" s="18" t="s">
        <v>81</v>
      </c>
      <c r="Z629" s="18" t="s">
        <v>82</v>
      </c>
      <c r="AA629" s="18" t="s">
        <v>106</v>
      </c>
      <c r="AB629" s="18" t="s">
        <v>107</v>
      </c>
      <c r="AC629" s="18" t="s">
        <v>108</v>
      </c>
      <c r="AD629" s="18">
        <v>170.083333333334</v>
      </c>
      <c r="AE629" s="18">
        <v>1</v>
      </c>
      <c r="AF629" s="18">
        <v>0</v>
      </c>
      <c r="AG629" s="18">
        <v>0</v>
      </c>
      <c r="AH629" s="18">
        <v>0</v>
      </c>
      <c r="AI629" s="18">
        <v>0</v>
      </c>
      <c r="AJ629" s="18">
        <v>0</v>
      </c>
      <c r="AK629" s="18">
        <v>0</v>
      </c>
      <c r="AL629" s="18">
        <v>0</v>
      </c>
      <c r="AM629" s="18">
        <v>0</v>
      </c>
      <c r="AN629" s="18">
        <v>0</v>
      </c>
      <c r="AO629" s="18">
        <v>0</v>
      </c>
      <c r="AP629" s="18">
        <v>1</v>
      </c>
      <c r="AQ629" s="18">
        <v>0</v>
      </c>
      <c r="AR629" s="18">
        <v>0</v>
      </c>
      <c r="AS629" s="18">
        <v>0</v>
      </c>
      <c r="AT629" s="18">
        <v>1</v>
      </c>
      <c r="AU629" s="18">
        <v>0</v>
      </c>
      <c r="AV629" s="18">
        <v>0</v>
      </c>
      <c r="AW629" s="18">
        <v>0</v>
      </c>
      <c r="AX629" s="18">
        <v>0</v>
      </c>
      <c r="AY629" s="13"/>
      <c r="AZ629" s="18">
        <v>1</v>
      </c>
      <c r="BA629" s="18">
        <v>2</v>
      </c>
      <c r="BB629" s="18">
        <v>80.3</v>
      </c>
      <c r="BC629" s="18" t="s">
        <v>111</v>
      </c>
      <c r="BD629" s="18" t="s">
        <v>112</v>
      </c>
      <c r="BE629" s="18" t="s">
        <v>113</v>
      </c>
      <c r="BF629" s="18" t="s">
        <v>77</v>
      </c>
      <c r="BG629" s="18">
        <v>162</v>
      </c>
      <c r="BH629" s="18">
        <v>24</v>
      </c>
      <c r="BI629" s="18">
        <v>0.871</v>
      </c>
      <c r="BJ629" s="18">
        <v>0</v>
      </c>
      <c r="BK629" s="18">
        <v>2</v>
      </c>
      <c r="BL629" s="18">
        <v>99.5</v>
      </c>
      <c r="BM629" s="13">
        <f t="shared" si="0"/>
        <v>179567.7</v>
      </c>
    </row>
    <row r="630" customHeight="1" spans="1:65">
      <c r="A630" s="18" t="s">
        <v>498</v>
      </c>
      <c r="B630" s="18" t="s">
        <v>104</v>
      </c>
      <c r="C630" s="18" t="s">
        <v>499</v>
      </c>
      <c r="D630" s="18">
        <v>194644308599</v>
      </c>
      <c r="E630" s="18" t="s">
        <v>81</v>
      </c>
      <c r="F630" s="18" t="s">
        <v>82</v>
      </c>
      <c r="G630" s="18" t="s">
        <v>106</v>
      </c>
      <c r="H630" s="18" t="s">
        <v>107</v>
      </c>
      <c r="I630" s="18" t="s">
        <v>108</v>
      </c>
      <c r="J630" s="18">
        <v>3</v>
      </c>
      <c r="K630" s="16">
        <v>279.99</v>
      </c>
      <c r="L630" s="10"/>
      <c r="M630" s="16">
        <v>0</v>
      </c>
      <c r="N630" s="16">
        <v>0</v>
      </c>
      <c r="O630" s="18">
        <v>0</v>
      </c>
      <c r="P630" s="18" t="s">
        <v>71</v>
      </c>
      <c r="Q630" s="18">
        <v>5.638319</v>
      </c>
      <c r="R630" s="10"/>
      <c r="S630" s="16">
        <v>162</v>
      </c>
      <c r="T630" s="16">
        <v>3</v>
      </c>
      <c r="U630" s="18" t="s">
        <v>498</v>
      </c>
      <c r="V630" s="18" t="s">
        <v>104</v>
      </c>
      <c r="W630" s="18" t="s">
        <v>640</v>
      </c>
      <c r="X630" s="18">
        <v>194644308600</v>
      </c>
      <c r="Y630" s="18" t="s">
        <v>81</v>
      </c>
      <c r="Z630" s="18" t="s">
        <v>82</v>
      </c>
      <c r="AA630" s="18" t="s">
        <v>106</v>
      </c>
      <c r="AB630" s="18" t="s">
        <v>107</v>
      </c>
      <c r="AC630" s="18" t="s">
        <v>108</v>
      </c>
      <c r="AD630" s="18">
        <v>556.98</v>
      </c>
      <c r="AE630" s="18">
        <v>1</v>
      </c>
      <c r="AF630" s="18">
        <v>0</v>
      </c>
      <c r="AG630" s="18">
        <v>0</v>
      </c>
      <c r="AH630" s="18">
        <v>1</v>
      </c>
      <c r="AI630" s="18">
        <v>0</v>
      </c>
      <c r="AJ630" s="18">
        <v>0</v>
      </c>
      <c r="AK630" s="18">
        <v>1</v>
      </c>
      <c r="AL630" s="18">
        <v>0</v>
      </c>
      <c r="AM630" s="18">
        <v>0</v>
      </c>
      <c r="AN630" s="18">
        <v>0</v>
      </c>
      <c r="AO630" s="18">
        <v>0</v>
      </c>
      <c r="AP630" s="18">
        <v>0</v>
      </c>
      <c r="AQ630" s="18">
        <v>0</v>
      </c>
      <c r="AR630" s="18">
        <v>0</v>
      </c>
      <c r="AS630" s="18">
        <v>0</v>
      </c>
      <c r="AT630" s="18">
        <v>1</v>
      </c>
      <c r="AU630" s="18">
        <v>0</v>
      </c>
      <c r="AV630" s="18">
        <v>0</v>
      </c>
      <c r="AW630" s="18">
        <v>0</v>
      </c>
      <c r="AX630" s="18">
        <v>0</v>
      </c>
      <c r="AY630" s="13"/>
      <c r="AZ630" s="18">
        <v>1</v>
      </c>
      <c r="BA630" s="18">
        <v>3</v>
      </c>
      <c r="BB630" s="18">
        <v>69.12</v>
      </c>
      <c r="BC630" s="18" t="s">
        <v>111</v>
      </c>
      <c r="BD630" s="18" t="s">
        <v>112</v>
      </c>
      <c r="BE630" s="18" t="s">
        <v>113</v>
      </c>
      <c r="BF630" s="18" t="s">
        <v>77</v>
      </c>
      <c r="BG630" s="18">
        <v>162</v>
      </c>
      <c r="BH630" s="18">
        <v>24</v>
      </c>
      <c r="BI630" s="18">
        <v>0.871</v>
      </c>
      <c r="BJ630" s="18">
        <v>0</v>
      </c>
      <c r="BK630" s="18">
        <v>2</v>
      </c>
      <c r="BL630" s="18">
        <v>99.5</v>
      </c>
      <c r="BM630" s="13">
        <f t="shared" si="0"/>
        <v>45358.38</v>
      </c>
    </row>
    <row r="631" customHeight="1" spans="1:65">
      <c r="A631" s="18" t="s">
        <v>593</v>
      </c>
      <c r="B631" s="18" t="s">
        <v>104</v>
      </c>
      <c r="C631" s="18" t="s">
        <v>594</v>
      </c>
      <c r="D631" s="18">
        <v>194644305574</v>
      </c>
      <c r="E631" s="18" t="s">
        <v>81</v>
      </c>
      <c r="F631" s="18" t="s">
        <v>82</v>
      </c>
      <c r="G631" s="18" t="s">
        <v>106</v>
      </c>
      <c r="H631" s="18" t="s">
        <v>107</v>
      </c>
      <c r="I631" s="18" t="s">
        <v>108</v>
      </c>
      <c r="J631" s="18">
        <v>3</v>
      </c>
      <c r="K631" s="16">
        <v>529.99</v>
      </c>
      <c r="L631" s="16">
        <v>559.99</v>
      </c>
      <c r="M631" s="16">
        <v>5.36</v>
      </c>
      <c r="N631" s="16">
        <v>30</v>
      </c>
      <c r="O631" s="18">
        <v>1</v>
      </c>
      <c r="P631" s="18" t="s">
        <v>147</v>
      </c>
      <c r="Q631" s="18">
        <v>6.274743</v>
      </c>
      <c r="R631" s="10"/>
      <c r="S631" s="16">
        <v>20</v>
      </c>
      <c r="T631" s="16">
        <v>20</v>
      </c>
      <c r="U631" s="18" t="s">
        <v>593</v>
      </c>
      <c r="V631" s="18" t="s">
        <v>104</v>
      </c>
      <c r="W631" s="18" t="s">
        <v>1347</v>
      </c>
      <c r="X631" s="18">
        <v>194644305575</v>
      </c>
      <c r="Y631" s="18" t="s">
        <v>81</v>
      </c>
      <c r="Z631" s="18" t="s">
        <v>82</v>
      </c>
      <c r="AA631" s="18" t="s">
        <v>106</v>
      </c>
      <c r="AB631" s="18" t="s">
        <v>107</v>
      </c>
      <c r="AC631" s="18" t="s">
        <v>108</v>
      </c>
      <c r="AD631" s="18">
        <v>-18.2366666666664</v>
      </c>
      <c r="AE631" s="18">
        <v>1</v>
      </c>
      <c r="AF631" s="18">
        <v>0</v>
      </c>
      <c r="AG631" s="18">
        <v>0</v>
      </c>
      <c r="AH631" s="18">
        <v>1</v>
      </c>
      <c r="AI631" s="18">
        <v>0</v>
      </c>
      <c r="AJ631" s="18">
        <v>0</v>
      </c>
      <c r="AK631" s="18">
        <v>1</v>
      </c>
      <c r="AL631" s="18">
        <v>0</v>
      </c>
      <c r="AM631" s="18">
        <v>0</v>
      </c>
      <c r="AN631" s="18">
        <v>0</v>
      </c>
      <c r="AO631" s="18">
        <v>0</v>
      </c>
      <c r="AP631" s="18">
        <v>0</v>
      </c>
      <c r="AQ631" s="18">
        <v>0</v>
      </c>
      <c r="AR631" s="18">
        <v>0</v>
      </c>
      <c r="AS631" s="18">
        <v>0</v>
      </c>
      <c r="AT631" s="18">
        <v>1</v>
      </c>
      <c r="AU631" s="18">
        <v>0</v>
      </c>
      <c r="AV631" s="18">
        <v>0</v>
      </c>
      <c r="AW631" s="18">
        <v>1</v>
      </c>
      <c r="AX631" s="18">
        <v>0</v>
      </c>
      <c r="AY631" s="13"/>
      <c r="AZ631" s="18">
        <v>1</v>
      </c>
      <c r="BA631" s="18">
        <v>3</v>
      </c>
      <c r="BB631" s="18">
        <v>51.46</v>
      </c>
      <c r="BC631" s="18" t="s">
        <v>111</v>
      </c>
      <c r="BD631" s="18" t="s">
        <v>112</v>
      </c>
      <c r="BE631" s="18" t="s">
        <v>113</v>
      </c>
      <c r="BF631" s="18" t="s">
        <v>77</v>
      </c>
      <c r="BG631" s="18">
        <v>162</v>
      </c>
      <c r="BH631" s="18">
        <v>24</v>
      </c>
      <c r="BI631" s="18">
        <v>0.871</v>
      </c>
      <c r="BJ631" s="18">
        <v>0</v>
      </c>
      <c r="BK631" s="18">
        <v>2</v>
      </c>
      <c r="BL631" s="18">
        <v>99.5</v>
      </c>
      <c r="BM631" s="13">
        <f t="shared" si="0"/>
        <v>10599.8</v>
      </c>
    </row>
    <row r="632" customHeight="1" spans="1:65">
      <c r="A632" s="18" t="s">
        <v>639</v>
      </c>
      <c r="B632" s="18" t="s">
        <v>104</v>
      </c>
      <c r="C632" s="18" t="s">
        <v>640</v>
      </c>
      <c r="D632" s="18">
        <v>194644311742</v>
      </c>
      <c r="E632" s="18" t="s">
        <v>81</v>
      </c>
      <c r="F632" s="18" t="s">
        <v>82</v>
      </c>
      <c r="G632" s="18" t="s">
        <v>106</v>
      </c>
      <c r="H632" s="18" t="s">
        <v>107</v>
      </c>
      <c r="I632" s="18" t="s">
        <v>108</v>
      </c>
      <c r="J632" s="18">
        <v>3</v>
      </c>
      <c r="K632" s="16">
        <v>107.99</v>
      </c>
      <c r="L632" s="16">
        <v>119.99</v>
      </c>
      <c r="M632" s="16">
        <v>10</v>
      </c>
      <c r="N632" s="16">
        <v>12</v>
      </c>
      <c r="O632" s="18">
        <v>1</v>
      </c>
      <c r="P632" s="18" t="s">
        <v>95</v>
      </c>
      <c r="Q632" s="18">
        <v>4.691256</v>
      </c>
      <c r="R632" s="10"/>
      <c r="S632" s="16">
        <v>35</v>
      </c>
      <c r="T632" s="16">
        <v>76</v>
      </c>
      <c r="U632" s="18" t="s">
        <v>639</v>
      </c>
      <c r="V632" s="18" t="s">
        <v>104</v>
      </c>
      <c r="W632" s="18" t="s">
        <v>2530</v>
      </c>
      <c r="X632" s="18">
        <v>194644311743</v>
      </c>
      <c r="Y632" s="18" t="s">
        <v>81</v>
      </c>
      <c r="Z632" s="18" t="s">
        <v>82</v>
      </c>
      <c r="AA632" s="18" t="s">
        <v>106</v>
      </c>
      <c r="AB632" s="18" t="s">
        <v>107</v>
      </c>
      <c r="AC632" s="18" t="s">
        <v>108</v>
      </c>
      <c r="AD632" s="18">
        <v>1.53399999999999</v>
      </c>
      <c r="AE632" s="18">
        <v>1</v>
      </c>
      <c r="AF632" s="18">
        <v>0</v>
      </c>
      <c r="AG632" s="18">
        <v>0</v>
      </c>
      <c r="AH632" s="18">
        <v>1</v>
      </c>
      <c r="AI632" s="18">
        <v>0</v>
      </c>
      <c r="AJ632" s="18">
        <v>0</v>
      </c>
      <c r="AK632" s="18">
        <v>0</v>
      </c>
      <c r="AL632" s="18">
        <v>0</v>
      </c>
      <c r="AM632" s="18">
        <v>0</v>
      </c>
      <c r="AN632" s="18">
        <v>0</v>
      </c>
      <c r="AO632" s="18">
        <v>0</v>
      </c>
      <c r="AP632" s="18">
        <v>0</v>
      </c>
      <c r="AQ632" s="18">
        <v>0</v>
      </c>
      <c r="AR632" s="18">
        <v>0</v>
      </c>
      <c r="AS632" s="18">
        <v>0</v>
      </c>
      <c r="AT632" s="18">
        <v>1</v>
      </c>
      <c r="AU632" s="18">
        <v>0</v>
      </c>
      <c r="AV632" s="18">
        <v>0</v>
      </c>
      <c r="AW632" s="18">
        <v>0</v>
      </c>
      <c r="AX632" s="18">
        <v>0</v>
      </c>
      <c r="AY632" s="13"/>
      <c r="AZ632" s="18">
        <v>1</v>
      </c>
      <c r="BA632" s="18">
        <v>2</v>
      </c>
      <c r="BB632" s="18">
        <v>45.46</v>
      </c>
      <c r="BC632" s="18" t="s">
        <v>111</v>
      </c>
      <c r="BD632" s="18" t="s">
        <v>112</v>
      </c>
      <c r="BE632" s="18" t="s">
        <v>113</v>
      </c>
      <c r="BF632" s="18" t="s">
        <v>77</v>
      </c>
      <c r="BG632" s="18">
        <v>162</v>
      </c>
      <c r="BH632" s="18">
        <v>24</v>
      </c>
      <c r="BI632" s="18">
        <v>0.871</v>
      </c>
      <c r="BJ632" s="18">
        <v>0</v>
      </c>
      <c r="BK632" s="18">
        <v>2</v>
      </c>
      <c r="BL632" s="18">
        <v>99.5</v>
      </c>
      <c r="BM632" s="13">
        <f t="shared" si="0"/>
        <v>3779.65</v>
      </c>
    </row>
    <row r="633" customHeight="1" spans="1:65">
      <c r="A633" s="18" t="s">
        <v>835</v>
      </c>
      <c r="B633" s="18" t="s">
        <v>104</v>
      </c>
      <c r="C633" s="18" t="s">
        <v>836</v>
      </c>
      <c r="D633" s="18">
        <v>649661372202</v>
      </c>
      <c r="E633" s="18" t="s">
        <v>81</v>
      </c>
      <c r="F633" s="18" t="s">
        <v>82</v>
      </c>
      <c r="G633" s="18" t="s">
        <v>106</v>
      </c>
      <c r="H633" s="18" t="s">
        <v>107</v>
      </c>
      <c r="I633" s="18" t="s">
        <v>108</v>
      </c>
      <c r="J633" s="18">
        <v>3</v>
      </c>
      <c r="K633" s="16">
        <v>52.79</v>
      </c>
      <c r="L633" s="16">
        <v>95.99</v>
      </c>
      <c r="M633" s="16">
        <v>45</v>
      </c>
      <c r="N633" s="16">
        <v>43.2</v>
      </c>
      <c r="O633" s="18">
        <v>1</v>
      </c>
      <c r="P633" s="18" t="s">
        <v>86</v>
      </c>
      <c r="Q633" s="18">
        <v>3.985088</v>
      </c>
      <c r="R633" s="10"/>
      <c r="S633" s="16">
        <v>213</v>
      </c>
      <c r="T633" s="16">
        <v>184</v>
      </c>
      <c r="U633" s="18" t="s">
        <v>835</v>
      </c>
      <c r="V633" s="18" t="s">
        <v>104</v>
      </c>
      <c r="W633" s="18" t="s">
        <v>2675</v>
      </c>
      <c r="X633" s="18">
        <v>649661372203</v>
      </c>
      <c r="Y633" s="18" t="s">
        <v>81</v>
      </c>
      <c r="Z633" s="18" t="s">
        <v>82</v>
      </c>
      <c r="AA633" s="18" t="s">
        <v>106</v>
      </c>
      <c r="AB633" s="18" t="s">
        <v>107</v>
      </c>
      <c r="AC633" s="18" t="s">
        <v>108</v>
      </c>
      <c r="AD633" s="18">
        <v>31.1873333333333</v>
      </c>
      <c r="AE633" s="18">
        <v>0</v>
      </c>
      <c r="AF633" s="18">
        <v>0</v>
      </c>
      <c r="AG633" s="18">
        <v>0</v>
      </c>
      <c r="AH633" s="18">
        <v>1</v>
      </c>
      <c r="AI633" s="18">
        <v>0</v>
      </c>
      <c r="AJ633" s="18">
        <v>0</v>
      </c>
      <c r="AK633" s="18">
        <v>0</v>
      </c>
      <c r="AL633" s="18">
        <v>0</v>
      </c>
      <c r="AM633" s="18">
        <v>0</v>
      </c>
      <c r="AN633" s="18">
        <v>0</v>
      </c>
      <c r="AO633" s="18">
        <v>0</v>
      </c>
      <c r="AP633" s="18">
        <v>0</v>
      </c>
      <c r="AQ633" s="18">
        <v>0</v>
      </c>
      <c r="AR633" s="18">
        <v>0</v>
      </c>
      <c r="AS633" s="18">
        <v>0</v>
      </c>
      <c r="AT633" s="18">
        <v>0</v>
      </c>
      <c r="AU633" s="18">
        <v>1</v>
      </c>
      <c r="AV633" s="18">
        <v>0</v>
      </c>
      <c r="AW633" s="18">
        <v>0</v>
      </c>
      <c r="AX633" s="18">
        <v>1</v>
      </c>
      <c r="AY633" s="13"/>
      <c r="AZ633" s="18">
        <v>1</v>
      </c>
      <c r="BA633" s="18">
        <v>1</v>
      </c>
      <c r="BB633" s="18">
        <v>64.81</v>
      </c>
      <c r="BC633" s="18" t="s">
        <v>111</v>
      </c>
      <c r="BD633" s="18" t="s">
        <v>112</v>
      </c>
      <c r="BE633" s="18" t="s">
        <v>113</v>
      </c>
      <c r="BF633" s="18" t="s">
        <v>77</v>
      </c>
      <c r="BG633" s="18">
        <v>162</v>
      </c>
      <c r="BH633" s="18">
        <v>24</v>
      </c>
      <c r="BI633" s="18">
        <v>0.871</v>
      </c>
      <c r="BJ633" s="18">
        <v>0</v>
      </c>
      <c r="BK633" s="18">
        <v>2</v>
      </c>
      <c r="BL633" s="18">
        <v>99.5</v>
      </c>
      <c r="BM633" s="13">
        <f t="shared" si="0"/>
        <v>11244.27</v>
      </c>
    </row>
    <row r="634" customHeight="1" spans="1:65">
      <c r="A634" s="18" t="s">
        <v>1120</v>
      </c>
      <c r="B634" s="18" t="s">
        <v>104</v>
      </c>
      <c r="C634" s="18" t="s">
        <v>208</v>
      </c>
      <c r="D634" s="18">
        <v>194644168278</v>
      </c>
      <c r="E634" s="18" t="s">
        <v>81</v>
      </c>
      <c r="F634" s="18" t="s">
        <v>82</v>
      </c>
      <c r="G634" s="18" t="s">
        <v>106</v>
      </c>
      <c r="H634" s="18" t="s">
        <v>107</v>
      </c>
      <c r="I634" s="18" t="s">
        <v>108</v>
      </c>
      <c r="J634" s="18">
        <v>3</v>
      </c>
      <c r="K634" s="16">
        <v>89.99</v>
      </c>
      <c r="L634" s="16">
        <v>229.99</v>
      </c>
      <c r="M634" s="16">
        <v>60.87</v>
      </c>
      <c r="N634" s="16">
        <v>140</v>
      </c>
      <c r="O634" s="18">
        <v>1</v>
      </c>
      <c r="P634" s="18" t="s">
        <v>95</v>
      </c>
      <c r="Q634" s="18">
        <v>4.51075</v>
      </c>
      <c r="R634" s="10"/>
      <c r="S634" s="16">
        <v>300</v>
      </c>
      <c r="T634" s="16">
        <v>174</v>
      </c>
      <c r="U634" s="18" t="s">
        <v>1120</v>
      </c>
      <c r="V634" s="18" t="s">
        <v>104</v>
      </c>
      <c r="W634" s="18" t="s">
        <v>2676</v>
      </c>
      <c r="X634" s="18">
        <v>194644168279</v>
      </c>
      <c r="Y634" s="18" t="s">
        <v>81</v>
      </c>
      <c r="Z634" s="18" t="s">
        <v>82</v>
      </c>
      <c r="AA634" s="18" t="s">
        <v>106</v>
      </c>
      <c r="AB634" s="18" t="s">
        <v>107</v>
      </c>
      <c r="AC634" s="18" t="s">
        <v>108</v>
      </c>
      <c r="AD634" s="18">
        <v>84.5660000000001</v>
      </c>
      <c r="AE634" s="18">
        <v>1</v>
      </c>
      <c r="AF634" s="18">
        <v>0</v>
      </c>
      <c r="AG634" s="18">
        <v>0</v>
      </c>
      <c r="AH634" s="18">
        <v>1</v>
      </c>
      <c r="AI634" s="18">
        <v>0</v>
      </c>
      <c r="AJ634" s="18">
        <v>0</v>
      </c>
      <c r="AK634" s="18">
        <v>0</v>
      </c>
      <c r="AL634" s="18">
        <v>0</v>
      </c>
      <c r="AM634" s="18">
        <v>0</v>
      </c>
      <c r="AN634" s="18">
        <v>0</v>
      </c>
      <c r="AO634" s="18">
        <v>0</v>
      </c>
      <c r="AP634" s="18">
        <v>0</v>
      </c>
      <c r="AQ634" s="18">
        <v>0</v>
      </c>
      <c r="AR634" s="18">
        <v>0</v>
      </c>
      <c r="AS634" s="18">
        <v>0</v>
      </c>
      <c r="AT634" s="18">
        <v>1</v>
      </c>
      <c r="AU634" s="18">
        <v>0</v>
      </c>
      <c r="AV634" s="18">
        <v>0</v>
      </c>
      <c r="AW634" s="18">
        <v>0</v>
      </c>
      <c r="AX634" s="18">
        <v>1</v>
      </c>
      <c r="AY634" s="13"/>
      <c r="AZ634" s="18">
        <v>1</v>
      </c>
      <c r="BA634" s="18">
        <v>2</v>
      </c>
      <c r="BB634" s="18">
        <v>73.43</v>
      </c>
      <c r="BC634" s="18" t="s">
        <v>111</v>
      </c>
      <c r="BD634" s="18" t="s">
        <v>112</v>
      </c>
      <c r="BE634" s="18" t="s">
        <v>113</v>
      </c>
      <c r="BF634" s="18" t="s">
        <v>77</v>
      </c>
      <c r="BG634" s="18">
        <v>162</v>
      </c>
      <c r="BH634" s="18">
        <v>24</v>
      </c>
      <c r="BI634" s="18">
        <v>0.871</v>
      </c>
      <c r="BJ634" s="18">
        <v>0</v>
      </c>
      <c r="BK634" s="18">
        <v>2</v>
      </c>
      <c r="BL634" s="18">
        <v>99.5</v>
      </c>
      <c r="BM634" s="13">
        <f t="shared" si="0"/>
        <v>26997</v>
      </c>
    </row>
    <row r="635" customHeight="1" spans="1:65">
      <c r="A635" s="18" t="s">
        <v>1132</v>
      </c>
      <c r="B635" s="18" t="s">
        <v>104</v>
      </c>
      <c r="C635" s="18" t="s">
        <v>1133</v>
      </c>
      <c r="D635" s="18">
        <v>194644290191</v>
      </c>
      <c r="E635" s="18" t="s">
        <v>81</v>
      </c>
      <c r="F635" s="18" t="s">
        <v>82</v>
      </c>
      <c r="G635" s="18" t="s">
        <v>106</v>
      </c>
      <c r="H635" s="18" t="s">
        <v>107</v>
      </c>
      <c r="I635" s="18" t="s">
        <v>108</v>
      </c>
      <c r="J635" s="18">
        <v>3</v>
      </c>
      <c r="K635" s="16">
        <v>102.99</v>
      </c>
      <c r="L635" s="16">
        <v>149.99</v>
      </c>
      <c r="M635" s="16">
        <v>31.34</v>
      </c>
      <c r="N635" s="16">
        <v>47</v>
      </c>
      <c r="O635" s="18">
        <v>1</v>
      </c>
      <c r="P635" s="18" t="s">
        <v>95</v>
      </c>
      <c r="Q635" s="18">
        <v>4.644295</v>
      </c>
      <c r="R635" s="10"/>
      <c r="S635" s="16">
        <v>328</v>
      </c>
      <c r="T635" s="16">
        <v>268</v>
      </c>
      <c r="U635" s="18" t="s">
        <v>1132</v>
      </c>
      <c r="V635" s="18" t="s">
        <v>104</v>
      </c>
      <c r="W635" s="18" t="s">
        <v>2677</v>
      </c>
      <c r="X635" s="18">
        <v>194644290192</v>
      </c>
      <c r="Y635" s="18" t="s">
        <v>81</v>
      </c>
      <c r="Z635" s="18" t="s">
        <v>82</v>
      </c>
      <c r="AA635" s="18" t="s">
        <v>106</v>
      </c>
      <c r="AB635" s="18" t="s">
        <v>107</v>
      </c>
      <c r="AC635" s="18" t="s">
        <v>108</v>
      </c>
      <c r="AD635" s="18">
        <v>26.2246666666667</v>
      </c>
      <c r="AE635" s="18">
        <v>0</v>
      </c>
      <c r="AF635" s="18">
        <v>0</v>
      </c>
      <c r="AG635" s="18">
        <v>0</v>
      </c>
      <c r="AH635" s="18">
        <v>0</v>
      </c>
      <c r="AI635" s="18">
        <v>0</v>
      </c>
      <c r="AJ635" s="18">
        <v>0</v>
      </c>
      <c r="AK635" s="18">
        <v>1</v>
      </c>
      <c r="AL635" s="18">
        <v>1</v>
      </c>
      <c r="AM635" s="18">
        <v>1</v>
      </c>
      <c r="AN635" s="18">
        <v>0</v>
      </c>
      <c r="AO635" s="18">
        <v>0</v>
      </c>
      <c r="AP635" s="18">
        <v>1</v>
      </c>
      <c r="AQ635" s="18">
        <v>0</v>
      </c>
      <c r="AR635" s="18">
        <v>0</v>
      </c>
      <c r="AS635" s="18">
        <v>0</v>
      </c>
      <c r="AT635" s="18">
        <v>1</v>
      </c>
      <c r="AU635" s="18">
        <v>0</v>
      </c>
      <c r="AV635" s="18">
        <v>0</v>
      </c>
      <c r="AW635" s="18">
        <v>0</v>
      </c>
      <c r="AX635" s="18">
        <v>1</v>
      </c>
      <c r="AY635" s="13"/>
      <c r="AZ635" s="18">
        <v>1</v>
      </c>
      <c r="BA635" s="18">
        <v>2</v>
      </c>
      <c r="BB635" s="18">
        <v>61.26</v>
      </c>
      <c r="BC635" s="18" t="s">
        <v>111</v>
      </c>
      <c r="BD635" s="18" t="s">
        <v>112</v>
      </c>
      <c r="BE635" s="18" t="s">
        <v>113</v>
      </c>
      <c r="BF635" s="18" t="s">
        <v>77</v>
      </c>
      <c r="BG635" s="18">
        <v>162</v>
      </c>
      <c r="BH635" s="18">
        <v>24</v>
      </c>
      <c r="BI635" s="18">
        <v>0.871</v>
      </c>
      <c r="BJ635" s="18">
        <v>0</v>
      </c>
      <c r="BK635" s="18">
        <v>2</v>
      </c>
      <c r="BL635" s="18">
        <v>99.5</v>
      </c>
      <c r="BM635" s="13">
        <f t="shared" si="0"/>
        <v>33780.72</v>
      </c>
    </row>
    <row r="636" customHeight="1" spans="1:65">
      <c r="A636" s="18" t="s">
        <v>1149</v>
      </c>
      <c r="B636" s="18" t="s">
        <v>104</v>
      </c>
      <c r="C636" s="18" t="s">
        <v>1150</v>
      </c>
      <c r="D636" s="18">
        <v>194644169701</v>
      </c>
      <c r="E636" s="18" t="s">
        <v>81</v>
      </c>
      <c r="F636" s="18" t="s">
        <v>82</v>
      </c>
      <c r="G636" s="18" t="s">
        <v>106</v>
      </c>
      <c r="H636" s="18" t="s">
        <v>107</v>
      </c>
      <c r="I636" s="18" t="s">
        <v>108</v>
      </c>
      <c r="J636" s="18">
        <v>3</v>
      </c>
      <c r="K636" s="16">
        <v>139.99</v>
      </c>
      <c r="L636" s="16">
        <v>249.99</v>
      </c>
      <c r="M636" s="16">
        <v>44</v>
      </c>
      <c r="N636" s="16">
        <v>110</v>
      </c>
      <c r="O636" s="18">
        <v>1</v>
      </c>
      <c r="P636" s="18" t="s">
        <v>95</v>
      </c>
      <c r="Q636" s="18">
        <v>4.948689</v>
      </c>
      <c r="R636" s="10"/>
      <c r="S636" s="16">
        <v>596</v>
      </c>
      <c r="T636" s="16">
        <v>150</v>
      </c>
      <c r="U636" s="18" t="s">
        <v>1149</v>
      </c>
      <c r="V636" s="18" t="s">
        <v>104</v>
      </c>
      <c r="W636" s="18" t="s">
        <v>2678</v>
      </c>
      <c r="X636" s="18">
        <v>194644169702</v>
      </c>
      <c r="Y636" s="18" t="s">
        <v>81</v>
      </c>
      <c r="Z636" s="18" t="s">
        <v>82</v>
      </c>
      <c r="AA636" s="18" t="s">
        <v>106</v>
      </c>
      <c r="AB636" s="18" t="s">
        <v>107</v>
      </c>
      <c r="AC636" s="18" t="s">
        <v>108</v>
      </c>
      <c r="AD636" s="18">
        <v>60.7340000000003</v>
      </c>
      <c r="AE636" s="18">
        <v>1</v>
      </c>
      <c r="AF636" s="18">
        <v>0</v>
      </c>
      <c r="AG636" s="18">
        <v>0</v>
      </c>
      <c r="AH636" s="18">
        <v>1</v>
      </c>
      <c r="AI636" s="18">
        <v>0</v>
      </c>
      <c r="AJ636" s="18">
        <v>1</v>
      </c>
      <c r="AK636" s="18">
        <v>0</v>
      </c>
      <c r="AL636" s="18">
        <v>0</v>
      </c>
      <c r="AM636" s="18">
        <v>0</v>
      </c>
      <c r="AN636" s="18">
        <v>0</v>
      </c>
      <c r="AO636" s="18">
        <v>0</v>
      </c>
      <c r="AP636" s="18">
        <v>0</v>
      </c>
      <c r="AQ636" s="18">
        <v>0</v>
      </c>
      <c r="AR636" s="18">
        <v>0</v>
      </c>
      <c r="AS636" s="18">
        <v>0</v>
      </c>
      <c r="AT636" s="18">
        <v>0</v>
      </c>
      <c r="AU636" s="18">
        <v>0</v>
      </c>
      <c r="AV636" s="18">
        <v>0</v>
      </c>
      <c r="AW636" s="18">
        <v>0</v>
      </c>
      <c r="AX636" s="18">
        <v>1</v>
      </c>
      <c r="AY636" s="13"/>
      <c r="AZ636" s="18">
        <v>1</v>
      </c>
      <c r="BA636" s="18">
        <v>2</v>
      </c>
      <c r="BB636" s="18">
        <v>74.74</v>
      </c>
      <c r="BC636" s="18" t="s">
        <v>111</v>
      </c>
      <c r="BD636" s="18" t="s">
        <v>112</v>
      </c>
      <c r="BE636" s="18" t="s">
        <v>113</v>
      </c>
      <c r="BF636" s="18" t="s">
        <v>77</v>
      </c>
      <c r="BG636" s="18">
        <v>162</v>
      </c>
      <c r="BH636" s="18">
        <v>24</v>
      </c>
      <c r="BI636" s="18">
        <v>0.871</v>
      </c>
      <c r="BJ636" s="18">
        <v>0</v>
      </c>
      <c r="BK636" s="18">
        <v>5</v>
      </c>
      <c r="BL636" s="18">
        <v>98.6</v>
      </c>
      <c r="BM636" s="13">
        <f t="shared" si="0"/>
        <v>83434.04</v>
      </c>
    </row>
    <row r="637" customHeight="1" spans="1:65">
      <c r="A637" s="18" t="s">
        <v>1154</v>
      </c>
      <c r="B637" s="18" t="s">
        <v>104</v>
      </c>
      <c r="C637" s="18" t="s">
        <v>208</v>
      </c>
      <c r="D637" s="18">
        <v>194644185497</v>
      </c>
      <c r="E637" s="18" t="s">
        <v>81</v>
      </c>
      <c r="F637" s="18" t="s">
        <v>82</v>
      </c>
      <c r="G637" s="18" t="s">
        <v>106</v>
      </c>
      <c r="H637" s="18" t="s">
        <v>107</v>
      </c>
      <c r="I637" s="18" t="s">
        <v>108</v>
      </c>
      <c r="J637" s="18">
        <v>3</v>
      </c>
      <c r="K637" s="16">
        <v>159.99</v>
      </c>
      <c r="L637" s="16">
        <v>399.99</v>
      </c>
      <c r="M637" s="16">
        <v>60</v>
      </c>
      <c r="N637" s="16">
        <v>240</v>
      </c>
      <c r="O637" s="18">
        <v>1</v>
      </c>
      <c r="P637" s="18" t="s">
        <v>95</v>
      </c>
      <c r="Q637" s="18">
        <v>5.081342</v>
      </c>
      <c r="R637" s="10"/>
      <c r="S637" s="16">
        <v>68</v>
      </c>
      <c r="T637" s="16">
        <v>63</v>
      </c>
      <c r="U637" s="18" t="s">
        <v>1154</v>
      </c>
      <c r="V637" s="18" t="s">
        <v>104</v>
      </c>
      <c r="W637" s="18" t="s">
        <v>2676</v>
      </c>
      <c r="X637" s="18">
        <v>194644185498</v>
      </c>
      <c r="Y637" s="18" t="s">
        <v>81</v>
      </c>
      <c r="Z637" s="18" t="s">
        <v>82</v>
      </c>
      <c r="AA637" s="18" t="s">
        <v>106</v>
      </c>
      <c r="AB637" s="18" t="s">
        <v>107</v>
      </c>
      <c r="AC637" s="18" t="s">
        <v>108</v>
      </c>
      <c r="AD637" s="18">
        <v>133.000666666666</v>
      </c>
      <c r="AE637" s="18">
        <v>1</v>
      </c>
      <c r="AF637" s="18">
        <v>0</v>
      </c>
      <c r="AG637" s="18">
        <v>0</v>
      </c>
      <c r="AH637" s="18">
        <v>1</v>
      </c>
      <c r="AI637" s="18">
        <v>0</v>
      </c>
      <c r="AJ637" s="18">
        <v>0</v>
      </c>
      <c r="AK637" s="18">
        <v>0</v>
      </c>
      <c r="AL637" s="18">
        <v>0</v>
      </c>
      <c r="AM637" s="18">
        <v>0</v>
      </c>
      <c r="AN637" s="18">
        <v>0</v>
      </c>
      <c r="AO637" s="18">
        <v>0</v>
      </c>
      <c r="AP637" s="18">
        <v>0</v>
      </c>
      <c r="AQ637" s="18">
        <v>0</v>
      </c>
      <c r="AR637" s="18">
        <v>0</v>
      </c>
      <c r="AS637" s="18">
        <v>0</v>
      </c>
      <c r="AT637" s="18">
        <v>1</v>
      </c>
      <c r="AU637" s="18">
        <v>0</v>
      </c>
      <c r="AV637" s="18">
        <v>0</v>
      </c>
      <c r="AW637" s="18">
        <v>0</v>
      </c>
      <c r="AX637" s="18">
        <v>0</v>
      </c>
      <c r="AY637" s="13"/>
      <c r="AZ637" s="18">
        <v>1</v>
      </c>
      <c r="BA637" s="18">
        <v>2</v>
      </c>
      <c r="BB637" s="18">
        <v>68.61</v>
      </c>
      <c r="BC637" s="18" t="s">
        <v>111</v>
      </c>
      <c r="BD637" s="18" t="s">
        <v>112</v>
      </c>
      <c r="BE637" s="18" t="s">
        <v>113</v>
      </c>
      <c r="BF637" s="18" t="s">
        <v>77</v>
      </c>
      <c r="BG637" s="18">
        <v>162</v>
      </c>
      <c r="BH637" s="18">
        <v>24</v>
      </c>
      <c r="BI637" s="18">
        <v>0.871</v>
      </c>
      <c r="BJ637" s="18">
        <v>0</v>
      </c>
      <c r="BK637" s="18">
        <v>2</v>
      </c>
      <c r="BL637" s="18">
        <v>99.5</v>
      </c>
      <c r="BM637" s="13">
        <f t="shared" si="0"/>
        <v>10879.32</v>
      </c>
    </row>
    <row r="638" customHeight="1" spans="1:65">
      <c r="A638" s="18" t="s">
        <v>1407</v>
      </c>
      <c r="B638" s="18" t="s">
        <v>104</v>
      </c>
      <c r="C638" s="18" t="s">
        <v>1408</v>
      </c>
      <c r="D638" s="18">
        <v>194644210670</v>
      </c>
      <c r="E638" s="18" t="s">
        <v>81</v>
      </c>
      <c r="F638" s="18" t="s">
        <v>82</v>
      </c>
      <c r="G638" s="18" t="s">
        <v>106</v>
      </c>
      <c r="H638" s="18" t="s">
        <v>107</v>
      </c>
      <c r="I638" s="18" t="s">
        <v>108</v>
      </c>
      <c r="J638" s="18">
        <v>3</v>
      </c>
      <c r="K638" s="16">
        <v>159.99</v>
      </c>
      <c r="L638" s="16">
        <v>219.99</v>
      </c>
      <c r="M638" s="16">
        <v>27.27</v>
      </c>
      <c r="N638" s="16">
        <v>60</v>
      </c>
      <c r="O638" s="18">
        <v>1</v>
      </c>
      <c r="P638" s="18" t="s">
        <v>95</v>
      </c>
      <c r="Q638" s="18">
        <v>5.081342</v>
      </c>
      <c r="R638" s="10"/>
      <c r="S638" s="16">
        <v>1949</v>
      </c>
      <c r="T638" s="16">
        <v>28</v>
      </c>
      <c r="U638" s="18" t="s">
        <v>1407</v>
      </c>
      <c r="V638" s="18" t="s">
        <v>104</v>
      </c>
      <c r="W638" s="18" t="s">
        <v>2679</v>
      </c>
      <c r="X638" s="18">
        <v>194644210671</v>
      </c>
      <c r="Y638" s="18" t="s">
        <v>81</v>
      </c>
      <c r="Z638" s="18" t="s">
        <v>82</v>
      </c>
      <c r="AA638" s="18" t="s">
        <v>106</v>
      </c>
      <c r="AB638" s="18" t="s">
        <v>107</v>
      </c>
      <c r="AC638" s="18" t="s">
        <v>108</v>
      </c>
      <c r="AD638" s="18">
        <v>28.2726666666666</v>
      </c>
      <c r="AE638" s="18">
        <v>1</v>
      </c>
      <c r="AF638" s="18">
        <v>0</v>
      </c>
      <c r="AG638" s="18">
        <v>0</v>
      </c>
      <c r="AH638" s="18">
        <v>1</v>
      </c>
      <c r="AI638" s="18">
        <v>0</v>
      </c>
      <c r="AJ638" s="18">
        <v>0</v>
      </c>
      <c r="AK638" s="18">
        <v>0</v>
      </c>
      <c r="AL638" s="18">
        <v>0</v>
      </c>
      <c r="AM638" s="18">
        <v>0</v>
      </c>
      <c r="AN638" s="18">
        <v>0</v>
      </c>
      <c r="AO638" s="18">
        <v>0</v>
      </c>
      <c r="AP638" s="18">
        <v>0</v>
      </c>
      <c r="AQ638" s="18">
        <v>0</v>
      </c>
      <c r="AR638" s="18">
        <v>0</v>
      </c>
      <c r="AS638" s="18">
        <v>0</v>
      </c>
      <c r="AT638" s="18">
        <v>1</v>
      </c>
      <c r="AU638" s="18">
        <v>0</v>
      </c>
      <c r="AV638" s="18">
        <v>0</v>
      </c>
      <c r="AW638" s="18">
        <v>0</v>
      </c>
      <c r="AX638" s="18">
        <v>0</v>
      </c>
      <c r="AY638" s="13"/>
      <c r="AZ638" s="18">
        <v>1</v>
      </c>
      <c r="BA638" s="18">
        <v>2</v>
      </c>
      <c r="BB638" s="18">
        <v>77.46</v>
      </c>
      <c r="BC638" s="18" t="s">
        <v>111</v>
      </c>
      <c r="BD638" s="18" t="s">
        <v>112</v>
      </c>
      <c r="BE638" s="18" t="s">
        <v>113</v>
      </c>
      <c r="BF638" s="18" t="s">
        <v>77</v>
      </c>
      <c r="BG638" s="18">
        <v>162</v>
      </c>
      <c r="BH638" s="18">
        <v>24</v>
      </c>
      <c r="BI638" s="18">
        <v>0.871</v>
      </c>
      <c r="BJ638" s="18">
        <v>0</v>
      </c>
      <c r="BK638" s="18">
        <v>2</v>
      </c>
      <c r="BL638" s="18">
        <v>99.5</v>
      </c>
      <c r="BM638" s="13">
        <f t="shared" si="0"/>
        <v>311820.51</v>
      </c>
    </row>
    <row r="639" customHeight="1" spans="1:65">
      <c r="A639" s="18" t="s">
        <v>1807</v>
      </c>
      <c r="B639" s="18" t="s">
        <v>104</v>
      </c>
      <c r="C639" s="18" t="s">
        <v>1347</v>
      </c>
      <c r="D639" s="18">
        <v>194644229405</v>
      </c>
      <c r="E639" s="18" t="s">
        <v>81</v>
      </c>
      <c r="F639" s="18" t="s">
        <v>82</v>
      </c>
      <c r="G639" s="18" t="s">
        <v>106</v>
      </c>
      <c r="H639" s="18" t="s">
        <v>107</v>
      </c>
      <c r="I639" s="18" t="s">
        <v>108</v>
      </c>
      <c r="J639" s="18">
        <v>3</v>
      </c>
      <c r="K639" s="16">
        <v>189.99</v>
      </c>
      <c r="L639" s="16">
        <v>349.99</v>
      </c>
      <c r="M639" s="16">
        <v>45.72</v>
      </c>
      <c r="N639" s="16">
        <v>160</v>
      </c>
      <c r="O639" s="18">
        <v>1</v>
      </c>
      <c r="P639" s="18" t="s">
        <v>95</v>
      </c>
      <c r="Q639" s="18">
        <v>5.252221</v>
      </c>
      <c r="R639" s="10"/>
      <c r="S639" s="16">
        <v>107</v>
      </c>
      <c r="T639" s="10"/>
      <c r="U639" s="18" t="s">
        <v>1807</v>
      </c>
      <c r="V639" s="18" t="s">
        <v>104</v>
      </c>
      <c r="W639" s="18" t="s">
        <v>499</v>
      </c>
      <c r="X639" s="18">
        <v>194644229406</v>
      </c>
      <c r="Y639" s="18" t="s">
        <v>81</v>
      </c>
      <c r="Z639" s="18" t="s">
        <v>82</v>
      </c>
      <c r="AA639" s="18" t="s">
        <v>106</v>
      </c>
      <c r="AB639" s="18" t="s">
        <v>107</v>
      </c>
      <c r="AC639" s="18" t="s">
        <v>108</v>
      </c>
      <c r="AD639" s="18">
        <v>84.5260000000002</v>
      </c>
      <c r="AE639" s="18">
        <v>1</v>
      </c>
      <c r="AF639" s="18">
        <v>0</v>
      </c>
      <c r="AG639" s="18">
        <v>0</v>
      </c>
      <c r="AH639" s="18">
        <v>1</v>
      </c>
      <c r="AI639" s="18">
        <v>0</v>
      </c>
      <c r="AJ639" s="18">
        <v>0</v>
      </c>
      <c r="AK639" s="18">
        <v>1</v>
      </c>
      <c r="AL639" s="18">
        <v>0</v>
      </c>
      <c r="AM639" s="18">
        <v>0</v>
      </c>
      <c r="AN639" s="18">
        <v>0</v>
      </c>
      <c r="AO639" s="18">
        <v>0</v>
      </c>
      <c r="AP639" s="18">
        <v>0</v>
      </c>
      <c r="AQ639" s="18">
        <v>0</v>
      </c>
      <c r="AR639" s="18">
        <v>0</v>
      </c>
      <c r="AS639" s="18">
        <v>0</v>
      </c>
      <c r="AT639" s="18">
        <v>1</v>
      </c>
      <c r="AU639" s="18">
        <v>0</v>
      </c>
      <c r="AV639" s="18">
        <v>0</v>
      </c>
      <c r="AW639" s="18">
        <v>1</v>
      </c>
      <c r="AX639" s="18">
        <v>0</v>
      </c>
      <c r="AY639" s="13"/>
      <c r="AZ639" s="18">
        <v>1</v>
      </c>
      <c r="BA639" s="18">
        <v>3</v>
      </c>
      <c r="BB639" s="18">
        <v>83.57</v>
      </c>
      <c r="BC639" s="18" t="s">
        <v>111</v>
      </c>
      <c r="BD639" s="18" t="s">
        <v>112</v>
      </c>
      <c r="BE639" s="18" t="s">
        <v>113</v>
      </c>
      <c r="BF639" s="18" t="s">
        <v>77</v>
      </c>
      <c r="BG639" s="18">
        <v>162</v>
      </c>
      <c r="BH639" s="18">
        <v>24</v>
      </c>
      <c r="BI639" s="18">
        <v>0.871</v>
      </c>
      <c r="BJ639" s="18">
        <v>0</v>
      </c>
      <c r="BK639" s="18">
        <v>2</v>
      </c>
      <c r="BL639" s="18">
        <v>99.5</v>
      </c>
      <c r="BM639" s="13">
        <f t="shared" si="0"/>
        <v>20328.93</v>
      </c>
    </row>
    <row r="640" customHeight="1" spans="1:65">
      <c r="A640" s="18" t="s">
        <v>2454</v>
      </c>
      <c r="B640" s="18" t="s">
        <v>104</v>
      </c>
      <c r="C640" s="18" t="s">
        <v>2455</v>
      </c>
      <c r="D640" s="18">
        <v>786513666574</v>
      </c>
      <c r="E640" s="18" t="s">
        <v>81</v>
      </c>
      <c r="F640" s="18" t="s">
        <v>82</v>
      </c>
      <c r="G640" s="18" t="s">
        <v>106</v>
      </c>
      <c r="H640" s="18" t="s">
        <v>107</v>
      </c>
      <c r="I640" s="18" t="s">
        <v>108</v>
      </c>
      <c r="J640" s="18">
        <v>3</v>
      </c>
      <c r="K640" s="16">
        <v>28.49</v>
      </c>
      <c r="L640" s="16">
        <v>42.99</v>
      </c>
      <c r="M640" s="16">
        <v>33.73</v>
      </c>
      <c r="N640" s="16">
        <v>14.5</v>
      </c>
      <c r="O640" s="18">
        <v>1</v>
      </c>
      <c r="P640" s="18" t="s">
        <v>86</v>
      </c>
      <c r="Q640" s="18">
        <v>3.384051</v>
      </c>
      <c r="R640" s="10"/>
      <c r="S640" s="16">
        <v>368</v>
      </c>
      <c r="T640" s="16">
        <v>127</v>
      </c>
      <c r="U640" s="18" t="s">
        <v>2454</v>
      </c>
      <c r="V640" s="18" t="s">
        <v>104</v>
      </c>
      <c r="W640" s="18" t="s">
        <v>2680</v>
      </c>
      <c r="X640" s="18">
        <v>786513666575</v>
      </c>
      <c r="Y640" s="18" t="s">
        <v>81</v>
      </c>
      <c r="Z640" s="18" t="s">
        <v>82</v>
      </c>
      <c r="AA640" s="18" t="s">
        <v>106</v>
      </c>
      <c r="AB640" s="18" t="s">
        <v>107</v>
      </c>
      <c r="AC640" s="18" t="s">
        <v>108</v>
      </c>
      <c r="AD640" s="18">
        <v>14.4953333333334</v>
      </c>
      <c r="AE640" s="18">
        <v>0</v>
      </c>
      <c r="AF640" s="18">
        <v>0</v>
      </c>
      <c r="AG640" s="18">
        <v>1</v>
      </c>
      <c r="AH640" s="18">
        <v>1</v>
      </c>
      <c r="AI640" s="18">
        <v>0</v>
      </c>
      <c r="AJ640" s="18">
        <v>0</v>
      </c>
      <c r="AK640" s="18">
        <v>0</v>
      </c>
      <c r="AL640" s="18">
        <v>0</v>
      </c>
      <c r="AM640" s="18">
        <v>0</v>
      </c>
      <c r="AN640" s="18">
        <v>0</v>
      </c>
      <c r="AO640" s="18">
        <v>0</v>
      </c>
      <c r="AP640" s="18">
        <v>0</v>
      </c>
      <c r="AQ640" s="18">
        <v>0</v>
      </c>
      <c r="AR640" s="18">
        <v>0</v>
      </c>
      <c r="AS640" s="18">
        <v>0</v>
      </c>
      <c r="AT640" s="18">
        <v>0</v>
      </c>
      <c r="AU640" s="18">
        <v>1</v>
      </c>
      <c r="AV640" s="18">
        <v>0</v>
      </c>
      <c r="AW640" s="18">
        <v>0</v>
      </c>
      <c r="AX640" s="18">
        <v>1</v>
      </c>
      <c r="AY640" s="13"/>
      <c r="AZ640" s="18">
        <v>1</v>
      </c>
      <c r="BA640" s="18">
        <v>2</v>
      </c>
      <c r="BB640" s="18">
        <v>69.7</v>
      </c>
      <c r="BC640" s="18" t="s">
        <v>111</v>
      </c>
      <c r="BD640" s="18" t="s">
        <v>112</v>
      </c>
      <c r="BE640" s="18" t="s">
        <v>113</v>
      </c>
      <c r="BF640" s="18" t="s">
        <v>77</v>
      </c>
      <c r="BG640" s="18">
        <v>162</v>
      </c>
      <c r="BH640" s="18">
        <v>24</v>
      </c>
      <c r="BI640" s="18">
        <v>0.871</v>
      </c>
      <c r="BJ640" s="18">
        <v>0</v>
      </c>
      <c r="BK640" s="18">
        <v>2</v>
      </c>
      <c r="BL640" s="18">
        <v>99.5</v>
      </c>
      <c r="BM640" s="13">
        <f t="shared" si="0"/>
        <v>10484.32</v>
      </c>
    </row>
    <row r="641" customHeight="1" spans="1:65">
      <c r="A641" s="18" t="s">
        <v>527</v>
      </c>
      <c r="B641" s="18" t="s">
        <v>104</v>
      </c>
      <c r="C641" s="18" t="s">
        <v>528</v>
      </c>
      <c r="D641" s="18">
        <v>194644177751</v>
      </c>
      <c r="E641" s="18" t="s">
        <v>209</v>
      </c>
      <c r="F641" s="18" t="s">
        <v>160</v>
      </c>
      <c r="G641" s="18" t="s">
        <v>106</v>
      </c>
      <c r="H641" s="18" t="s">
        <v>107</v>
      </c>
      <c r="I641" s="18" t="s">
        <v>108</v>
      </c>
      <c r="J641" s="18">
        <v>3</v>
      </c>
      <c r="K641" s="16">
        <v>329</v>
      </c>
      <c r="L641" s="16">
        <v>599.99</v>
      </c>
      <c r="M641" s="16">
        <v>45.17</v>
      </c>
      <c r="N641" s="16">
        <v>270.99</v>
      </c>
      <c r="O641" s="18">
        <v>1</v>
      </c>
      <c r="P641" s="18" t="s">
        <v>71</v>
      </c>
      <c r="Q641" s="18">
        <v>5.799093</v>
      </c>
      <c r="R641" s="10"/>
      <c r="S641" s="16">
        <v>571</v>
      </c>
      <c r="T641" s="16">
        <v>15</v>
      </c>
      <c r="U641" s="18" t="s">
        <v>527</v>
      </c>
      <c r="V641" s="18" t="s">
        <v>104</v>
      </c>
      <c r="W641" s="18" t="s">
        <v>2681</v>
      </c>
      <c r="X641" s="18">
        <v>194644177752</v>
      </c>
      <c r="Y641" s="18" t="s">
        <v>209</v>
      </c>
      <c r="Z641" s="18" t="s">
        <v>160</v>
      </c>
      <c r="AA641" s="18" t="s">
        <v>106</v>
      </c>
      <c r="AB641" s="18" t="s">
        <v>107</v>
      </c>
      <c r="AC641" s="18" t="s">
        <v>108</v>
      </c>
      <c r="AD641" s="18">
        <v>134.306666666667</v>
      </c>
      <c r="AE641" s="18">
        <v>0</v>
      </c>
      <c r="AF641" s="18">
        <v>0</v>
      </c>
      <c r="AG641" s="18">
        <v>0</v>
      </c>
      <c r="AH641" s="18">
        <v>0</v>
      </c>
      <c r="AI641" s="18">
        <v>0</v>
      </c>
      <c r="AJ641" s="18">
        <v>0</v>
      </c>
      <c r="AK641" s="18">
        <v>0</v>
      </c>
      <c r="AL641" s="18">
        <v>0</v>
      </c>
      <c r="AM641" s="18">
        <v>0</v>
      </c>
      <c r="AN641" s="18">
        <v>0</v>
      </c>
      <c r="AO641" s="18">
        <v>0</v>
      </c>
      <c r="AP641" s="18">
        <v>0</v>
      </c>
      <c r="AQ641" s="18">
        <v>0</v>
      </c>
      <c r="AR641" s="18">
        <v>0</v>
      </c>
      <c r="AS641" s="18">
        <v>0</v>
      </c>
      <c r="AT641" s="18">
        <v>1</v>
      </c>
      <c r="AU641" s="18">
        <v>0</v>
      </c>
      <c r="AV641" s="18">
        <v>0</v>
      </c>
      <c r="AW641" s="18">
        <v>1</v>
      </c>
      <c r="AX641" s="18">
        <v>1</v>
      </c>
      <c r="AY641" s="13"/>
      <c r="AZ641" s="18">
        <v>1</v>
      </c>
      <c r="BA641" s="18">
        <v>0</v>
      </c>
      <c r="BB641" s="18">
        <v>82.38</v>
      </c>
      <c r="BC641" s="18" t="s">
        <v>111</v>
      </c>
      <c r="BD641" s="18" t="s">
        <v>112</v>
      </c>
      <c r="BE641" s="18" t="s">
        <v>113</v>
      </c>
      <c r="BF641" s="18" t="s">
        <v>77</v>
      </c>
      <c r="BG641" s="18">
        <v>162</v>
      </c>
      <c r="BH641" s="18">
        <v>24</v>
      </c>
      <c r="BI641" s="18">
        <v>0.871</v>
      </c>
      <c r="BJ641" s="18">
        <v>0</v>
      </c>
      <c r="BK641" s="18">
        <v>2</v>
      </c>
      <c r="BL641" s="18">
        <v>99.5</v>
      </c>
      <c r="BM641" s="13">
        <f t="shared" si="0"/>
        <v>187859</v>
      </c>
    </row>
    <row r="642" customHeight="1" spans="1:65">
      <c r="A642" s="18" t="s">
        <v>707</v>
      </c>
      <c r="B642" s="18" t="s">
        <v>104</v>
      </c>
      <c r="C642" s="18" t="s">
        <v>708</v>
      </c>
      <c r="D642" s="18">
        <v>194644287726</v>
      </c>
      <c r="E642" s="18" t="s">
        <v>209</v>
      </c>
      <c r="F642" s="18" t="s">
        <v>160</v>
      </c>
      <c r="G642" s="18" t="s">
        <v>106</v>
      </c>
      <c r="H642" s="18" t="s">
        <v>107</v>
      </c>
      <c r="I642" s="18" t="s">
        <v>108</v>
      </c>
      <c r="J642" s="18">
        <v>3</v>
      </c>
      <c r="K642" s="16">
        <v>435.99</v>
      </c>
      <c r="L642" s="16">
        <v>799.99</v>
      </c>
      <c r="M642" s="16">
        <v>45.5</v>
      </c>
      <c r="N642" s="16">
        <v>364</v>
      </c>
      <c r="O642" s="18">
        <v>1</v>
      </c>
      <c r="P642" s="18" t="s">
        <v>71</v>
      </c>
      <c r="Q642" s="18">
        <v>6.07991</v>
      </c>
      <c r="R642" s="10"/>
      <c r="S642" s="16">
        <v>442</v>
      </c>
      <c r="T642" s="16">
        <v>114</v>
      </c>
      <c r="U642" s="18" t="s">
        <v>707</v>
      </c>
      <c r="V642" s="18" t="s">
        <v>104</v>
      </c>
      <c r="W642" s="18" t="s">
        <v>2682</v>
      </c>
      <c r="X642" s="18">
        <v>194644287727</v>
      </c>
      <c r="Y642" s="18" t="s">
        <v>209</v>
      </c>
      <c r="Z642" s="18" t="s">
        <v>160</v>
      </c>
      <c r="AA642" s="18" t="s">
        <v>106</v>
      </c>
      <c r="AB642" s="18" t="s">
        <v>107</v>
      </c>
      <c r="AC642" s="18" t="s">
        <v>108</v>
      </c>
      <c r="AD642" s="18">
        <v>176.867333333334</v>
      </c>
      <c r="AE642" s="18">
        <v>1</v>
      </c>
      <c r="AF642" s="18">
        <v>0</v>
      </c>
      <c r="AG642" s="18">
        <v>0</v>
      </c>
      <c r="AH642" s="18">
        <v>0</v>
      </c>
      <c r="AI642" s="18">
        <v>0</v>
      </c>
      <c r="AJ642" s="18">
        <v>0</v>
      </c>
      <c r="AK642" s="18">
        <v>0</v>
      </c>
      <c r="AL642" s="18">
        <v>0</v>
      </c>
      <c r="AM642" s="18">
        <v>0</v>
      </c>
      <c r="AN642" s="18">
        <v>0</v>
      </c>
      <c r="AO642" s="18">
        <v>0</v>
      </c>
      <c r="AP642" s="18">
        <v>0</v>
      </c>
      <c r="AQ642" s="18">
        <v>0</v>
      </c>
      <c r="AR642" s="18">
        <v>0</v>
      </c>
      <c r="AS642" s="18">
        <v>0</v>
      </c>
      <c r="AT642" s="18">
        <v>0</v>
      </c>
      <c r="AU642" s="18">
        <v>0</v>
      </c>
      <c r="AV642" s="18">
        <v>0</v>
      </c>
      <c r="AW642" s="18">
        <v>1</v>
      </c>
      <c r="AX642" s="18">
        <v>1</v>
      </c>
      <c r="AY642" s="13"/>
      <c r="AZ642" s="18">
        <v>1</v>
      </c>
      <c r="BA642" s="18">
        <v>3</v>
      </c>
      <c r="BB642" s="18">
        <v>75.3</v>
      </c>
      <c r="BC642" s="18" t="s">
        <v>111</v>
      </c>
      <c r="BD642" s="18" t="s">
        <v>112</v>
      </c>
      <c r="BE642" s="18" t="s">
        <v>113</v>
      </c>
      <c r="BF642" s="18" t="s">
        <v>77</v>
      </c>
      <c r="BG642" s="18">
        <v>162</v>
      </c>
      <c r="BH642" s="18">
        <v>24</v>
      </c>
      <c r="BI642" s="18">
        <v>0.871</v>
      </c>
      <c r="BJ642" s="18">
        <v>0</v>
      </c>
      <c r="BK642" s="18">
        <v>2</v>
      </c>
      <c r="BL642" s="18">
        <v>99.5</v>
      </c>
      <c r="BM642" s="13">
        <f t="shared" si="0"/>
        <v>192707.58</v>
      </c>
    </row>
    <row r="643" customHeight="1" spans="1:65">
      <c r="A643" s="18" t="s">
        <v>934</v>
      </c>
      <c r="B643" s="18" t="s">
        <v>104</v>
      </c>
      <c r="C643" s="18" t="s">
        <v>935</v>
      </c>
      <c r="D643" s="18">
        <v>194644037260</v>
      </c>
      <c r="E643" s="18" t="s">
        <v>209</v>
      </c>
      <c r="F643" s="18" t="s">
        <v>68</v>
      </c>
      <c r="G643" s="18" t="s">
        <v>106</v>
      </c>
      <c r="H643" s="18" t="s">
        <v>107</v>
      </c>
      <c r="I643" s="18" t="s">
        <v>108</v>
      </c>
      <c r="J643" s="18">
        <v>3</v>
      </c>
      <c r="K643" s="16">
        <v>419.99</v>
      </c>
      <c r="L643" s="16">
        <v>859.99</v>
      </c>
      <c r="M643" s="16">
        <v>51.16</v>
      </c>
      <c r="N643" s="16">
        <v>440</v>
      </c>
      <c r="O643" s="18">
        <v>1</v>
      </c>
      <c r="P643" s="18" t="s">
        <v>71</v>
      </c>
      <c r="Q643" s="18">
        <v>6.042609</v>
      </c>
      <c r="R643" s="10"/>
      <c r="S643" s="16">
        <v>726</v>
      </c>
      <c r="T643" s="16">
        <v>89</v>
      </c>
      <c r="U643" s="18" t="s">
        <v>934</v>
      </c>
      <c r="V643" s="18" t="s">
        <v>104</v>
      </c>
      <c r="W643" s="18" t="s">
        <v>2683</v>
      </c>
      <c r="X643" s="18">
        <v>194644037261</v>
      </c>
      <c r="Y643" s="18" t="s">
        <v>209</v>
      </c>
      <c r="Z643" s="18" t="s">
        <v>68</v>
      </c>
      <c r="AA643" s="18" t="s">
        <v>106</v>
      </c>
      <c r="AB643" s="18" t="s">
        <v>107</v>
      </c>
      <c r="AC643" s="18" t="s">
        <v>108</v>
      </c>
      <c r="AD643" s="18">
        <v>219.976666666667</v>
      </c>
      <c r="AE643" s="18">
        <v>1</v>
      </c>
      <c r="AF643" s="18">
        <v>0</v>
      </c>
      <c r="AG643" s="18">
        <v>0</v>
      </c>
      <c r="AH643" s="18">
        <v>1</v>
      </c>
      <c r="AI643" s="18">
        <v>0</v>
      </c>
      <c r="AJ643" s="18">
        <v>0</v>
      </c>
      <c r="AK643" s="18">
        <v>0</v>
      </c>
      <c r="AL643" s="18">
        <v>0</v>
      </c>
      <c r="AM643" s="18">
        <v>0</v>
      </c>
      <c r="AN643" s="18">
        <v>0</v>
      </c>
      <c r="AO643" s="18">
        <v>0</v>
      </c>
      <c r="AP643" s="18">
        <v>0</v>
      </c>
      <c r="AQ643" s="18">
        <v>0</v>
      </c>
      <c r="AR643" s="18">
        <v>0</v>
      </c>
      <c r="AS643" s="18">
        <v>0</v>
      </c>
      <c r="AT643" s="18">
        <v>0</v>
      </c>
      <c r="AU643" s="18">
        <v>0</v>
      </c>
      <c r="AV643" s="18">
        <v>0</v>
      </c>
      <c r="AW643" s="18">
        <v>1</v>
      </c>
      <c r="AX643" s="18">
        <v>1</v>
      </c>
      <c r="AY643" s="13"/>
      <c r="AZ643" s="18">
        <v>1</v>
      </c>
      <c r="BA643" s="18">
        <v>2</v>
      </c>
      <c r="BB643" s="18">
        <v>80.83</v>
      </c>
      <c r="BC643" s="18" t="s">
        <v>111</v>
      </c>
      <c r="BD643" s="18" t="s">
        <v>112</v>
      </c>
      <c r="BE643" s="18" t="s">
        <v>113</v>
      </c>
      <c r="BF643" s="18" t="s">
        <v>77</v>
      </c>
      <c r="BG643" s="18">
        <v>162</v>
      </c>
      <c r="BH643" s="18">
        <v>23</v>
      </c>
      <c r="BI643" s="18">
        <v>0.8757</v>
      </c>
      <c r="BJ643" s="18">
        <v>0</v>
      </c>
      <c r="BK643" s="18">
        <v>2</v>
      </c>
      <c r="BL643" s="18">
        <v>99.5</v>
      </c>
      <c r="BM643" s="13">
        <f t="shared" si="0"/>
        <v>304912.74</v>
      </c>
    </row>
    <row r="644" customHeight="1" spans="1:65">
      <c r="A644" s="18" t="s">
        <v>1936</v>
      </c>
      <c r="B644" s="18" t="s">
        <v>104</v>
      </c>
      <c r="C644" s="18" t="s">
        <v>1937</v>
      </c>
      <c r="D644" s="18">
        <v>194644290856</v>
      </c>
      <c r="E644" s="18" t="s">
        <v>209</v>
      </c>
      <c r="F644" s="18" t="s">
        <v>160</v>
      </c>
      <c r="G644" s="18" t="s">
        <v>106</v>
      </c>
      <c r="H644" s="18" t="s">
        <v>107</v>
      </c>
      <c r="I644" s="18" t="s">
        <v>108</v>
      </c>
      <c r="J644" s="18">
        <v>3</v>
      </c>
      <c r="K644" s="16">
        <v>138.74</v>
      </c>
      <c r="L644" s="16">
        <v>219.99</v>
      </c>
      <c r="M644" s="16">
        <v>36.93</v>
      </c>
      <c r="N644" s="16">
        <v>81.25</v>
      </c>
      <c r="O644" s="18">
        <v>1</v>
      </c>
      <c r="P644" s="18" t="s">
        <v>95</v>
      </c>
      <c r="Q644" s="18">
        <v>4.939784</v>
      </c>
      <c r="R644" s="10"/>
      <c r="S644" s="16">
        <v>356</v>
      </c>
      <c r="T644" s="16">
        <v>7</v>
      </c>
      <c r="U644" s="18" t="s">
        <v>1936</v>
      </c>
      <c r="V644" s="18" t="s">
        <v>104</v>
      </c>
      <c r="W644" s="18" t="s">
        <v>2684</v>
      </c>
      <c r="X644" s="18">
        <v>194644290857</v>
      </c>
      <c r="Y644" s="18" t="s">
        <v>209</v>
      </c>
      <c r="Z644" s="18" t="s">
        <v>160</v>
      </c>
      <c r="AA644" s="18" t="s">
        <v>106</v>
      </c>
      <c r="AB644" s="18" t="s">
        <v>107</v>
      </c>
      <c r="AC644" s="18" t="s">
        <v>108</v>
      </c>
      <c r="AD644" s="18">
        <v>43.5986666666662</v>
      </c>
      <c r="AE644" s="18">
        <v>1</v>
      </c>
      <c r="AF644" s="18">
        <v>0</v>
      </c>
      <c r="AG644" s="18">
        <v>0</v>
      </c>
      <c r="AH644" s="18">
        <v>1</v>
      </c>
      <c r="AI644" s="18">
        <v>0</v>
      </c>
      <c r="AJ644" s="18">
        <v>0</v>
      </c>
      <c r="AK644" s="18">
        <v>0</v>
      </c>
      <c r="AL644" s="18">
        <v>0</v>
      </c>
      <c r="AM644" s="18">
        <v>0</v>
      </c>
      <c r="AN644" s="18">
        <v>0</v>
      </c>
      <c r="AO644" s="18">
        <v>0</v>
      </c>
      <c r="AP644" s="18">
        <v>0</v>
      </c>
      <c r="AQ644" s="18">
        <v>0</v>
      </c>
      <c r="AR644" s="18">
        <v>0</v>
      </c>
      <c r="AS644" s="18">
        <v>0</v>
      </c>
      <c r="AT644" s="18">
        <v>1</v>
      </c>
      <c r="AU644" s="18">
        <v>0</v>
      </c>
      <c r="AV644" s="18">
        <v>0</v>
      </c>
      <c r="AW644" s="18">
        <v>1</v>
      </c>
      <c r="AX644" s="18">
        <v>0</v>
      </c>
      <c r="AY644" s="13"/>
      <c r="AZ644" s="18">
        <v>1</v>
      </c>
      <c r="BA644" s="18">
        <v>2</v>
      </c>
      <c r="BB644" s="18">
        <v>80.16</v>
      </c>
      <c r="BC644" s="18" t="s">
        <v>111</v>
      </c>
      <c r="BD644" s="18" t="s">
        <v>112</v>
      </c>
      <c r="BE644" s="18" t="s">
        <v>113</v>
      </c>
      <c r="BF644" s="18" t="s">
        <v>77</v>
      </c>
      <c r="BG644" s="18">
        <v>162</v>
      </c>
      <c r="BH644" s="18">
        <v>24</v>
      </c>
      <c r="BI644" s="18">
        <v>0.871</v>
      </c>
      <c r="BJ644" s="18">
        <v>0</v>
      </c>
      <c r="BK644" s="18">
        <v>2</v>
      </c>
      <c r="BL644" s="18">
        <v>99.5</v>
      </c>
      <c r="BM644" s="13">
        <f t="shared" si="0"/>
        <v>49391.44</v>
      </c>
    </row>
    <row r="645" customHeight="1" spans="1:65">
      <c r="A645" s="18" t="s">
        <v>775</v>
      </c>
      <c r="B645" s="18" t="s">
        <v>104</v>
      </c>
      <c r="C645" s="18" t="s">
        <v>776</v>
      </c>
      <c r="D645" s="18">
        <v>760575257451</v>
      </c>
      <c r="E645" s="18" t="s">
        <v>653</v>
      </c>
      <c r="F645" s="18" t="s">
        <v>198</v>
      </c>
      <c r="G645" s="18" t="s">
        <v>106</v>
      </c>
      <c r="H645" s="18" t="s">
        <v>107</v>
      </c>
      <c r="I645" s="18" t="s">
        <v>108</v>
      </c>
      <c r="J645" s="18">
        <v>3</v>
      </c>
      <c r="K645" s="16">
        <v>23.99</v>
      </c>
      <c r="L645" s="10"/>
      <c r="M645" s="16">
        <v>0</v>
      </c>
      <c r="N645" s="16">
        <v>0</v>
      </c>
      <c r="O645" s="18">
        <v>0</v>
      </c>
      <c r="P645" s="18" t="s">
        <v>133</v>
      </c>
      <c r="Q645" s="18">
        <v>3.218476</v>
      </c>
      <c r="R645" s="10"/>
      <c r="S645" s="16">
        <v>129</v>
      </c>
      <c r="T645" s="16">
        <v>95</v>
      </c>
      <c r="U645" s="18" t="s">
        <v>775</v>
      </c>
      <c r="V645" s="18" t="s">
        <v>104</v>
      </c>
      <c r="W645" s="18" t="s">
        <v>2685</v>
      </c>
      <c r="X645" s="18">
        <v>760575257452</v>
      </c>
      <c r="Y645" s="18" t="s">
        <v>653</v>
      </c>
      <c r="Z645" s="18" t="s">
        <v>198</v>
      </c>
      <c r="AA645" s="18" t="s">
        <v>106</v>
      </c>
      <c r="AB645" s="18" t="s">
        <v>107</v>
      </c>
      <c r="AC645" s="18" t="s">
        <v>108</v>
      </c>
      <c r="AD645" s="18">
        <v>44.98</v>
      </c>
      <c r="AE645" s="18">
        <v>0</v>
      </c>
      <c r="AF645" s="18">
        <v>0</v>
      </c>
      <c r="AG645" s="18">
        <v>0</v>
      </c>
      <c r="AH645" s="18">
        <v>0</v>
      </c>
      <c r="AI645" s="18">
        <v>0</v>
      </c>
      <c r="AJ645" s="18">
        <v>0</v>
      </c>
      <c r="AK645" s="18">
        <v>0</v>
      </c>
      <c r="AL645" s="18">
        <v>0</v>
      </c>
      <c r="AM645" s="18">
        <v>0</v>
      </c>
      <c r="AN645" s="18">
        <v>0</v>
      </c>
      <c r="AO645" s="18">
        <v>0</v>
      </c>
      <c r="AP645" s="18">
        <v>0</v>
      </c>
      <c r="AQ645" s="18">
        <v>0</v>
      </c>
      <c r="AR645" s="18">
        <v>0</v>
      </c>
      <c r="AS645" s="18">
        <v>0</v>
      </c>
      <c r="AT645" s="18">
        <v>0</v>
      </c>
      <c r="AU645" s="18">
        <v>0</v>
      </c>
      <c r="AV645" s="18">
        <v>0</v>
      </c>
      <c r="AW645" s="18">
        <v>0</v>
      </c>
      <c r="AX645" s="18">
        <v>1</v>
      </c>
      <c r="AY645" s="13"/>
      <c r="AZ645" s="18">
        <v>1</v>
      </c>
      <c r="BA645" s="18">
        <v>0</v>
      </c>
      <c r="BB645" s="18">
        <v>52.89</v>
      </c>
      <c r="BC645" s="18" t="s">
        <v>111</v>
      </c>
      <c r="BD645" s="18" t="s">
        <v>112</v>
      </c>
      <c r="BE645" s="18" t="s">
        <v>113</v>
      </c>
      <c r="BF645" s="18" t="s">
        <v>77</v>
      </c>
      <c r="BG645" s="18">
        <v>162</v>
      </c>
      <c r="BH645" s="18">
        <v>24</v>
      </c>
      <c r="BI645" s="18">
        <v>0.871</v>
      </c>
      <c r="BJ645" s="18">
        <v>0</v>
      </c>
      <c r="BK645" s="18">
        <v>2</v>
      </c>
      <c r="BL645" s="18">
        <v>99.5</v>
      </c>
      <c r="BM645" s="13">
        <f t="shared" si="0"/>
        <v>3094.71</v>
      </c>
    </row>
    <row r="646" customHeight="1" spans="1:65">
      <c r="A646" s="18" t="s">
        <v>1410</v>
      </c>
      <c r="B646" s="18" t="s">
        <v>104</v>
      </c>
      <c r="C646" s="18" t="s">
        <v>1411</v>
      </c>
      <c r="D646" s="18">
        <v>194644082901</v>
      </c>
      <c r="E646" s="18" t="s">
        <v>653</v>
      </c>
      <c r="F646" s="18" t="s">
        <v>198</v>
      </c>
      <c r="G646" s="18" t="s">
        <v>106</v>
      </c>
      <c r="H646" s="18" t="s">
        <v>107</v>
      </c>
      <c r="I646" s="18" t="s">
        <v>108</v>
      </c>
      <c r="J646" s="18">
        <v>3</v>
      </c>
      <c r="K646" s="16">
        <v>15.29</v>
      </c>
      <c r="L646" s="16">
        <v>34.99</v>
      </c>
      <c r="M646" s="16">
        <v>56.3</v>
      </c>
      <c r="N646" s="16">
        <v>19.7</v>
      </c>
      <c r="O646" s="18">
        <v>1</v>
      </c>
      <c r="P646" s="18" t="s">
        <v>133</v>
      </c>
      <c r="Q646" s="18">
        <v>2.790551</v>
      </c>
      <c r="R646" s="10"/>
      <c r="S646" s="16">
        <v>290</v>
      </c>
      <c r="T646" s="16">
        <v>7</v>
      </c>
      <c r="U646" s="18" t="s">
        <v>1410</v>
      </c>
      <c r="V646" s="18" t="s">
        <v>104</v>
      </c>
      <c r="W646" s="18" t="s">
        <v>2686</v>
      </c>
      <c r="X646" s="18">
        <v>194644082902</v>
      </c>
      <c r="Y646" s="18" t="s">
        <v>653</v>
      </c>
      <c r="Z646" s="18" t="s">
        <v>198</v>
      </c>
      <c r="AA646" s="18" t="s">
        <v>106</v>
      </c>
      <c r="AB646" s="18" t="s">
        <v>107</v>
      </c>
      <c r="AC646" s="18" t="s">
        <v>108</v>
      </c>
      <c r="AD646" s="18">
        <v>24.1673333333333</v>
      </c>
      <c r="AE646" s="18">
        <v>0</v>
      </c>
      <c r="AF646" s="18">
        <v>0</v>
      </c>
      <c r="AG646" s="18">
        <v>0</v>
      </c>
      <c r="AH646" s="18">
        <v>0</v>
      </c>
      <c r="AI646" s="18">
        <v>0</v>
      </c>
      <c r="AJ646" s="18">
        <v>0</v>
      </c>
      <c r="AK646" s="18">
        <v>0</v>
      </c>
      <c r="AL646" s="18">
        <v>0</v>
      </c>
      <c r="AM646" s="18">
        <v>0</v>
      </c>
      <c r="AN646" s="18">
        <v>0</v>
      </c>
      <c r="AO646" s="18">
        <v>0</v>
      </c>
      <c r="AP646" s="18">
        <v>0</v>
      </c>
      <c r="AQ646" s="18">
        <v>0</v>
      </c>
      <c r="AR646" s="18">
        <v>0</v>
      </c>
      <c r="AS646" s="18">
        <v>0</v>
      </c>
      <c r="AT646" s="18">
        <v>0</v>
      </c>
      <c r="AU646" s="18">
        <v>0</v>
      </c>
      <c r="AV646" s="18">
        <v>0</v>
      </c>
      <c r="AW646" s="18">
        <v>0</v>
      </c>
      <c r="AX646" s="18">
        <v>0</v>
      </c>
      <c r="AY646" s="13"/>
      <c r="AZ646" s="18">
        <v>1</v>
      </c>
      <c r="BA646" s="18">
        <v>0</v>
      </c>
      <c r="BB646" s="18">
        <v>85.8</v>
      </c>
      <c r="BC646" s="18" t="s">
        <v>111</v>
      </c>
      <c r="BD646" s="18" t="s">
        <v>112</v>
      </c>
      <c r="BE646" s="18" t="s">
        <v>113</v>
      </c>
      <c r="BF646" s="18" t="s">
        <v>77</v>
      </c>
      <c r="BG646" s="18">
        <v>162</v>
      </c>
      <c r="BH646" s="18">
        <v>24</v>
      </c>
      <c r="BI646" s="18">
        <v>0.871</v>
      </c>
      <c r="BJ646" s="18">
        <v>0</v>
      </c>
      <c r="BK646" s="18">
        <v>2</v>
      </c>
      <c r="BL646" s="18">
        <v>99.5</v>
      </c>
      <c r="BM646" s="13">
        <f t="shared" si="0"/>
        <v>4434.1</v>
      </c>
    </row>
    <row r="647" customHeight="1" spans="1:65">
      <c r="A647" s="18" t="s">
        <v>1020</v>
      </c>
      <c r="B647" s="18" t="s">
        <v>104</v>
      </c>
      <c r="C647" s="18" t="s">
        <v>1021</v>
      </c>
      <c r="D647" s="18">
        <v>649661207733</v>
      </c>
      <c r="E647" s="18" t="s">
        <v>235</v>
      </c>
      <c r="F647" s="18" t="s">
        <v>198</v>
      </c>
      <c r="G647" s="18" t="s">
        <v>106</v>
      </c>
      <c r="H647" s="18" t="s">
        <v>107</v>
      </c>
      <c r="I647" s="18" t="s">
        <v>108</v>
      </c>
      <c r="J647" s="18">
        <v>3</v>
      </c>
      <c r="K647" s="16">
        <v>19.99</v>
      </c>
      <c r="L647" s="10"/>
      <c r="M647" s="16">
        <v>0</v>
      </c>
      <c r="N647" s="16">
        <v>0</v>
      </c>
      <c r="O647" s="18">
        <v>0</v>
      </c>
      <c r="P647" s="18" t="s">
        <v>133</v>
      </c>
      <c r="Q647" s="18">
        <v>3.044046</v>
      </c>
      <c r="R647" s="10"/>
      <c r="S647" s="16">
        <v>37</v>
      </c>
      <c r="T647" s="16">
        <v>52</v>
      </c>
      <c r="U647" s="18" t="s">
        <v>1020</v>
      </c>
      <c r="V647" s="18" t="s">
        <v>104</v>
      </c>
      <c r="W647" s="18" t="s">
        <v>2687</v>
      </c>
      <c r="X647" s="18">
        <v>649661207734</v>
      </c>
      <c r="Y647" s="18" t="s">
        <v>235</v>
      </c>
      <c r="Z647" s="18" t="s">
        <v>198</v>
      </c>
      <c r="AA647" s="18" t="s">
        <v>106</v>
      </c>
      <c r="AB647" s="18" t="s">
        <v>107</v>
      </c>
      <c r="AC647" s="18" t="s">
        <v>108</v>
      </c>
      <c r="AD647" s="18">
        <v>36.98</v>
      </c>
      <c r="AE647" s="18">
        <v>0</v>
      </c>
      <c r="AF647" s="18">
        <v>0</v>
      </c>
      <c r="AG647" s="18">
        <v>0</v>
      </c>
      <c r="AH647" s="18">
        <v>0</v>
      </c>
      <c r="AI647" s="18">
        <v>0</v>
      </c>
      <c r="AJ647" s="18">
        <v>0</v>
      </c>
      <c r="AK647" s="18">
        <v>0</v>
      </c>
      <c r="AL647" s="18">
        <v>0</v>
      </c>
      <c r="AM647" s="18">
        <v>0</v>
      </c>
      <c r="AN647" s="18">
        <v>0</v>
      </c>
      <c r="AO647" s="18">
        <v>0</v>
      </c>
      <c r="AP647" s="18">
        <v>0</v>
      </c>
      <c r="AQ647" s="18">
        <v>0</v>
      </c>
      <c r="AR647" s="18">
        <v>0</v>
      </c>
      <c r="AS647" s="18">
        <v>0</v>
      </c>
      <c r="AT647" s="18">
        <v>0</v>
      </c>
      <c r="AU647" s="18">
        <v>0</v>
      </c>
      <c r="AV647" s="18">
        <v>0</v>
      </c>
      <c r="AW647" s="18">
        <v>1</v>
      </c>
      <c r="AX647" s="18">
        <v>1</v>
      </c>
      <c r="AY647" s="13"/>
      <c r="AZ647" s="18">
        <v>1</v>
      </c>
      <c r="BA647" s="18">
        <v>0</v>
      </c>
      <c r="BB647" s="18">
        <v>46.48</v>
      </c>
      <c r="BC647" s="18" t="s">
        <v>111</v>
      </c>
      <c r="BD647" s="18" t="s">
        <v>112</v>
      </c>
      <c r="BE647" s="18" t="s">
        <v>113</v>
      </c>
      <c r="BF647" s="18" t="s">
        <v>77</v>
      </c>
      <c r="BG647" s="18">
        <v>162</v>
      </c>
      <c r="BH647" s="18">
        <v>24</v>
      </c>
      <c r="BI647" s="18">
        <v>0.871</v>
      </c>
      <c r="BJ647" s="18">
        <v>0</v>
      </c>
      <c r="BK647" s="18">
        <v>2</v>
      </c>
      <c r="BL647" s="18">
        <v>99.5</v>
      </c>
      <c r="BM647" s="13">
        <f t="shared" si="0"/>
        <v>739.63</v>
      </c>
    </row>
    <row r="648" customHeight="1" spans="1:65">
      <c r="A648" s="18" t="s">
        <v>1533</v>
      </c>
      <c r="B648" s="18" t="s">
        <v>104</v>
      </c>
      <c r="C648" s="18" t="s">
        <v>1534</v>
      </c>
      <c r="D648" s="18">
        <v>194644322960</v>
      </c>
      <c r="E648" s="18" t="s">
        <v>81</v>
      </c>
      <c r="F648" s="18" t="s">
        <v>82</v>
      </c>
      <c r="G648" s="18" t="s">
        <v>106</v>
      </c>
      <c r="H648" s="18" t="s">
        <v>107</v>
      </c>
      <c r="I648" s="18" t="s">
        <v>108</v>
      </c>
      <c r="J648" s="18">
        <v>3</v>
      </c>
      <c r="K648" s="16">
        <v>49.99</v>
      </c>
      <c r="L648" s="16">
        <v>59.99</v>
      </c>
      <c r="M648" s="16">
        <v>16.67</v>
      </c>
      <c r="N648" s="16">
        <v>10</v>
      </c>
      <c r="O648" s="18">
        <v>1</v>
      </c>
      <c r="P648" s="18" t="s">
        <v>86</v>
      </c>
      <c r="Q648" s="18">
        <v>3.93163</v>
      </c>
      <c r="R648" s="10"/>
      <c r="S648" s="16">
        <v>72</v>
      </c>
      <c r="T648" s="10"/>
      <c r="U648" s="18" t="s">
        <v>1533</v>
      </c>
      <c r="V648" s="18" t="s">
        <v>104</v>
      </c>
      <c r="W648" s="18" t="s">
        <v>2688</v>
      </c>
      <c r="X648" s="18">
        <v>194644322961</v>
      </c>
      <c r="Y648" s="18" t="s">
        <v>81</v>
      </c>
      <c r="Z648" s="18" t="s">
        <v>82</v>
      </c>
      <c r="AA648" s="18" t="s">
        <v>106</v>
      </c>
      <c r="AB648" s="18" t="s">
        <v>107</v>
      </c>
      <c r="AC648" s="18" t="s">
        <v>108</v>
      </c>
      <c r="AD648" s="18">
        <v>6.11266666666664</v>
      </c>
      <c r="AE648" s="18">
        <v>1</v>
      </c>
      <c r="AF648" s="18">
        <v>0</v>
      </c>
      <c r="AG648" s="18">
        <v>0</v>
      </c>
      <c r="AH648" s="18">
        <v>1</v>
      </c>
      <c r="AI648" s="18">
        <v>0</v>
      </c>
      <c r="AJ648" s="18">
        <v>0</v>
      </c>
      <c r="AK648" s="18">
        <v>0</v>
      </c>
      <c r="AL648" s="18">
        <v>0</v>
      </c>
      <c r="AM648" s="18">
        <v>0</v>
      </c>
      <c r="AN648" s="18">
        <v>0</v>
      </c>
      <c r="AO648" s="18">
        <v>0</v>
      </c>
      <c r="AP648" s="18">
        <v>0</v>
      </c>
      <c r="AQ648" s="18">
        <v>0</v>
      </c>
      <c r="AR648" s="18">
        <v>0</v>
      </c>
      <c r="AS648" s="18">
        <v>0</v>
      </c>
      <c r="AT648" s="18">
        <v>1</v>
      </c>
      <c r="AU648" s="18">
        <v>0</v>
      </c>
      <c r="AV648" s="18">
        <v>0</v>
      </c>
      <c r="AW648" s="18">
        <v>0</v>
      </c>
      <c r="AX648" s="18">
        <v>1</v>
      </c>
      <c r="AY648" s="13"/>
      <c r="AZ648" s="18">
        <v>1</v>
      </c>
      <c r="BA648" s="18">
        <v>2</v>
      </c>
      <c r="BB648" s="18">
        <v>74.85</v>
      </c>
      <c r="BC648" s="18" t="s">
        <v>111</v>
      </c>
      <c r="BD648" s="18" t="s">
        <v>112</v>
      </c>
      <c r="BE648" s="18" t="s">
        <v>128</v>
      </c>
      <c r="BF648" s="18" t="s">
        <v>77</v>
      </c>
      <c r="BG648" s="18">
        <v>162</v>
      </c>
      <c r="BH648" s="18">
        <v>24</v>
      </c>
      <c r="BI648" s="18">
        <v>0.871</v>
      </c>
      <c r="BJ648" s="18">
        <v>0</v>
      </c>
      <c r="BK648" s="18">
        <v>2</v>
      </c>
      <c r="BL648" s="18">
        <v>99.5</v>
      </c>
      <c r="BM648" s="13">
        <f t="shared" si="0"/>
        <v>3599.28</v>
      </c>
    </row>
    <row r="649" customHeight="1" spans="1:65">
      <c r="A649" s="18" t="s">
        <v>1546</v>
      </c>
      <c r="B649" s="18" t="s">
        <v>104</v>
      </c>
      <c r="C649" s="18" t="s">
        <v>1547</v>
      </c>
      <c r="D649" s="18">
        <v>786513667403</v>
      </c>
      <c r="E649" s="18" t="s">
        <v>81</v>
      </c>
      <c r="F649" s="18" t="s">
        <v>82</v>
      </c>
      <c r="G649" s="18" t="s">
        <v>106</v>
      </c>
      <c r="H649" s="18" t="s">
        <v>107</v>
      </c>
      <c r="I649" s="18" t="s">
        <v>108</v>
      </c>
      <c r="J649" s="18">
        <v>3</v>
      </c>
      <c r="K649" s="16">
        <v>28.49</v>
      </c>
      <c r="L649" s="16">
        <v>54.99</v>
      </c>
      <c r="M649" s="16">
        <v>48.19</v>
      </c>
      <c r="N649" s="16">
        <v>26.5</v>
      </c>
      <c r="O649" s="18">
        <v>1</v>
      </c>
      <c r="P649" s="18" t="s">
        <v>86</v>
      </c>
      <c r="Q649" s="18">
        <v>3.384051</v>
      </c>
      <c r="R649" s="10"/>
      <c r="S649" s="16">
        <v>1409</v>
      </c>
      <c r="T649" s="16">
        <v>400</v>
      </c>
      <c r="U649" s="18" t="s">
        <v>1546</v>
      </c>
      <c r="V649" s="18" t="s">
        <v>104</v>
      </c>
      <c r="W649" s="18" t="s">
        <v>2689</v>
      </c>
      <c r="X649" s="18">
        <v>786513667404</v>
      </c>
      <c r="Y649" s="18" t="s">
        <v>81</v>
      </c>
      <c r="Z649" s="18" t="s">
        <v>82</v>
      </c>
      <c r="AA649" s="18" t="s">
        <v>106</v>
      </c>
      <c r="AB649" s="18" t="s">
        <v>107</v>
      </c>
      <c r="AC649" s="18" t="s">
        <v>108</v>
      </c>
      <c r="AD649" s="18">
        <v>24.7513333333333</v>
      </c>
      <c r="AE649" s="18">
        <v>0</v>
      </c>
      <c r="AF649" s="18">
        <v>0</v>
      </c>
      <c r="AG649" s="18">
        <v>0</v>
      </c>
      <c r="AH649" s="18">
        <v>1</v>
      </c>
      <c r="AI649" s="18">
        <v>0</v>
      </c>
      <c r="AJ649" s="18">
        <v>0</v>
      </c>
      <c r="AK649" s="18">
        <v>0</v>
      </c>
      <c r="AL649" s="18">
        <v>0</v>
      </c>
      <c r="AM649" s="18">
        <v>0</v>
      </c>
      <c r="AN649" s="18">
        <v>0</v>
      </c>
      <c r="AO649" s="18">
        <v>0</v>
      </c>
      <c r="AP649" s="18">
        <v>0</v>
      </c>
      <c r="AQ649" s="18">
        <v>0</v>
      </c>
      <c r="AR649" s="18">
        <v>0</v>
      </c>
      <c r="AS649" s="18">
        <v>0</v>
      </c>
      <c r="AT649" s="18">
        <v>0</v>
      </c>
      <c r="AU649" s="18">
        <v>1</v>
      </c>
      <c r="AV649" s="18">
        <v>0</v>
      </c>
      <c r="AW649" s="18">
        <v>0</v>
      </c>
      <c r="AX649" s="18">
        <v>1</v>
      </c>
      <c r="AY649" s="13"/>
      <c r="AZ649" s="18">
        <v>1</v>
      </c>
      <c r="BA649" s="18">
        <v>2</v>
      </c>
      <c r="BB649" s="18">
        <v>75.46</v>
      </c>
      <c r="BC649" s="18" t="s">
        <v>111</v>
      </c>
      <c r="BD649" s="18" t="s">
        <v>112</v>
      </c>
      <c r="BE649" s="18" t="s">
        <v>128</v>
      </c>
      <c r="BF649" s="18" t="s">
        <v>77</v>
      </c>
      <c r="BG649" s="18">
        <v>162</v>
      </c>
      <c r="BH649" s="18">
        <v>24</v>
      </c>
      <c r="BI649" s="18">
        <v>0.871</v>
      </c>
      <c r="BJ649" s="18">
        <v>0</v>
      </c>
      <c r="BK649" s="18">
        <v>2</v>
      </c>
      <c r="BL649" s="18">
        <v>99.5</v>
      </c>
      <c r="BM649" s="13">
        <f t="shared" si="0"/>
        <v>40142.41</v>
      </c>
    </row>
    <row r="650" customHeight="1" spans="1:65">
      <c r="A650" s="18" t="s">
        <v>1560</v>
      </c>
      <c r="B650" s="18" t="s">
        <v>104</v>
      </c>
      <c r="C650" s="18" t="s">
        <v>640</v>
      </c>
      <c r="D650" s="18">
        <v>194644396848</v>
      </c>
      <c r="E650" s="18" t="s">
        <v>81</v>
      </c>
      <c r="F650" s="18" t="s">
        <v>82</v>
      </c>
      <c r="G650" s="18" t="s">
        <v>106</v>
      </c>
      <c r="H650" s="18" t="s">
        <v>107</v>
      </c>
      <c r="I650" s="18" t="s">
        <v>108</v>
      </c>
      <c r="J650" s="18">
        <v>3</v>
      </c>
      <c r="K650" s="16">
        <v>380</v>
      </c>
      <c r="L650" s="16">
        <v>599.99</v>
      </c>
      <c r="M650" s="16">
        <v>36.67</v>
      </c>
      <c r="N650" s="16">
        <v>219.99</v>
      </c>
      <c r="O650" s="18">
        <v>1</v>
      </c>
      <c r="P650" s="18" t="s">
        <v>71</v>
      </c>
      <c r="Q650" s="18">
        <v>5.942799</v>
      </c>
      <c r="R650" s="10"/>
      <c r="S650" s="16">
        <v>136</v>
      </c>
      <c r="T650" s="16">
        <v>20</v>
      </c>
      <c r="U650" s="18" t="s">
        <v>1560</v>
      </c>
      <c r="V650" s="18" t="s">
        <v>104</v>
      </c>
      <c r="W650" s="18" t="s">
        <v>2530</v>
      </c>
      <c r="X650" s="18">
        <v>194644396849</v>
      </c>
      <c r="Y650" s="18" t="s">
        <v>81</v>
      </c>
      <c r="Z650" s="18" t="s">
        <v>82</v>
      </c>
      <c r="AA650" s="18" t="s">
        <v>106</v>
      </c>
      <c r="AB650" s="18" t="s">
        <v>107</v>
      </c>
      <c r="AC650" s="18" t="s">
        <v>108</v>
      </c>
      <c r="AD650" s="18">
        <v>101.44</v>
      </c>
      <c r="AE650" s="18">
        <v>1</v>
      </c>
      <c r="AF650" s="18">
        <v>0</v>
      </c>
      <c r="AG650" s="18">
        <v>0</v>
      </c>
      <c r="AH650" s="18">
        <v>1</v>
      </c>
      <c r="AI650" s="18">
        <v>0</v>
      </c>
      <c r="AJ650" s="18">
        <v>0</v>
      </c>
      <c r="AK650" s="18">
        <v>0</v>
      </c>
      <c r="AL650" s="18">
        <v>0</v>
      </c>
      <c r="AM650" s="18">
        <v>0</v>
      </c>
      <c r="AN650" s="18">
        <v>0</v>
      </c>
      <c r="AO650" s="18">
        <v>0</v>
      </c>
      <c r="AP650" s="18">
        <v>0</v>
      </c>
      <c r="AQ650" s="18">
        <v>0</v>
      </c>
      <c r="AR650" s="18">
        <v>0</v>
      </c>
      <c r="AS650" s="18">
        <v>0</v>
      </c>
      <c r="AT650" s="18">
        <v>1</v>
      </c>
      <c r="AU650" s="18">
        <v>0</v>
      </c>
      <c r="AV650" s="18">
        <v>0</v>
      </c>
      <c r="AW650" s="18">
        <v>0</v>
      </c>
      <c r="AX650" s="18">
        <v>0</v>
      </c>
      <c r="AY650" s="13"/>
      <c r="AZ650" s="18">
        <v>1</v>
      </c>
      <c r="BA650" s="18">
        <v>2</v>
      </c>
      <c r="BB650" s="18">
        <v>75.72</v>
      </c>
      <c r="BC650" s="18" t="s">
        <v>111</v>
      </c>
      <c r="BD650" s="18" t="s">
        <v>112</v>
      </c>
      <c r="BE650" s="18" t="s">
        <v>128</v>
      </c>
      <c r="BF650" s="18" t="s">
        <v>77</v>
      </c>
      <c r="BG650" s="18">
        <v>162</v>
      </c>
      <c r="BH650" s="18">
        <v>24</v>
      </c>
      <c r="BI650" s="18">
        <v>0.871</v>
      </c>
      <c r="BJ650" s="18">
        <v>0</v>
      </c>
      <c r="BK650" s="18">
        <v>2</v>
      </c>
      <c r="BL650" s="18">
        <v>99.5</v>
      </c>
      <c r="BM650" s="13">
        <f t="shared" si="0"/>
        <v>51680</v>
      </c>
    </row>
    <row r="651" customHeight="1" spans="1:65">
      <c r="A651" s="18" t="s">
        <v>1561</v>
      </c>
      <c r="B651" s="18" t="s">
        <v>104</v>
      </c>
      <c r="C651" s="18" t="s">
        <v>594</v>
      </c>
      <c r="D651" s="18">
        <v>194644178727</v>
      </c>
      <c r="E651" s="18" t="s">
        <v>81</v>
      </c>
      <c r="F651" s="18" t="s">
        <v>82</v>
      </c>
      <c r="G651" s="18" t="s">
        <v>106</v>
      </c>
      <c r="H651" s="18" t="s">
        <v>107</v>
      </c>
      <c r="I651" s="18" t="s">
        <v>108</v>
      </c>
      <c r="J651" s="18">
        <v>3</v>
      </c>
      <c r="K651" s="16">
        <v>99.99</v>
      </c>
      <c r="L651" s="16">
        <v>199.99</v>
      </c>
      <c r="M651" s="16">
        <v>50</v>
      </c>
      <c r="N651" s="16">
        <v>100</v>
      </c>
      <c r="O651" s="18">
        <v>1</v>
      </c>
      <c r="P651" s="18" t="s">
        <v>95</v>
      </c>
      <c r="Q651" s="18">
        <v>4.615022</v>
      </c>
      <c r="R651" s="10"/>
      <c r="S651" s="16">
        <v>5648</v>
      </c>
      <c r="T651" s="10"/>
      <c r="U651" s="18" t="s">
        <v>1561</v>
      </c>
      <c r="V651" s="18" t="s">
        <v>104</v>
      </c>
      <c r="W651" s="18" t="s">
        <v>1347</v>
      </c>
      <c r="X651" s="18">
        <v>194644178728</v>
      </c>
      <c r="Y651" s="18" t="s">
        <v>81</v>
      </c>
      <c r="Z651" s="18" t="s">
        <v>82</v>
      </c>
      <c r="AA651" s="18" t="s">
        <v>106</v>
      </c>
      <c r="AB651" s="18" t="s">
        <v>107</v>
      </c>
      <c r="AC651" s="18" t="s">
        <v>108</v>
      </c>
      <c r="AD651" s="18">
        <v>59.6673333333333</v>
      </c>
      <c r="AE651" s="18">
        <v>1</v>
      </c>
      <c r="AF651" s="18">
        <v>0</v>
      </c>
      <c r="AG651" s="18">
        <v>0</v>
      </c>
      <c r="AH651" s="18">
        <v>1</v>
      </c>
      <c r="AI651" s="18">
        <v>0</v>
      </c>
      <c r="AJ651" s="18">
        <v>0</v>
      </c>
      <c r="AK651" s="18">
        <v>1</v>
      </c>
      <c r="AL651" s="18">
        <v>0</v>
      </c>
      <c r="AM651" s="18">
        <v>0</v>
      </c>
      <c r="AN651" s="18">
        <v>0</v>
      </c>
      <c r="AO651" s="18">
        <v>0</v>
      </c>
      <c r="AP651" s="18">
        <v>0</v>
      </c>
      <c r="AQ651" s="18">
        <v>0</v>
      </c>
      <c r="AR651" s="18">
        <v>0</v>
      </c>
      <c r="AS651" s="18">
        <v>0</v>
      </c>
      <c r="AT651" s="18">
        <v>0</v>
      </c>
      <c r="AU651" s="18">
        <v>0</v>
      </c>
      <c r="AV651" s="18">
        <v>0</v>
      </c>
      <c r="AW651" s="18">
        <v>0</v>
      </c>
      <c r="AX651" s="18">
        <v>0</v>
      </c>
      <c r="AY651" s="13"/>
      <c r="AZ651" s="18">
        <v>1</v>
      </c>
      <c r="BA651" s="18">
        <v>4</v>
      </c>
      <c r="BB651" s="18">
        <v>84.85</v>
      </c>
      <c r="BC651" s="18" t="s">
        <v>111</v>
      </c>
      <c r="BD651" s="18" t="s">
        <v>112</v>
      </c>
      <c r="BE651" s="18" t="s">
        <v>128</v>
      </c>
      <c r="BF651" s="18" t="s">
        <v>77</v>
      </c>
      <c r="BG651" s="18">
        <v>162</v>
      </c>
      <c r="BH651" s="18">
        <v>24</v>
      </c>
      <c r="BI651" s="18">
        <v>0.871</v>
      </c>
      <c r="BJ651" s="18">
        <v>0</v>
      </c>
      <c r="BK651" s="18">
        <v>2</v>
      </c>
      <c r="BL651" s="18">
        <v>99.5</v>
      </c>
      <c r="BM651" s="13">
        <f t="shared" si="0"/>
        <v>564743.52</v>
      </c>
    </row>
    <row r="652" customHeight="1" spans="1:65">
      <c r="A652" s="18" t="s">
        <v>2253</v>
      </c>
      <c r="B652" s="18" t="s">
        <v>104</v>
      </c>
      <c r="C652" s="13"/>
      <c r="D652" s="18">
        <v>194644308117</v>
      </c>
      <c r="E652" s="18" t="s">
        <v>81</v>
      </c>
      <c r="F652" s="18" t="s">
        <v>82</v>
      </c>
      <c r="G652" s="18" t="s">
        <v>106</v>
      </c>
      <c r="H652" s="18" t="s">
        <v>107</v>
      </c>
      <c r="I652" s="18" t="s">
        <v>108</v>
      </c>
      <c r="J652" s="18">
        <v>3</v>
      </c>
      <c r="K652" s="16">
        <v>199.99</v>
      </c>
      <c r="L652" s="16">
        <v>263.99</v>
      </c>
      <c r="M652" s="16">
        <v>24.24</v>
      </c>
      <c r="N652" s="16">
        <v>64</v>
      </c>
      <c r="O652" s="18">
        <v>1</v>
      </c>
      <c r="P652" s="18" t="s">
        <v>95</v>
      </c>
      <c r="Q652" s="18">
        <v>5.303255</v>
      </c>
      <c r="R652" s="10"/>
      <c r="S652" s="16">
        <v>27</v>
      </c>
      <c r="T652" s="16">
        <v>121</v>
      </c>
      <c r="U652" s="18" t="s">
        <v>2253</v>
      </c>
      <c r="V652" s="18" t="s">
        <v>104</v>
      </c>
      <c r="W652" s="13"/>
      <c r="X652" s="18">
        <v>194644308118</v>
      </c>
      <c r="Y652" s="18" t="s">
        <v>81</v>
      </c>
      <c r="Z652" s="18" t="s">
        <v>82</v>
      </c>
      <c r="AA652" s="18" t="s">
        <v>106</v>
      </c>
      <c r="AB652" s="18" t="s">
        <v>107</v>
      </c>
      <c r="AC652" s="18" t="s">
        <v>108</v>
      </c>
      <c r="AD652" s="18">
        <v>26.931333333333</v>
      </c>
      <c r="AE652" s="18">
        <v>0</v>
      </c>
      <c r="AF652" s="18">
        <v>0</v>
      </c>
      <c r="AG652" s="18">
        <v>1</v>
      </c>
      <c r="AH652" s="18">
        <v>0</v>
      </c>
      <c r="AI652" s="18">
        <v>1</v>
      </c>
      <c r="AJ652" s="18">
        <v>0</v>
      </c>
      <c r="AK652" s="18">
        <v>1</v>
      </c>
      <c r="AL652" s="18">
        <v>0</v>
      </c>
      <c r="AM652" s="18">
        <v>0</v>
      </c>
      <c r="AN652" s="18">
        <v>0</v>
      </c>
      <c r="AO652" s="18">
        <v>0</v>
      </c>
      <c r="AP652" s="18">
        <v>0</v>
      </c>
      <c r="AQ652" s="18">
        <v>1</v>
      </c>
      <c r="AR652" s="18">
        <v>0</v>
      </c>
      <c r="AS652" s="18">
        <v>0</v>
      </c>
      <c r="AT652" s="18">
        <v>0</v>
      </c>
      <c r="AU652" s="18">
        <v>0</v>
      </c>
      <c r="AV652" s="18">
        <v>1</v>
      </c>
      <c r="AW652" s="18">
        <v>0</v>
      </c>
      <c r="AX652" s="18">
        <v>1</v>
      </c>
      <c r="AY652" s="13"/>
      <c r="AZ652" s="18">
        <v>1</v>
      </c>
      <c r="BA652" s="18">
        <v>2</v>
      </c>
      <c r="BB652" s="18">
        <v>44.42</v>
      </c>
      <c r="BC652" s="18" t="s">
        <v>111</v>
      </c>
      <c r="BD652" s="18" t="s">
        <v>112</v>
      </c>
      <c r="BE652" s="18" t="s">
        <v>128</v>
      </c>
      <c r="BF652" s="18" t="s">
        <v>77</v>
      </c>
      <c r="BG652" s="18">
        <v>162</v>
      </c>
      <c r="BH652" s="18">
        <v>24</v>
      </c>
      <c r="BI652" s="18">
        <v>0.871</v>
      </c>
      <c r="BJ652" s="18">
        <v>0</v>
      </c>
      <c r="BK652" s="18">
        <v>2</v>
      </c>
      <c r="BL652" s="18">
        <v>99.5</v>
      </c>
      <c r="BM652" s="13">
        <f t="shared" si="0"/>
        <v>5399.73</v>
      </c>
    </row>
    <row r="653" customHeight="1" spans="1:65">
      <c r="A653" s="18" t="s">
        <v>207</v>
      </c>
      <c r="B653" s="18" t="s">
        <v>104</v>
      </c>
      <c r="C653" s="18" t="s">
        <v>208</v>
      </c>
      <c r="D653" s="18">
        <v>194644042523</v>
      </c>
      <c r="E653" s="18" t="s">
        <v>209</v>
      </c>
      <c r="F653" s="18" t="s">
        <v>68</v>
      </c>
      <c r="G653" s="18" t="s">
        <v>106</v>
      </c>
      <c r="H653" s="18" t="s">
        <v>107</v>
      </c>
      <c r="I653" s="18" t="s">
        <v>108</v>
      </c>
      <c r="J653" s="18">
        <v>3</v>
      </c>
      <c r="K653" s="16">
        <v>169.99</v>
      </c>
      <c r="L653" s="16">
        <v>379.99</v>
      </c>
      <c r="M653" s="16">
        <v>55.26</v>
      </c>
      <c r="N653" s="16">
        <v>210</v>
      </c>
      <c r="O653" s="18">
        <v>1</v>
      </c>
      <c r="P653" s="18" t="s">
        <v>95</v>
      </c>
      <c r="Q653" s="18">
        <v>5.141605</v>
      </c>
      <c r="R653" s="10"/>
      <c r="S653" s="16">
        <v>646</v>
      </c>
      <c r="T653" s="16">
        <v>197</v>
      </c>
      <c r="U653" s="18" t="s">
        <v>207</v>
      </c>
      <c r="V653" s="18" t="s">
        <v>104</v>
      </c>
      <c r="W653" s="18" t="s">
        <v>2676</v>
      </c>
      <c r="X653" s="18">
        <v>194644042524</v>
      </c>
      <c r="Y653" s="18" t="s">
        <v>209</v>
      </c>
      <c r="Z653" s="18" t="s">
        <v>68</v>
      </c>
      <c r="AA653" s="18" t="s">
        <v>106</v>
      </c>
      <c r="AB653" s="18" t="s">
        <v>107</v>
      </c>
      <c r="AC653" s="18" t="s">
        <v>108</v>
      </c>
      <c r="AD653" s="18">
        <v>115.07</v>
      </c>
      <c r="AE653" s="18">
        <v>1</v>
      </c>
      <c r="AF653" s="18">
        <v>0</v>
      </c>
      <c r="AG653" s="18">
        <v>0</v>
      </c>
      <c r="AH653" s="18">
        <v>1</v>
      </c>
      <c r="AI653" s="18">
        <v>0</v>
      </c>
      <c r="AJ653" s="18">
        <v>0</v>
      </c>
      <c r="AK653" s="18">
        <v>0</v>
      </c>
      <c r="AL653" s="18">
        <v>0</v>
      </c>
      <c r="AM653" s="18">
        <v>0</v>
      </c>
      <c r="AN653" s="18">
        <v>0</v>
      </c>
      <c r="AO653" s="18">
        <v>0</v>
      </c>
      <c r="AP653" s="18">
        <v>0</v>
      </c>
      <c r="AQ653" s="18">
        <v>0</v>
      </c>
      <c r="AR653" s="18">
        <v>0</v>
      </c>
      <c r="AS653" s="18">
        <v>0</v>
      </c>
      <c r="AT653" s="18">
        <v>1</v>
      </c>
      <c r="AU653" s="18">
        <v>0</v>
      </c>
      <c r="AV653" s="18">
        <v>0</v>
      </c>
      <c r="AW653" s="18">
        <v>1</v>
      </c>
      <c r="AX653" s="18">
        <v>0</v>
      </c>
      <c r="AY653" s="13"/>
      <c r="AZ653" s="18">
        <v>1</v>
      </c>
      <c r="BA653" s="18">
        <v>2</v>
      </c>
      <c r="BB653" s="18">
        <v>77.08</v>
      </c>
      <c r="BC653" s="18" t="s">
        <v>111</v>
      </c>
      <c r="BD653" s="18" t="s">
        <v>112</v>
      </c>
      <c r="BE653" s="18" t="s">
        <v>128</v>
      </c>
      <c r="BF653" s="18" t="s">
        <v>77</v>
      </c>
      <c r="BG653" s="18">
        <v>162</v>
      </c>
      <c r="BH653" s="18">
        <v>24</v>
      </c>
      <c r="BI653" s="18">
        <v>0.871</v>
      </c>
      <c r="BJ653" s="18">
        <v>0</v>
      </c>
      <c r="BK653" s="18">
        <v>2</v>
      </c>
      <c r="BL653" s="18">
        <v>99.5</v>
      </c>
      <c r="BM653" s="13">
        <f t="shared" si="0"/>
        <v>109813.54</v>
      </c>
    </row>
    <row r="654" customHeight="1" spans="1:65">
      <c r="A654" s="18" t="s">
        <v>944</v>
      </c>
      <c r="B654" s="18" t="s">
        <v>104</v>
      </c>
      <c r="C654" s="18" t="s">
        <v>945</v>
      </c>
      <c r="D654" s="18">
        <v>194644305604</v>
      </c>
      <c r="E654" s="18" t="s">
        <v>209</v>
      </c>
      <c r="F654" s="18" t="s">
        <v>160</v>
      </c>
      <c r="G654" s="18" t="s">
        <v>106</v>
      </c>
      <c r="H654" s="18" t="s">
        <v>107</v>
      </c>
      <c r="I654" s="18" t="s">
        <v>108</v>
      </c>
      <c r="J654" s="18">
        <v>3</v>
      </c>
      <c r="K654" s="16">
        <v>1019.99</v>
      </c>
      <c r="L654" s="16">
        <v>1499.99</v>
      </c>
      <c r="M654" s="16">
        <v>32</v>
      </c>
      <c r="N654" s="16">
        <v>480</v>
      </c>
      <c r="O654" s="18">
        <v>1</v>
      </c>
      <c r="P654" s="18" t="s">
        <v>147</v>
      </c>
      <c r="Q654" s="18">
        <v>6.928528</v>
      </c>
      <c r="R654" s="16">
        <v>127.5</v>
      </c>
      <c r="S654" s="16">
        <v>32</v>
      </c>
      <c r="T654" s="16">
        <v>137</v>
      </c>
      <c r="U654" s="18" t="s">
        <v>944</v>
      </c>
      <c r="V654" s="18" t="s">
        <v>104</v>
      </c>
      <c r="W654" s="18" t="s">
        <v>2536</v>
      </c>
      <c r="X654" s="18">
        <v>194644305605</v>
      </c>
      <c r="Y654" s="18" t="s">
        <v>209</v>
      </c>
      <c r="Z654" s="18" t="s">
        <v>160</v>
      </c>
      <c r="AA654" s="18" t="s">
        <v>106</v>
      </c>
      <c r="AB654" s="18" t="s">
        <v>107</v>
      </c>
      <c r="AC654" s="18" t="s">
        <v>108</v>
      </c>
      <c r="AD654" s="18">
        <v>196.200666666667</v>
      </c>
      <c r="AE654" s="18">
        <v>0</v>
      </c>
      <c r="AF654" s="18">
        <v>0</v>
      </c>
      <c r="AG654" s="18">
        <v>1</v>
      </c>
      <c r="AH654" s="18">
        <v>0</v>
      </c>
      <c r="AI654" s="18">
        <v>1</v>
      </c>
      <c r="AJ654" s="18">
        <v>0</v>
      </c>
      <c r="AK654" s="18">
        <v>1</v>
      </c>
      <c r="AL654" s="18">
        <v>0</v>
      </c>
      <c r="AM654" s="18">
        <v>0</v>
      </c>
      <c r="AN654" s="18">
        <v>0</v>
      </c>
      <c r="AO654" s="18">
        <v>0</v>
      </c>
      <c r="AP654" s="18">
        <v>0</v>
      </c>
      <c r="AQ654" s="18">
        <v>1</v>
      </c>
      <c r="AR654" s="18">
        <v>0</v>
      </c>
      <c r="AS654" s="18">
        <v>0</v>
      </c>
      <c r="AT654" s="18">
        <v>0</v>
      </c>
      <c r="AU654" s="18">
        <v>0</v>
      </c>
      <c r="AV654" s="18">
        <v>1</v>
      </c>
      <c r="AW654" s="18">
        <v>1</v>
      </c>
      <c r="AX654" s="18">
        <v>1</v>
      </c>
      <c r="AY654" s="18">
        <v>8</v>
      </c>
      <c r="AZ654" s="18">
        <v>1</v>
      </c>
      <c r="BA654" s="18">
        <v>2</v>
      </c>
      <c r="BB654" s="18">
        <v>47.02</v>
      </c>
      <c r="BC654" s="18" t="s">
        <v>111</v>
      </c>
      <c r="BD654" s="18" t="s">
        <v>112</v>
      </c>
      <c r="BE654" s="18" t="s">
        <v>128</v>
      </c>
      <c r="BF654" s="18" t="s">
        <v>77</v>
      </c>
      <c r="BG654" s="18">
        <v>38</v>
      </c>
      <c r="BH654" s="18">
        <v>36</v>
      </c>
      <c r="BI654" s="18">
        <v>0.5135</v>
      </c>
      <c r="BJ654" s="18">
        <v>0</v>
      </c>
      <c r="BK654" s="18">
        <v>2</v>
      </c>
      <c r="BL654" s="18">
        <v>99.5</v>
      </c>
      <c r="BM654" s="13">
        <f t="shared" si="0"/>
        <v>32639.68</v>
      </c>
    </row>
    <row r="655" customHeight="1" spans="1:65">
      <c r="A655" s="18" t="s">
        <v>1346</v>
      </c>
      <c r="B655" s="18" t="s">
        <v>104</v>
      </c>
      <c r="C655" s="18" t="s">
        <v>1347</v>
      </c>
      <c r="D655" s="18">
        <v>194644232290</v>
      </c>
      <c r="E655" s="18" t="s">
        <v>81</v>
      </c>
      <c r="F655" s="18" t="s">
        <v>82</v>
      </c>
      <c r="G655" s="18" t="s">
        <v>106</v>
      </c>
      <c r="H655" s="18" t="s">
        <v>107</v>
      </c>
      <c r="I655" s="18" t="s">
        <v>108</v>
      </c>
      <c r="J655" s="18">
        <v>3</v>
      </c>
      <c r="K655" s="16">
        <v>289.99</v>
      </c>
      <c r="L655" s="16">
        <v>549.99</v>
      </c>
      <c r="M655" s="16">
        <v>47.27</v>
      </c>
      <c r="N655" s="16">
        <v>260</v>
      </c>
      <c r="O655" s="18">
        <v>1</v>
      </c>
      <c r="P655" s="18" t="s">
        <v>71</v>
      </c>
      <c r="Q655" s="18">
        <v>5.673289</v>
      </c>
      <c r="R655" s="10"/>
      <c r="S655" s="16">
        <v>132</v>
      </c>
      <c r="T655" s="16">
        <v>146</v>
      </c>
      <c r="U655" s="18" t="s">
        <v>1346</v>
      </c>
      <c r="V655" s="18" t="s">
        <v>104</v>
      </c>
      <c r="W655" s="18" t="s">
        <v>499</v>
      </c>
      <c r="X655" s="18">
        <v>194644232291</v>
      </c>
      <c r="Y655" s="18" t="s">
        <v>81</v>
      </c>
      <c r="Z655" s="18" t="s">
        <v>82</v>
      </c>
      <c r="AA655" s="18" t="s">
        <v>106</v>
      </c>
      <c r="AB655" s="18" t="s">
        <v>107</v>
      </c>
      <c r="AC655" s="18" t="s">
        <v>108</v>
      </c>
      <c r="AD655" s="18">
        <v>131.606</v>
      </c>
      <c r="AE655" s="18">
        <v>1</v>
      </c>
      <c r="AF655" s="18">
        <v>0</v>
      </c>
      <c r="AG655" s="18">
        <v>0</v>
      </c>
      <c r="AH655" s="18">
        <v>1</v>
      </c>
      <c r="AI655" s="18">
        <v>0</v>
      </c>
      <c r="AJ655" s="18">
        <v>0</v>
      </c>
      <c r="AK655" s="18">
        <v>1</v>
      </c>
      <c r="AL655" s="18">
        <v>0</v>
      </c>
      <c r="AM655" s="18">
        <v>0</v>
      </c>
      <c r="AN655" s="18">
        <v>0</v>
      </c>
      <c r="AO655" s="18">
        <v>0</v>
      </c>
      <c r="AP655" s="18">
        <v>0</v>
      </c>
      <c r="AQ655" s="18">
        <v>0</v>
      </c>
      <c r="AR655" s="18">
        <v>0</v>
      </c>
      <c r="AS655" s="18">
        <v>0</v>
      </c>
      <c r="AT655" s="18">
        <v>1</v>
      </c>
      <c r="AU655" s="18">
        <v>0</v>
      </c>
      <c r="AV655" s="18">
        <v>0</v>
      </c>
      <c r="AW655" s="18">
        <v>1</v>
      </c>
      <c r="AX655" s="18">
        <v>0</v>
      </c>
      <c r="AY655" s="13"/>
      <c r="AZ655" s="18">
        <v>1</v>
      </c>
      <c r="BA655" s="18">
        <v>3</v>
      </c>
      <c r="BB655" s="18">
        <v>63.02</v>
      </c>
      <c r="BC655" s="18" t="s">
        <v>111</v>
      </c>
      <c r="BD655" s="13"/>
      <c r="BE655" s="13"/>
      <c r="BF655" s="13"/>
      <c r="BG655" s="18">
        <v>0</v>
      </c>
      <c r="BH655" s="18">
        <v>0</v>
      </c>
      <c r="BI655" s="13"/>
      <c r="BJ655" s="18">
        <v>0</v>
      </c>
      <c r="BK655" s="18">
        <v>2</v>
      </c>
      <c r="BL655" s="18">
        <v>99.5</v>
      </c>
      <c r="BM655" s="13">
        <f t="shared" si="0"/>
        <v>38278.68</v>
      </c>
    </row>
    <row r="656" customHeight="1" spans="1:65">
      <c r="A656" s="18" t="s">
        <v>2469</v>
      </c>
      <c r="B656" s="18" t="s">
        <v>104</v>
      </c>
      <c r="C656" s="18" t="s">
        <v>2470</v>
      </c>
      <c r="D656" s="18">
        <v>194644176099</v>
      </c>
      <c r="E656" s="18" t="s">
        <v>81</v>
      </c>
      <c r="F656" s="18" t="s">
        <v>82</v>
      </c>
      <c r="G656" s="18" t="s">
        <v>106</v>
      </c>
      <c r="H656" s="18" t="s">
        <v>107</v>
      </c>
      <c r="I656" s="18" t="s">
        <v>108</v>
      </c>
      <c r="J656" s="18">
        <v>3</v>
      </c>
      <c r="K656" s="16">
        <v>124.99</v>
      </c>
      <c r="L656" s="16">
        <v>299.99</v>
      </c>
      <c r="M656" s="16">
        <v>58.34</v>
      </c>
      <c r="N656" s="16">
        <v>175</v>
      </c>
      <c r="O656" s="18">
        <v>1</v>
      </c>
      <c r="P656" s="18" t="s">
        <v>95</v>
      </c>
      <c r="Q656" s="18">
        <v>4.836203</v>
      </c>
      <c r="R656" s="10"/>
      <c r="S656" s="16">
        <v>516</v>
      </c>
      <c r="T656" s="10"/>
      <c r="U656" s="18" t="s">
        <v>2469</v>
      </c>
      <c r="V656" s="18" t="s">
        <v>104</v>
      </c>
      <c r="W656" s="18" t="s">
        <v>2690</v>
      </c>
      <c r="X656" s="18">
        <v>194644176100</v>
      </c>
      <c r="Y656" s="18" t="s">
        <v>81</v>
      </c>
      <c r="Z656" s="18" t="s">
        <v>82</v>
      </c>
      <c r="AA656" s="18" t="s">
        <v>106</v>
      </c>
      <c r="AB656" s="18" t="s">
        <v>107</v>
      </c>
      <c r="AC656" s="18" t="s">
        <v>108</v>
      </c>
      <c r="AD656" s="18">
        <v>100.224666666667</v>
      </c>
      <c r="AE656" s="18">
        <v>1</v>
      </c>
      <c r="AF656" s="18">
        <v>0</v>
      </c>
      <c r="AG656" s="18">
        <v>0</v>
      </c>
      <c r="AH656" s="18">
        <v>1</v>
      </c>
      <c r="AI656" s="18">
        <v>0</v>
      </c>
      <c r="AJ656" s="18">
        <v>0</v>
      </c>
      <c r="AK656" s="18">
        <v>0</v>
      </c>
      <c r="AL656" s="18">
        <v>0</v>
      </c>
      <c r="AM656" s="18">
        <v>0</v>
      </c>
      <c r="AN656" s="18">
        <v>0</v>
      </c>
      <c r="AO656" s="18">
        <v>0</v>
      </c>
      <c r="AP656" s="18">
        <v>1</v>
      </c>
      <c r="AQ656" s="18">
        <v>0</v>
      </c>
      <c r="AR656" s="18">
        <v>0</v>
      </c>
      <c r="AS656" s="18">
        <v>0</v>
      </c>
      <c r="AT656" s="18">
        <v>1</v>
      </c>
      <c r="AU656" s="18">
        <v>0</v>
      </c>
      <c r="AV656" s="18">
        <v>0</v>
      </c>
      <c r="AW656" s="18">
        <v>1</v>
      </c>
      <c r="AX656" s="18">
        <v>0</v>
      </c>
      <c r="AY656" s="13"/>
      <c r="AZ656" s="18">
        <v>2</v>
      </c>
      <c r="BA656" s="18">
        <v>2</v>
      </c>
      <c r="BB656" s="18">
        <v>87.35</v>
      </c>
      <c r="BC656" s="18" t="s">
        <v>111</v>
      </c>
      <c r="BD656" s="13"/>
      <c r="BE656" s="13"/>
      <c r="BF656" s="13"/>
      <c r="BG656" s="18">
        <v>0</v>
      </c>
      <c r="BH656" s="18">
        <v>0</v>
      </c>
      <c r="BI656" s="13"/>
      <c r="BJ656" s="18">
        <v>0</v>
      </c>
      <c r="BK656" s="18">
        <v>2</v>
      </c>
      <c r="BL656" s="18">
        <v>99.5</v>
      </c>
      <c r="BM656" s="13">
        <f t="shared" si="0"/>
        <v>64494.84</v>
      </c>
    </row>
    <row r="657" customHeight="1" spans="1:65">
      <c r="A657" s="18" t="s">
        <v>1734</v>
      </c>
      <c r="B657" s="18" t="s">
        <v>125</v>
      </c>
      <c r="C657" s="13"/>
      <c r="D657" s="13"/>
      <c r="E657" s="18" t="s">
        <v>163</v>
      </c>
      <c r="F657" s="18" t="s">
        <v>68</v>
      </c>
      <c r="G657" s="18" t="s">
        <v>106</v>
      </c>
      <c r="H657" s="18" t="s">
        <v>138</v>
      </c>
      <c r="I657" s="18" t="s">
        <v>125</v>
      </c>
      <c r="J657" s="18">
        <v>0</v>
      </c>
      <c r="K657" s="16">
        <v>239.99</v>
      </c>
      <c r="L657" s="16">
        <v>549.99</v>
      </c>
      <c r="M657" s="16">
        <v>56.36</v>
      </c>
      <c r="N657" s="16">
        <v>310</v>
      </c>
      <c r="O657" s="18">
        <v>1</v>
      </c>
      <c r="P657" s="18" t="s">
        <v>71</v>
      </c>
      <c r="Q657" s="18">
        <v>5.484755</v>
      </c>
      <c r="R657" s="10"/>
      <c r="S657" s="10"/>
      <c r="T657" s="10"/>
      <c r="U657" s="18" t="s">
        <v>1734</v>
      </c>
      <c r="V657" s="18" t="s">
        <v>125</v>
      </c>
      <c r="W657" s="13"/>
      <c r="X657" s="13"/>
      <c r="Y657" s="18" t="s">
        <v>163</v>
      </c>
      <c r="Z657" s="18" t="s">
        <v>68</v>
      </c>
      <c r="AA657" s="18" t="s">
        <v>106</v>
      </c>
      <c r="AB657" s="18" t="s">
        <v>138</v>
      </c>
      <c r="AC657" s="18" t="s">
        <v>125</v>
      </c>
      <c r="AD657" s="18">
        <v>165.03</v>
      </c>
      <c r="AE657" s="18">
        <v>1</v>
      </c>
      <c r="AF657" s="18">
        <v>0</v>
      </c>
      <c r="AG657" s="18">
        <v>0</v>
      </c>
      <c r="AH657" s="18">
        <v>1</v>
      </c>
      <c r="AI657" s="18">
        <v>0</v>
      </c>
      <c r="AJ657" s="18">
        <v>0</v>
      </c>
      <c r="AK657" s="18">
        <v>0</v>
      </c>
      <c r="AL657" s="18">
        <v>0</v>
      </c>
      <c r="AM657" s="18">
        <v>0</v>
      </c>
      <c r="AN657" s="18">
        <v>0</v>
      </c>
      <c r="AO657" s="18">
        <v>0</v>
      </c>
      <c r="AP657" s="18">
        <v>0</v>
      </c>
      <c r="AQ657" s="18">
        <v>0</v>
      </c>
      <c r="AR657" s="18">
        <v>0</v>
      </c>
      <c r="AS657" s="18">
        <v>0</v>
      </c>
      <c r="AT657" s="18">
        <v>1</v>
      </c>
      <c r="AU657" s="18">
        <v>0</v>
      </c>
      <c r="AV657" s="18">
        <v>0</v>
      </c>
      <c r="AW657" s="18">
        <v>1</v>
      </c>
      <c r="AX657" s="18">
        <v>0</v>
      </c>
      <c r="AY657" s="13"/>
      <c r="AZ657" s="18">
        <v>1</v>
      </c>
      <c r="BA657" s="18">
        <v>2</v>
      </c>
      <c r="BB657" s="18">
        <v>16.91</v>
      </c>
      <c r="BC657" s="18" t="s">
        <v>111</v>
      </c>
      <c r="BD657" s="13"/>
      <c r="BE657" s="13"/>
      <c r="BF657" s="13"/>
      <c r="BG657" s="18">
        <v>0</v>
      </c>
      <c r="BH657" s="18">
        <v>0</v>
      </c>
      <c r="BI657" s="13"/>
      <c r="BJ657" s="18">
        <v>0</v>
      </c>
      <c r="BK657" s="13"/>
      <c r="BL657" s="13"/>
      <c r="BM657" s="13">
        <f t="shared" si="0"/>
        <v>0</v>
      </c>
    </row>
    <row r="658" customHeight="1" spans="1:65">
      <c r="A658" s="18" t="s">
        <v>1735</v>
      </c>
      <c r="B658" s="18" t="s">
        <v>125</v>
      </c>
      <c r="C658" s="13"/>
      <c r="D658" s="13"/>
      <c r="E658" s="18" t="s">
        <v>163</v>
      </c>
      <c r="F658" s="18" t="s">
        <v>68</v>
      </c>
      <c r="G658" s="18" t="s">
        <v>106</v>
      </c>
      <c r="H658" s="18" t="s">
        <v>138</v>
      </c>
      <c r="I658" s="18" t="s">
        <v>125</v>
      </c>
      <c r="J658" s="18">
        <v>0</v>
      </c>
      <c r="K658" s="16">
        <v>105</v>
      </c>
      <c r="L658" s="16">
        <v>199.99</v>
      </c>
      <c r="M658" s="16">
        <v>47.5</v>
      </c>
      <c r="N658" s="16">
        <v>94.99</v>
      </c>
      <c r="O658" s="18">
        <v>1</v>
      </c>
      <c r="P658" s="18" t="s">
        <v>95</v>
      </c>
      <c r="Q658" s="18">
        <v>4.663439</v>
      </c>
      <c r="R658" s="10"/>
      <c r="S658" s="10"/>
      <c r="T658" s="10"/>
      <c r="U658" s="18" t="s">
        <v>1735</v>
      </c>
      <c r="V658" s="18" t="s">
        <v>125</v>
      </c>
      <c r="W658" s="13"/>
      <c r="X658" s="13"/>
      <c r="Y658" s="18" t="s">
        <v>163</v>
      </c>
      <c r="Z658" s="18" t="s">
        <v>68</v>
      </c>
      <c r="AA658" s="18" t="s">
        <v>106</v>
      </c>
      <c r="AB658" s="18" t="s">
        <v>138</v>
      </c>
      <c r="AC658" s="18" t="s">
        <v>125</v>
      </c>
      <c r="AD658" s="18">
        <v>56.9946666666667</v>
      </c>
      <c r="AE658" s="18">
        <v>1</v>
      </c>
      <c r="AF658" s="18">
        <v>0</v>
      </c>
      <c r="AG658" s="18">
        <v>0</v>
      </c>
      <c r="AH658" s="18">
        <v>0</v>
      </c>
      <c r="AI658" s="18">
        <v>0</v>
      </c>
      <c r="AJ658" s="18">
        <v>0</v>
      </c>
      <c r="AK658" s="18">
        <v>1</v>
      </c>
      <c r="AL658" s="18">
        <v>0</v>
      </c>
      <c r="AM658" s="18">
        <v>0</v>
      </c>
      <c r="AN658" s="18">
        <v>0</v>
      </c>
      <c r="AO658" s="18">
        <v>0</v>
      </c>
      <c r="AP658" s="18">
        <v>0</v>
      </c>
      <c r="AQ658" s="18">
        <v>0</v>
      </c>
      <c r="AR658" s="18">
        <v>0</v>
      </c>
      <c r="AS658" s="18">
        <v>0</v>
      </c>
      <c r="AT658" s="18">
        <v>1</v>
      </c>
      <c r="AU658" s="18">
        <v>0</v>
      </c>
      <c r="AV658" s="18">
        <v>0</v>
      </c>
      <c r="AW658" s="18">
        <v>0</v>
      </c>
      <c r="AX658" s="18">
        <v>0</v>
      </c>
      <c r="AY658" s="13"/>
      <c r="AZ658" s="18">
        <v>1</v>
      </c>
      <c r="BA658" s="18">
        <v>2</v>
      </c>
      <c r="BB658" s="18">
        <v>14.25</v>
      </c>
      <c r="BC658" s="18" t="s">
        <v>111</v>
      </c>
      <c r="BD658" s="13"/>
      <c r="BE658" s="13"/>
      <c r="BF658" s="13"/>
      <c r="BG658" s="18">
        <v>0</v>
      </c>
      <c r="BH658" s="18">
        <v>0</v>
      </c>
      <c r="BI658" s="13"/>
      <c r="BJ658" s="18">
        <v>0</v>
      </c>
      <c r="BK658" s="13"/>
      <c r="BL658" s="13"/>
      <c r="BM658" s="13">
        <f t="shared" si="0"/>
        <v>0</v>
      </c>
    </row>
    <row r="659" customHeight="1" spans="1:65">
      <c r="A659" s="18" t="s">
        <v>310</v>
      </c>
      <c r="B659" s="18" t="s">
        <v>311</v>
      </c>
      <c r="C659" s="13"/>
      <c r="D659" s="13"/>
      <c r="E659" s="18" t="s">
        <v>312</v>
      </c>
      <c r="F659" s="18" t="s">
        <v>240</v>
      </c>
      <c r="G659" s="18" t="s">
        <v>83</v>
      </c>
      <c r="H659" s="18" t="s">
        <v>84</v>
      </c>
      <c r="I659" s="18" t="s">
        <v>85</v>
      </c>
      <c r="J659" s="18">
        <v>5</v>
      </c>
      <c r="K659" s="16">
        <v>79.11</v>
      </c>
      <c r="L659" s="10"/>
      <c r="M659" s="16">
        <v>0</v>
      </c>
      <c r="N659" s="16">
        <v>0</v>
      </c>
      <c r="O659" s="18">
        <v>0</v>
      </c>
      <c r="P659" s="18" t="s">
        <v>95</v>
      </c>
      <c r="Q659" s="18">
        <v>4.383401</v>
      </c>
      <c r="R659" s="16">
        <v>9.89</v>
      </c>
      <c r="S659" s="16">
        <v>34</v>
      </c>
      <c r="T659" s="16">
        <v>9</v>
      </c>
      <c r="U659" s="18" t="s">
        <v>2691</v>
      </c>
      <c r="V659" s="18" t="s">
        <v>311</v>
      </c>
      <c r="W659" s="13"/>
      <c r="X659" s="13"/>
      <c r="Y659" s="18" t="s">
        <v>312</v>
      </c>
      <c r="Z659" s="18" t="s">
        <v>240</v>
      </c>
      <c r="AA659" s="18" t="s">
        <v>83</v>
      </c>
      <c r="AB659" s="18" t="s">
        <v>84</v>
      </c>
      <c r="AC659" s="18" t="s">
        <v>85</v>
      </c>
      <c r="AD659" s="18">
        <v>153.22</v>
      </c>
      <c r="AE659" s="18">
        <v>0</v>
      </c>
      <c r="AF659" s="18">
        <v>0</v>
      </c>
      <c r="AG659" s="18">
        <v>0</v>
      </c>
      <c r="AH659" s="18">
        <v>0</v>
      </c>
      <c r="AI659" s="18">
        <v>0</v>
      </c>
      <c r="AJ659" s="18">
        <v>0</v>
      </c>
      <c r="AK659" s="18">
        <v>0</v>
      </c>
      <c r="AL659" s="18">
        <v>0</v>
      </c>
      <c r="AM659" s="18">
        <v>0</v>
      </c>
      <c r="AN659" s="18">
        <v>0</v>
      </c>
      <c r="AO659" s="18">
        <v>0</v>
      </c>
      <c r="AP659" s="18">
        <v>0</v>
      </c>
      <c r="AQ659" s="18">
        <v>1</v>
      </c>
      <c r="AR659" s="18">
        <v>0</v>
      </c>
      <c r="AS659" s="18">
        <v>0</v>
      </c>
      <c r="AT659" s="18">
        <v>0</v>
      </c>
      <c r="AU659" s="18">
        <v>0</v>
      </c>
      <c r="AV659" s="18">
        <v>1</v>
      </c>
      <c r="AW659" s="18">
        <v>1</v>
      </c>
      <c r="AX659" s="18">
        <v>0</v>
      </c>
      <c r="AY659" s="18">
        <v>8</v>
      </c>
      <c r="AZ659" s="18">
        <v>1</v>
      </c>
      <c r="BA659" s="18">
        <v>1</v>
      </c>
      <c r="BB659" s="18">
        <v>60.97</v>
      </c>
      <c r="BC659" s="18" t="s">
        <v>314</v>
      </c>
      <c r="BD659" s="18" t="s">
        <v>91</v>
      </c>
      <c r="BE659" s="18" t="s">
        <v>77</v>
      </c>
      <c r="BF659" s="18" t="s">
        <v>77</v>
      </c>
      <c r="BG659" s="18">
        <v>1</v>
      </c>
      <c r="BH659" s="18">
        <v>28</v>
      </c>
      <c r="BI659" s="18">
        <v>0.0345</v>
      </c>
      <c r="BJ659" s="18">
        <v>1</v>
      </c>
      <c r="BK659" s="18">
        <v>8</v>
      </c>
      <c r="BL659" s="18">
        <v>97.8</v>
      </c>
      <c r="BM659" s="13">
        <f t="shared" si="0"/>
        <v>2689.74</v>
      </c>
    </row>
    <row r="660" customHeight="1" spans="1:65">
      <c r="A660" s="18" t="s">
        <v>2289</v>
      </c>
      <c r="B660" s="18" t="s">
        <v>311</v>
      </c>
      <c r="C660" s="13"/>
      <c r="D660" s="13"/>
      <c r="E660" s="18" t="s">
        <v>239</v>
      </c>
      <c r="F660" s="18" t="s">
        <v>240</v>
      </c>
      <c r="G660" s="18" t="s">
        <v>83</v>
      </c>
      <c r="H660" s="18" t="s">
        <v>84</v>
      </c>
      <c r="I660" s="18" t="s">
        <v>85</v>
      </c>
      <c r="J660" s="18">
        <v>5</v>
      </c>
      <c r="K660" s="16">
        <v>179.04</v>
      </c>
      <c r="L660" s="10"/>
      <c r="M660" s="16">
        <v>0</v>
      </c>
      <c r="N660" s="16">
        <v>0</v>
      </c>
      <c r="O660" s="18">
        <v>0</v>
      </c>
      <c r="P660" s="18" t="s">
        <v>95</v>
      </c>
      <c r="Q660" s="18">
        <v>5.193179</v>
      </c>
      <c r="R660" s="16">
        <v>11.19</v>
      </c>
      <c r="S660" s="16">
        <v>4</v>
      </c>
      <c r="T660" s="16">
        <v>4</v>
      </c>
      <c r="U660" s="18" t="s">
        <v>2692</v>
      </c>
      <c r="V660" s="18" t="s">
        <v>311</v>
      </c>
      <c r="W660" s="13"/>
      <c r="X660" s="13"/>
      <c r="Y660" s="18" t="s">
        <v>239</v>
      </c>
      <c r="Z660" s="18" t="s">
        <v>240</v>
      </c>
      <c r="AA660" s="18" t="s">
        <v>83</v>
      </c>
      <c r="AB660" s="18" t="s">
        <v>84</v>
      </c>
      <c r="AC660" s="18" t="s">
        <v>85</v>
      </c>
      <c r="AD660" s="18">
        <v>353.08</v>
      </c>
      <c r="AE660" s="18">
        <v>0</v>
      </c>
      <c r="AF660" s="18">
        <v>0</v>
      </c>
      <c r="AG660" s="18">
        <v>0</v>
      </c>
      <c r="AH660" s="18">
        <v>0</v>
      </c>
      <c r="AI660" s="18">
        <v>0</v>
      </c>
      <c r="AJ660" s="18">
        <v>0</v>
      </c>
      <c r="AK660" s="18">
        <v>0</v>
      </c>
      <c r="AL660" s="18">
        <v>0</v>
      </c>
      <c r="AM660" s="18">
        <v>0</v>
      </c>
      <c r="AN660" s="18">
        <v>0</v>
      </c>
      <c r="AO660" s="18">
        <v>0</v>
      </c>
      <c r="AP660" s="18">
        <v>0</v>
      </c>
      <c r="AQ660" s="18">
        <v>1</v>
      </c>
      <c r="AR660" s="18">
        <v>0</v>
      </c>
      <c r="AS660" s="18">
        <v>0</v>
      </c>
      <c r="AT660" s="18">
        <v>0</v>
      </c>
      <c r="AU660" s="18">
        <v>0</v>
      </c>
      <c r="AV660" s="18">
        <v>1</v>
      </c>
      <c r="AW660" s="18">
        <v>1</v>
      </c>
      <c r="AX660" s="18">
        <v>0</v>
      </c>
      <c r="AY660" s="18">
        <v>16</v>
      </c>
      <c r="AZ660" s="18">
        <v>1</v>
      </c>
      <c r="BA660" s="18">
        <v>1</v>
      </c>
      <c r="BB660" s="18">
        <v>49.67</v>
      </c>
      <c r="BC660" s="18" t="s">
        <v>314</v>
      </c>
      <c r="BD660" s="18" t="s">
        <v>91</v>
      </c>
      <c r="BE660" s="18" t="s">
        <v>77</v>
      </c>
      <c r="BF660" s="18" t="s">
        <v>77</v>
      </c>
      <c r="BG660" s="18">
        <v>1</v>
      </c>
      <c r="BH660" s="18">
        <v>28</v>
      </c>
      <c r="BI660" s="18">
        <v>0.0345</v>
      </c>
      <c r="BJ660" s="18">
        <v>1</v>
      </c>
      <c r="BK660" s="18">
        <v>4</v>
      </c>
      <c r="BL660" s="18">
        <v>98.9</v>
      </c>
      <c r="BM660" s="13">
        <f t="shared" si="0"/>
        <v>716.16</v>
      </c>
    </row>
    <row r="661" customHeight="1" spans="1:65">
      <c r="A661" s="18" t="s">
        <v>2202</v>
      </c>
      <c r="B661" s="18" t="s">
        <v>2203</v>
      </c>
      <c r="C661" s="13"/>
      <c r="D661" s="13"/>
      <c r="E661" s="18" t="s">
        <v>390</v>
      </c>
      <c r="F661" s="18" t="s">
        <v>240</v>
      </c>
      <c r="G661" s="18" t="s">
        <v>83</v>
      </c>
      <c r="H661" s="18" t="s">
        <v>84</v>
      </c>
      <c r="I661" s="18" t="s">
        <v>508</v>
      </c>
      <c r="J661" s="18">
        <v>1</v>
      </c>
      <c r="K661" s="16">
        <v>98.84</v>
      </c>
      <c r="L661" s="10"/>
      <c r="M661" s="16">
        <v>0</v>
      </c>
      <c r="N661" s="16">
        <v>0</v>
      </c>
      <c r="O661" s="18">
        <v>0</v>
      </c>
      <c r="P661" s="18" t="s">
        <v>95</v>
      </c>
      <c r="Q661" s="18">
        <v>4.603569</v>
      </c>
      <c r="R661" s="10"/>
      <c r="S661" s="10"/>
      <c r="T661" s="10"/>
      <c r="U661" s="18" t="s">
        <v>2693</v>
      </c>
      <c r="V661" s="18" t="s">
        <v>2203</v>
      </c>
      <c r="W661" s="13"/>
      <c r="X661" s="13"/>
      <c r="Y661" s="18" t="s">
        <v>390</v>
      </c>
      <c r="Z661" s="18" t="s">
        <v>240</v>
      </c>
      <c r="AA661" s="18" t="s">
        <v>83</v>
      </c>
      <c r="AB661" s="18" t="s">
        <v>84</v>
      </c>
      <c r="AC661" s="18" t="s">
        <v>508</v>
      </c>
      <c r="AD661" s="18">
        <v>196.68</v>
      </c>
      <c r="AE661" s="18">
        <v>0</v>
      </c>
      <c r="AF661" s="18">
        <v>0</v>
      </c>
      <c r="AG661" s="18">
        <v>0</v>
      </c>
      <c r="AH661" s="18">
        <v>0</v>
      </c>
      <c r="AI661" s="18">
        <v>0</v>
      </c>
      <c r="AJ661" s="18">
        <v>0</v>
      </c>
      <c r="AK661" s="18">
        <v>0</v>
      </c>
      <c r="AL661" s="18">
        <v>0</v>
      </c>
      <c r="AM661" s="18">
        <v>0</v>
      </c>
      <c r="AN661" s="18">
        <v>0</v>
      </c>
      <c r="AO661" s="18">
        <v>0</v>
      </c>
      <c r="AP661" s="18">
        <v>0</v>
      </c>
      <c r="AQ661" s="18">
        <v>0</v>
      </c>
      <c r="AR661" s="18">
        <v>0</v>
      </c>
      <c r="AS661" s="18">
        <v>0</v>
      </c>
      <c r="AT661" s="18">
        <v>0</v>
      </c>
      <c r="AU661" s="18">
        <v>0</v>
      </c>
      <c r="AV661" s="18">
        <v>0</v>
      </c>
      <c r="AW661" s="18">
        <v>0</v>
      </c>
      <c r="AX661" s="18">
        <v>0</v>
      </c>
      <c r="AY661" s="13"/>
      <c r="AZ661" s="18">
        <v>1</v>
      </c>
      <c r="BA661" s="18">
        <v>0</v>
      </c>
      <c r="BB661" s="18">
        <v>0</v>
      </c>
      <c r="BC661" s="18" t="s">
        <v>2204</v>
      </c>
      <c r="BD661" s="18" t="s">
        <v>2205</v>
      </c>
      <c r="BE661" s="18" t="s">
        <v>128</v>
      </c>
      <c r="BF661" s="18" t="s">
        <v>77</v>
      </c>
      <c r="BG661" s="18">
        <v>168</v>
      </c>
      <c r="BH661" s="18">
        <v>11</v>
      </c>
      <c r="BI661" s="18">
        <v>0.9385</v>
      </c>
      <c r="BJ661" s="18">
        <v>0</v>
      </c>
      <c r="BK661" s="13"/>
      <c r="BL661" s="13"/>
      <c r="BM661" s="13">
        <f t="shared" si="0"/>
        <v>0</v>
      </c>
    </row>
    <row r="662" customHeight="1" spans="1:65">
      <c r="A662" s="18" t="s">
        <v>2219</v>
      </c>
      <c r="B662" s="18" t="s">
        <v>125</v>
      </c>
      <c r="C662" s="13"/>
      <c r="D662" s="13"/>
      <c r="E662" s="18" t="s">
        <v>81</v>
      </c>
      <c r="F662" s="18" t="s">
        <v>82</v>
      </c>
      <c r="G662" s="18" t="s">
        <v>83</v>
      </c>
      <c r="H662" s="18" t="s">
        <v>138</v>
      </c>
      <c r="I662" s="18" t="s">
        <v>85</v>
      </c>
      <c r="J662" s="18">
        <v>5</v>
      </c>
      <c r="K662" s="16">
        <v>58.98</v>
      </c>
      <c r="L662" s="10"/>
      <c r="M662" s="16">
        <v>0</v>
      </c>
      <c r="N662" s="16">
        <v>0</v>
      </c>
      <c r="O662" s="18">
        <v>0</v>
      </c>
      <c r="P662" s="18" t="s">
        <v>86</v>
      </c>
      <c r="Q662" s="18">
        <v>4.094011</v>
      </c>
      <c r="R662" s="10"/>
      <c r="S662" s="16">
        <v>11</v>
      </c>
      <c r="T662" s="16">
        <v>10</v>
      </c>
      <c r="U662" s="18" t="s">
        <v>2694</v>
      </c>
      <c r="V662" s="18" t="s">
        <v>125</v>
      </c>
      <c r="W662" s="13"/>
      <c r="X662" s="13"/>
      <c r="Y662" s="18" t="s">
        <v>81</v>
      </c>
      <c r="Z662" s="18" t="s">
        <v>82</v>
      </c>
      <c r="AA662" s="18" t="s">
        <v>83</v>
      </c>
      <c r="AB662" s="18" t="s">
        <v>138</v>
      </c>
      <c r="AC662" s="18" t="s">
        <v>85</v>
      </c>
      <c r="AD662" s="18">
        <v>112.96</v>
      </c>
      <c r="AE662" s="18">
        <v>1</v>
      </c>
      <c r="AF662" s="18">
        <v>1</v>
      </c>
      <c r="AG662" s="18">
        <v>0</v>
      </c>
      <c r="AH662" s="18">
        <v>1</v>
      </c>
      <c r="AI662" s="18">
        <v>0</v>
      </c>
      <c r="AJ662" s="18">
        <v>0</v>
      </c>
      <c r="AK662" s="18">
        <v>1</v>
      </c>
      <c r="AL662" s="18">
        <v>0</v>
      </c>
      <c r="AM662" s="18">
        <v>0</v>
      </c>
      <c r="AN662" s="18">
        <v>0</v>
      </c>
      <c r="AO662" s="18">
        <v>0</v>
      </c>
      <c r="AP662" s="18">
        <v>0</v>
      </c>
      <c r="AQ662" s="18">
        <v>0</v>
      </c>
      <c r="AR662" s="18">
        <v>0</v>
      </c>
      <c r="AS662" s="18">
        <v>0</v>
      </c>
      <c r="AT662" s="18">
        <v>1</v>
      </c>
      <c r="AU662" s="18">
        <v>0</v>
      </c>
      <c r="AV662" s="18">
        <v>0</v>
      </c>
      <c r="AW662" s="18">
        <v>0</v>
      </c>
      <c r="AX662" s="18">
        <v>0</v>
      </c>
      <c r="AY662" s="13"/>
      <c r="AZ662" s="18">
        <v>1</v>
      </c>
      <c r="BA662" s="18">
        <v>3</v>
      </c>
      <c r="BB662" s="18">
        <v>50.38</v>
      </c>
      <c r="BC662" s="18" t="s">
        <v>2220</v>
      </c>
      <c r="BD662" s="18" t="s">
        <v>112</v>
      </c>
      <c r="BE662" s="18" t="s">
        <v>128</v>
      </c>
      <c r="BF662" s="18" t="s">
        <v>77</v>
      </c>
      <c r="BG662" s="18">
        <v>1</v>
      </c>
      <c r="BH662" s="18">
        <v>28</v>
      </c>
      <c r="BI662" s="18">
        <v>0.0345</v>
      </c>
      <c r="BJ662" s="18">
        <v>1</v>
      </c>
      <c r="BK662" s="18">
        <v>7</v>
      </c>
      <c r="BL662" s="18">
        <v>98.1</v>
      </c>
      <c r="BM662" s="13">
        <f t="shared" si="0"/>
        <v>648.78</v>
      </c>
    </row>
    <row r="663" customHeight="1" spans="1:65">
      <c r="A663" s="18" t="s">
        <v>2221</v>
      </c>
      <c r="B663" s="18" t="s">
        <v>448</v>
      </c>
      <c r="C663" s="13"/>
      <c r="D663" s="13"/>
      <c r="E663" s="18" t="s">
        <v>2222</v>
      </c>
      <c r="F663" s="18" t="s">
        <v>160</v>
      </c>
      <c r="G663" s="18" t="s">
        <v>83</v>
      </c>
      <c r="H663" s="18" t="s">
        <v>450</v>
      </c>
      <c r="I663" s="18" t="s">
        <v>85</v>
      </c>
      <c r="J663" s="18">
        <v>5</v>
      </c>
      <c r="K663" s="16">
        <v>21.95</v>
      </c>
      <c r="L663" s="10"/>
      <c r="M663" s="16">
        <v>0</v>
      </c>
      <c r="N663" s="16">
        <v>0</v>
      </c>
      <c r="O663" s="18">
        <v>0</v>
      </c>
      <c r="P663" s="18" t="s">
        <v>133</v>
      </c>
      <c r="Q663" s="18">
        <v>3.133318</v>
      </c>
      <c r="R663" s="10"/>
      <c r="S663" s="16">
        <v>1</v>
      </c>
      <c r="T663" s="16">
        <v>1</v>
      </c>
      <c r="U663" s="18" t="s">
        <v>2221</v>
      </c>
      <c r="V663" s="18" t="s">
        <v>448</v>
      </c>
      <c r="W663" s="13"/>
      <c r="X663" s="13"/>
      <c r="Y663" s="18" t="s">
        <v>2222</v>
      </c>
      <c r="Z663" s="18" t="s">
        <v>160</v>
      </c>
      <c r="AA663" s="18" t="s">
        <v>83</v>
      </c>
      <c r="AB663" s="18" t="s">
        <v>450</v>
      </c>
      <c r="AC663" s="18" t="s">
        <v>85</v>
      </c>
      <c r="AD663" s="18">
        <v>38.9</v>
      </c>
      <c r="AE663" s="18">
        <v>0</v>
      </c>
      <c r="AF663" s="18">
        <v>0</v>
      </c>
      <c r="AG663" s="18">
        <v>0</v>
      </c>
      <c r="AH663" s="18">
        <v>0</v>
      </c>
      <c r="AI663" s="18">
        <v>0</v>
      </c>
      <c r="AJ663" s="18">
        <v>0</v>
      </c>
      <c r="AK663" s="18">
        <v>0</v>
      </c>
      <c r="AL663" s="18">
        <v>0</v>
      </c>
      <c r="AM663" s="18">
        <v>0</v>
      </c>
      <c r="AN663" s="18">
        <v>0</v>
      </c>
      <c r="AO663" s="18">
        <v>0</v>
      </c>
      <c r="AP663" s="18">
        <v>0</v>
      </c>
      <c r="AQ663" s="18">
        <v>0</v>
      </c>
      <c r="AR663" s="18">
        <v>0</v>
      </c>
      <c r="AS663" s="18">
        <v>0</v>
      </c>
      <c r="AT663" s="18">
        <v>0</v>
      </c>
      <c r="AU663" s="18">
        <v>0</v>
      </c>
      <c r="AV663" s="18">
        <v>0</v>
      </c>
      <c r="AW663" s="18">
        <v>0</v>
      </c>
      <c r="AX663" s="18">
        <v>0</v>
      </c>
      <c r="AY663" s="13"/>
      <c r="AZ663" s="18">
        <v>1</v>
      </c>
      <c r="BA663" s="18">
        <v>0</v>
      </c>
      <c r="BB663" s="18">
        <v>20</v>
      </c>
      <c r="BC663" s="18" t="s">
        <v>2223</v>
      </c>
      <c r="BD663" s="18" t="s">
        <v>2224</v>
      </c>
      <c r="BE663" s="18" t="s">
        <v>1034</v>
      </c>
      <c r="BF663" s="18" t="s">
        <v>77</v>
      </c>
      <c r="BG663" s="18">
        <v>168</v>
      </c>
      <c r="BH663" s="18">
        <v>11</v>
      </c>
      <c r="BI663" s="18">
        <v>0.9385</v>
      </c>
      <c r="BJ663" s="18">
        <v>0</v>
      </c>
      <c r="BK663" s="13"/>
      <c r="BL663" s="13"/>
      <c r="BM663" s="13">
        <f t="shared" si="0"/>
        <v>21.95</v>
      </c>
    </row>
    <row r="664" customHeight="1" spans="1:65">
      <c r="A664" s="18" t="s">
        <v>2227</v>
      </c>
      <c r="B664" s="18" t="s">
        <v>125</v>
      </c>
      <c r="C664" s="13"/>
      <c r="D664" s="13"/>
      <c r="E664" s="18" t="s">
        <v>81</v>
      </c>
      <c r="F664" s="18" t="s">
        <v>82</v>
      </c>
      <c r="G664" s="18" t="s">
        <v>83</v>
      </c>
      <c r="H664" s="18" t="s">
        <v>138</v>
      </c>
      <c r="I664" s="18" t="s">
        <v>85</v>
      </c>
      <c r="J664" s="18">
        <v>5</v>
      </c>
      <c r="K664" s="16">
        <v>9.98</v>
      </c>
      <c r="L664" s="10"/>
      <c r="M664" s="16">
        <v>0</v>
      </c>
      <c r="N664" s="16">
        <v>0</v>
      </c>
      <c r="O664" s="18">
        <v>0</v>
      </c>
      <c r="P664" s="18" t="s">
        <v>133</v>
      </c>
      <c r="Q664" s="18">
        <v>2.396075</v>
      </c>
      <c r="R664" s="10"/>
      <c r="S664" s="16">
        <v>20</v>
      </c>
      <c r="T664" s="16">
        <v>10</v>
      </c>
      <c r="U664" s="18" t="s">
        <v>2227</v>
      </c>
      <c r="V664" s="18" t="s">
        <v>125</v>
      </c>
      <c r="W664" s="13"/>
      <c r="X664" s="13"/>
      <c r="Y664" s="18" t="s">
        <v>81</v>
      </c>
      <c r="Z664" s="18" t="s">
        <v>82</v>
      </c>
      <c r="AA664" s="18" t="s">
        <v>83</v>
      </c>
      <c r="AB664" s="18" t="s">
        <v>138</v>
      </c>
      <c r="AC664" s="18" t="s">
        <v>85</v>
      </c>
      <c r="AD664" s="18">
        <v>14.96</v>
      </c>
      <c r="AE664" s="18">
        <v>0</v>
      </c>
      <c r="AF664" s="18">
        <v>0</v>
      </c>
      <c r="AG664" s="18">
        <v>0</v>
      </c>
      <c r="AH664" s="18">
        <v>1</v>
      </c>
      <c r="AI664" s="18">
        <v>0</v>
      </c>
      <c r="AJ664" s="18">
        <v>0</v>
      </c>
      <c r="AK664" s="18">
        <v>0</v>
      </c>
      <c r="AL664" s="18">
        <v>1</v>
      </c>
      <c r="AM664" s="18">
        <v>0</v>
      </c>
      <c r="AN664" s="18">
        <v>0</v>
      </c>
      <c r="AO664" s="18">
        <v>0</v>
      </c>
      <c r="AP664" s="18">
        <v>0</v>
      </c>
      <c r="AQ664" s="18">
        <v>0</v>
      </c>
      <c r="AR664" s="18">
        <v>0</v>
      </c>
      <c r="AS664" s="18">
        <v>0</v>
      </c>
      <c r="AT664" s="18">
        <v>0</v>
      </c>
      <c r="AU664" s="18">
        <v>0</v>
      </c>
      <c r="AV664" s="18">
        <v>0</v>
      </c>
      <c r="AW664" s="18">
        <v>0</v>
      </c>
      <c r="AX664" s="18">
        <v>0</v>
      </c>
      <c r="AY664" s="13"/>
      <c r="AZ664" s="18">
        <v>1</v>
      </c>
      <c r="BA664" s="18">
        <v>2</v>
      </c>
      <c r="BB664" s="18">
        <v>56.52</v>
      </c>
      <c r="BC664" s="18" t="s">
        <v>2228</v>
      </c>
      <c r="BD664" s="18" t="s">
        <v>2229</v>
      </c>
      <c r="BE664" s="18" t="s">
        <v>393</v>
      </c>
      <c r="BF664" s="18" t="s">
        <v>77</v>
      </c>
      <c r="BG664" s="18">
        <v>1</v>
      </c>
      <c r="BH664" s="18">
        <v>19</v>
      </c>
      <c r="BI664" s="18">
        <v>0.05</v>
      </c>
      <c r="BJ664" s="18">
        <v>1</v>
      </c>
      <c r="BK664" s="18">
        <v>2</v>
      </c>
      <c r="BL664" s="18">
        <v>99.5</v>
      </c>
      <c r="BM664" s="13">
        <f t="shared" si="0"/>
        <v>199.6</v>
      </c>
    </row>
    <row r="665" customHeight="1" spans="1:65">
      <c r="A665" s="18" t="s">
        <v>2232</v>
      </c>
      <c r="B665" s="18" t="s">
        <v>2233</v>
      </c>
      <c r="C665" s="18" t="s">
        <v>2234</v>
      </c>
      <c r="D665" s="13"/>
      <c r="E665" s="18" t="s">
        <v>239</v>
      </c>
      <c r="F665" s="18" t="s">
        <v>240</v>
      </c>
      <c r="G665" s="18" t="s">
        <v>83</v>
      </c>
      <c r="H665" s="18" t="s">
        <v>84</v>
      </c>
      <c r="I665" s="18" t="s">
        <v>508</v>
      </c>
      <c r="J665" s="18">
        <v>1</v>
      </c>
      <c r="K665" s="16">
        <v>199.99</v>
      </c>
      <c r="L665" s="10"/>
      <c r="M665" s="16">
        <v>0</v>
      </c>
      <c r="N665" s="16">
        <v>0</v>
      </c>
      <c r="O665" s="18">
        <v>0</v>
      </c>
      <c r="P665" s="18" t="s">
        <v>95</v>
      </c>
      <c r="Q665" s="18">
        <v>5.303255</v>
      </c>
      <c r="R665" s="10"/>
      <c r="S665" s="10"/>
      <c r="T665" s="10"/>
      <c r="U665" s="18" t="s">
        <v>2232</v>
      </c>
      <c r="V665" s="18" t="s">
        <v>2233</v>
      </c>
      <c r="W665" s="18" t="s">
        <v>2695</v>
      </c>
      <c r="X665" s="13"/>
      <c r="Y665" s="18" t="s">
        <v>239</v>
      </c>
      <c r="Z665" s="18" t="s">
        <v>240</v>
      </c>
      <c r="AA665" s="18" t="s">
        <v>83</v>
      </c>
      <c r="AB665" s="18" t="s">
        <v>84</v>
      </c>
      <c r="AC665" s="18" t="s">
        <v>508</v>
      </c>
      <c r="AD665" s="18">
        <v>398.98</v>
      </c>
      <c r="AE665" s="18">
        <v>0</v>
      </c>
      <c r="AF665" s="18">
        <v>0</v>
      </c>
      <c r="AG665" s="18">
        <v>0</v>
      </c>
      <c r="AH665" s="18">
        <v>0</v>
      </c>
      <c r="AI665" s="18">
        <v>0</v>
      </c>
      <c r="AJ665" s="18">
        <v>0</v>
      </c>
      <c r="AK665" s="18">
        <v>0</v>
      </c>
      <c r="AL665" s="18">
        <v>0</v>
      </c>
      <c r="AM665" s="18">
        <v>0</v>
      </c>
      <c r="AN665" s="18">
        <v>0</v>
      </c>
      <c r="AO665" s="18">
        <v>0</v>
      </c>
      <c r="AP665" s="18">
        <v>0</v>
      </c>
      <c r="AQ665" s="18">
        <v>1</v>
      </c>
      <c r="AR665" s="18">
        <v>0</v>
      </c>
      <c r="AS665" s="18">
        <v>0</v>
      </c>
      <c r="AT665" s="18">
        <v>0</v>
      </c>
      <c r="AU665" s="18">
        <v>0</v>
      </c>
      <c r="AV665" s="18">
        <v>1</v>
      </c>
      <c r="AW665" s="18">
        <v>0</v>
      </c>
      <c r="AX665" s="18">
        <v>0</v>
      </c>
      <c r="AY665" s="13"/>
      <c r="AZ665" s="18">
        <v>1</v>
      </c>
      <c r="BA665" s="18">
        <v>1</v>
      </c>
      <c r="BB665" s="18">
        <v>0</v>
      </c>
      <c r="BC665" s="18" t="s">
        <v>2235</v>
      </c>
      <c r="BD665" s="18" t="s">
        <v>2236</v>
      </c>
      <c r="BE665" s="18" t="s">
        <v>2237</v>
      </c>
      <c r="BF665" s="18" t="s">
        <v>77</v>
      </c>
      <c r="BG665" s="18">
        <v>167</v>
      </c>
      <c r="BH665" s="18">
        <v>11</v>
      </c>
      <c r="BI665" s="18">
        <v>0.9382</v>
      </c>
      <c r="BJ665" s="18">
        <v>0</v>
      </c>
      <c r="BK665" s="13"/>
      <c r="BL665" s="13"/>
      <c r="BM665" s="13">
        <f t="shared" si="0"/>
        <v>0</v>
      </c>
    </row>
    <row r="666" customHeight="1" spans="1:65">
      <c r="A666" s="18" t="s">
        <v>2238</v>
      </c>
      <c r="B666" s="18" t="s">
        <v>1615</v>
      </c>
      <c r="C666" s="13"/>
      <c r="D666" s="13"/>
      <c r="E666" s="18" t="s">
        <v>81</v>
      </c>
      <c r="F666" s="18" t="s">
        <v>240</v>
      </c>
      <c r="G666" s="18" t="s">
        <v>83</v>
      </c>
      <c r="H666" s="18" t="s">
        <v>84</v>
      </c>
      <c r="I666" s="18" t="s">
        <v>203</v>
      </c>
      <c r="J666" s="18">
        <v>4</v>
      </c>
      <c r="K666" s="16">
        <v>84.22</v>
      </c>
      <c r="L666" s="10"/>
      <c r="M666" s="16">
        <v>0</v>
      </c>
      <c r="N666" s="16">
        <v>0</v>
      </c>
      <c r="O666" s="18">
        <v>0</v>
      </c>
      <c r="P666" s="18" t="s">
        <v>95</v>
      </c>
      <c r="Q666" s="18">
        <v>4.445236</v>
      </c>
      <c r="R666" s="10"/>
      <c r="S666" s="10"/>
      <c r="T666" s="10"/>
      <c r="U666" s="18" t="s">
        <v>2238</v>
      </c>
      <c r="V666" s="18" t="s">
        <v>1615</v>
      </c>
      <c r="W666" s="13"/>
      <c r="X666" s="13"/>
      <c r="Y666" s="18" t="s">
        <v>81</v>
      </c>
      <c r="Z666" s="18" t="s">
        <v>240</v>
      </c>
      <c r="AA666" s="18" t="s">
        <v>83</v>
      </c>
      <c r="AB666" s="18" t="s">
        <v>84</v>
      </c>
      <c r="AC666" s="18" t="s">
        <v>203</v>
      </c>
      <c r="AD666" s="18">
        <v>164.44</v>
      </c>
      <c r="AE666" s="18">
        <v>0</v>
      </c>
      <c r="AF666" s="18">
        <v>0</v>
      </c>
      <c r="AG666" s="18">
        <v>0</v>
      </c>
      <c r="AH666" s="18">
        <v>0</v>
      </c>
      <c r="AI666" s="18">
        <v>0</v>
      </c>
      <c r="AJ666" s="18">
        <v>0</v>
      </c>
      <c r="AK666" s="18">
        <v>0</v>
      </c>
      <c r="AL666" s="18">
        <v>0</v>
      </c>
      <c r="AM666" s="18">
        <v>0</v>
      </c>
      <c r="AN666" s="18">
        <v>0</v>
      </c>
      <c r="AO666" s="18">
        <v>0</v>
      </c>
      <c r="AP666" s="18">
        <v>0</v>
      </c>
      <c r="AQ666" s="18">
        <v>0</v>
      </c>
      <c r="AR666" s="18">
        <v>0</v>
      </c>
      <c r="AS666" s="18">
        <v>0</v>
      </c>
      <c r="AT666" s="18">
        <v>0</v>
      </c>
      <c r="AU666" s="18">
        <v>0</v>
      </c>
      <c r="AV666" s="18">
        <v>1</v>
      </c>
      <c r="AW666" s="18">
        <v>0</v>
      </c>
      <c r="AX666" s="18">
        <v>0</v>
      </c>
      <c r="AY666" s="13"/>
      <c r="AZ666" s="18">
        <v>1</v>
      </c>
      <c r="BA666" s="18">
        <v>0</v>
      </c>
      <c r="BB666" s="18">
        <v>22.2</v>
      </c>
      <c r="BC666" s="18" t="s">
        <v>2239</v>
      </c>
      <c r="BD666" s="18" t="s">
        <v>2240</v>
      </c>
      <c r="BE666" s="18" t="s">
        <v>363</v>
      </c>
      <c r="BF666" s="18" t="s">
        <v>77</v>
      </c>
      <c r="BG666" s="18">
        <v>168</v>
      </c>
      <c r="BH666" s="18">
        <v>11</v>
      </c>
      <c r="BI666" s="18">
        <v>0.9385</v>
      </c>
      <c r="BJ666" s="18">
        <v>0</v>
      </c>
      <c r="BK666" s="18">
        <v>95</v>
      </c>
      <c r="BL666" s="18">
        <v>74</v>
      </c>
      <c r="BM666" s="13">
        <f t="shared" si="0"/>
        <v>0</v>
      </c>
    </row>
    <row r="667" customHeight="1" spans="1:65">
      <c r="A667" s="18" t="s">
        <v>2241</v>
      </c>
      <c r="B667" s="18" t="s">
        <v>2242</v>
      </c>
      <c r="C667" s="18" t="s">
        <v>2243</v>
      </c>
      <c r="D667" s="13"/>
      <c r="E667" s="18" t="s">
        <v>2244</v>
      </c>
      <c r="F667" s="18" t="s">
        <v>198</v>
      </c>
      <c r="G667" s="18" t="s">
        <v>83</v>
      </c>
      <c r="H667" s="18" t="s">
        <v>84</v>
      </c>
      <c r="I667" s="18" t="s">
        <v>85</v>
      </c>
      <c r="J667" s="18">
        <v>5</v>
      </c>
      <c r="K667" s="16">
        <v>17</v>
      </c>
      <c r="L667" s="10"/>
      <c r="M667" s="16">
        <v>0</v>
      </c>
      <c r="N667" s="16">
        <v>0</v>
      </c>
      <c r="O667" s="18">
        <v>0</v>
      </c>
      <c r="P667" s="18" t="s">
        <v>133</v>
      </c>
      <c r="Q667" s="18">
        <v>2.890372</v>
      </c>
      <c r="R667" s="10"/>
      <c r="S667" s="16">
        <v>833</v>
      </c>
      <c r="T667" s="16">
        <v>10</v>
      </c>
      <c r="U667" s="18" t="s">
        <v>2696</v>
      </c>
      <c r="V667" s="18" t="s">
        <v>2242</v>
      </c>
      <c r="W667" s="18" t="s">
        <v>2243</v>
      </c>
      <c r="X667" s="13"/>
      <c r="Y667" s="18" t="s">
        <v>2244</v>
      </c>
      <c r="Z667" s="18" t="s">
        <v>198</v>
      </c>
      <c r="AA667" s="18" t="s">
        <v>83</v>
      </c>
      <c r="AB667" s="18" t="s">
        <v>84</v>
      </c>
      <c r="AC667" s="18" t="s">
        <v>85</v>
      </c>
      <c r="AD667" s="18">
        <v>29</v>
      </c>
      <c r="AE667" s="18">
        <v>0</v>
      </c>
      <c r="AF667" s="18">
        <v>0</v>
      </c>
      <c r="AG667" s="18">
        <v>0</v>
      </c>
      <c r="AH667" s="18">
        <v>0</v>
      </c>
      <c r="AI667" s="18">
        <v>0</v>
      </c>
      <c r="AJ667" s="18">
        <v>0</v>
      </c>
      <c r="AK667" s="18">
        <v>0</v>
      </c>
      <c r="AL667" s="18">
        <v>0</v>
      </c>
      <c r="AM667" s="18">
        <v>0</v>
      </c>
      <c r="AN667" s="18">
        <v>0</v>
      </c>
      <c r="AO667" s="18">
        <v>0</v>
      </c>
      <c r="AP667" s="18">
        <v>0</v>
      </c>
      <c r="AQ667" s="18">
        <v>0</v>
      </c>
      <c r="AR667" s="18">
        <v>0</v>
      </c>
      <c r="AS667" s="18">
        <v>0</v>
      </c>
      <c r="AT667" s="18">
        <v>0</v>
      </c>
      <c r="AU667" s="18">
        <v>0</v>
      </c>
      <c r="AV667" s="18">
        <v>0</v>
      </c>
      <c r="AW667" s="18">
        <v>1</v>
      </c>
      <c r="AX667" s="18">
        <v>0</v>
      </c>
      <c r="AY667" s="13"/>
      <c r="AZ667" s="18">
        <v>1</v>
      </c>
      <c r="BA667" s="18">
        <v>0</v>
      </c>
      <c r="BB667" s="18">
        <v>64.18</v>
      </c>
      <c r="BC667" s="18" t="s">
        <v>2245</v>
      </c>
      <c r="BD667" s="18" t="s">
        <v>2246</v>
      </c>
      <c r="BE667" s="18" t="s">
        <v>1814</v>
      </c>
      <c r="BF667" s="18" t="s">
        <v>77</v>
      </c>
      <c r="BG667" s="18">
        <v>1</v>
      </c>
      <c r="BH667" s="18">
        <v>24</v>
      </c>
      <c r="BI667" s="18">
        <v>0.04</v>
      </c>
      <c r="BJ667" s="18">
        <v>1</v>
      </c>
      <c r="BK667" s="18">
        <v>65</v>
      </c>
      <c r="BL667" s="18">
        <v>82.2</v>
      </c>
      <c r="BM667" s="13">
        <f t="shared" si="0"/>
        <v>14161</v>
      </c>
    </row>
    <row r="668" customHeight="1" spans="1:65">
      <c r="A668" s="18" t="s">
        <v>2257</v>
      </c>
      <c r="B668" s="18" t="s">
        <v>2258</v>
      </c>
      <c r="C668" s="18" t="s">
        <v>2259</v>
      </c>
      <c r="D668" s="13"/>
      <c r="E668" s="18" t="s">
        <v>81</v>
      </c>
      <c r="F668" s="18" t="s">
        <v>82</v>
      </c>
      <c r="G668" s="18" t="s">
        <v>83</v>
      </c>
      <c r="H668" s="18" t="s">
        <v>84</v>
      </c>
      <c r="I668" s="18" t="s">
        <v>153</v>
      </c>
      <c r="J668" s="18">
        <v>2</v>
      </c>
      <c r="K668" s="16">
        <v>88.88</v>
      </c>
      <c r="L668" s="10"/>
      <c r="M668" s="16">
        <v>0</v>
      </c>
      <c r="N668" s="16">
        <v>0</v>
      </c>
      <c r="O668" s="18">
        <v>0</v>
      </c>
      <c r="P668" s="18" t="s">
        <v>95</v>
      </c>
      <c r="Q668" s="18">
        <v>4.498475</v>
      </c>
      <c r="R668" s="10"/>
      <c r="S668" s="16">
        <v>20</v>
      </c>
      <c r="T668" s="16">
        <v>10</v>
      </c>
      <c r="U668" s="18" t="s">
        <v>2257</v>
      </c>
      <c r="V668" s="18" t="s">
        <v>2258</v>
      </c>
      <c r="W668" s="18" t="s">
        <v>2697</v>
      </c>
      <c r="X668" s="13"/>
      <c r="Y668" s="18" t="s">
        <v>81</v>
      </c>
      <c r="Z668" s="18" t="s">
        <v>82</v>
      </c>
      <c r="AA668" s="18" t="s">
        <v>83</v>
      </c>
      <c r="AB668" s="18" t="s">
        <v>84</v>
      </c>
      <c r="AC668" s="18" t="s">
        <v>153</v>
      </c>
      <c r="AD668" s="18">
        <v>175.76</v>
      </c>
      <c r="AE668" s="18">
        <v>0</v>
      </c>
      <c r="AF668" s="18">
        <v>0</v>
      </c>
      <c r="AG668" s="18">
        <v>1</v>
      </c>
      <c r="AH668" s="18">
        <v>1</v>
      </c>
      <c r="AI668" s="18">
        <v>0</v>
      </c>
      <c r="AJ668" s="18">
        <v>0</v>
      </c>
      <c r="AK668" s="18">
        <v>0</v>
      </c>
      <c r="AL668" s="18">
        <v>0</v>
      </c>
      <c r="AM668" s="18">
        <v>0</v>
      </c>
      <c r="AN668" s="18">
        <v>0</v>
      </c>
      <c r="AO668" s="18">
        <v>0</v>
      </c>
      <c r="AP668" s="18">
        <v>0</v>
      </c>
      <c r="AQ668" s="18">
        <v>0</v>
      </c>
      <c r="AR668" s="18">
        <v>0</v>
      </c>
      <c r="AS668" s="18">
        <v>0</v>
      </c>
      <c r="AT668" s="18">
        <v>1</v>
      </c>
      <c r="AU668" s="18">
        <v>1</v>
      </c>
      <c r="AV668" s="18">
        <v>0</v>
      </c>
      <c r="AW668" s="18">
        <v>0</v>
      </c>
      <c r="AX668" s="18">
        <v>0</v>
      </c>
      <c r="AY668" s="13"/>
      <c r="AZ668" s="18">
        <v>1</v>
      </c>
      <c r="BA668" s="18">
        <v>1</v>
      </c>
      <c r="BB668" s="18">
        <v>56.25</v>
      </c>
      <c r="BC668" s="18" t="s">
        <v>2260</v>
      </c>
      <c r="BD668" s="18" t="s">
        <v>474</v>
      </c>
      <c r="BE668" s="18" t="s">
        <v>128</v>
      </c>
      <c r="BF668" s="18" t="s">
        <v>77</v>
      </c>
      <c r="BG668" s="18">
        <v>162</v>
      </c>
      <c r="BH668" s="18">
        <v>59</v>
      </c>
      <c r="BI668" s="18">
        <v>0.733</v>
      </c>
      <c r="BJ668" s="18">
        <v>0</v>
      </c>
      <c r="BK668" s="18">
        <v>5</v>
      </c>
      <c r="BL668" s="18">
        <v>98.6</v>
      </c>
      <c r="BM668" s="13">
        <f t="shared" si="0"/>
        <v>1777.6</v>
      </c>
    </row>
    <row r="669" customHeight="1" spans="1:65">
      <c r="A669" s="18" t="s">
        <v>2268</v>
      </c>
      <c r="B669" s="18" t="s">
        <v>335</v>
      </c>
      <c r="C669" s="18" t="s">
        <v>2269</v>
      </c>
      <c r="D669" s="13"/>
      <c r="E669" s="18" t="s">
        <v>81</v>
      </c>
      <c r="F669" s="18" t="s">
        <v>160</v>
      </c>
      <c r="G669" s="18" t="s">
        <v>83</v>
      </c>
      <c r="H669" s="18" t="s">
        <v>84</v>
      </c>
      <c r="I669" s="18" t="s">
        <v>85</v>
      </c>
      <c r="J669" s="18">
        <v>5</v>
      </c>
      <c r="K669" s="16">
        <v>206.99</v>
      </c>
      <c r="L669" s="16">
        <v>229.99</v>
      </c>
      <c r="M669" s="16">
        <v>10</v>
      </c>
      <c r="N669" s="16">
        <v>23</v>
      </c>
      <c r="O669" s="18">
        <v>1</v>
      </c>
      <c r="P669" s="18" t="s">
        <v>71</v>
      </c>
      <c r="Q669" s="18">
        <v>5.33749</v>
      </c>
      <c r="R669" s="16">
        <v>20.7</v>
      </c>
      <c r="S669" s="16">
        <v>1</v>
      </c>
      <c r="T669" s="16">
        <v>10</v>
      </c>
      <c r="U669" s="18" t="s">
        <v>2268</v>
      </c>
      <c r="V669" s="18" t="s">
        <v>335</v>
      </c>
      <c r="W669" s="18" t="s">
        <v>2698</v>
      </c>
      <c r="X669" s="13"/>
      <c r="Y669" s="18" t="s">
        <v>81</v>
      </c>
      <c r="Z669" s="18" t="s">
        <v>160</v>
      </c>
      <c r="AA669" s="18" t="s">
        <v>83</v>
      </c>
      <c r="AB669" s="18" t="s">
        <v>84</v>
      </c>
      <c r="AC669" s="18" t="s">
        <v>85</v>
      </c>
      <c r="AD669" s="18">
        <v>0.134000000000412</v>
      </c>
      <c r="AE669" s="18">
        <v>0</v>
      </c>
      <c r="AF669" s="18">
        <v>0</v>
      </c>
      <c r="AG669" s="18">
        <v>0</v>
      </c>
      <c r="AH669" s="18">
        <v>1</v>
      </c>
      <c r="AI669" s="18">
        <v>0</v>
      </c>
      <c r="AJ669" s="18">
        <v>0</v>
      </c>
      <c r="AK669" s="18">
        <v>0</v>
      </c>
      <c r="AL669" s="18">
        <v>0</v>
      </c>
      <c r="AM669" s="18">
        <v>0</v>
      </c>
      <c r="AN669" s="18">
        <v>0</v>
      </c>
      <c r="AO669" s="18">
        <v>0</v>
      </c>
      <c r="AP669" s="18">
        <v>0</v>
      </c>
      <c r="AQ669" s="18">
        <v>1</v>
      </c>
      <c r="AR669" s="18">
        <v>0</v>
      </c>
      <c r="AS669" s="18">
        <v>0</v>
      </c>
      <c r="AT669" s="18">
        <v>1</v>
      </c>
      <c r="AU669" s="18">
        <v>0</v>
      </c>
      <c r="AV669" s="18">
        <v>1</v>
      </c>
      <c r="AW669" s="18">
        <v>1</v>
      </c>
      <c r="AX669" s="18">
        <v>0</v>
      </c>
      <c r="AY669" s="18">
        <v>10</v>
      </c>
      <c r="AZ669" s="18">
        <v>1</v>
      </c>
      <c r="BA669" s="18">
        <v>3</v>
      </c>
      <c r="BB669" s="18">
        <v>36.22</v>
      </c>
      <c r="BC669" s="18" t="s">
        <v>2270</v>
      </c>
      <c r="BD669" s="18" t="s">
        <v>337</v>
      </c>
      <c r="BE669" s="18" t="s">
        <v>98</v>
      </c>
      <c r="BF669" s="18" t="s">
        <v>77</v>
      </c>
      <c r="BG669" s="18">
        <v>168</v>
      </c>
      <c r="BH669" s="18">
        <v>12</v>
      </c>
      <c r="BI669" s="18">
        <v>0.9333</v>
      </c>
      <c r="BJ669" s="18">
        <v>0</v>
      </c>
      <c r="BK669" s="18">
        <v>5</v>
      </c>
      <c r="BL669" s="18">
        <v>98.6</v>
      </c>
      <c r="BM669" s="13">
        <f t="shared" si="0"/>
        <v>206.99</v>
      </c>
    </row>
    <row r="670" customHeight="1" spans="1:65">
      <c r="A670" s="18" t="s">
        <v>2273</v>
      </c>
      <c r="B670" s="18" t="s">
        <v>125</v>
      </c>
      <c r="C670" s="18" t="s">
        <v>2274</v>
      </c>
      <c r="D670" s="18">
        <v>854109004816</v>
      </c>
      <c r="E670" s="18" t="s">
        <v>2275</v>
      </c>
      <c r="F670" s="18" t="s">
        <v>132</v>
      </c>
      <c r="G670" s="18" t="s">
        <v>83</v>
      </c>
      <c r="H670" s="18" t="s">
        <v>138</v>
      </c>
      <c r="I670" s="18" t="s">
        <v>85</v>
      </c>
      <c r="J670" s="18">
        <v>5</v>
      </c>
      <c r="K670" s="16">
        <v>107.5</v>
      </c>
      <c r="L670" s="10"/>
      <c r="M670" s="16">
        <v>0</v>
      </c>
      <c r="N670" s="16">
        <v>0</v>
      </c>
      <c r="O670" s="18">
        <v>0</v>
      </c>
      <c r="P670" s="18" t="s">
        <v>95</v>
      </c>
      <c r="Q670" s="18">
        <v>4.68675</v>
      </c>
      <c r="R670" s="10"/>
      <c r="S670" s="16">
        <v>120</v>
      </c>
      <c r="T670" s="16">
        <v>9</v>
      </c>
      <c r="U670" s="18" t="s">
        <v>2273</v>
      </c>
      <c r="V670" s="18" t="s">
        <v>125</v>
      </c>
      <c r="W670" s="18" t="s">
        <v>2699</v>
      </c>
      <c r="X670" s="18">
        <v>854109004817</v>
      </c>
      <c r="Y670" s="18" t="s">
        <v>2275</v>
      </c>
      <c r="Z670" s="18" t="s">
        <v>132</v>
      </c>
      <c r="AA670" s="18" t="s">
        <v>83</v>
      </c>
      <c r="AB670" s="18" t="s">
        <v>138</v>
      </c>
      <c r="AC670" s="18" t="s">
        <v>85</v>
      </c>
      <c r="AD670" s="18">
        <v>210</v>
      </c>
      <c r="AE670" s="18">
        <v>0</v>
      </c>
      <c r="AF670" s="18">
        <v>0</v>
      </c>
      <c r="AG670" s="18">
        <v>0</v>
      </c>
      <c r="AH670" s="18">
        <v>0</v>
      </c>
      <c r="AI670" s="18">
        <v>0</v>
      </c>
      <c r="AJ670" s="18">
        <v>0</v>
      </c>
      <c r="AK670" s="18">
        <v>0</v>
      </c>
      <c r="AL670" s="18">
        <v>0</v>
      </c>
      <c r="AM670" s="18">
        <v>0</v>
      </c>
      <c r="AN670" s="18">
        <v>0</v>
      </c>
      <c r="AO670" s="18">
        <v>0</v>
      </c>
      <c r="AP670" s="18">
        <v>0</v>
      </c>
      <c r="AQ670" s="18">
        <v>0</v>
      </c>
      <c r="AR670" s="18">
        <v>0</v>
      </c>
      <c r="AS670" s="18">
        <v>0</v>
      </c>
      <c r="AT670" s="18">
        <v>0</v>
      </c>
      <c r="AU670" s="18">
        <v>0</v>
      </c>
      <c r="AV670" s="18">
        <v>0</v>
      </c>
      <c r="AW670" s="18">
        <v>0</v>
      </c>
      <c r="AX670" s="18">
        <v>0</v>
      </c>
      <c r="AY670" s="13"/>
      <c r="AZ670" s="18">
        <v>1</v>
      </c>
      <c r="BA670" s="18">
        <v>0</v>
      </c>
      <c r="BB670" s="18">
        <v>66.31</v>
      </c>
      <c r="BC670" s="18" t="s">
        <v>2276</v>
      </c>
      <c r="BD670" s="18" t="s">
        <v>2277</v>
      </c>
      <c r="BE670" s="18" t="s">
        <v>128</v>
      </c>
      <c r="BF670" s="18" t="s">
        <v>77</v>
      </c>
      <c r="BG670" s="18">
        <v>1</v>
      </c>
      <c r="BH670" s="18">
        <v>28</v>
      </c>
      <c r="BI670" s="18">
        <v>0.0345</v>
      </c>
      <c r="BJ670" s="18">
        <v>1</v>
      </c>
      <c r="BK670" s="18">
        <v>11</v>
      </c>
      <c r="BL670" s="18">
        <v>97</v>
      </c>
      <c r="BM670" s="13">
        <f t="shared" si="0"/>
        <v>12900</v>
      </c>
    </row>
    <row r="671" customHeight="1" spans="1:65">
      <c r="A671" s="18" t="s">
        <v>315</v>
      </c>
      <c r="B671" s="18" t="s">
        <v>316</v>
      </c>
      <c r="C671" s="13"/>
      <c r="D671" s="13"/>
      <c r="E671" s="18" t="s">
        <v>317</v>
      </c>
      <c r="F671" s="18" t="s">
        <v>240</v>
      </c>
      <c r="G671" s="18" t="s">
        <v>83</v>
      </c>
      <c r="H671" s="18" t="s">
        <v>84</v>
      </c>
      <c r="I671" s="18" t="s">
        <v>203</v>
      </c>
      <c r="J671" s="18">
        <v>4</v>
      </c>
      <c r="K671" s="16">
        <v>45</v>
      </c>
      <c r="L671" s="10"/>
      <c r="M671" s="16">
        <v>0</v>
      </c>
      <c r="N671" s="16">
        <v>0</v>
      </c>
      <c r="O671" s="18">
        <v>0</v>
      </c>
      <c r="P671" s="18" t="s">
        <v>86</v>
      </c>
      <c r="Q671" s="18">
        <v>3.828641</v>
      </c>
      <c r="R671" s="16">
        <v>5.62</v>
      </c>
      <c r="S671" s="10"/>
      <c r="T671" s="10"/>
      <c r="U671" s="18" t="s">
        <v>315</v>
      </c>
      <c r="V671" s="18" t="s">
        <v>316</v>
      </c>
      <c r="W671" s="13"/>
      <c r="X671" s="13"/>
      <c r="Y671" s="18" t="s">
        <v>317</v>
      </c>
      <c r="Z671" s="18" t="s">
        <v>240</v>
      </c>
      <c r="AA671" s="18" t="s">
        <v>83</v>
      </c>
      <c r="AB671" s="18" t="s">
        <v>84</v>
      </c>
      <c r="AC671" s="18" t="s">
        <v>203</v>
      </c>
      <c r="AD671" s="18">
        <v>86</v>
      </c>
      <c r="AE671" s="18">
        <v>0</v>
      </c>
      <c r="AF671" s="18">
        <v>0</v>
      </c>
      <c r="AG671" s="18">
        <v>0</v>
      </c>
      <c r="AH671" s="18">
        <v>0</v>
      </c>
      <c r="AI671" s="18">
        <v>0</v>
      </c>
      <c r="AJ671" s="18">
        <v>0</v>
      </c>
      <c r="AK671" s="18">
        <v>0</v>
      </c>
      <c r="AL671" s="18">
        <v>0</v>
      </c>
      <c r="AM671" s="18">
        <v>0</v>
      </c>
      <c r="AN671" s="18">
        <v>0</v>
      </c>
      <c r="AO671" s="18">
        <v>0</v>
      </c>
      <c r="AP671" s="18">
        <v>0</v>
      </c>
      <c r="AQ671" s="18">
        <v>1</v>
      </c>
      <c r="AR671" s="18">
        <v>0</v>
      </c>
      <c r="AS671" s="18">
        <v>0</v>
      </c>
      <c r="AT671" s="18">
        <v>0</v>
      </c>
      <c r="AU671" s="18">
        <v>0</v>
      </c>
      <c r="AV671" s="18">
        <v>1</v>
      </c>
      <c r="AW671" s="18">
        <v>1</v>
      </c>
      <c r="AX671" s="18">
        <v>0</v>
      </c>
      <c r="AY671" s="18">
        <v>8</v>
      </c>
      <c r="AZ671" s="18">
        <v>1</v>
      </c>
      <c r="BA671" s="18">
        <v>1</v>
      </c>
      <c r="BB671" s="18">
        <v>17.58</v>
      </c>
      <c r="BC671" s="18" t="s">
        <v>318</v>
      </c>
      <c r="BD671" s="18" t="s">
        <v>319</v>
      </c>
      <c r="BE671" s="18" t="s">
        <v>166</v>
      </c>
      <c r="BF671" s="18" t="s">
        <v>77</v>
      </c>
      <c r="BG671" s="18">
        <v>168</v>
      </c>
      <c r="BH671" s="18">
        <v>11</v>
      </c>
      <c r="BI671" s="18">
        <v>0.9385</v>
      </c>
      <c r="BJ671" s="18">
        <v>0</v>
      </c>
      <c r="BK671" s="18">
        <v>151</v>
      </c>
      <c r="BL671" s="18">
        <v>58.6</v>
      </c>
      <c r="BM671" s="13">
        <f t="shared" si="0"/>
        <v>0</v>
      </c>
    </row>
    <row r="672" customHeight="1" spans="1:65">
      <c r="A672" s="18" t="s">
        <v>946</v>
      </c>
      <c r="B672" s="18" t="s">
        <v>344</v>
      </c>
      <c r="C672" s="13"/>
      <c r="D672" s="13"/>
      <c r="E672" s="18" t="s">
        <v>81</v>
      </c>
      <c r="F672" s="18" t="s">
        <v>82</v>
      </c>
      <c r="G672" s="18" t="s">
        <v>346</v>
      </c>
      <c r="H672" s="18" t="s">
        <v>107</v>
      </c>
      <c r="I672" s="18" t="s">
        <v>85</v>
      </c>
      <c r="J672" s="18">
        <v>5</v>
      </c>
      <c r="K672" s="16">
        <v>189.99</v>
      </c>
      <c r="L672" s="10"/>
      <c r="M672" s="16">
        <v>0</v>
      </c>
      <c r="N672" s="16">
        <v>0</v>
      </c>
      <c r="O672" s="18">
        <v>0</v>
      </c>
      <c r="P672" s="18" t="s">
        <v>95</v>
      </c>
      <c r="Q672" s="18">
        <v>5.252221</v>
      </c>
      <c r="R672" s="10"/>
      <c r="S672" s="16">
        <v>9</v>
      </c>
      <c r="T672" s="16">
        <v>10</v>
      </c>
      <c r="U672" s="18" t="s">
        <v>946</v>
      </c>
      <c r="V672" s="18" t="s">
        <v>344</v>
      </c>
      <c r="W672" s="13"/>
      <c r="X672" s="13"/>
      <c r="Y672" s="18" t="s">
        <v>81</v>
      </c>
      <c r="Z672" s="18" t="s">
        <v>82</v>
      </c>
      <c r="AA672" s="18" t="s">
        <v>346</v>
      </c>
      <c r="AB672" s="18" t="s">
        <v>107</v>
      </c>
      <c r="AC672" s="18" t="s">
        <v>85</v>
      </c>
      <c r="AD672" s="18">
        <v>374.98</v>
      </c>
      <c r="AE672" s="18">
        <v>0</v>
      </c>
      <c r="AF672" s="18">
        <v>0</v>
      </c>
      <c r="AG672" s="18">
        <v>0</v>
      </c>
      <c r="AH672" s="18">
        <v>1</v>
      </c>
      <c r="AI672" s="18">
        <v>0</v>
      </c>
      <c r="AJ672" s="18">
        <v>0</v>
      </c>
      <c r="AK672" s="18">
        <v>0</v>
      </c>
      <c r="AL672" s="18">
        <v>0</v>
      </c>
      <c r="AM672" s="18">
        <v>0</v>
      </c>
      <c r="AN672" s="18">
        <v>0</v>
      </c>
      <c r="AO672" s="18">
        <v>0</v>
      </c>
      <c r="AP672" s="18">
        <v>0</v>
      </c>
      <c r="AQ672" s="18">
        <v>0</v>
      </c>
      <c r="AR672" s="18">
        <v>0</v>
      </c>
      <c r="AS672" s="18">
        <v>0</v>
      </c>
      <c r="AT672" s="18">
        <v>1</v>
      </c>
      <c r="AU672" s="18">
        <v>0</v>
      </c>
      <c r="AV672" s="18">
        <v>0</v>
      </c>
      <c r="AW672" s="18">
        <v>1</v>
      </c>
      <c r="AX672" s="18">
        <v>0</v>
      </c>
      <c r="AY672" s="13"/>
      <c r="AZ672" s="18">
        <v>1</v>
      </c>
      <c r="BA672" s="18">
        <v>1</v>
      </c>
      <c r="BB672" s="18">
        <v>48.2</v>
      </c>
      <c r="BC672" s="18" t="s">
        <v>2281</v>
      </c>
      <c r="BD672" s="18" t="s">
        <v>2282</v>
      </c>
      <c r="BE672" s="18" t="s">
        <v>627</v>
      </c>
      <c r="BF672" s="18" t="s">
        <v>77</v>
      </c>
      <c r="BG672" s="18">
        <v>162</v>
      </c>
      <c r="BH672" s="18">
        <v>19</v>
      </c>
      <c r="BI672" s="18">
        <v>0.895</v>
      </c>
      <c r="BJ672" s="18">
        <v>0</v>
      </c>
      <c r="BK672" s="18">
        <v>9</v>
      </c>
      <c r="BL672" s="18">
        <v>97.5</v>
      </c>
      <c r="BM672" s="13">
        <f t="shared" si="0"/>
        <v>1709.91</v>
      </c>
    </row>
    <row r="673" customHeight="1" spans="1:65">
      <c r="A673" s="18" t="s">
        <v>2283</v>
      </c>
      <c r="B673" s="18" t="s">
        <v>125</v>
      </c>
      <c r="C673" s="13"/>
      <c r="D673" s="13"/>
      <c r="E673" s="18" t="s">
        <v>2284</v>
      </c>
      <c r="F673" s="18" t="s">
        <v>240</v>
      </c>
      <c r="G673" s="18" t="s">
        <v>83</v>
      </c>
      <c r="H673" s="18" t="s">
        <v>138</v>
      </c>
      <c r="I673" s="18" t="s">
        <v>85</v>
      </c>
      <c r="J673" s="18">
        <v>5</v>
      </c>
      <c r="K673" s="16">
        <v>18.99</v>
      </c>
      <c r="L673" s="10"/>
      <c r="M673" s="16">
        <v>0</v>
      </c>
      <c r="N673" s="16">
        <v>0</v>
      </c>
      <c r="O673" s="18">
        <v>0</v>
      </c>
      <c r="P673" s="18" t="s">
        <v>133</v>
      </c>
      <c r="Q673" s="18">
        <v>2.995232</v>
      </c>
      <c r="R673" s="10"/>
      <c r="S673" s="16">
        <v>808</v>
      </c>
      <c r="T673" s="16">
        <v>10</v>
      </c>
      <c r="U673" s="18" t="s">
        <v>2283</v>
      </c>
      <c r="V673" s="18" t="s">
        <v>125</v>
      </c>
      <c r="W673" s="13"/>
      <c r="X673" s="13"/>
      <c r="Y673" s="18" t="s">
        <v>2284</v>
      </c>
      <c r="Z673" s="18" t="s">
        <v>240</v>
      </c>
      <c r="AA673" s="18" t="s">
        <v>83</v>
      </c>
      <c r="AB673" s="18" t="s">
        <v>138</v>
      </c>
      <c r="AC673" s="18" t="s">
        <v>85</v>
      </c>
      <c r="AD673" s="18">
        <v>32.98</v>
      </c>
      <c r="AE673" s="18">
        <v>0</v>
      </c>
      <c r="AF673" s="18">
        <v>0</v>
      </c>
      <c r="AG673" s="18">
        <v>0</v>
      </c>
      <c r="AH673" s="18">
        <v>1</v>
      </c>
      <c r="AI673" s="18">
        <v>0</v>
      </c>
      <c r="AJ673" s="18">
        <v>0</v>
      </c>
      <c r="AK673" s="18">
        <v>0</v>
      </c>
      <c r="AL673" s="18">
        <v>0</v>
      </c>
      <c r="AM673" s="18">
        <v>0</v>
      </c>
      <c r="AN673" s="18">
        <v>0</v>
      </c>
      <c r="AO673" s="18">
        <v>0</v>
      </c>
      <c r="AP673" s="18">
        <v>0</v>
      </c>
      <c r="AQ673" s="18">
        <v>0</v>
      </c>
      <c r="AR673" s="18">
        <v>0</v>
      </c>
      <c r="AS673" s="18">
        <v>0</v>
      </c>
      <c r="AT673" s="18">
        <v>0</v>
      </c>
      <c r="AU673" s="18">
        <v>0</v>
      </c>
      <c r="AV673" s="18">
        <v>0</v>
      </c>
      <c r="AW673" s="18">
        <v>0</v>
      </c>
      <c r="AX673" s="18">
        <v>0</v>
      </c>
      <c r="AY673" s="13"/>
      <c r="AZ673" s="18">
        <v>1</v>
      </c>
      <c r="BA673" s="18">
        <v>2</v>
      </c>
      <c r="BB673" s="18">
        <v>69.27</v>
      </c>
      <c r="BC673" s="18" t="s">
        <v>2285</v>
      </c>
      <c r="BD673" s="18" t="s">
        <v>2286</v>
      </c>
      <c r="BE673" s="18" t="s">
        <v>226</v>
      </c>
      <c r="BF673" s="18" t="s">
        <v>77</v>
      </c>
      <c r="BG673" s="18">
        <v>162</v>
      </c>
      <c r="BH673" s="18">
        <v>58</v>
      </c>
      <c r="BI673" s="18">
        <v>0.7364</v>
      </c>
      <c r="BJ673" s="18">
        <v>0</v>
      </c>
      <c r="BK673" s="18">
        <v>3</v>
      </c>
      <c r="BL673" s="18">
        <v>99.2</v>
      </c>
      <c r="BM673" s="13">
        <f t="shared" si="0"/>
        <v>15343.92</v>
      </c>
    </row>
    <row r="674" customHeight="1" spans="1:65">
      <c r="A674" s="18" t="s">
        <v>2290</v>
      </c>
      <c r="B674" s="18" t="s">
        <v>901</v>
      </c>
      <c r="C674" s="13"/>
      <c r="D674" s="13"/>
      <c r="E674" s="18" t="s">
        <v>81</v>
      </c>
      <c r="F674" s="18" t="s">
        <v>82</v>
      </c>
      <c r="G674" s="18" t="s">
        <v>901</v>
      </c>
      <c r="H674" s="18" t="s">
        <v>107</v>
      </c>
      <c r="I674" s="18" t="s">
        <v>203</v>
      </c>
      <c r="J674" s="18">
        <v>4</v>
      </c>
      <c r="K674" s="16">
        <v>164.28</v>
      </c>
      <c r="L674" s="16">
        <v>328.56</v>
      </c>
      <c r="M674" s="16">
        <v>50</v>
      </c>
      <c r="N674" s="16">
        <v>164.28</v>
      </c>
      <c r="O674" s="18">
        <v>1</v>
      </c>
      <c r="P674" s="18" t="s">
        <v>95</v>
      </c>
      <c r="Q674" s="18">
        <v>5.107641</v>
      </c>
      <c r="R674" s="10"/>
      <c r="S674" s="16">
        <v>2</v>
      </c>
      <c r="T674" s="16">
        <v>8</v>
      </c>
      <c r="U674" s="18" t="s">
        <v>2290</v>
      </c>
      <c r="V674" s="18" t="s">
        <v>901</v>
      </c>
      <c r="W674" s="13"/>
      <c r="X674" s="13"/>
      <c r="Y674" s="18" t="s">
        <v>81</v>
      </c>
      <c r="Z674" s="18" t="s">
        <v>82</v>
      </c>
      <c r="AA674" s="18" t="s">
        <v>901</v>
      </c>
      <c r="AB674" s="18" t="s">
        <v>107</v>
      </c>
      <c r="AC674" s="18" t="s">
        <v>203</v>
      </c>
      <c r="AD674" s="18">
        <v>89.3306666666666</v>
      </c>
      <c r="AE674" s="18">
        <v>0</v>
      </c>
      <c r="AF674" s="18">
        <v>0</v>
      </c>
      <c r="AG674" s="18">
        <v>1</v>
      </c>
      <c r="AH674" s="18">
        <v>0</v>
      </c>
      <c r="AI674" s="18">
        <v>0</v>
      </c>
      <c r="AJ674" s="18">
        <v>0</v>
      </c>
      <c r="AK674" s="18">
        <v>0</v>
      </c>
      <c r="AL674" s="18">
        <v>0</v>
      </c>
      <c r="AM674" s="18">
        <v>0</v>
      </c>
      <c r="AN674" s="18">
        <v>0</v>
      </c>
      <c r="AO674" s="18">
        <v>0</v>
      </c>
      <c r="AP674" s="18">
        <v>0</v>
      </c>
      <c r="AQ674" s="18">
        <v>0</v>
      </c>
      <c r="AR674" s="18">
        <v>0</v>
      </c>
      <c r="AS674" s="18">
        <v>0</v>
      </c>
      <c r="AT674" s="18">
        <v>1</v>
      </c>
      <c r="AU674" s="18">
        <v>0</v>
      </c>
      <c r="AV674" s="18">
        <v>0</v>
      </c>
      <c r="AW674" s="18">
        <v>0</v>
      </c>
      <c r="AX674" s="18">
        <v>0</v>
      </c>
      <c r="AY674" s="13"/>
      <c r="AZ674" s="18">
        <v>1</v>
      </c>
      <c r="BA674" s="18">
        <v>1</v>
      </c>
      <c r="BB674" s="18">
        <v>51.35</v>
      </c>
      <c r="BC674" s="18" t="s">
        <v>2291</v>
      </c>
      <c r="BD674" s="18" t="s">
        <v>916</v>
      </c>
      <c r="BE674" s="18" t="s">
        <v>128</v>
      </c>
      <c r="BF674" s="18" t="s">
        <v>77</v>
      </c>
      <c r="BG674" s="18">
        <v>1</v>
      </c>
      <c r="BH674" s="18">
        <v>15</v>
      </c>
      <c r="BI674" s="18">
        <v>0.0625</v>
      </c>
      <c r="BJ674" s="18">
        <v>1</v>
      </c>
      <c r="BK674" s="18">
        <v>20</v>
      </c>
      <c r="BL674" s="18">
        <v>94.5</v>
      </c>
      <c r="BM674" s="13">
        <f t="shared" si="0"/>
        <v>328.56</v>
      </c>
    </row>
    <row r="675" customHeight="1" spans="1:65">
      <c r="A675" s="18" t="s">
        <v>2294</v>
      </c>
      <c r="B675" s="18" t="s">
        <v>144</v>
      </c>
      <c r="C675" s="13"/>
      <c r="D675" s="13"/>
      <c r="E675" s="18" t="s">
        <v>131</v>
      </c>
      <c r="F675" s="18" t="s">
        <v>132</v>
      </c>
      <c r="G675" s="18" t="s">
        <v>83</v>
      </c>
      <c r="H675" s="18" t="s">
        <v>84</v>
      </c>
      <c r="I675" s="18" t="s">
        <v>85</v>
      </c>
      <c r="J675" s="18">
        <v>5</v>
      </c>
      <c r="K675" s="16">
        <v>11.99</v>
      </c>
      <c r="L675" s="10"/>
      <c r="M675" s="16">
        <v>0</v>
      </c>
      <c r="N675" s="16">
        <v>0</v>
      </c>
      <c r="O675" s="18">
        <v>0</v>
      </c>
      <c r="P675" s="18" t="s">
        <v>133</v>
      </c>
      <c r="Q675" s="18">
        <v>2.56418</v>
      </c>
      <c r="R675" s="10"/>
      <c r="S675" s="16">
        <v>3051</v>
      </c>
      <c r="T675" s="16">
        <v>10</v>
      </c>
      <c r="U675" s="18" t="s">
        <v>2294</v>
      </c>
      <c r="V675" s="18" t="s">
        <v>144</v>
      </c>
      <c r="W675" s="13"/>
      <c r="X675" s="13"/>
      <c r="Y675" s="18" t="s">
        <v>131</v>
      </c>
      <c r="Z675" s="18" t="s">
        <v>132</v>
      </c>
      <c r="AA675" s="18" t="s">
        <v>83</v>
      </c>
      <c r="AB675" s="18" t="s">
        <v>84</v>
      </c>
      <c r="AC675" s="18" t="s">
        <v>85</v>
      </c>
      <c r="AD675" s="18">
        <v>18.98</v>
      </c>
      <c r="AE675" s="18">
        <v>0</v>
      </c>
      <c r="AF675" s="18">
        <v>0</v>
      </c>
      <c r="AG675" s="18">
        <v>0</v>
      </c>
      <c r="AH675" s="18">
        <v>0</v>
      </c>
      <c r="AI675" s="18">
        <v>0</v>
      </c>
      <c r="AJ675" s="18">
        <v>0</v>
      </c>
      <c r="AK675" s="18">
        <v>0</v>
      </c>
      <c r="AL675" s="18">
        <v>0</v>
      </c>
      <c r="AM675" s="18">
        <v>0</v>
      </c>
      <c r="AN675" s="18">
        <v>0</v>
      </c>
      <c r="AO675" s="18">
        <v>0</v>
      </c>
      <c r="AP675" s="18">
        <v>0</v>
      </c>
      <c r="AQ675" s="18">
        <v>1</v>
      </c>
      <c r="AR675" s="18">
        <v>0</v>
      </c>
      <c r="AS675" s="18">
        <v>0</v>
      </c>
      <c r="AT675" s="18">
        <v>0</v>
      </c>
      <c r="AU675" s="18">
        <v>0</v>
      </c>
      <c r="AV675" s="18">
        <v>1</v>
      </c>
      <c r="AW675" s="18">
        <v>0</v>
      </c>
      <c r="AX675" s="18">
        <v>0</v>
      </c>
      <c r="AY675" s="13"/>
      <c r="AZ675" s="18">
        <v>1</v>
      </c>
      <c r="BA675" s="18">
        <v>1</v>
      </c>
      <c r="BB675" s="18">
        <v>69.63</v>
      </c>
      <c r="BC675" s="18" t="s">
        <v>2295</v>
      </c>
      <c r="BD675" s="18" t="s">
        <v>537</v>
      </c>
      <c r="BE675" s="18" t="s">
        <v>226</v>
      </c>
      <c r="BF675" s="18" t="s">
        <v>77</v>
      </c>
      <c r="BG675" s="18">
        <v>162</v>
      </c>
      <c r="BH675" s="18">
        <v>59</v>
      </c>
      <c r="BI675" s="18">
        <v>0.733</v>
      </c>
      <c r="BJ675" s="18">
        <v>0</v>
      </c>
      <c r="BK675" s="18">
        <v>3</v>
      </c>
      <c r="BL675" s="18">
        <v>99.2</v>
      </c>
      <c r="BM675" s="13">
        <f t="shared" si="0"/>
        <v>36581.49</v>
      </c>
    </row>
    <row r="676" customHeight="1" spans="1:65">
      <c r="A676" s="18" t="s">
        <v>2298</v>
      </c>
      <c r="B676" s="18" t="s">
        <v>427</v>
      </c>
      <c r="C676" s="18" t="s">
        <v>2299</v>
      </c>
      <c r="D676" s="18">
        <v>659680647939</v>
      </c>
      <c r="E676" s="18" t="s">
        <v>163</v>
      </c>
      <c r="F676" s="18" t="s">
        <v>82</v>
      </c>
      <c r="G676" s="18" t="s">
        <v>427</v>
      </c>
      <c r="H676" s="18" t="s">
        <v>107</v>
      </c>
      <c r="I676" s="18" t="s">
        <v>203</v>
      </c>
      <c r="J676" s="18">
        <v>4</v>
      </c>
      <c r="K676" s="16">
        <v>299.99</v>
      </c>
      <c r="L676" s="16">
        <v>399.99</v>
      </c>
      <c r="M676" s="16">
        <v>25</v>
      </c>
      <c r="N676" s="16">
        <v>100</v>
      </c>
      <c r="O676" s="18">
        <v>1</v>
      </c>
      <c r="P676" s="18" t="s">
        <v>71</v>
      </c>
      <c r="Q676" s="18">
        <v>5.707077</v>
      </c>
      <c r="R676" s="10"/>
      <c r="S676" s="16">
        <v>1</v>
      </c>
      <c r="T676" s="16">
        <v>10</v>
      </c>
      <c r="U676" s="18" t="s">
        <v>2298</v>
      </c>
      <c r="V676" s="18" t="s">
        <v>427</v>
      </c>
      <c r="W676" s="18" t="s">
        <v>2299</v>
      </c>
      <c r="X676" s="18">
        <v>659680647940</v>
      </c>
      <c r="Y676" s="18" t="s">
        <v>163</v>
      </c>
      <c r="Z676" s="18" t="s">
        <v>82</v>
      </c>
      <c r="AA676" s="18" t="s">
        <v>427</v>
      </c>
      <c r="AB676" s="18" t="s">
        <v>107</v>
      </c>
      <c r="AC676" s="18" t="s">
        <v>203</v>
      </c>
      <c r="AD676" s="18">
        <v>39.3340000000006</v>
      </c>
      <c r="AE676" s="18">
        <v>1</v>
      </c>
      <c r="AF676" s="18">
        <v>0</v>
      </c>
      <c r="AG676" s="18">
        <v>0</v>
      </c>
      <c r="AH676" s="18">
        <v>0</v>
      </c>
      <c r="AI676" s="18">
        <v>0</v>
      </c>
      <c r="AJ676" s="18">
        <v>0</v>
      </c>
      <c r="AK676" s="18">
        <v>0</v>
      </c>
      <c r="AL676" s="18">
        <v>0</v>
      </c>
      <c r="AM676" s="18">
        <v>0</v>
      </c>
      <c r="AN676" s="18">
        <v>0</v>
      </c>
      <c r="AO676" s="18">
        <v>0</v>
      </c>
      <c r="AP676" s="18">
        <v>0</v>
      </c>
      <c r="AQ676" s="18">
        <v>0</v>
      </c>
      <c r="AR676" s="18">
        <v>0</v>
      </c>
      <c r="AS676" s="18">
        <v>0</v>
      </c>
      <c r="AT676" s="18">
        <v>1</v>
      </c>
      <c r="AU676" s="18">
        <v>0</v>
      </c>
      <c r="AV676" s="18">
        <v>0</v>
      </c>
      <c r="AW676" s="18">
        <v>1</v>
      </c>
      <c r="AX676" s="18">
        <v>0</v>
      </c>
      <c r="AY676" s="13"/>
      <c r="AZ676" s="18">
        <v>1</v>
      </c>
      <c r="BA676" s="18">
        <v>1</v>
      </c>
      <c r="BB676" s="18">
        <v>40.9</v>
      </c>
      <c r="BC676" s="18" t="s">
        <v>2300</v>
      </c>
      <c r="BD676" s="18" t="s">
        <v>2301</v>
      </c>
      <c r="BE676" s="18" t="s">
        <v>627</v>
      </c>
      <c r="BF676" s="18" t="s">
        <v>77</v>
      </c>
      <c r="BG676" s="18">
        <v>162</v>
      </c>
      <c r="BH676" s="18">
        <v>60</v>
      </c>
      <c r="BI676" s="18">
        <v>0.7297</v>
      </c>
      <c r="BJ676" s="18">
        <v>0</v>
      </c>
      <c r="BK676" s="18">
        <v>3</v>
      </c>
      <c r="BL676" s="18">
        <v>99.2</v>
      </c>
      <c r="BM676" s="13">
        <f t="shared" si="0"/>
        <v>299.99</v>
      </c>
    </row>
    <row r="677" customHeight="1" spans="1:65">
      <c r="A677" s="19" t="s">
        <v>2303</v>
      </c>
      <c r="B677" s="18" t="s">
        <v>1768</v>
      </c>
      <c r="C677" s="19" t="s">
        <v>2304</v>
      </c>
      <c r="D677" s="13"/>
      <c r="E677" s="18" t="s">
        <v>239</v>
      </c>
      <c r="F677" s="18" t="s">
        <v>240</v>
      </c>
      <c r="G677" s="18" t="s">
        <v>83</v>
      </c>
      <c r="H677" s="18" t="s">
        <v>84</v>
      </c>
      <c r="I677" s="18" t="s">
        <v>203</v>
      </c>
      <c r="J677" s="18">
        <v>4</v>
      </c>
      <c r="K677" s="16">
        <v>783.99</v>
      </c>
      <c r="L677" s="10"/>
      <c r="M677" s="16">
        <v>0</v>
      </c>
      <c r="N677" s="16">
        <v>0</v>
      </c>
      <c r="O677" s="18">
        <v>0</v>
      </c>
      <c r="P677" s="18" t="s">
        <v>147</v>
      </c>
      <c r="Q677" s="18">
        <v>6.665671</v>
      </c>
      <c r="R677" s="16">
        <v>23.06</v>
      </c>
      <c r="S677" s="10"/>
      <c r="T677" s="10"/>
      <c r="U677" s="18" t="s">
        <v>2303</v>
      </c>
      <c r="V677" s="18" t="s">
        <v>1768</v>
      </c>
      <c r="W677" s="19" t="s">
        <v>2304</v>
      </c>
      <c r="X677" s="13"/>
      <c r="Y677" s="18" t="s">
        <v>239</v>
      </c>
      <c r="Z677" s="18" t="s">
        <v>240</v>
      </c>
      <c r="AA677" s="18" t="s">
        <v>83</v>
      </c>
      <c r="AB677" s="18" t="s">
        <v>84</v>
      </c>
      <c r="AC677" s="18" t="s">
        <v>203</v>
      </c>
      <c r="AD677" s="18">
        <v>1563.98</v>
      </c>
      <c r="AE677" s="18">
        <v>0</v>
      </c>
      <c r="AF677" s="18">
        <v>0</v>
      </c>
      <c r="AG677" s="18">
        <v>0</v>
      </c>
      <c r="AH677" s="18">
        <v>0</v>
      </c>
      <c r="AI677" s="18">
        <v>0</v>
      </c>
      <c r="AJ677" s="18">
        <v>0</v>
      </c>
      <c r="AK677" s="18">
        <v>0</v>
      </c>
      <c r="AL677" s="18">
        <v>0</v>
      </c>
      <c r="AM677" s="18">
        <v>0</v>
      </c>
      <c r="AN677" s="18">
        <v>0</v>
      </c>
      <c r="AO677" s="18">
        <v>0</v>
      </c>
      <c r="AP677" s="18">
        <v>0</v>
      </c>
      <c r="AQ677" s="18">
        <v>1</v>
      </c>
      <c r="AR677" s="18">
        <v>0</v>
      </c>
      <c r="AS677" s="18">
        <v>0</v>
      </c>
      <c r="AT677" s="18">
        <v>0</v>
      </c>
      <c r="AU677" s="18">
        <v>0</v>
      </c>
      <c r="AV677" s="18">
        <v>1</v>
      </c>
      <c r="AW677" s="18">
        <v>0</v>
      </c>
      <c r="AX677" s="18">
        <v>0</v>
      </c>
      <c r="AY677" s="18">
        <v>34</v>
      </c>
      <c r="AZ677" s="18">
        <v>1</v>
      </c>
      <c r="BA677" s="18">
        <v>1</v>
      </c>
      <c r="BB677" s="18">
        <v>0</v>
      </c>
      <c r="BC677" s="18" t="s">
        <v>2305</v>
      </c>
      <c r="BD677" s="18" t="s">
        <v>2306</v>
      </c>
      <c r="BE677" s="18" t="s">
        <v>678</v>
      </c>
      <c r="BF677" s="18" t="s">
        <v>77</v>
      </c>
      <c r="BG677" s="18">
        <v>167</v>
      </c>
      <c r="BH677" s="18">
        <v>11</v>
      </c>
      <c r="BI677" s="18">
        <v>0.9382</v>
      </c>
      <c r="BJ677" s="18">
        <v>0</v>
      </c>
      <c r="BK677" s="13"/>
      <c r="BL677" s="13"/>
      <c r="BM677" s="13">
        <f t="shared" si="0"/>
        <v>0</v>
      </c>
    </row>
    <row r="678" customHeight="1" spans="1:65">
      <c r="A678" s="18" t="s">
        <v>2314</v>
      </c>
      <c r="B678" s="18" t="s">
        <v>125</v>
      </c>
      <c r="C678" s="13"/>
      <c r="D678" s="13"/>
      <c r="E678" s="18" t="s">
        <v>1313</v>
      </c>
      <c r="F678" s="18" t="s">
        <v>82</v>
      </c>
      <c r="G678" s="18" t="s">
        <v>83</v>
      </c>
      <c r="H678" s="18" t="s">
        <v>138</v>
      </c>
      <c r="I678" s="18" t="s">
        <v>85</v>
      </c>
      <c r="J678" s="18">
        <v>5</v>
      </c>
      <c r="K678" s="16">
        <v>32.99</v>
      </c>
      <c r="L678" s="10"/>
      <c r="M678" s="16">
        <v>0</v>
      </c>
      <c r="N678" s="16">
        <v>0</v>
      </c>
      <c r="O678" s="18">
        <v>0</v>
      </c>
      <c r="P678" s="18" t="s">
        <v>86</v>
      </c>
      <c r="Q678" s="18">
        <v>3.526066</v>
      </c>
      <c r="R678" s="10"/>
      <c r="S678" s="16">
        <v>130</v>
      </c>
      <c r="T678" s="16">
        <v>10</v>
      </c>
      <c r="U678" s="18" t="s">
        <v>2314</v>
      </c>
      <c r="V678" s="18" t="s">
        <v>125</v>
      </c>
      <c r="W678" s="13"/>
      <c r="X678" s="13"/>
      <c r="Y678" s="18" t="s">
        <v>1313</v>
      </c>
      <c r="Z678" s="18" t="s">
        <v>82</v>
      </c>
      <c r="AA678" s="18" t="s">
        <v>83</v>
      </c>
      <c r="AB678" s="18" t="s">
        <v>138</v>
      </c>
      <c r="AC678" s="18" t="s">
        <v>85</v>
      </c>
      <c r="AD678" s="18">
        <v>60.98</v>
      </c>
      <c r="AE678" s="18">
        <v>0</v>
      </c>
      <c r="AF678" s="18">
        <v>0</v>
      </c>
      <c r="AG678" s="18">
        <v>0</v>
      </c>
      <c r="AH678" s="18">
        <v>1</v>
      </c>
      <c r="AI678" s="18">
        <v>0</v>
      </c>
      <c r="AJ678" s="18">
        <v>0</v>
      </c>
      <c r="AK678" s="18">
        <v>0</v>
      </c>
      <c r="AL678" s="18">
        <v>0</v>
      </c>
      <c r="AM678" s="18">
        <v>0</v>
      </c>
      <c r="AN678" s="18">
        <v>0</v>
      </c>
      <c r="AO678" s="18">
        <v>0</v>
      </c>
      <c r="AP678" s="18">
        <v>0</v>
      </c>
      <c r="AQ678" s="18">
        <v>0</v>
      </c>
      <c r="AR678" s="18">
        <v>0</v>
      </c>
      <c r="AS678" s="18">
        <v>0</v>
      </c>
      <c r="AT678" s="18">
        <v>0</v>
      </c>
      <c r="AU678" s="18">
        <v>0</v>
      </c>
      <c r="AV678" s="18">
        <v>0</v>
      </c>
      <c r="AW678" s="18">
        <v>0</v>
      </c>
      <c r="AX678" s="18">
        <v>0</v>
      </c>
      <c r="AY678" s="13"/>
      <c r="AZ678" s="18">
        <v>1</v>
      </c>
      <c r="BA678" s="18">
        <v>1</v>
      </c>
      <c r="BB678" s="18">
        <v>66.99</v>
      </c>
      <c r="BC678" s="18" t="s">
        <v>2315</v>
      </c>
      <c r="BD678" s="18" t="s">
        <v>356</v>
      </c>
      <c r="BE678" s="18" t="s">
        <v>287</v>
      </c>
      <c r="BF678" s="18" t="s">
        <v>77</v>
      </c>
      <c r="BG678" s="18">
        <v>1</v>
      </c>
      <c r="BH678" s="18">
        <v>48</v>
      </c>
      <c r="BI678" s="18">
        <v>0.0204</v>
      </c>
      <c r="BJ678" s="18">
        <v>1</v>
      </c>
      <c r="BK678" s="18">
        <v>2</v>
      </c>
      <c r="BL678" s="18">
        <v>99.5</v>
      </c>
      <c r="BM678" s="13">
        <f t="shared" si="0"/>
        <v>4288.7</v>
      </c>
    </row>
    <row r="679" customHeight="1" spans="1:65">
      <c r="A679" s="18" t="s">
        <v>2318</v>
      </c>
      <c r="B679" s="18" t="s">
        <v>427</v>
      </c>
      <c r="C679" s="13"/>
      <c r="D679" s="13"/>
      <c r="E679" s="18" t="s">
        <v>81</v>
      </c>
      <c r="F679" s="18" t="s">
        <v>82</v>
      </c>
      <c r="G679" s="18" t="s">
        <v>427</v>
      </c>
      <c r="H679" s="18" t="s">
        <v>107</v>
      </c>
      <c r="I679" s="18" t="s">
        <v>153</v>
      </c>
      <c r="J679" s="18">
        <v>2</v>
      </c>
      <c r="K679" s="16">
        <v>49.99</v>
      </c>
      <c r="L679" s="10"/>
      <c r="M679" s="16">
        <v>0</v>
      </c>
      <c r="N679" s="16">
        <v>0</v>
      </c>
      <c r="O679" s="18">
        <v>0</v>
      </c>
      <c r="P679" s="18" t="s">
        <v>86</v>
      </c>
      <c r="Q679" s="18">
        <v>3.93163</v>
      </c>
      <c r="R679" s="10"/>
      <c r="S679" s="16">
        <v>20</v>
      </c>
      <c r="T679" s="16">
        <v>8</v>
      </c>
      <c r="U679" s="18" t="s">
        <v>2318</v>
      </c>
      <c r="V679" s="18" t="s">
        <v>427</v>
      </c>
      <c r="W679" s="13"/>
      <c r="X679" s="13"/>
      <c r="Y679" s="18" t="s">
        <v>81</v>
      </c>
      <c r="Z679" s="18" t="s">
        <v>82</v>
      </c>
      <c r="AA679" s="18" t="s">
        <v>427</v>
      </c>
      <c r="AB679" s="18" t="s">
        <v>107</v>
      </c>
      <c r="AC679" s="18" t="s">
        <v>153</v>
      </c>
      <c r="AD679" s="18">
        <v>97.98</v>
      </c>
      <c r="AE679" s="18">
        <v>0</v>
      </c>
      <c r="AF679" s="18">
        <v>1</v>
      </c>
      <c r="AG679" s="18">
        <v>0</v>
      </c>
      <c r="AH679" s="18">
        <v>0</v>
      </c>
      <c r="AI679" s="18">
        <v>0</v>
      </c>
      <c r="AJ679" s="18">
        <v>0</v>
      </c>
      <c r="AK679" s="18">
        <v>0</v>
      </c>
      <c r="AL679" s="18">
        <v>0</v>
      </c>
      <c r="AM679" s="18">
        <v>0</v>
      </c>
      <c r="AN679" s="18">
        <v>0</v>
      </c>
      <c r="AO679" s="18">
        <v>0</v>
      </c>
      <c r="AP679" s="18">
        <v>0</v>
      </c>
      <c r="AQ679" s="18">
        <v>0</v>
      </c>
      <c r="AR679" s="18">
        <v>0</v>
      </c>
      <c r="AS679" s="18">
        <v>0</v>
      </c>
      <c r="AT679" s="18">
        <v>0</v>
      </c>
      <c r="AU679" s="18">
        <v>0</v>
      </c>
      <c r="AV679" s="18">
        <v>0</v>
      </c>
      <c r="AW679" s="18">
        <v>0</v>
      </c>
      <c r="AX679" s="18">
        <v>0</v>
      </c>
      <c r="AY679" s="13"/>
      <c r="AZ679" s="18">
        <v>1</v>
      </c>
      <c r="BA679" s="18">
        <v>0</v>
      </c>
      <c r="BB679" s="18">
        <v>58.42</v>
      </c>
      <c r="BC679" s="18" t="s">
        <v>2319</v>
      </c>
      <c r="BD679" s="18" t="s">
        <v>1761</v>
      </c>
      <c r="BE679" s="18" t="s">
        <v>620</v>
      </c>
      <c r="BF679" s="18" t="s">
        <v>77</v>
      </c>
      <c r="BG679" s="18">
        <v>1</v>
      </c>
      <c r="BH679" s="18">
        <v>11</v>
      </c>
      <c r="BI679" s="18">
        <v>0.0833</v>
      </c>
      <c r="BJ679" s="18">
        <v>1</v>
      </c>
      <c r="BK679" s="18">
        <v>2</v>
      </c>
      <c r="BL679" s="18">
        <v>99.5</v>
      </c>
      <c r="BM679" s="13">
        <f t="shared" si="0"/>
        <v>999.8</v>
      </c>
    </row>
    <row r="680" customHeight="1" spans="1:65">
      <c r="A680" s="18" t="s">
        <v>2320</v>
      </c>
      <c r="B680" s="18" t="s">
        <v>115</v>
      </c>
      <c r="C680" s="18" t="s">
        <v>2321</v>
      </c>
      <c r="D680" s="13"/>
      <c r="E680" s="18" t="s">
        <v>163</v>
      </c>
      <c r="F680" s="18" t="s">
        <v>82</v>
      </c>
      <c r="G680" s="18" t="s">
        <v>117</v>
      </c>
      <c r="H680" s="18" t="s">
        <v>107</v>
      </c>
      <c r="I680" s="18" t="s">
        <v>203</v>
      </c>
      <c r="J680" s="18">
        <v>4</v>
      </c>
      <c r="K680" s="16">
        <v>139.99</v>
      </c>
      <c r="L680" s="10"/>
      <c r="M680" s="16">
        <v>0</v>
      </c>
      <c r="N680" s="16">
        <v>0</v>
      </c>
      <c r="O680" s="18">
        <v>0</v>
      </c>
      <c r="P680" s="18" t="s">
        <v>95</v>
      </c>
      <c r="Q680" s="18">
        <v>4.948689</v>
      </c>
      <c r="R680" s="10"/>
      <c r="S680" s="16">
        <v>1</v>
      </c>
      <c r="T680" s="16">
        <v>1</v>
      </c>
      <c r="U680" s="18" t="s">
        <v>2320</v>
      </c>
      <c r="V680" s="18" t="s">
        <v>115</v>
      </c>
      <c r="W680" s="18" t="s">
        <v>2700</v>
      </c>
      <c r="X680" s="13"/>
      <c r="Y680" s="18" t="s">
        <v>163</v>
      </c>
      <c r="Z680" s="18" t="s">
        <v>82</v>
      </c>
      <c r="AA680" s="18" t="s">
        <v>117</v>
      </c>
      <c r="AB680" s="18" t="s">
        <v>107</v>
      </c>
      <c r="AC680" s="18" t="s">
        <v>203</v>
      </c>
      <c r="AD680" s="18">
        <v>275.98</v>
      </c>
      <c r="AE680" s="18">
        <v>0</v>
      </c>
      <c r="AF680" s="18">
        <v>0</v>
      </c>
      <c r="AG680" s="18">
        <v>1</v>
      </c>
      <c r="AH680" s="18">
        <v>0</v>
      </c>
      <c r="AI680" s="18">
        <v>0</v>
      </c>
      <c r="AJ680" s="18">
        <v>0</v>
      </c>
      <c r="AK680" s="18">
        <v>0</v>
      </c>
      <c r="AL680" s="18">
        <v>1</v>
      </c>
      <c r="AM680" s="18">
        <v>0</v>
      </c>
      <c r="AN680" s="18">
        <v>0</v>
      </c>
      <c r="AO680" s="18">
        <v>0</v>
      </c>
      <c r="AP680" s="18">
        <v>1</v>
      </c>
      <c r="AQ680" s="18">
        <v>0</v>
      </c>
      <c r="AR680" s="18">
        <v>0</v>
      </c>
      <c r="AS680" s="18">
        <v>0</v>
      </c>
      <c r="AT680" s="18">
        <v>0</v>
      </c>
      <c r="AU680" s="18">
        <v>0</v>
      </c>
      <c r="AV680" s="18">
        <v>0</v>
      </c>
      <c r="AW680" s="18">
        <v>0</v>
      </c>
      <c r="AX680" s="18">
        <v>0</v>
      </c>
      <c r="AY680" s="13"/>
      <c r="AZ680" s="18">
        <v>1</v>
      </c>
      <c r="BA680" s="18">
        <v>0</v>
      </c>
      <c r="BB680" s="18">
        <v>49.76</v>
      </c>
      <c r="BC680" s="18" t="s">
        <v>2322</v>
      </c>
      <c r="BD680" s="18" t="s">
        <v>1237</v>
      </c>
      <c r="BE680" s="18" t="s">
        <v>398</v>
      </c>
      <c r="BF680" s="18" t="s">
        <v>77</v>
      </c>
      <c r="BG680" s="18">
        <v>208</v>
      </c>
      <c r="BH680" s="18">
        <v>13</v>
      </c>
      <c r="BI680" s="18">
        <v>0.9412</v>
      </c>
      <c r="BJ680" s="18">
        <v>0</v>
      </c>
      <c r="BK680" s="18">
        <v>3</v>
      </c>
      <c r="BL680" s="18">
        <v>99.2</v>
      </c>
      <c r="BM680" s="13">
        <f t="shared" si="0"/>
        <v>139.99</v>
      </c>
    </row>
    <row r="681" customHeight="1" spans="1:65">
      <c r="A681" s="18" t="s">
        <v>2323</v>
      </c>
      <c r="B681" s="18" t="s">
        <v>125</v>
      </c>
      <c r="C681" s="13"/>
      <c r="D681" s="18">
        <v>726084490314</v>
      </c>
      <c r="E681" s="18" t="s">
        <v>163</v>
      </c>
      <c r="F681" s="18" t="s">
        <v>82</v>
      </c>
      <c r="G681" s="18" t="s">
        <v>117</v>
      </c>
      <c r="H681" s="18" t="s">
        <v>138</v>
      </c>
      <c r="I681" s="18" t="s">
        <v>85</v>
      </c>
      <c r="J681" s="18">
        <v>5</v>
      </c>
      <c r="K681" s="16">
        <v>12.99</v>
      </c>
      <c r="L681" s="10"/>
      <c r="M681" s="16">
        <v>0</v>
      </c>
      <c r="N681" s="16">
        <v>0</v>
      </c>
      <c r="O681" s="18">
        <v>0</v>
      </c>
      <c r="P681" s="18" t="s">
        <v>133</v>
      </c>
      <c r="Q681" s="18">
        <v>2.638343</v>
      </c>
      <c r="R681" s="10"/>
      <c r="S681" s="16">
        <v>6</v>
      </c>
      <c r="T681" s="16">
        <v>1</v>
      </c>
      <c r="U681" s="18" t="s">
        <v>2323</v>
      </c>
      <c r="V681" s="18" t="s">
        <v>125</v>
      </c>
      <c r="W681" s="13"/>
      <c r="X681" s="18">
        <v>726084490315</v>
      </c>
      <c r="Y681" s="18" t="s">
        <v>163</v>
      </c>
      <c r="Z681" s="18" t="s">
        <v>82</v>
      </c>
      <c r="AA681" s="18" t="s">
        <v>117</v>
      </c>
      <c r="AB681" s="18" t="s">
        <v>138</v>
      </c>
      <c r="AC681" s="18" t="s">
        <v>85</v>
      </c>
      <c r="AD681" s="18">
        <v>20.98</v>
      </c>
      <c r="AE681" s="18">
        <v>0</v>
      </c>
      <c r="AF681" s="18">
        <v>0</v>
      </c>
      <c r="AG681" s="18">
        <v>0</v>
      </c>
      <c r="AH681" s="18">
        <v>1</v>
      </c>
      <c r="AI681" s="18">
        <v>0</v>
      </c>
      <c r="AJ681" s="18">
        <v>0</v>
      </c>
      <c r="AK681" s="18">
        <v>0</v>
      </c>
      <c r="AL681" s="18">
        <v>1</v>
      </c>
      <c r="AM681" s="18">
        <v>0</v>
      </c>
      <c r="AN681" s="18">
        <v>0</v>
      </c>
      <c r="AO681" s="18">
        <v>0</v>
      </c>
      <c r="AP681" s="18">
        <v>0</v>
      </c>
      <c r="AQ681" s="18">
        <v>0</v>
      </c>
      <c r="AR681" s="18">
        <v>0</v>
      </c>
      <c r="AS681" s="18">
        <v>1</v>
      </c>
      <c r="AT681" s="18">
        <v>0</v>
      </c>
      <c r="AU681" s="18">
        <v>0</v>
      </c>
      <c r="AV681" s="18">
        <v>0</v>
      </c>
      <c r="AW681" s="18">
        <v>0</v>
      </c>
      <c r="AX681" s="18">
        <v>0</v>
      </c>
      <c r="AY681" s="13"/>
      <c r="AZ681" s="18">
        <v>1</v>
      </c>
      <c r="BA681" s="18">
        <v>2</v>
      </c>
      <c r="BB681" s="18">
        <v>64.13</v>
      </c>
      <c r="BC681" s="18" t="s">
        <v>2324</v>
      </c>
      <c r="BD681" s="18" t="s">
        <v>1061</v>
      </c>
      <c r="BE681" s="18" t="s">
        <v>774</v>
      </c>
      <c r="BF681" s="18" t="s">
        <v>77</v>
      </c>
      <c r="BG681" s="18">
        <v>43</v>
      </c>
      <c r="BH681" s="18">
        <v>173</v>
      </c>
      <c r="BI681" s="18">
        <v>0.1991</v>
      </c>
      <c r="BJ681" s="18">
        <v>0</v>
      </c>
      <c r="BK681" s="18">
        <v>2</v>
      </c>
      <c r="BL681" s="18">
        <v>99.5</v>
      </c>
      <c r="BM681" s="13">
        <f t="shared" si="0"/>
        <v>77.94</v>
      </c>
    </row>
    <row r="682" customHeight="1" spans="1:65">
      <c r="A682" s="18" t="s">
        <v>320</v>
      </c>
      <c r="B682" s="18" t="s">
        <v>125</v>
      </c>
      <c r="C682" s="13"/>
      <c r="D682" s="18">
        <v>313097460412</v>
      </c>
      <c r="E682" s="18" t="s">
        <v>163</v>
      </c>
      <c r="F682" s="18" t="s">
        <v>160</v>
      </c>
      <c r="G682" s="18" t="s">
        <v>83</v>
      </c>
      <c r="H682" s="18" t="s">
        <v>138</v>
      </c>
      <c r="I682" s="18" t="s">
        <v>85</v>
      </c>
      <c r="J682" s="18">
        <v>5</v>
      </c>
      <c r="K682" s="16">
        <v>118.43</v>
      </c>
      <c r="L682" s="10"/>
      <c r="M682" s="16">
        <v>0</v>
      </c>
      <c r="N682" s="16">
        <v>0</v>
      </c>
      <c r="O682" s="18">
        <v>0</v>
      </c>
      <c r="P682" s="18" t="s">
        <v>95</v>
      </c>
      <c r="Q682" s="18">
        <v>4.78273</v>
      </c>
      <c r="R682" s="10"/>
      <c r="S682" s="16">
        <v>1</v>
      </c>
      <c r="T682" s="16">
        <v>1</v>
      </c>
      <c r="U682" s="18" t="s">
        <v>320</v>
      </c>
      <c r="V682" s="18" t="s">
        <v>125</v>
      </c>
      <c r="W682" s="13"/>
      <c r="X682" s="18">
        <v>313097460413</v>
      </c>
      <c r="Y682" s="18" t="s">
        <v>163</v>
      </c>
      <c r="Z682" s="18" t="s">
        <v>160</v>
      </c>
      <c r="AA682" s="18" t="s">
        <v>83</v>
      </c>
      <c r="AB682" s="18" t="s">
        <v>138</v>
      </c>
      <c r="AC682" s="18" t="s">
        <v>85</v>
      </c>
      <c r="AD682" s="18">
        <v>231.86</v>
      </c>
      <c r="AE682" s="18">
        <v>0</v>
      </c>
      <c r="AF682" s="18">
        <v>0</v>
      </c>
      <c r="AG682" s="18">
        <v>0</v>
      </c>
      <c r="AH682" s="18">
        <v>1</v>
      </c>
      <c r="AI682" s="18">
        <v>0</v>
      </c>
      <c r="AJ682" s="18">
        <v>1</v>
      </c>
      <c r="AK682" s="18">
        <v>0</v>
      </c>
      <c r="AL682" s="18">
        <v>0</v>
      </c>
      <c r="AM682" s="18">
        <v>0</v>
      </c>
      <c r="AN682" s="18">
        <v>0</v>
      </c>
      <c r="AO682" s="18">
        <v>0</v>
      </c>
      <c r="AP682" s="18">
        <v>0</v>
      </c>
      <c r="AQ682" s="18">
        <v>0</v>
      </c>
      <c r="AR682" s="18">
        <v>0</v>
      </c>
      <c r="AS682" s="18">
        <v>0</v>
      </c>
      <c r="AT682" s="18">
        <v>0</v>
      </c>
      <c r="AU682" s="18">
        <v>0</v>
      </c>
      <c r="AV682" s="18">
        <v>0</v>
      </c>
      <c r="AW682" s="18">
        <v>1</v>
      </c>
      <c r="AX682" s="18">
        <v>0</v>
      </c>
      <c r="AY682" s="13"/>
      <c r="AZ682" s="18">
        <v>1</v>
      </c>
      <c r="BA682" s="18">
        <v>1</v>
      </c>
      <c r="BB682" s="18">
        <v>49.76</v>
      </c>
      <c r="BC682" s="18" t="s">
        <v>321</v>
      </c>
      <c r="BD682" s="18" t="s">
        <v>322</v>
      </c>
      <c r="BE682" s="18" t="s">
        <v>98</v>
      </c>
      <c r="BF682" s="18" t="s">
        <v>77</v>
      </c>
      <c r="BG682" s="18">
        <v>1</v>
      </c>
      <c r="BH682" s="18">
        <v>15</v>
      </c>
      <c r="BI682" s="18">
        <v>0.0625</v>
      </c>
      <c r="BJ682" s="18">
        <v>1</v>
      </c>
      <c r="BK682" s="18">
        <v>3</v>
      </c>
      <c r="BL682" s="18">
        <v>99.2</v>
      </c>
      <c r="BM682" s="13">
        <f t="shared" si="0"/>
        <v>118.43</v>
      </c>
    </row>
    <row r="683" customHeight="1" spans="1:65">
      <c r="A683" s="18" t="s">
        <v>2325</v>
      </c>
      <c r="B683" s="18" t="s">
        <v>427</v>
      </c>
      <c r="C683" s="18" t="s">
        <v>2326</v>
      </c>
      <c r="D683" s="13"/>
      <c r="E683" s="18" t="s">
        <v>81</v>
      </c>
      <c r="F683" s="18" t="s">
        <v>68</v>
      </c>
      <c r="G683" s="18" t="s">
        <v>427</v>
      </c>
      <c r="H683" s="18" t="s">
        <v>107</v>
      </c>
      <c r="I683" s="18" t="s">
        <v>85</v>
      </c>
      <c r="J683" s="18">
        <v>5</v>
      </c>
      <c r="K683" s="16">
        <v>119</v>
      </c>
      <c r="L683" s="16">
        <v>139</v>
      </c>
      <c r="M683" s="16">
        <v>14.39</v>
      </c>
      <c r="N683" s="16">
        <v>20</v>
      </c>
      <c r="O683" s="18">
        <v>1</v>
      </c>
      <c r="P683" s="18" t="s">
        <v>95</v>
      </c>
      <c r="Q683" s="18">
        <v>4.787492</v>
      </c>
      <c r="R683" s="10"/>
      <c r="S683" s="16">
        <v>48</v>
      </c>
      <c r="T683" s="16">
        <v>4</v>
      </c>
      <c r="U683" s="18" t="s">
        <v>2325</v>
      </c>
      <c r="V683" s="18" t="s">
        <v>427</v>
      </c>
      <c r="W683" s="18" t="s">
        <v>2326</v>
      </c>
      <c r="X683" s="13"/>
      <c r="Y683" s="18" t="s">
        <v>81</v>
      </c>
      <c r="Z683" s="18" t="s">
        <v>68</v>
      </c>
      <c r="AA683" s="18" t="s">
        <v>427</v>
      </c>
      <c r="AB683" s="18" t="s">
        <v>107</v>
      </c>
      <c r="AC683" s="18" t="s">
        <v>85</v>
      </c>
      <c r="AD683" s="18">
        <v>5.5706666666666</v>
      </c>
      <c r="AE683" s="18">
        <v>0</v>
      </c>
      <c r="AF683" s="18">
        <v>1</v>
      </c>
      <c r="AG683" s="18">
        <v>0</v>
      </c>
      <c r="AH683" s="18">
        <v>0</v>
      </c>
      <c r="AI683" s="18">
        <v>0</v>
      </c>
      <c r="AJ683" s="18">
        <v>0</v>
      </c>
      <c r="AK683" s="18">
        <v>0</v>
      </c>
      <c r="AL683" s="18">
        <v>0</v>
      </c>
      <c r="AM683" s="18">
        <v>0</v>
      </c>
      <c r="AN683" s="18">
        <v>0</v>
      </c>
      <c r="AO683" s="18">
        <v>0</v>
      </c>
      <c r="AP683" s="18">
        <v>0</v>
      </c>
      <c r="AQ683" s="18">
        <v>0</v>
      </c>
      <c r="AR683" s="18">
        <v>0</v>
      </c>
      <c r="AS683" s="18">
        <v>0</v>
      </c>
      <c r="AT683" s="18">
        <v>0</v>
      </c>
      <c r="AU683" s="18">
        <v>0</v>
      </c>
      <c r="AV683" s="18">
        <v>0</v>
      </c>
      <c r="AW683" s="18">
        <v>0</v>
      </c>
      <c r="AX683" s="18">
        <v>0</v>
      </c>
      <c r="AY683" s="13"/>
      <c r="AZ683" s="18">
        <v>1</v>
      </c>
      <c r="BA683" s="18">
        <v>0</v>
      </c>
      <c r="BB683" s="18">
        <v>69.26</v>
      </c>
      <c r="BC683" s="18" t="s">
        <v>2327</v>
      </c>
      <c r="BD683" s="18" t="s">
        <v>2328</v>
      </c>
      <c r="BE683" s="18" t="s">
        <v>627</v>
      </c>
      <c r="BF683" s="18" t="s">
        <v>77</v>
      </c>
      <c r="BG683" s="18">
        <v>162</v>
      </c>
      <c r="BH683" s="18">
        <v>58</v>
      </c>
      <c r="BI683" s="18">
        <v>0.7364</v>
      </c>
      <c r="BJ683" s="18">
        <v>0</v>
      </c>
      <c r="BK683" s="18">
        <v>24</v>
      </c>
      <c r="BL683" s="18">
        <v>93.4</v>
      </c>
      <c r="BM683" s="13">
        <f t="shared" si="0"/>
        <v>5712</v>
      </c>
    </row>
    <row r="684" customHeight="1" spans="1:65">
      <c r="A684" s="18" t="s">
        <v>2331</v>
      </c>
      <c r="B684" s="18" t="s">
        <v>1029</v>
      </c>
      <c r="C684" s="13"/>
      <c r="D684" s="13"/>
      <c r="E684" s="18" t="s">
        <v>239</v>
      </c>
      <c r="F684" s="18" t="s">
        <v>240</v>
      </c>
      <c r="G684" s="18" t="s">
        <v>83</v>
      </c>
      <c r="H684" s="18" t="s">
        <v>450</v>
      </c>
      <c r="I684" s="18" t="s">
        <v>508</v>
      </c>
      <c r="J684" s="18">
        <v>1</v>
      </c>
      <c r="K684" s="16">
        <v>161.99</v>
      </c>
      <c r="L684" s="10"/>
      <c r="M684" s="16">
        <v>0</v>
      </c>
      <c r="N684" s="16">
        <v>0</v>
      </c>
      <c r="O684" s="18">
        <v>0</v>
      </c>
      <c r="P684" s="18" t="s">
        <v>95</v>
      </c>
      <c r="Q684" s="18">
        <v>5.093689</v>
      </c>
      <c r="R684" s="10"/>
      <c r="S684" s="10"/>
      <c r="T684" s="10"/>
      <c r="U684" s="18" t="s">
        <v>2331</v>
      </c>
      <c r="V684" s="18" t="s">
        <v>1029</v>
      </c>
      <c r="W684" s="13"/>
      <c r="X684" s="13"/>
      <c r="Y684" s="18" t="s">
        <v>239</v>
      </c>
      <c r="Z684" s="18" t="s">
        <v>240</v>
      </c>
      <c r="AA684" s="18" t="s">
        <v>83</v>
      </c>
      <c r="AB684" s="18" t="s">
        <v>450</v>
      </c>
      <c r="AC684" s="18" t="s">
        <v>508</v>
      </c>
      <c r="AD684" s="18">
        <v>322.98</v>
      </c>
      <c r="AE684" s="18">
        <v>0</v>
      </c>
      <c r="AF684" s="18">
        <v>0</v>
      </c>
      <c r="AG684" s="18">
        <v>0</v>
      </c>
      <c r="AH684" s="18">
        <v>0</v>
      </c>
      <c r="AI684" s="18">
        <v>0</v>
      </c>
      <c r="AJ684" s="18">
        <v>0</v>
      </c>
      <c r="AK684" s="18">
        <v>0</v>
      </c>
      <c r="AL684" s="18">
        <v>0</v>
      </c>
      <c r="AM684" s="18">
        <v>0</v>
      </c>
      <c r="AN684" s="18">
        <v>0</v>
      </c>
      <c r="AO684" s="18">
        <v>0</v>
      </c>
      <c r="AP684" s="18">
        <v>0</v>
      </c>
      <c r="AQ684" s="18">
        <v>1</v>
      </c>
      <c r="AR684" s="18">
        <v>0</v>
      </c>
      <c r="AS684" s="18">
        <v>0</v>
      </c>
      <c r="AT684" s="18">
        <v>0</v>
      </c>
      <c r="AU684" s="18">
        <v>0</v>
      </c>
      <c r="AV684" s="18">
        <v>1</v>
      </c>
      <c r="AW684" s="18">
        <v>0</v>
      </c>
      <c r="AX684" s="18">
        <v>0</v>
      </c>
      <c r="AY684" s="13"/>
      <c r="AZ684" s="18">
        <v>1</v>
      </c>
      <c r="BA684" s="18">
        <v>1</v>
      </c>
      <c r="BB684" s="18">
        <v>0</v>
      </c>
      <c r="BC684" s="18" t="s">
        <v>2332</v>
      </c>
      <c r="BD684" s="18" t="s">
        <v>2333</v>
      </c>
      <c r="BE684" s="18" t="s">
        <v>398</v>
      </c>
      <c r="BF684" s="18" t="s">
        <v>77</v>
      </c>
      <c r="BG684" s="18">
        <v>206</v>
      </c>
      <c r="BH684" s="18">
        <v>13</v>
      </c>
      <c r="BI684" s="18">
        <v>0.9406</v>
      </c>
      <c r="BJ684" s="18">
        <v>0</v>
      </c>
      <c r="BK684" s="18">
        <v>472</v>
      </c>
      <c r="BL684" s="18">
        <v>0</v>
      </c>
      <c r="BM684" s="13">
        <f t="shared" si="0"/>
        <v>0</v>
      </c>
    </row>
    <row r="685" customHeight="1" spans="1:65">
      <c r="A685" s="18" t="s">
        <v>2334</v>
      </c>
      <c r="B685" s="18" t="s">
        <v>2335</v>
      </c>
      <c r="C685" s="13"/>
      <c r="D685" s="13"/>
      <c r="E685" s="18" t="s">
        <v>2336</v>
      </c>
      <c r="F685" s="18" t="s">
        <v>240</v>
      </c>
      <c r="G685" s="18" t="s">
        <v>83</v>
      </c>
      <c r="H685" s="18" t="s">
        <v>84</v>
      </c>
      <c r="I685" s="18" t="s">
        <v>153</v>
      </c>
      <c r="J685" s="18">
        <v>2</v>
      </c>
      <c r="K685" s="16">
        <v>200</v>
      </c>
      <c r="L685" s="10"/>
      <c r="M685" s="16">
        <v>0</v>
      </c>
      <c r="N685" s="16">
        <v>0</v>
      </c>
      <c r="O685" s="18">
        <v>0</v>
      </c>
      <c r="P685" s="18" t="s">
        <v>71</v>
      </c>
      <c r="Q685" s="18">
        <v>5.303305</v>
      </c>
      <c r="R685" s="10"/>
      <c r="S685" s="10"/>
      <c r="T685" s="10"/>
      <c r="U685" s="18" t="s">
        <v>2334</v>
      </c>
      <c r="V685" s="18" t="s">
        <v>2335</v>
      </c>
      <c r="W685" s="13"/>
      <c r="X685" s="13"/>
      <c r="Y685" s="18" t="s">
        <v>2336</v>
      </c>
      <c r="Z685" s="18" t="s">
        <v>240</v>
      </c>
      <c r="AA685" s="18" t="s">
        <v>83</v>
      </c>
      <c r="AB685" s="18" t="s">
        <v>84</v>
      </c>
      <c r="AC685" s="18" t="s">
        <v>153</v>
      </c>
      <c r="AD685" s="18">
        <v>398</v>
      </c>
      <c r="AE685" s="18">
        <v>0</v>
      </c>
      <c r="AF685" s="18">
        <v>0</v>
      </c>
      <c r="AG685" s="18">
        <v>0</v>
      </c>
      <c r="AH685" s="18">
        <v>0</v>
      </c>
      <c r="AI685" s="18">
        <v>0</v>
      </c>
      <c r="AJ685" s="18">
        <v>0</v>
      </c>
      <c r="AK685" s="18">
        <v>0</v>
      </c>
      <c r="AL685" s="18">
        <v>0</v>
      </c>
      <c r="AM685" s="18">
        <v>0</v>
      </c>
      <c r="AN685" s="18">
        <v>0</v>
      </c>
      <c r="AO685" s="18">
        <v>0</v>
      </c>
      <c r="AP685" s="18">
        <v>0</v>
      </c>
      <c r="AQ685" s="18">
        <v>1</v>
      </c>
      <c r="AR685" s="18">
        <v>0</v>
      </c>
      <c r="AS685" s="18">
        <v>0</v>
      </c>
      <c r="AT685" s="18">
        <v>0</v>
      </c>
      <c r="AU685" s="18">
        <v>0</v>
      </c>
      <c r="AV685" s="18">
        <v>1</v>
      </c>
      <c r="AW685" s="18">
        <v>0</v>
      </c>
      <c r="AX685" s="18">
        <v>0</v>
      </c>
      <c r="AY685" s="13"/>
      <c r="AZ685" s="18">
        <v>1</v>
      </c>
      <c r="BA685" s="18">
        <v>1</v>
      </c>
      <c r="BB685" s="18">
        <v>21.63</v>
      </c>
      <c r="BC685" s="18" t="s">
        <v>2337</v>
      </c>
      <c r="BD685" s="18" t="s">
        <v>2338</v>
      </c>
      <c r="BE685" s="18" t="s">
        <v>262</v>
      </c>
      <c r="BF685" s="18" t="s">
        <v>77</v>
      </c>
      <c r="BG685" s="18">
        <v>167</v>
      </c>
      <c r="BH685" s="18">
        <v>11</v>
      </c>
      <c r="BI685" s="18">
        <v>0.9382</v>
      </c>
      <c r="BJ685" s="18">
        <v>0</v>
      </c>
      <c r="BK685" s="18">
        <v>102</v>
      </c>
      <c r="BL685" s="18">
        <v>72.1</v>
      </c>
      <c r="BM685" s="13">
        <f t="shared" si="0"/>
        <v>0</v>
      </c>
    </row>
    <row r="686" customHeight="1" spans="1:65">
      <c r="A686" s="18" t="s">
        <v>2339</v>
      </c>
      <c r="B686" s="18" t="s">
        <v>427</v>
      </c>
      <c r="C686" s="18" t="s">
        <v>2340</v>
      </c>
      <c r="D686" s="18">
        <v>193108145978</v>
      </c>
      <c r="E686" s="18" t="s">
        <v>209</v>
      </c>
      <c r="F686" s="18" t="s">
        <v>82</v>
      </c>
      <c r="G686" s="18" t="s">
        <v>427</v>
      </c>
      <c r="H686" s="18" t="s">
        <v>107</v>
      </c>
      <c r="I686" s="18" t="s">
        <v>85</v>
      </c>
      <c r="J686" s="18">
        <v>5</v>
      </c>
      <c r="K686" s="16">
        <v>139.99</v>
      </c>
      <c r="L686" s="10"/>
      <c r="M686" s="16">
        <v>0</v>
      </c>
      <c r="N686" s="16">
        <v>0</v>
      </c>
      <c r="O686" s="18">
        <v>0</v>
      </c>
      <c r="P686" s="18" t="s">
        <v>95</v>
      </c>
      <c r="Q686" s="18">
        <v>4.948689</v>
      </c>
      <c r="R686" s="10"/>
      <c r="S686" s="16">
        <v>3</v>
      </c>
      <c r="T686" s="16">
        <v>1</v>
      </c>
      <c r="U686" s="18" t="s">
        <v>2701</v>
      </c>
      <c r="V686" s="18" t="s">
        <v>427</v>
      </c>
      <c r="W686" s="18" t="s">
        <v>2702</v>
      </c>
      <c r="X686" s="18">
        <v>193108145979</v>
      </c>
      <c r="Y686" s="18" t="s">
        <v>209</v>
      </c>
      <c r="Z686" s="18" t="s">
        <v>82</v>
      </c>
      <c r="AA686" s="18" t="s">
        <v>427</v>
      </c>
      <c r="AB686" s="18" t="s">
        <v>107</v>
      </c>
      <c r="AC686" s="18" t="s">
        <v>85</v>
      </c>
      <c r="AD686" s="18">
        <v>274.98</v>
      </c>
      <c r="AE686" s="18">
        <v>1</v>
      </c>
      <c r="AF686" s="18">
        <v>0</v>
      </c>
      <c r="AG686" s="18">
        <v>0</v>
      </c>
      <c r="AH686" s="18">
        <v>0</v>
      </c>
      <c r="AI686" s="18">
        <v>0</v>
      </c>
      <c r="AJ686" s="18">
        <v>0</v>
      </c>
      <c r="AK686" s="18">
        <v>0</v>
      </c>
      <c r="AL686" s="18">
        <v>0</v>
      </c>
      <c r="AM686" s="18">
        <v>0</v>
      </c>
      <c r="AN686" s="18">
        <v>0</v>
      </c>
      <c r="AO686" s="18">
        <v>0</v>
      </c>
      <c r="AP686" s="18">
        <v>0</v>
      </c>
      <c r="AQ686" s="18">
        <v>0</v>
      </c>
      <c r="AR686" s="18">
        <v>0</v>
      </c>
      <c r="AS686" s="18">
        <v>0</v>
      </c>
      <c r="AT686" s="18">
        <v>1</v>
      </c>
      <c r="AU686" s="18">
        <v>0</v>
      </c>
      <c r="AV686" s="18">
        <v>0</v>
      </c>
      <c r="AW686" s="18">
        <v>0</v>
      </c>
      <c r="AX686" s="18">
        <v>0</v>
      </c>
      <c r="AY686" s="13"/>
      <c r="AZ686" s="18">
        <v>1</v>
      </c>
      <c r="BA686" s="18">
        <v>1</v>
      </c>
      <c r="BB686" s="18">
        <v>59.67</v>
      </c>
      <c r="BC686" s="18" t="s">
        <v>2341</v>
      </c>
      <c r="BD686" s="18" t="s">
        <v>2342</v>
      </c>
      <c r="BE686" s="18" t="s">
        <v>997</v>
      </c>
      <c r="BF686" s="18" t="s">
        <v>77</v>
      </c>
      <c r="BG686" s="18">
        <v>168</v>
      </c>
      <c r="BH686" s="18">
        <v>54</v>
      </c>
      <c r="BI686" s="18">
        <v>0.7568</v>
      </c>
      <c r="BJ686" s="18">
        <v>0</v>
      </c>
      <c r="BK686" s="18">
        <v>4</v>
      </c>
      <c r="BL686" s="18">
        <v>98.9</v>
      </c>
      <c r="BM686" s="13">
        <f t="shared" si="0"/>
        <v>419.97</v>
      </c>
    </row>
    <row r="687" customHeight="1" spans="1:65">
      <c r="A687" s="18" t="s">
        <v>2349</v>
      </c>
      <c r="B687" s="18" t="s">
        <v>448</v>
      </c>
      <c r="C687" s="18" t="s">
        <v>2350</v>
      </c>
      <c r="D687" s="13"/>
      <c r="E687" s="18" t="s">
        <v>255</v>
      </c>
      <c r="F687" s="18" t="s">
        <v>82</v>
      </c>
      <c r="G687" s="18" t="s">
        <v>83</v>
      </c>
      <c r="H687" s="18" t="s">
        <v>450</v>
      </c>
      <c r="I687" s="18" t="s">
        <v>85</v>
      </c>
      <c r="J687" s="18">
        <v>5</v>
      </c>
      <c r="K687" s="16">
        <v>255</v>
      </c>
      <c r="L687" s="10"/>
      <c r="M687" s="16">
        <v>0</v>
      </c>
      <c r="N687" s="16">
        <v>0</v>
      </c>
      <c r="O687" s="18">
        <v>0</v>
      </c>
      <c r="P687" s="18" t="s">
        <v>71</v>
      </c>
      <c r="Q687" s="18">
        <v>5.545177</v>
      </c>
      <c r="R687" s="10"/>
      <c r="S687" s="16">
        <v>46</v>
      </c>
      <c r="T687" s="16">
        <v>10</v>
      </c>
      <c r="U687" s="18" t="s">
        <v>2349</v>
      </c>
      <c r="V687" s="18" t="s">
        <v>448</v>
      </c>
      <c r="W687" s="19" t="s">
        <v>2350</v>
      </c>
      <c r="X687" s="13"/>
      <c r="Y687" s="18" t="s">
        <v>255</v>
      </c>
      <c r="Z687" s="18" t="s">
        <v>82</v>
      </c>
      <c r="AA687" s="18" t="s">
        <v>83</v>
      </c>
      <c r="AB687" s="18" t="s">
        <v>450</v>
      </c>
      <c r="AC687" s="18" t="s">
        <v>85</v>
      </c>
      <c r="AD687" s="18">
        <v>505</v>
      </c>
      <c r="AE687" s="18">
        <v>0</v>
      </c>
      <c r="AF687" s="18">
        <v>0</v>
      </c>
      <c r="AG687" s="18">
        <v>0</v>
      </c>
      <c r="AH687" s="18">
        <v>0</v>
      </c>
      <c r="AI687" s="18">
        <v>0</v>
      </c>
      <c r="AJ687" s="18">
        <v>0</v>
      </c>
      <c r="AK687" s="18">
        <v>0</v>
      </c>
      <c r="AL687" s="18">
        <v>0</v>
      </c>
      <c r="AM687" s="18">
        <v>0</v>
      </c>
      <c r="AN687" s="18">
        <v>0</v>
      </c>
      <c r="AO687" s="18">
        <v>0</v>
      </c>
      <c r="AP687" s="18">
        <v>0</v>
      </c>
      <c r="AQ687" s="18">
        <v>0</v>
      </c>
      <c r="AR687" s="18">
        <v>0</v>
      </c>
      <c r="AS687" s="18">
        <v>0</v>
      </c>
      <c r="AT687" s="18">
        <v>1</v>
      </c>
      <c r="AU687" s="18">
        <v>1</v>
      </c>
      <c r="AV687" s="18">
        <v>0</v>
      </c>
      <c r="AW687" s="18">
        <v>0</v>
      </c>
      <c r="AX687" s="18">
        <v>0</v>
      </c>
      <c r="AY687" s="13"/>
      <c r="AZ687" s="18">
        <v>1</v>
      </c>
      <c r="BA687" s="18">
        <v>0</v>
      </c>
      <c r="BB687" s="18">
        <v>61.45</v>
      </c>
      <c r="BC687" s="18" t="s">
        <v>2351</v>
      </c>
      <c r="BD687" s="18" t="s">
        <v>2352</v>
      </c>
      <c r="BE687" s="18" t="s">
        <v>128</v>
      </c>
      <c r="BF687" s="18" t="s">
        <v>77</v>
      </c>
      <c r="BG687" s="18">
        <v>2</v>
      </c>
      <c r="BH687" s="18">
        <v>220</v>
      </c>
      <c r="BI687" s="18">
        <v>0.009</v>
      </c>
      <c r="BJ687" s="18">
        <v>0</v>
      </c>
      <c r="BK687" s="18">
        <v>17</v>
      </c>
      <c r="BL687" s="18">
        <v>95.3</v>
      </c>
      <c r="BM687" s="13">
        <f t="shared" si="0"/>
        <v>11730</v>
      </c>
    </row>
    <row r="688" customHeight="1" spans="1:65">
      <c r="A688" s="19" t="s">
        <v>2353</v>
      </c>
      <c r="B688" s="18" t="s">
        <v>2354</v>
      </c>
      <c r="C688" s="19" t="s">
        <v>2355</v>
      </c>
      <c r="D688" s="13"/>
      <c r="E688" s="18" t="s">
        <v>559</v>
      </c>
      <c r="F688" s="18" t="s">
        <v>160</v>
      </c>
      <c r="G688" s="18" t="s">
        <v>83</v>
      </c>
      <c r="H688" s="18" t="s">
        <v>84</v>
      </c>
      <c r="I688" s="18" t="s">
        <v>85</v>
      </c>
      <c r="J688" s="18">
        <v>5</v>
      </c>
      <c r="K688" s="16">
        <v>599.89</v>
      </c>
      <c r="L688" s="10"/>
      <c r="M688" s="16">
        <v>0</v>
      </c>
      <c r="N688" s="16">
        <v>0</v>
      </c>
      <c r="O688" s="18">
        <v>0</v>
      </c>
      <c r="P688" s="18" t="s">
        <v>147</v>
      </c>
      <c r="Q688" s="18">
        <v>6.398412</v>
      </c>
      <c r="R688" s="16">
        <v>18.75</v>
      </c>
      <c r="S688" s="16">
        <v>4</v>
      </c>
      <c r="T688" s="16">
        <v>10</v>
      </c>
      <c r="U688" s="18" t="s">
        <v>2353</v>
      </c>
      <c r="V688" s="18" t="s">
        <v>2354</v>
      </c>
      <c r="W688" s="19" t="s">
        <v>2703</v>
      </c>
      <c r="X688" s="13"/>
      <c r="Y688" s="18" t="s">
        <v>559</v>
      </c>
      <c r="Z688" s="18" t="s">
        <v>160</v>
      </c>
      <c r="AA688" s="18" t="s">
        <v>83</v>
      </c>
      <c r="AB688" s="18" t="s">
        <v>84</v>
      </c>
      <c r="AC688" s="18" t="s">
        <v>85</v>
      </c>
      <c r="AD688" s="18">
        <v>1194.78</v>
      </c>
      <c r="AE688" s="18">
        <v>0</v>
      </c>
      <c r="AF688" s="18">
        <v>0</v>
      </c>
      <c r="AG688" s="18">
        <v>1</v>
      </c>
      <c r="AH688" s="18">
        <v>0</v>
      </c>
      <c r="AI688" s="18">
        <v>1</v>
      </c>
      <c r="AJ688" s="18">
        <v>0</v>
      </c>
      <c r="AK688" s="18">
        <v>0</v>
      </c>
      <c r="AL688" s="18">
        <v>0</v>
      </c>
      <c r="AM688" s="18">
        <v>0</v>
      </c>
      <c r="AN688" s="18">
        <v>0</v>
      </c>
      <c r="AO688" s="18">
        <v>0</v>
      </c>
      <c r="AP688" s="18">
        <v>0</v>
      </c>
      <c r="AQ688" s="18">
        <v>1</v>
      </c>
      <c r="AR688" s="18">
        <v>0</v>
      </c>
      <c r="AS688" s="18">
        <v>0</v>
      </c>
      <c r="AT688" s="18">
        <v>0</v>
      </c>
      <c r="AU688" s="18">
        <v>0</v>
      </c>
      <c r="AV688" s="18">
        <v>1</v>
      </c>
      <c r="AW688" s="18">
        <v>0</v>
      </c>
      <c r="AX688" s="18">
        <v>0</v>
      </c>
      <c r="AY688" s="18">
        <v>32</v>
      </c>
      <c r="AZ688" s="18">
        <v>1</v>
      </c>
      <c r="BA688" s="18">
        <v>1</v>
      </c>
      <c r="BB688" s="18">
        <v>28.77</v>
      </c>
      <c r="BC688" s="18" t="s">
        <v>2356</v>
      </c>
      <c r="BD688" s="18" t="s">
        <v>2357</v>
      </c>
      <c r="BE688" s="18" t="s">
        <v>76</v>
      </c>
      <c r="BF688" s="18" t="s">
        <v>77</v>
      </c>
      <c r="BG688" s="18">
        <v>162</v>
      </c>
      <c r="BH688" s="18">
        <v>20</v>
      </c>
      <c r="BI688" s="18">
        <v>0.8901</v>
      </c>
      <c r="BJ688" s="18">
        <v>0</v>
      </c>
      <c r="BK688" s="18">
        <v>154</v>
      </c>
      <c r="BL688" s="18">
        <v>57.8</v>
      </c>
      <c r="BM688" s="13">
        <f t="shared" si="0"/>
        <v>2399.56</v>
      </c>
    </row>
    <row r="689" customHeight="1" spans="1:65">
      <c r="A689" s="18" t="s">
        <v>2360</v>
      </c>
      <c r="B689" s="18" t="s">
        <v>301</v>
      </c>
      <c r="C689" s="18" t="s">
        <v>2361</v>
      </c>
      <c r="D689" s="13"/>
      <c r="E689" s="18" t="s">
        <v>559</v>
      </c>
      <c r="F689" s="18" t="s">
        <v>68</v>
      </c>
      <c r="G689" s="18" t="s">
        <v>83</v>
      </c>
      <c r="H689" s="18" t="s">
        <v>84</v>
      </c>
      <c r="I689" s="18" t="s">
        <v>153</v>
      </c>
      <c r="J689" s="18">
        <v>2</v>
      </c>
      <c r="K689" s="16">
        <v>64.88</v>
      </c>
      <c r="L689" s="10"/>
      <c r="M689" s="16">
        <v>0</v>
      </c>
      <c r="N689" s="16">
        <v>0</v>
      </c>
      <c r="O689" s="18">
        <v>0</v>
      </c>
      <c r="P689" s="18" t="s">
        <v>86</v>
      </c>
      <c r="Q689" s="18">
        <v>4.187835</v>
      </c>
      <c r="R689" s="16">
        <v>16.22</v>
      </c>
      <c r="S689" s="10"/>
      <c r="T689" s="10"/>
      <c r="U689" s="18" t="s">
        <v>2360</v>
      </c>
      <c r="V689" s="18" t="s">
        <v>301</v>
      </c>
      <c r="W689" s="18" t="s">
        <v>2361</v>
      </c>
      <c r="X689" s="13"/>
      <c r="Y689" s="18" t="s">
        <v>559</v>
      </c>
      <c r="Z689" s="18" t="s">
        <v>68</v>
      </c>
      <c r="AA689" s="18" t="s">
        <v>83</v>
      </c>
      <c r="AB689" s="18" t="s">
        <v>84</v>
      </c>
      <c r="AC689" s="18" t="s">
        <v>153</v>
      </c>
      <c r="AD689" s="18">
        <v>127.76</v>
      </c>
      <c r="AE689" s="18">
        <v>0</v>
      </c>
      <c r="AF689" s="18">
        <v>0</v>
      </c>
      <c r="AG689" s="18">
        <v>0</v>
      </c>
      <c r="AH689" s="18">
        <v>0</v>
      </c>
      <c r="AI689" s="18">
        <v>0</v>
      </c>
      <c r="AJ689" s="18">
        <v>0</v>
      </c>
      <c r="AK689" s="18">
        <v>0</v>
      </c>
      <c r="AL689" s="18">
        <v>0</v>
      </c>
      <c r="AM689" s="18">
        <v>0</v>
      </c>
      <c r="AN689" s="18">
        <v>0</v>
      </c>
      <c r="AO689" s="18">
        <v>0</v>
      </c>
      <c r="AP689" s="18">
        <v>0</v>
      </c>
      <c r="AQ689" s="18">
        <v>1</v>
      </c>
      <c r="AR689" s="18">
        <v>0</v>
      </c>
      <c r="AS689" s="18">
        <v>0</v>
      </c>
      <c r="AT689" s="18">
        <v>0</v>
      </c>
      <c r="AU689" s="18">
        <v>0</v>
      </c>
      <c r="AV689" s="18">
        <v>1</v>
      </c>
      <c r="AW689" s="18">
        <v>0</v>
      </c>
      <c r="AX689" s="18">
        <v>0</v>
      </c>
      <c r="AY689" s="18">
        <v>4</v>
      </c>
      <c r="AZ689" s="18">
        <v>1</v>
      </c>
      <c r="BA689" s="18">
        <v>1</v>
      </c>
      <c r="BB689" s="18">
        <v>0</v>
      </c>
      <c r="BC689" s="18" t="s">
        <v>2362</v>
      </c>
      <c r="BD689" s="18" t="s">
        <v>2363</v>
      </c>
      <c r="BE689" s="18" t="s">
        <v>620</v>
      </c>
      <c r="BF689" s="18" t="s">
        <v>77</v>
      </c>
      <c r="BG689" s="18">
        <v>1</v>
      </c>
      <c r="BH689" s="18">
        <v>11</v>
      </c>
      <c r="BI689" s="18">
        <v>0.0833</v>
      </c>
      <c r="BJ689" s="18">
        <v>1</v>
      </c>
      <c r="BK689" s="13"/>
      <c r="BL689" s="13"/>
      <c r="BM689" s="13">
        <f t="shared" si="0"/>
        <v>0</v>
      </c>
    </row>
    <row r="690" customHeight="1" spans="1:65">
      <c r="A690" s="18" t="s">
        <v>2364</v>
      </c>
      <c r="B690" s="18" t="s">
        <v>2365</v>
      </c>
      <c r="C690" s="13"/>
      <c r="D690" s="13"/>
      <c r="E690" s="18" t="s">
        <v>81</v>
      </c>
      <c r="F690" s="18" t="s">
        <v>240</v>
      </c>
      <c r="G690" s="18" t="s">
        <v>83</v>
      </c>
      <c r="H690" s="18" t="s">
        <v>84</v>
      </c>
      <c r="I690" s="18" t="s">
        <v>85</v>
      </c>
      <c r="J690" s="18">
        <v>5</v>
      </c>
      <c r="K690" s="16">
        <v>19.99</v>
      </c>
      <c r="L690" s="10"/>
      <c r="M690" s="16">
        <v>0</v>
      </c>
      <c r="N690" s="16">
        <v>0</v>
      </c>
      <c r="O690" s="18">
        <v>0</v>
      </c>
      <c r="P690" s="18" t="s">
        <v>133</v>
      </c>
      <c r="Q690" s="18">
        <v>3.044046</v>
      </c>
      <c r="R690" s="10"/>
      <c r="S690" s="16">
        <v>871</v>
      </c>
      <c r="T690" s="16">
        <v>16</v>
      </c>
      <c r="U690" s="18" t="s">
        <v>2364</v>
      </c>
      <c r="V690" s="18" t="s">
        <v>2365</v>
      </c>
      <c r="W690" s="13"/>
      <c r="X690" s="13"/>
      <c r="Y690" s="18" t="s">
        <v>81</v>
      </c>
      <c r="Z690" s="18" t="s">
        <v>240</v>
      </c>
      <c r="AA690" s="18" t="s">
        <v>83</v>
      </c>
      <c r="AB690" s="18" t="s">
        <v>84</v>
      </c>
      <c r="AC690" s="18" t="s">
        <v>85</v>
      </c>
      <c r="AD690" s="18">
        <v>34.98</v>
      </c>
      <c r="AE690" s="18">
        <v>0</v>
      </c>
      <c r="AF690" s="18">
        <v>0</v>
      </c>
      <c r="AG690" s="18">
        <v>0</v>
      </c>
      <c r="AH690" s="18">
        <v>1</v>
      </c>
      <c r="AI690" s="18">
        <v>0</v>
      </c>
      <c r="AJ690" s="18">
        <v>0</v>
      </c>
      <c r="AK690" s="18">
        <v>0</v>
      </c>
      <c r="AL690" s="18">
        <v>1</v>
      </c>
      <c r="AM690" s="18">
        <v>0</v>
      </c>
      <c r="AN690" s="18">
        <v>0</v>
      </c>
      <c r="AO690" s="18">
        <v>0</v>
      </c>
      <c r="AP690" s="18">
        <v>0</v>
      </c>
      <c r="AQ690" s="18">
        <v>0</v>
      </c>
      <c r="AR690" s="18">
        <v>0</v>
      </c>
      <c r="AS690" s="18">
        <v>0</v>
      </c>
      <c r="AT690" s="18">
        <v>0</v>
      </c>
      <c r="AU690" s="18">
        <v>0</v>
      </c>
      <c r="AV690" s="18">
        <v>0</v>
      </c>
      <c r="AW690" s="18">
        <v>0</v>
      </c>
      <c r="AX690" s="18">
        <v>0</v>
      </c>
      <c r="AY690" s="13"/>
      <c r="AZ690" s="18">
        <v>1</v>
      </c>
      <c r="BA690" s="18">
        <v>1</v>
      </c>
      <c r="BB690" s="18">
        <v>63.7</v>
      </c>
      <c r="BC690" s="18" t="s">
        <v>2366</v>
      </c>
      <c r="BD690" s="18" t="s">
        <v>2286</v>
      </c>
      <c r="BE690" s="18" t="s">
        <v>91</v>
      </c>
      <c r="BF690" s="18" t="s">
        <v>77</v>
      </c>
      <c r="BG690" s="18">
        <v>167</v>
      </c>
      <c r="BH690" s="18">
        <v>49</v>
      </c>
      <c r="BI690" s="18">
        <v>0.7731</v>
      </c>
      <c r="BJ690" s="18">
        <v>0</v>
      </c>
      <c r="BK690" s="18">
        <v>68</v>
      </c>
      <c r="BL690" s="18">
        <v>81.4</v>
      </c>
      <c r="BM690" s="13">
        <f t="shared" si="0"/>
        <v>17411.29</v>
      </c>
    </row>
    <row r="691" customHeight="1" spans="1:65">
      <c r="A691" s="18" t="s">
        <v>2367</v>
      </c>
      <c r="B691" s="18" t="s">
        <v>125</v>
      </c>
      <c r="C691" s="13"/>
      <c r="D691" s="18">
        <v>726084631939</v>
      </c>
      <c r="E691" s="18" t="s">
        <v>163</v>
      </c>
      <c r="F691" s="18" t="s">
        <v>82</v>
      </c>
      <c r="G691" s="18" t="s">
        <v>346</v>
      </c>
      <c r="H691" s="18" t="s">
        <v>138</v>
      </c>
      <c r="I691" s="18" t="s">
        <v>85</v>
      </c>
      <c r="J691" s="18">
        <v>5</v>
      </c>
      <c r="K691" s="16">
        <v>14.24</v>
      </c>
      <c r="L691" s="10"/>
      <c r="M691" s="16">
        <v>0</v>
      </c>
      <c r="N691" s="16">
        <v>0</v>
      </c>
      <c r="O691" s="18">
        <v>0</v>
      </c>
      <c r="P691" s="18" t="s">
        <v>133</v>
      </c>
      <c r="Q691" s="18">
        <v>2.723924</v>
      </c>
      <c r="R691" s="10"/>
      <c r="S691" s="16">
        <v>39</v>
      </c>
      <c r="T691" s="16">
        <v>3</v>
      </c>
      <c r="U691" s="18" t="s">
        <v>2367</v>
      </c>
      <c r="V691" s="18" t="s">
        <v>125</v>
      </c>
      <c r="W691" s="13"/>
      <c r="X691" s="18">
        <v>726084631940</v>
      </c>
      <c r="Y691" s="18" t="s">
        <v>163</v>
      </c>
      <c r="Z691" s="18" t="s">
        <v>82</v>
      </c>
      <c r="AA691" s="18" t="s">
        <v>346</v>
      </c>
      <c r="AB691" s="18" t="s">
        <v>138</v>
      </c>
      <c r="AC691" s="18" t="s">
        <v>85</v>
      </c>
      <c r="AD691" s="18">
        <v>23.48</v>
      </c>
      <c r="AE691" s="18">
        <v>0</v>
      </c>
      <c r="AF691" s="18">
        <v>0</v>
      </c>
      <c r="AG691" s="18">
        <v>0</v>
      </c>
      <c r="AH691" s="18">
        <v>0</v>
      </c>
      <c r="AI691" s="18">
        <v>0</v>
      </c>
      <c r="AJ691" s="18">
        <v>0</v>
      </c>
      <c r="AK691" s="18">
        <v>0</v>
      </c>
      <c r="AL691" s="18">
        <v>0</v>
      </c>
      <c r="AM691" s="18">
        <v>0</v>
      </c>
      <c r="AN691" s="18">
        <v>0</v>
      </c>
      <c r="AO691" s="18">
        <v>0</v>
      </c>
      <c r="AP691" s="18">
        <v>0</v>
      </c>
      <c r="AQ691" s="18">
        <v>0</v>
      </c>
      <c r="AR691" s="18">
        <v>0</v>
      </c>
      <c r="AS691" s="18">
        <v>0</v>
      </c>
      <c r="AT691" s="18">
        <v>1</v>
      </c>
      <c r="AU691" s="18">
        <v>0</v>
      </c>
      <c r="AV691" s="18">
        <v>0</v>
      </c>
      <c r="AW691" s="18">
        <v>0</v>
      </c>
      <c r="AX691" s="18">
        <v>0</v>
      </c>
      <c r="AY691" s="13"/>
      <c r="AZ691" s="18">
        <v>1</v>
      </c>
      <c r="BA691" s="18">
        <v>0</v>
      </c>
      <c r="BB691" s="18">
        <v>66.57</v>
      </c>
      <c r="BC691" s="18" t="s">
        <v>2368</v>
      </c>
      <c r="BD691" s="18" t="s">
        <v>2369</v>
      </c>
      <c r="BE691" s="18" t="s">
        <v>834</v>
      </c>
      <c r="BF691" s="18" t="s">
        <v>77</v>
      </c>
      <c r="BG691" s="18">
        <v>1</v>
      </c>
      <c r="BH691" s="18">
        <v>20</v>
      </c>
      <c r="BI691" s="18">
        <v>0.0476</v>
      </c>
      <c r="BJ691" s="18">
        <v>1</v>
      </c>
      <c r="BK691" s="18">
        <v>7</v>
      </c>
      <c r="BL691" s="18">
        <v>98.1</v>
      </c>
      <c r="BM691" s="13">
        <f t="shared" si="0"/>
        <v>555.36</v>
      </c>
    </row>
    <row r="692" customHeight="1" spans="1:65">
      <c r="A692" s="18" t="s">
        <v>2370</v>
      </c>
      <c r="B692" s="18" t="s">
        <v>125</v>
      </c>
      <c r="C692" s="13"/>
      <c r="D692" s="13"/>
      <c r="E692" s="18" t="s">
        <v>163</v>
      </c>
      <c r="F692" s="18" t="s">
        <v>132</v>
      </c>
      <c r="G692" s="18" t="s">
        <v>83</v>
      </c>
      <c r="H692" s="18" t="s">
        <v>138</v>
      </c>
      <c r="I692" s="18" t="s">
        <v>85</v>
      </c>
      <c r="J692" s="18">
        <v>5</v>
      </c>
      <c r="K692" s="16">
        <v>3</v>
      </c>
      <c r="L692" s="10"/>
      <c r="M692" s="16">
        <v>0</v>
      </c>
      <c r="N692" s="16">
        <v>0</v>
      </c>
      <c r="O692" s="18">
        <v>0</v>
      </c>
      <c r="P692" s="18" t="s">
        <v>133</v>
      </c>
      <c r="Q692" s="18">
        <v>1.386294</v>
      </c>
      <c r="R692" s="10"/>
      <c r="S692" s="16">
        <v>230</v>
      </c>
      <c r="T692" s="16">
        <v>10</v>
      </c>
      <c r="U692" s="18" t="s">
        <v>2704</v>
      </c>
      <c r="V692" s="18" t="s">
        <v>125</v>
      </c>
      <c r="W692" s="13"/>
      <c r="X692" s="13"/>
      <c r="Y692" s="18" t="s">
        <v>163</v>
      </c>
      <c r="Z692" s="18" t="s">
        <v>132</v>
      </c>
      <c r="AA692" s="18" t="s">
        <v>83</v>
      </c>
      <c r="AB692" s="18" t="s">
        <v>138</v>
      </c>
      <c r="AC692" s="18" t="s">
        <v>85</v>
      </c>
      <c r="AD692" s="18">
        <v>1</v>
      </c>
      <c r="AE692" s="18">
        <v>0</v>
      </c>
      <c r="AF692" s="18">
        <v>0</v>
      </c>
      <c r="AG692" s="18">
        <v>0</v>
      </c>
      <c r="AH692" s="18">
        <v>0</v>
      </c>
      <c r="AI692" s="18">
        <v>0</v>
      </c>
      <c r="AJ692" s="18">
        <v>0</v>
      </c>
      <c r="AK692" s="18">
        <v>0</v>
      </c>
      <c r="AL692" s="18">
        <v>0</v>
      </c>
      <c r="AM692" s="18">
        <v>0</v>
      </c>
      <c r="AN692" s="18">
        <v>0</v>
      </c>
      <c r="AO692" s="18">
        <v>0</v>
      </c>
      <c r="AP692" s="18">
        <v>0</v>
      </c>
      <c r="AQ692" s="18">
        <v>0</v>
      </c>
      <c r="AR692" s="18">
        <v>0</v>
      </c>
      <c r="AS692" s="18">
        <v>0</v>
      </c>
      <c r="AT692" s="18">
        <v>0</v>
      </c>
      <c r="AU692" s="18">
        <v>0</v>
      </c>
      <c r="AV692" s="18">
        <v>0</v>
      </c>
      <c r="AW692" s="18">
        <v>0</v>
      </c>
      <c r="AX692" s="18">
        <v>0</v>
      </c>
      <c r="AY692" s="13"/>
      <c r="AZ692" s="18">
        <v>10</v>
      </c>
      <c r="BA692" s="18">
        <v>0</v>
      </c>
      <c r="BB692" s="18">
        <v>61.1</v>
      </c>
      <c r="BC692" s="18" t="s">
        <v>2371</v>
      </c>
      <c r="BD692" s="18" t="s">
        <v>368</v>
      </c>
      <c r="BE692" s="18" t="s">
        <v>76</v>
      </c>
      <c r="BF692" s="18" t="s">
        <v>77</v>
      </c>
      <c r="BG692" s="18">
        <v>168</v>
      </c>
      <c r="BH692" s="18">
        <v>11</v>
      </c>
      <c r="BI692" s="18">
        <v>0.9385</v>
      </c>
      <c r="BJ692" s="18">
        <v>0</v>
      </c>
      <c r="BK692" s="18">
        <v>88</v>
      </c>
      <c r="BL692" s="18">
        <v>75.9</v>
      </c>
      <c r="BM692" s="13">
        <f t="shared" si="0"/>
        <v>690</v>
      </c>
    </row>
    <row r="693" customHeight="1" spans="1:65">
      <c r="A693" s="18" t="s">
        <v>1332</v>
      </c>
      <c r="B693" s="18" t="s">
        <v>171</v>
      </c>
      <c r="C693" s="18" t="s">
        <v>1333</v>
      </c>
      <c r="D693" s="13"/>
      <c r="E693" s="18" t="s">
        <v>505</v>
      </c>
      <c r="F693" s="18" t="s">
        <v>160</v>
      </c>
      <c r="G693" s="18" t="s">
        <v>83</v>
      </c>
      <c r="H693" s="18" t="s">
        <v>84</v>
      </c>
      <c r="I693" s="18" t="s">
        <v>85</v>
      </c>
      <c r="J693" s="18">
        <v>5</v>
      </c>
      <c r="K693" s="16">
        <v>55.16</v>
      </c>
      <c r="L693" s="16">
        <v>64.89</v>
      </c>
      <c r="M693" s="16">
        <v>14.99</v>
      </c>
      <c r="N693" s="16">
        <v>9.73</v>
      </c>
      <c r="O693" s="18">
        <v>1</v>
      </c>
      <c r="P693" s="18" t="s">
        <v>86</v>
      </c>
      <c r="Q693" s="18">
        <v>4.028205</v>
      </c>
      <c r="R693" s="16">
        <v>3.45</v>
      </c>
      <c r="S693" s="16">
        <v>130</v>
      </c>
      <c r="T693" s="16">
        <v>10</v>
      </c>
      <c r="U693" s="18" t="s">
        <v>1332</v>
      </c>
      <c r="V693" s="18" t="s">
        <v>171</v>
      </c>
      <c r="W693" s="18" t="s">
        <v>1333</v>
      </c>
      <c r="X693" s="13"/>
      <c r="Y693" s="18" t="s">
        <v>505</v>
      </c>
      <c r="Z693" s="18" t="s">
        <v>160</v>
      </c>
      <c r="AA693" s="18" t="s">
        <v>83</v>
      </c>
      <c r="AB693" s="18" t="s">
        <v>84</v>
      </c>
      <c r="AC693" s="18" t="s">
        <v>85</v>
      </c>
      <c r="AD693" s="18">
        <v>4.50933333333339</v>
      </c>
      <c r="AE693" s="18">
        <v>0</v>
      </c>
      <c r="AF693" s="18">
        <v>0</v>
      </c>
      <c r="AG693" s="18">
        <v>0</v>
      </c>
      <c r="AH693" s="18">
        <v>0</v>
      </c>
      <c r="AI693" s="18">
        <v>0</v>
      </c>
      <c r="AJ693" s="18">
        <v>0</v>
      </c>
      <c r="AK693" s="18">
        <v>0</v>
      </c>
      <c r="AL693" s="18">
        <v>1</v>
      </c>
      <c r="AM693" s="18">
        <v>1</v>
      </c>
      <c r="AN693" s="18">
        <v>0</v>
      </c>
      <c r="AO693" s="18">
        <v>0</v>
      </c>
      <c r="AP693" s="18">
        <v>0</v>
      </c>
      <c r="AQ693" s="18">
        <v>1</v>
      </c>
      <c r="AR693" s="18">
        <v>0</v>
      </c>
      <c r="AS693" s="18">
        <v>0</v>
      </c>
      <c r="AT693" s="18">
        <v>0</v>
      </c>
      <c r="AU693" s="18">
        <v>0</v>
      </c>
      <c r="AV693" s="18">
        <v>1</v>
      </c>
      <c r="AW693" s="18">
        <v>0</v>
      </c>
      <c r="AX693" s="18">
        <v>0</v>
      </c>
      <c r="AY693" s="18">
        <v>16</v>
      </c>
      <c r="AZ693" s="18">
        <v>1</v>
      </c>
      <c r="BA693" s="18">
        <v>2</v>
      </c>
      <c r="BB693" s="18">
        <v>70.89</v>
      </c>
      <c r="BC693" s="18" t="s">
        <v>326</v>
      </c>
      <c r="BD693" s="18" t="s">
        <v>175</v>
      </c>
      <c r="BE693" s="18" t="s">
        <v>91</v>
      </c>
      <c r="BF693" s="18" t="s">
        <v>77</v>
      </c>
      <c r="BG693" s="18">
        <v>162</v>
      </c>
      <c r="BH693" s="18">
        <v>60</v>
      </c>
      <c r="BI693" s="18">
        <v>0.7297</v>
      </c>
      <c r="BJ693" s="18">
        <v>0</v>
      </c>
      <c r="BK693" s="18">
        <v>9</v>
      </c>
      <c r="BL693" s="18">
        <v>97.5</v>
      </c>
      <c r="BM693" s="13">
        <f t="shared" si="0"/>
        <v>7170.8</v>
      </c>
    </row>
    <row r="694" customHeight="1" spans="1:65">
      <c r="A694" s="18" t="s">
        <v>1873</v>
      </c>
      <c r="B694" s="18" t="s">
        <v>171</v>
      </c>
      <c r="C694" s="18" t="s">
        <v>1874</v>
      </c>
      <c r="D694" s="13"/>
      <c r="E694" s="18" t="s">
        <v>250</v>
      </c>
      <c r="F694" s="18" t="s">
        <v>82</v>
      </c>
      <c r="G694" s="18" t="s">
        <v>83</v>
      </c>
      <c r="H694" s="18" t="s">
        <v>84</v>
      </c>
      <c r="I694" s="18" t="s">
        <v>85</v>
      </c>
      <c r="J694" s="18">
        <v>5</v>
      </c>
      <c r="K694" s="16">
        <v>26.26</v>
      </c>
      <c r="L694" s="10"/>
      <c r="M694" s="16">
        <v>0</v>
      </c>
      <c r="N694" s="16">
        <v>0</v>
      </c>
      <c r="O694" s="18">
        <v>0</v>
      </c>
      <c r="P694" s="18" t="s">
        <v>86</v>
      </c>
      <c r="Q694" s="18">
        <v>3.30542</v>
      </c>
      <c r="R694" s="10"/>
      <c r="S694" s="16">
        <v>482</v>
      </c>
      <c r="T694" s="16">
        <v>10</v>
      </c>
      <c r="U694" s="18" t="s">
        <v>1873</v>
      </c>
      <c r="V694" s="18" t="s">
        <v>171</v>
      </c>
      <c r="W694" s="18" t="s">
        <v>2705</v>
      </c>
      <c r="X694" s="13"/>
      <c r="Y694" s="18" t="s">
        <v>250</v>
      </c>
      <c r="Z694" s="18" t="s">
        <v>82</v>
      </c>
      <c r="AA694" s="18" t="s">
        <v>83</v>
      </c>
      <c r="AB694" s="18" t="s">
        <v>84</v>
      </c>
      <c r="AC694" s="18" t="s">
        <v>85</v>
      </c>
      <c r="AD694" s="18">
        <v>47.52</v>
      </c>
      <c r="AE694" s="18">
        <v>0</v>
      </c>
      <c r="AF694" s="18">
        <v>0</v>
      </c>
      <c r="AG694" s="18">
        <v>0</v>
      </c>
      <c r="AH694" s="18">
        <v>0</v>
      </c>
      <c r="AI694" s="18">
        <v>0</v>
      </c>
      <c r="AJ694" s="18">
        <v>0</v>
      </c>
      <c r="AK694" s="18">
        <v>0</v>
      </c>
      <c r="AL694" s="18">
        <v>0</v>
      </c>
      <c r="AM694" s="18">
        <v>0</v>
      </c>
      <c r="AN694" s="18">
        <v>0</v>
      </c>
      <c r="AO694" s="18">
        <v>0</v>
      </c>
      <c r="AP694" s="18">
        <v>0</v>
      </c>
      <c r="AQ694" s="18">
        <v>0</v>
      </c>
      <c r="AR694" s="18">
        <v>0</v>
      </c>
      <c r="AS694" s="18">
        <v>0</v>
      </c>
      <c r="AT694" s="18">
        <v>1</v>
      </c>
      <c r="AU694" s="18">
        <v>0</v>
      </c>
      <c r="AV694" s="18">
        <v>0</v>
      </c>
      <c r="AW694" s="18">
        <v>0</v>
      </c>
      <c r="AX694" s="18">
        <v>0</v>
      </c>
      <c r="AY694" s="13"/>
      <c r="AZ694" s="18">
        <v>1</v>
      </c>
      <c r="BA694" s="18">
        <v>2</v>
      </c>
      <c r="BB694" s="18">
        <v>68.2</v>
      </c>
      <c r="BC694" s="18" t="s">
        <v>326</v>
      </c>
      <c r="BD694" s="18" t="s">
        <v>175</v>
      </c>
      <c r="BE694" s="18" t="s">
        <v>91</v>
      </c>
      <c r="BF694" s="18" t="s">
        <v>77</v>
      </c>
      <c r="BG694" s="18">
        <v>162</v>
      </c>
      <c r="BH694" s="18">
        <v>60</v>
      </c>
      <c r="BI694" s="18">
        <v>0.7297</v>
      </c>
      <c r="BJ694" s="18">
        <v>0</v>
      </c>
      <c r="BK694" s="18">
        <v>12</v>
      </c>
      <c r="BL694" s="18">
        <v>96.7</v>
      </c>
      <c r="BM694" s="13">
        <f t="shared" si="0"/>
        <v>12657.32</v>
      </c>
    </row>
    <row r="695" customHeight="1" spans="1:65">
      <c r="A695" s="18" t="s">
        <v>1943</v>
      </c>
      <c r="B695" s="18" t="s">
        <v>171</v>
      </c>
      <c r="C695" s="18" t="s">
        <v>1944</v>
      </c>
      <c r="D695" s="13"/>
      <c r="E695" s="18" t="s">
        <v>81</v>
      </c>
      <c r="F695" s="18" t="s">
        <v>160</v>
      </c>
      <c r="G695" s="18" t="s">
        <v>83</v>
      </c>
      <c r="H695" s="18" t="s">
        <v>84</v>
      </c>
      <c r="I695" s="18" t="s">
        <v>85</v>
      </c>
      <c r="J695" s="18">
        <v>5</v>
      </c>
      <c r="K695" s="16">
        <v>109.56</v>
      </c>
      <c r="L695" s="16">
        <v>128.89</v>
      </c>
      <c r="M695" s="16">
        <v>15</v>
      </c>
      <c r="N695" s="16">
        <v>19.33</v>
      </c>
      <c r="O695" s="18">
        <v>1</v>
      </c>
      <c r="P695" s="18" t="s">
        <v>95</v>
      </c>
      <c r="Q695" s="18">
        <v>4.705558</v>
      </c>
      <c r="R695" s="16">
        <v>13.7</v>
      </c>
      <c r="S695" s="16">
        <v>15</v>
      </c>
      <c r="T695" s="16">
        <v>10</v>
      </c>
      <c r="U695" s="18" t="s">
        <v>1943</v>
      </c>
      <c r="V695" s="18" t="s">
        <v>171</v>
      </c>
      <c r="W695" s="19" t="s">
        <v>1944</v>
      </c>
      <c r="X695" s="13"/>
      <c r="Y695" s="18" t="s">
        <v>81</v>
      </c>
      <c r="Z695" s="18" t="s">
        <v>160</v>
      </c>
      <c r="AA695" s="18" t="s">
        <v>83</v>
      </c>
      <c r="AB695" s="18" t="s">
        <v>84</v>
      </c>
      <c r="AC695" s="18" t="s">
        <v>85</v>
      </c>
      <c r="AD695" s="18">
        <v>6.0053333333332</v>
      </c>
      <c r="AE695" s="18">
        <v>0</v>
      </c>
      <c r="AF695" s="18">
        <v>0</v>
      </c>
      <c r="AG695" s="18">
        <v>0</v>
      </c>
      <c r="AH695" s="18">
        <v>0</v>
      </c>
      <c r="AI695" s="18">
        <v>0</v>
      </c>
      <c r="AJ695" s="18">
        <v>0</v>
      </c>
      <c r="AK695" s="18">
        <v>0</v>
      </c>
      <c r="AL695" s="18">
        <v>0</v>
      </c>
      <c r="AM695" s="18">
        <v>0</v>
      </c>
      <c r="AN695" s="18">
        <v>0</v>
      </c>
      <c r="AO695" s="18">
        <v>0</v>
      </c>
      <c r="AP695" s="18">
        <v>0</v>
      </c>
      <c r="AQ695" s="18">
        <v>1</v>
      </c>
      <c r="AR695" s="18">
        <v>0</v>
      </c>
      <c r="AS695" s="18">
        <v>0</v>
      </c>
      <c r="AT695" s="18">
        <v>1</v>
      </c>
      <c r="AU695" s="18">
        <v>0</v>
      </c>
      <c r="AV695" s="18">
        <v>1</v>
      </c>
      <c r="AW695" s="18">
        <v>1</v>
      </c>
      <c r="AX695" s="18">
        <v>0</v>
      </c>
      <c r="AY695" s="18">
        <v>8</v>
      </c>
      <c r="AZ695" s="18">
        <v>1</v>
      </c>
      <c r="BA695" s="18">
        <v>3</v>
      </c>
      <c r="BB695" s="18">
        <v>57.84</v>
      </c>
      <c r="BC695" s="18" t="s">
        <v>326</v>
      </c>
      <c r="BD695" s="18" t="s">
        <v>175</v>
      </c>
      <c r="BE695" s="18" t="s">
        <v>91</v>
      </c>
      <c r="BF695" s="18" t="s">
        <v>77</v>
      </c>
      <c r="BG695" s="18">
        <v>161</v>
      </c>
      <c r="BH695" s="18">
        <v>61</v>
      </c>
      <c r="BI695" s="18">
        <v>0.7252</v>
      </c>
      <c r="BJ695" s="18">
        <v>0</v>
      </c>
      <c r="BK695" s="18">
        <v>8</v>
      </c>
      <c r="BL695" s="18">
        <v>97.8</v>
      </c>
      <c r="BM695" s="13">
        <f t="shared" si="0"/>
        <v>1643.4</v>
      </c>
    </row>
    <row r="696" customHeight="1" spans="1:65">
      <c r="A696" s="18" t="s">
        <v>323</v>
      </c>
      <c r="B696" s="18" t="s">
        <v>171</v>
      </c>
      <c r="C696" s="18" t="s">
        <v>324</v>
      </c>
      <c r="D696" s="13"/>
      <c r="E696" s="18" t="s">
        <v>325</v>
      </c>
      <c r="F696" s="18" t="s">
        <v>160</v>
      </c>
      <c r="G696" s="18" t="s">
        <v>83</v>
      </c>
      <c r="H696" s="18" t="s">
        <v>84</v>
      </c>
      <c r="I696" s="18" t="s">
        <v>85</v>
      </c>
      <c r="J696" s="18">
        <v>5</v>
      </c>
      <c r="K696" s="16">
        <v>110.41</v>
      </c>
      <c r="L696" s="16">
        <v>129.89</v>
      </c>
      <c r="M696" s="16">
        <v>15</v>
      </c>
      <c r="N696" s="16">
        <v>19.48</v>
      </c>
      <c r="O696" s="18">
        <v>1</v>
      </c>
      <c r="P696" s="18" t="s">
        <v>95</v>
      </c>
      <c r="Q696" s="18">
        <v>4.713217</v>
      </c>
      <c r="R696" s="16">
        <v>13.8</v>
      </c>
      <c r="S696" s="16">
        <v>37</v>
      </c>
      <c r="T696" s="16">
        <v>10</v>
      </c>
      <c r="U696" s="18" t="s">
        <v>323</v>
      </c>
      <c r="V696" s="18" t="s">
        <v>171</v>
      </c>
      <c r="W696" s="18" t="s">
        <v>2706</v>
      </c>
      <c r="X696" s="13"/>
      <c r="Y696" s="18" t="s">
        <v>325</v>
      </c>
      <c r="Z696" s="18" t="s">
        <v>160</v>
      </c>
      <c r="AA696" s="18" t="s">
        <v>83</v>
      </c>
      <c r="AB696" s="18" t="s">
        <v>84</v>
      </c>
      <c r="AC696" s="18" t="s">
        <v>85</v>
      </c>
      <c r="AD696" s="18">
        <v>6.0286666666667</v>
      </c>
      <c r="AE696" s="18">
        <v>0</v>
      </c>
      <c r="AF696" s="18">
        <v>0</v>
      </c>
      <c r="AG696" s="18">
        <v>0</v>
      </c>
      <c r="AH696" s="18">
        <v>0</v>
      </c>
      <c r="AI696" s="18">
        <v>0</v>
      </c>
      <c r="AJ696" s="18">
        <v>0</v>
      </c>
      <c r="AK696" s="18">
        <v>0</v>
      </c>
      <c r="AL696" s="18">
        <v>0</v>
      </c>
      <c r="AM696" s="18">
        <v>0</v>
      </c>
      <c r="AN696" s="18">
        <v>0</v>
      </c>
      <c r="AO696" s="18">
        <v>0</v>
      </c>
      <c r="AP696" s="18">
        <v>0</v>
      </c>
      <c r="AQ696" s="18">
        <v>1</v>
      </c>
      <c r="AR696" s="18">
        <v>0</v>
      </c>
      <c r="AS696" s="18">
        <v>0</v>
      </c>
      <c r="AT696" s="18">
        <v>0</v>
      </c>
      <c r="AU696" s="18">
        <v>0</v>
      </c>
      <c r="AV696" s="18">
        <v>1</v>
      </c>
      <c r="AW696" s="18">
        <v>1</v>
      </c>
      <c r="AX696" s="18">
        <v>0</v>
      </c>
      <c r="AY696" s="18">
        <v>8</v>
      </c>
      <c r="AZ696" s="18">
        <v>1</v>
      </c>
      <c r="BA696" s="18">
        <v>1</v>
      </c>
      <c r="BB696" s="18">
        <v>65.84</v>
      </c>
      <c r="BC696" s="18" t="s">
        <v>326</v>
      </c>
      <c r="BD696" s="18" t="s">
        <v>175</v>
      </c>
      <c r="BE696" s="18" t="s">
        <v>91</v>
      </c>
      <c r="BF696" s="18" t="s">
        <v>77</v>
      </c>
      <c r="BG696" s="18">
        <v>161</v>
      </c>
      <c r="BH696" s="18">
        <v>61</v>
      </c>
      <c r="BI696" s="18">
        <v>0.7252</v>
      </c>
      <c r="BJ696" s="18">
        <v>0</v>
      </c>
      <c r="BK696" s="18">
        <v>2</v>
      </c>
      <c r="BL696" s="18">
        <v>99.5</v>
      </c>
      <c r="BM696" s="13">
        <f t="shared" si="0"/>
        <v>4085.17</v>
      </c>
    </row>
    <row r="697" customHeight="1" spans="1:65">
      <c r="A697" s="18" t="s">
        <v>1938</v>
      </c>
      <c r="B697" s="18" t="s">
        <v>171</v>
      </c>
      <c r="C697" s="18" t="s">
        <v>1708</v>
      </c>
      <c r="D697" s="13"/>
      <c r="E697" s="18" t="s">
        <v>559</v>
      </c>
      <c r="F697" s="18" t="s">
        <v>160</v>
      </c>
      <c r="G697" s="18" t="s">
        <v>83</v>
      </c>
      <c r="H697" s="18" t="s">
        <v>84</v>
      </c>
      <c r="I697" s="18" t="s">
        <v>85</v>
      </c>
      <c r="J697" s="18">
        <v>5</v>
      </c>
      <c r="K697" s="16">
        <v>63.85</v>
      </c>
      <c r="L697" s="16">
        <v>93.89</v>
      </c>
      <c r="M697" s="16">
        <v>31.99</v>
      </c>
      <c r="N697" s="16">
        <v>30.04</v>
      </c>
      <c r="O697" s="18">
        <v>1</v>
      </c>
      <c r="P697" s="18" t="s">
        <v>86</v>
      </c>
      <c r="Q697" s="18">
        <v>4.172077</v>
      </c>
      <c r="R697" s="16">
        <v>7.98</v>
      </c>
      <c r="S697" s="16">
        <v>62</v>
      </c>
      <c r="T697" s="16">
        <v>10</v>
      </c>
      <c r="U697" s="18" t="s">
        <v>1938</v>
      </c>
      <c r="V697" s="18" t="s">
        <v>171</v>
      </c>
      <c r="W697" s="18" t="s">
        <v>2557</v>
      </c>
      <c r="X697" s="13"/>
      <c r="Y697" s="18" t="s">
        <v>559</v>
      </c>
      <c r="Z697" s="18" t="s">
        <v>160</v>
      </c>
      <c r="AA697" s="18" t="s">
        <v>83</v>
      </c>
      <c r="AB697" s="18" t="s">
        <v>84</v>
      </c>
      <c r="AC697" s="18" t="s">
        <v>85</v>
      </c>
      <c r="AD697" s="18">
        <v>19.2953333333333</v>
      </c>
      <c r="AE697" s="18">
        <v>0</v>
      </c>
      <c r="AF697" s="18">
        <v>0</v>
      </c>
      <c r="AG697" s="18">
        <v>1</v>
      </c>
      <c r="AH697" s="18">
        <v>0</v>
      </c>
      <c r="AI697" s="18">
        <v>1</v>
      </c>
      <c r="AJ697" s="18">
        <v>0</v>
      </c>
      <c r="AK697" s="18">
        <v>0</v>
      </c>
      <c r="AL697" s="18">
        <v>0</v>
      </c>
      <c r="AM697" s="18">
        <v>0</v>
      </c>
      <c r="AN697" s="18">
        <v>0</v>
      </c>
      <c r="AO697" s="18">
        <v>0</v>
      </c>
      <c r="AP697" s="18">
        <v>0</v>
      </c>
      <c r="AQ697" s="18">
        <v>1</v>
      </c>
      <c r="AR697" s="18">
        <v>0</v>
      </c>
      <c r="AS697" s="18">
        <v>0</v>
      </c>
      <c r="AT697" s="18">
        <v>0</v>
      </c>
      <c r="AU697" s="18">
        <v>0</v>
      </c>
      <c r="AV697" s="18">
        <v>1</v>
      </c>
      <c r="AW697" s="18">
        <v>1</v>
      </c>
      <c r="AX697" s="18">
        <v>0</v>
      </c>
      <c r="AY697" s="18">
        <v>8</v>
      </c>
      <c r="AZ697" s="18">
        <v>1</v>
      </c>
      <c r="BA697" s="18">
        <v>1</v>
      </c>
      <c r="BB697" s="18">
        <v>73.47</v>
      </c>
      <c r="BC697" s="18" t="s">
        <v>326</v>
      </c>
      <c r="BD697" s="18" t="s">
        <v>175</v>
      </c>
      <c r="BE697" s="18" t="s">
        <v>91</v>
      </c>
      <c r="BF697" s="18" t="s">
        <v>77</v>
      </c>
      <c r="BG697" s="18">
        <v>162</v>
      </c>
      <c r="BH697" s="18">
        <v>60</v>
      </c>
      <c r="BI697" s="18">
        <v>0.7297</v>
      </c>
      <c r="BJ697" s="18">
        <v>0</v>
      </c>
      <c r="BK697" s="18">
        <v>7</v>
      </c>
      <c r="BL697" s="18">
        <v>98.1</v>
      </c>
      <c r="BM697" s="13">
        <f t="shared" si="0"/>
        <v>3958.7</v>
      </c>
    </row>
    <row r="698" customHeight="1" spans="1:65">
      <c r="A698" s="18" t="s">
        <v>1088</v>
      </c>
      <c r="B698" s="18" t="s">
        <v>171</v>
      </c>
      <c r="C698" s="18" t="s">
        <v>1089</v>
      </c>
      <c r="D698" s="13"/>
      <c r="E698" s="18" t="s">
        <v>173</v>
      </c>
      <c r="F698" s="18" t="s">
        <v>82</v>
      </c>
      <c r="G698" s="18" t="s">
        <v>83</v>
      </c>
      <c r="H698" s="18" t="s">
        <v>84</v>
      </c>
      <c r="I698" s="18" t="s">
        <v>85</v>
      </c>
      <c r="J698" s="18">
        <v>5</v>
      </c>
      <c r="K698" s="16">
        <v>98.51</v>
      </c>
      <c r="L698" s="16">
        <v>115.89</v>
      </c>
      <c r="M698" s="16">
        <v>15</v>
      </c>
      <c r="N698" s="16">
        <v>17.38</v>
      </c>
      <c r="O698" s="18">
        <v>1</v>
      </c>
      <c r="P698" s="18" t="s">
        <v>95</v>
      </c>
      <c r="Q698" s="18">
        <v>4.600258</v>
      </c>
      <c r="R698" s="10"/>
      <c r="S698" s="16">
        <v>207</v>
      </c>
      <c r="T698" s="16">
        <v>10</v>
      </c>
      <c r="U698" s="18" t="s">
        <v>1088</v>
      </c>
      <c r="V698" s="18" t="s">
        <v>171</v>
      </c>
      <c r="W698" s="18" t="s">
        <v>2707</v>
      </c>
      <c r="X698" s="13"/>
      <c r="Y698" s="18" t="s">
        <v>173</v>
      </c>
      <c r="Z698" s="18" t="s">
        <v>82</v>
      </c>
      <c r="AA698" s="18" t="s">
        <v>83</v>
      </c>
      <c r="AB698" s="18" t="s">
        <v>84</v>
      </c>
      <c r="AC698" s="18" t="s">
        <v>85</v>
      </c>
      <c r="AD698" s="18">
        <v>5.70200000000001</v>
      </c>
      <c r="AE698" s="18">
        <v>0</v>
      </c>
      <c r="AF698" s="18">
        <v>0</v>
      </c>
      <c r="AG698" s="18">
        <v>0</v>
      </c>
      <c r="AH698" s="18">
        <v>0</v>
      </c>
      <c r="AI698" s="18">
        <v>0</v>
      </c>
      <c r="AJ698" s="18">
        <v>0</v>
      </c>
      <c r="AK698" s="18">
        <v>0</v>
      </c>
      <c r="AL698" s="18">
        <v>0</v>
      </c>
      <c r="AM698" s="18">
        <v>0</v>
      </c>
      <c r="AN698" s="18">
        <v>0</v>
      </c>
      <c r="AO698" s="18">
        <v>0</v>
      </c>
      <c r="AP698" s="18">
        <v>0</v>
      </c>
      <c r="AQ698" s="18">
        <v>0</v>
      </c>
      <c r="AR698" s="18">
        <v>0</v>
      </c>
      <c r="AS698" s="18">
        <v>0</v>
      </c>
      <c r="AT698" s="18">
        <v>1</v>
      </c>
      <c r="AU698" s="18">
        <v>0</v>
      </c>
      <c r="AV698" s="18">
        <v>0</v>
      </c>
      <c r="AW698" s="18">
        <v>0</v>
      </c>
      <c r="AX698" s="18">
        <v>0</v>
      </c>
      <c r="AY698" s="13"/>
      <c r="AZ698" s="18">
        <v>1</v>
      </c>
      <c r="BA698" s="18">
        <v>2</v>
      </c>
      <c r="BB698" s="18">
        <v>71.85</v>
      </c>
      <c r="BC698" s="18" t="s">
        <v>326</v>
      </c>
      <c r="BD698" s="18" t="s">
        <v>175</v>
      </c>
      <c r="BE698" s="18" t="s">
        <v>91</v>
      </c>
      <c r="BF698" s="18" t="s">
        <v>77</v>
      </c>
      <c r="BG698" s="18">
        <v>162</v>
      </c>
      <c r="BH698" s="18">
        <v>60</v>
      </c>
      <c r="BI698" s="18">
        <v>0.7297</v>
      </c>
      <c r="BJ698" s="18">
        <v>0</v>
      </c>
      <c r="BK698" s="18">
        <v>10</v>
      </c>
      <c r="BL698" s="18">
        <v>97.3</v>
      </c>
      <c r="BM698" s="13">
        <f t="shared" si="0"/>
        <v>20391.57</v>
      </c>
    </row>
    <row r="699" customHeight="1" spans="1:65">
      <c r="A699" s="18" t="s">
        <v>1660</v>
      </c>
      <c r="B699" s="18" t="s">
        <v>171</v>
      </c>
      <c r="C699" s="18" t="s">
        <v>1661</v>
      </c>
      <c r="D699" s="13"/>
      <c r="E699" s="18" t="s">
        <v>173</v>
      </c>
      <c r="F699" s="18" t="s">
        <v>160</v>
      </c>
      <c r="G699" s="18" t="s">
        <v>83</v>
      </c>
      <c r="H699" s="18" t="s">
        <v>84</v>
      </c>
      <c r="I699" s="18" t="s">
        <v>85</v>
      </c>
      <c r="J699" s="18">
        <v>5</v>
      </c>
      <c r="K699" s="16">
        <v>399.41</v>
      </c>
      <c r="L699" s="16">
        <v>469.89</v>
      </c>
      <c r="M699" s="16">
        <v>15</v>
      </c>
      <c r="N699" s="16">
        <v>70.48</v>
      </c>
      <c r="O699" s="18">
        <v>1</v>
      </c>
      <c r="P699" s="18" t="s">
        <v>71</v>
      </c>
      <c r="Q699" s="18">
        <v>5.992489</v>
      </c>
      <c r="R699" s="16">
        <v>49.93</v>
      </c>
      <c r="S699" s="16">
        <v>482</v>
      </c>
      <c r="T699" s="16">
        <v>10</v>
      </c>
      <c r="U699" s="18" t="s">
        <v>2708</v>
      </c>
      <c r="V699" s="18" t="s">
        <v>171</v>
      </c>
      <c r="W699" s="18" t="s">
        <v>1661</v>
      </c>
      <c r="X699" s="13"/>
      <c r="Y699" s="18" t="s">
        <v>173</v>
      </c>
      <c r="Z699" s="18" t="s">
        <v>160</v>
      </c>
      <c r="AA699" s="18" t="s">
        <v>83</v>
      </c>
      <c r="AB699" s="18" t="s">
        <v>84</v>
      </c>
      <c r="AC699" s="18" t="s">
        <v>85</v>
      </c>
      <c r="AD699" s="18">
        <v>13.9619999999998</v>
      </c>
      <c r="AE699" s="18">
        <v>0</v>
      </c>
      <c r="AF699" s="18">
        <v>0</v>
      </c>
      <c r="AG699" s="18">
        <v>0</v>
      </c>
      <c r="AH699" s="18">
        <v>0</v>
      </c>
      <c r="AI699" s="18">
        <v>0</v>
      </c>
      <c r="AJ699" s="18">
        <v>0</v>
      </c>
      <c r="AK699" s="18">
        <v>0</v>
      </c>
      <c r="AL699" s="18">
        <v>0</v>
      </c>
      <c r="AM699" s="18">
        <v>1</v>
      </c>
      <c r="AN699" s="18">
        <v>0</v>
      </c>
      <c r="AO699" s="18">
        <v>0</v>
      </c>
      <c r="AP699" s="18">
        <v>0</v>
      </c>
      <c r="AQ699" s="18">
        <v>1</v>
      </c>
      <c r="AR699" s="18">
        <v>0</v>
      </c>
      <c r="AS699" s="18">
        <v>0</v>
      </c>
      <c r="AT699" s="18">
        <v>1</v>
      </c>
      <c r="AU699" s="18">
        <v>0</v>
      </c>
      <c r="AV699" s="18">
        <v>1</v>
      </c>
      <c r="AW699" s="18">
        <v>1</v>
      </c>
      <c r="AX699" s="18">
        <v>0</v>
      </c>
      <c r="AY699" s="18">
        <v>8</v>
      </c>
      <c r="AZ699" s="18">
        <v>1</v>
      </c>
      <c r="BA699" s="18">
        <v>4</v>
      </c>
      <c r="BB699" s="18">
        <v>73.54</v>
      </c>
      <c r="BC699" s="18" t="s">
        <v>326</v>
      </c>
      <c r="BD699" s="18" t="s">
        <v>175</v>
      </c>
      <c r="BE699" s="18" t="s">
        <v>91</v>
      </c>
      <c r="BF699" s="18" t="s">
        <v>77</v>
      </c>
      <c r="BG699" s="18">
        <v>161</v>
      </c>
      <c r="BH699" s="18">
        <v>61</v>
      </c>
      <c r="BI699" s="18">
        <v>0.7252</v>
      </c>
      <c r="BJ699" s="18">
        <v>0</v>
      </c>
      <c r="BK699" s="18">
        <v>2</v>
      </c>
      <c r="BL699" s="18">
        <v>99.5</v>
      </c>
      <c r="BM699" s="13">
        <f t="shared" si="0"/>
        <v>192515.62</v>
      </c>
    </row>
    <row r="700" customHeight="1" spans="1:65">
      <c r="A700" s="18" t="s">
        <v>1879</v>
      </c>
      <c r="B700" s="18" t="s">
        <v>171</v>
      </c>
      <c r="C700" s="18" t="s">
        <v>1880</v>
      </c>
      <c r="D700" s="13"/>
      <c r="E700" s="18" t="s">
        <v>173</v>
      </c>
      <c r="F700" s="18" t="s">
        <v>160</v>
      </c>
      <c r="G700" s="18" t="s">
        <v>83</v>
      </c>
      <c r="H700" s="18" t="s">
        <v>84</v>
      </c>
      <c r="I700" s="18" t="s">
        <v>85</v>
      </c>
      <c r="J700" s="18">
        <v>5</v>
      </c>
      <c r="K700" s="16">
        <v>87.07</v>
      </c>
      <c r="L700" s="10"/>
      <c r="M700" s="16">
        <v>0</v>
      </c>
      <c r="N700" s="16">
        <v>0</v>
      </c>
      <c r="O700" s="18">
        <v>0</v>
      </c>
      <c r="P700" s="18" t="s">
        <v>95</v>
      </c>
      <c r="Q700" s="18">
        <v>4.478132</v>
      </c>
      <c r="R700" s="10"/>
      <c r="S700" s="16">
        <v>37</v>
      </c>
      <c r="T700" s="16">
        <v>10</v>
      </c>
      <c r="U700" s="18" t="s">
        <v>1879</v>
      </c>
      <c r="V700" s="18" t="s">
        <v>171</v>
      </c>
      <c r="W700" s="18" t="s">
        <v>2709</v>
      </c>
      <c r="X700" s="13"/>
      <c r="Y700" s="18" t="s">
        <v>173</v>
      </c>
      <c r="Z700" s="18" t="s">
        <v>160</v>
      </c>
      <c r="AA700" s="18" t="s">
        <v>83</v>
      </c>
      <c r="AB700" s="18" t="s">
        <v>84</v>
      </c>
      <c r="AC700" s="18" t="s">
        <v>85</v>
      </c>
      <c r="AD700" s="18">
        <v>169.14</v>
      </c>
      <c r="AE700" s="18">
        <v>0</v>
      </c>
      <c r="AF700" s="18">
        <v>0</v>
      </c>
      <c r="AG700" s="18">
        <v>1</v>
      </c>
      <c r="AH700" s="18">
        <v>0</v>
      </c>
      <c r="AI700" s="18">
        <v>1</v>
      </c>
      <c r="AJ700" s="18">
        <v>0</v>
      </c>
      <c r="AK700" s="18">
        <v>0</v>
      </c>
      <c r="AL700" s="18">
        <v>0</v>
      </c>
      <c r="AM700" s="18">
        <v>0</v>
      </c>
      <c r="AN700" s="18">
        <v>1</v>
      </c>
      <c r="AO700" s="18">
        <v>0</v>
      </c>
      <c r="AP700" s="18">
        <v>0</v>
      </c>
      <c r="AQ700" s="18">
        <v>0</v>
      </c>
      <c r="AR700" s="18">
        <v>0</v>
      </c>
      <c r="AS700" s="18">
        <v>0</v>
      </c>
      <c r="AT700" s="18">
        <v>0</v>
      </c>
      <c r="AU700" s="18">
        <v>0</v>
      </c>
      <c r="AV700" s="18">
        <v>0</v>
      </c>
      <c r="AW700" s="18">
        <v>0</v>
      </c>
      <c r="AX700" s="18">
        <v>0</v>
      </c>
      <c r="AY700" s="13"/>
      <c r="AZ700" s="18">
        <v>1</v>
      </c>
      <c r="BA700" s="18">
        <v>3</v>
      </c>
      <c r="BB700" s="18">
        <v>60.59</v>
      </c>
      <c r="BC700" s="18" t="s">
        <v>326</v>
      </c>
      <c r="BD700" s="18" t="s">
        <v>175</v>
      </c>
      <c r="BE700" s="18" t="s">
        <v>91</v>
      </c>
      <c r="BF700" s="18" t="s">
        <v>77</v>
      </c>
      <c r="BG700" s="18">
        <v>162</v>
      </c>
      <c r="BH700" s="18">
        <v>60</v>
      </c>
      <c r="BI700" s="18">
        <v>0.7297</v>
      </c>
      <c r="BJ700" s="18">
        <v>0</v>
      </c>
      <c r="BK700" s="18">
        <v>11</v>
      </c>
      <c r="BL700" s="18">
        <v>97</v>
      </c>
      <c r="BM700" s="13">
        <f t="shared" si="0"/>
        <v>3221.59</v>
      </c>
    </row>
    <row r="701" customHeight="1" spans="1:65">
      <c r="A701" s="18" t="s">
        <v>610</v>
      </c>
      <c r="B701" s="18" t="s">
        <v>171</v>
      </c>
      <c r="C701" s="18" t="s">
        <v>611</v>
      </c>
      <c r="D701" s="13"/>
      <c r="E701" s="18" t="s">
        <v>250</v>
      </c>
      <c r="F701" s="18" t="s">
        <v>160</v>
      </c>
      <c r="G701" s="18" t="s">
        <v>83</v>
      </c>
      <c r="H701" s="18" t="s">
        <v>84</v>
      </c>
      <c r="I701" s="18" t="s">
        <v>85</v>
      </c>
      <c r="J701" s="18">
        <v>5</v>
      </c>
      <c r="K701" s="16">
        <v>101.91</v>
      </c>
      <c r="L701" s="16">
        <v>119.89</v>
      </c>
      <c r="M701" s="16">
        <v>15</v>
      </c>
      <c r="N701" s="16">
        <v>17.98</v>
      </c>
      <c r="O701" s="18">
        <v>1</v>
      </c>
      <c r="P701" s="18" t="s">
        <v>95</v>
      </c>
      <c r="Q701" s="18">
        <v>4.633855</v>
      </c>
      <c r="R701" s="16">
        <v>12.74</v>
      </c>
      <c r="S701" s="16">
        <v>286</v>
      </c>
      <c r="T701" s="16">
        <v>10</v>
      </c>
      <c r="U701" s="18" t="s">
        <v>610</v>
      </c>
      <c r="V701" s="18" t="s">
        <v>171</v>
      </c>
      <c r="W701" s="18" t="s">
        <v>2710</v>
      </c>
      <c r="X701" s="13"/>
      <c r="Y701" s="18" t="s">
        <v>250</v>
      </c>
      <c r="Z701" s="18" t="s">
        <v>160</v>
      </c>
      <c r="AA701" s="18" t="s">
        <v>83</v>
      </c>
      <c r="AB701" s="18" t="s">
        <v>84</v>
      </c>
      <c r="AC701" s="18" t="s">
        <v>85</v>
      </c>
      <c r="AD701" s="18">
        <v>5.7953333333334</v>
      </c>
      <c r="AE701" s="18">
        <v>0</v>
      </c>
      <c r="AF701" s="18">
        <v>0</v>
      </c>
      <c r="AG701" s="18">
        <v>0</v>
      </c>
      <c r="AH701" s="18">
        <v>0</v>
      </c>
      <c r="AI701" s="18">
        <v>0</v>
      </c>
      <c r="AJ701" s="18">
        <v>0</v>
      </c>
      <c r="AK701" s="18">
        <v>0</v>
      </c>
      <c r="AL701" s="18">
        <v>0</v>
      </c>
      <c r="AM701" s="18">
        <v>0</v>
      </c>
      <c r="AN701" s="18">
        <v>0</v>
      </c>
      <c r="AO701" s="18">
        <v>0</v>
      </c>
      <c r="AP701" s="18">
        <v>0</v>
      </c>
      <c r="AQ701" s="18">
        <v>1</v>
      </c>
      <c r="AR701" s="18">
        <v>0</v>
      </c>
      <c r="AS701" s="18">
        <v>0</v>
      </c>
      <c r="AT701" s="18">
        <v>1</v>
      </c>
      <c r="AU701" s="18">
        <v>0</v>
      </c>
      <c r="AV701" s="18">
        <v>1</v>
      </c>
      <c r="AW701" s="18">
        <v>1</v>
      </c>
      <c r="AX701" s="18">
        <v>0</v>
      </c>
      <c r="AY701" s="18">
        <v>8</v>
      </c>
      <c r="AZ701" s="18">
        <v>1</v>
      </c>
      <c r="BA701" s="18">
        <v>3</v>
      </c>
      <c r="BB701" s="18">
        <v>72.67</v>
      </c>
      <c r="BC701" s="18" t="s">
        <v>326</v>
      </c>
      <c r="BD701" s="18" t="s">
        <v>356</v>
      </c>
      <c r="BE701" s="18" t="s">
        <v>423</v>
      </c>
      <c r="BF701" s="18" t="s">
        <v>77</v>
      </c>
      <c r="BG701" s="18">
        <v>161</v>
      </c>
      <c r="BH701" s="18">
        <v>61</v>
      </c>
      <c r="BI701" s="18">
        <v>0.7252</v>
      </c>
      <c r="BJ701" s="18">
        <v>0</v>
      </c>
      <c r="BK701" s="18">
        <v>6</v>
      </c>
      <c r="BL701" s="18">
        <v>98.4</v>
      </c>
      <c r="BM701" s="13">
        <f t="shared" si="0"/>
        <v>29146.26</v>
      </c>
    </row>
    <row r="702" customHeight="1" spans="1:65">
      <c r="A702" s="18" t="s">
        <v>1409</v>
      </c>
      <c r="B702" s="18" t="s">
        <v>245</v>
      </c>
      <c r="C702" s="18" t="s">
        <v>933</v>
      </c>
      <c r="D702" s="13"/>
      <c r="E702" s="18" t="s">
        <v>250</v>
      </c>
      <c r="F702" s="18" t="s">
        <v>82</v>
      </c>
      <c r="G702" s="18" t="s">
        <v>83</v>
      </c>
      <c r="H702" s="18" t="s">
        <v>84</v>
      </c>
      <c r="I702" s="18" t="s">
        <v>85</v>
      </c>
      <c r="J702" s="18">
        <v>5</v>
      </c>
      <c r="K702" s="16">
        <v>16.91</v>
      </c>
      <c r="L702" s="10"/>
      <c r="M702" s="16">
        <v>0</v>
      </c>
      <c r="N702" s="16">
        <v>0</v>
      </c>
      <c r="O702" s="18">
        <v>0</v>
      </c>
      <c r="P702" s="18" t="s">
        <v>133</v>
      </c>
      <c r="Q702" s="18">
        <v>2.885359</v>
      </c>
      <c r="R702" s="10"/>
      <c r="S702" s="16">
        <v>137</v>
      </c>
      <c r="T702" s="16">
        <v>10</v>
      </c>
      <c r="U702" s="18" t="s">
        <v>1409</v>
      </c>
      <c r="V702" s="18" t="s">
        <v>245</v>
      </c>
      <c r="W702" s="18" t="s">
        <v>2541</v>
      </c>
      <c r="X702" s="13"/>
      <c r="Y702" s="18" t="s">
        <v>250</v>
      </c>
      <c r="Z702" s="18" t="s">
        <v>82</v>
      </c>
      <c r="AA702" s="18" t="s">
        <v>83</v>
      </c>
      <c r="AB702" s="18" t="s">
        <v>84</v>
      </c>
      <c r="AC702" s="18" t="s">
        <v>85</v>
      </c>
      <c r="AD702" s="18">
        <v>28.82</v>
      </c>
      <c r="AE702" s="18">
        <v>0</v>
      </c>
      <c r="AF702" s="18">
        <v>0</v>
      </c>
      <c r="AG702" s="18">
        <v>0</v>
      </c>
      <c r="AH702" s="18">
        <v>0</v>
      </c>
      <c r="AI702" s="18">
        <v>0</v>
      </c>
      <c r="AJ702" s="18">
        <v>0</v>
      </c>
      <c r="AK702" s="18">
        <v>0</v>
      </c>
      <c r="AL702" s="18">
        <v>0</v>
      </c>
      <c r="AM702" s="18">
        <v>0</v>
      </c>
      <c r="AN702" s="18">
        <v>0</v>
      </c>
      <c r="AO702" s="18">
        <v>0</v>
      </c>
      <c r="AP702" s="18">
        <v>0</v>
      </c>
      <c r="AQ702" s="18">
        <v>0</v>
      </c>
      <c r="AR702" s="18">
        <v>0</v>
      </c>
      <c r="AS702" s="18">
        <v>0</v>
      </c>
      <c r="AT702" s="18">
        <v>1</v>
      </c>
      <c r="AU702" s="18">
        <v>0</v>
      </c>
      <c r="AV702" s="18">
        <v>0</v>
      </c>
      <c r="AW702" s="18">
        <v>0</v>
      </c>
      <c r="AX702" s="18">
        <v>0</v>
      </c>
      <c r="AY702" s="13"/>
      <c r="AZ702" s="18">
        <v>1</v>
      </c>
      <c r="BA702" s="18">
        <v>1</v>
      </c>
      <c r="BB702" s="18">
        <v>67.04</v>
      </c>
      <c r="BC702" s="18" t="s">
        <v>326</v>
      </c>
      <c r="BD702" s="18" t="s">
        <v>356</v>
      </c>
      <c r="BE702" s="18" t="s">
        <v>423</v>
      </c>
      <c r="BF702" s="18" t="s">
        <v>77</v>
      </c>
      <c r="BG702" s="18">
        <v>162</v>
      </c>
      <c r="BH702" s="18">
        <v>60</v>
      </c>
      <c r="BI702" s="18">
        <v>0.7297</v>
      </c>
      <c r="BJ702" s="18">
        <v>0</v>
      </c>
      <c r="BK702" s="18">
        <v>3</v>
      </c>
      <c r="BL702" s="18">
        <v>99.2</v>
      </c>
      <c r="BM702" s="13">
        <f t="shared" si="0"/>
        <v>2316.67</v>
      </c>
    </row>
    <row r="703" customHeight="1" spans="1:65">
      <c r="A703" s="18" t="s">
        <v>2379</v>
      </c>
      <c r="B703" s="18" t="s">
        <v>1135</v>
      </c>
      <c r="C703" s="18" t="s">
        <v>2380</v>
      </c>
      <c r="D703" s="13"/>
      <c r="E703" s="18" t="s">
        <v>81</v>
      </c>
      <c r="F703" s="18" t="s">
        <v>82</v>
      </c>
      <c r="G703" s="18" t="s">
        <v>83</v>
      </c>
      <c r="H703" s="18" t="s">
        <v>84</v>
      </c>
      <c r="I703" s="18" t="s">
        <v>203</v>
      </c>
      <c r="J703" s="18">
        <v>4</v>
      </c>
      <c r="K703" s="16">
        <v>86.99</v>
      </c>
      <c r="L703" s="10"/>
      <c r="M703" s="16">
        <v>0</v>
      </c>
      <c r="N703" s="16">
        <v>0</v>
      </c>
      <c r="O703" s="18">
        <v>0</v>
      </c>
      <c r="P703" s="18" t="s">
        <v>95</v>
      </c>
      <c r="Q703" s="18">
        <v>4.477223</v>
      </c>
      <c r="R703" s="10"/>
      <c r="S703" s="10"/>
      <c r="T703" s="10"/>
      <c r="U703" s="18" t="s">
        <v>2379</v>
      </c>
      <c r="V703" s="18" t="s">
        <v>1135</v>
      </c>
      <c r="W703" s="18" t="s">
        <v>2380</v>
      </c>
      <c r="X703" s="13"/>
      <c r="Y703" s="18" t="s">
        <v>81</v>
      </c>
      <c r="Z703" s="18" t="s">
        <v>82</v>
      </c>
      <c r="AA703" s="18" t="s">
        <v>83</v>
      </c>
      <c r="AB703" s="18" t="s">
        <v>84</v>
      </c>
      <c r="AC703" s="18" t="s">
        <v>203</v>
      </c>
      <c r="AD703" s="18">
        <v>169.98</v>
      </c>
      <c r="AE703" s="18">
        <v>1</v>
      </c>
      <c r="AF703" s="18">
        <v>0</v>
      </c>
      <c r="AG703" s="18">
        <v>0</v>
      </c>
      <c r="AH703" s="18">
        <v>0</v>
      </c>
      <c r="AI703" s="18">
        <v>0</v>
      </c>
      <c r="AJ703" s="18">
        <v>0</v>
      </c>
      <c r="AK703" s="18">
        <v>0</v>
      </c>
      <c r="AL703" s="18">
        <v>0</v>
      </c>
      <c r="AM703" s="18">
        <v>0</v>
      </c>
      <c r="AN703" s="18">
        <v>0</v>
      </c>
      <c r="AO703" s="18">
        <v>0</v>
      </c>
      <c r="AP703" s="18">
        <v>0</v>
      </c>
      <c r="AQ703" s="18">
        <v>0</v>
      </c>
      <c r="AR703" s="18">
        <v>0</v>
      </c>
      <c r="AS703" s="18">
        <v>0</v>
      </c>
      <c r="AT703" s="18">
        <v>0</v>
      </c>
      <c r="AU703" s="18">
        <v>0</v>
      </c>
      <c r="AV703" s="18">
        <v>0</v>
      </c>
      <c r="AW703" s="18">
        <v>1</v>
      </c>
      <c r="AX703" s="18">
        <v>0</v>
      </c>
      <c r="AY703" s="13"/>
      <c r="AZ703" s="18">
        <v>1</v>
      </c>
      <c r="BA703" s="18">
        <v>1</v>
      </c>
      <c r="BB703" s="18">
        <v>0</v>
      </c>
      <c r="BC703" s="18" t="s">
        <v>2381</v>
      </c>
      <c r="BD703" s="18" t="s">
        <v>1379</v>
      </c>
      <c r="BE703" s="18" t="s">
        <v>166</v>
      </c>
      <c r="BF703" s="18" t="s">
        <v>77</v>
      </c>
      <c r="BG703" s="18">
        <v>162</v>
      </c>
      <c r="BH703" s="18">
        <v>17</v>
      </c>
      <c r="BI703" s="18">
        <v>0.905</v>
      </c>
      <c r="BJ703" s="18">
        <v>0</v>
      </c>
      <c r="BK703" s="13"/>
      <c r="BL703" s="13"/>
      <c r="BM703" s="13">
        <f t="shared" si="0"/>
        <v>0</v>
      </c>
    </row>
    <row r="704" customHeight="1" spans="1:65">
      <c r="A704" s="18" t="s">
        <v>2382</v>
      </c>
      <c r="B704" s="18" t="s">
        <v>1135</v>
      </c>
      <c r="C704" s="18" t="s">
        <v>1136</v>
      </c>
      <c r="D704" s="13"/>
      <c r="E704" s="18" t="s">
        <v>209</v>
      </c>
      <c r="F704" s="18" t="s">
        <v>160</v>
      </c>
      <c r="G704" s="18" t="s">
        <v>83</v>
      </c>
      <c r="H704" s="18" t="s">
        <v>84</v>
      </c>
      <c r="I704" s="18" t="s">
        <v>85</v>
      </c>
      <c r="J704" s="18">
        <v>5</v>
      </c>
      <c r="K704" s="16">
        <v>55.99</v>
      </c>
      <c r="L704" s="10"/>
      <c r="M704" s="16">
        <v>0</v>
      </c>
      <c r="N704" s="16">
        <v>0</v>
      </c>
      <c r="O704" s="18">
        <v>0</v>
      </c>
      <c r="P704" s="18" t="s">
        <v>86</v>
      </c>
      <c r="Q704" s="18">
        <v>4.042876</v>
      </c>
      <c r="R704" s="10"/>
      <c r="S704" s="16">
        <v>4</v>
      </c>
      <c r="T704" s="16">
        <v>10</v>
      </c>
      <c r="U704" s="18" t="s">
        <v>2382</v>
      </c>
      <c r="V704" s="18" t="s">
        <v>1135</v>
      </c>
      <c r="W704" s="18" t="s">
        <v>1136</v>
      </c>
      <c r="X704" s="13"/>
      <c r="Y704" s="18" t="s">
        <v>209</v>
      </c>
      <c r="Z704" s="18" t="s">
        <v>160</v>
      </c>
      <c r="AA704" s="18" t="s">
        <v>83</v>
      </c>
      <c r="AB704" s="18" t="s">
        <v>84</v>
      </c>
      <c r="AC704" s="18" t="s">
        <v>85</v>
      </c>
      <c r="AD704" s="18">
        <v>106.98</v>
      </c>
      <c r="AE704" s="18">
        <v>1</v>
      </c>
      <c r="AF704" s="18">
        <v>1</v>
      </c>
      <c r="AG704" s="18">
        <v>0</v>
      </c>
      <c r="AH704" s="18">
        <v>1</v>
      </c>
      <c r="AI704" s="18">
        <v>0</v>
      </c>
      <c r="AJ704" s="18">
        <v>0</v>
      </c>
      <c r="AK704" s="18">
        <v>1</v>
      </c>
      <c r="AL704" s="18">
        <v>0</v>
      </c>
      <c r="AM704" s="18">
        <v>0</v>
      </c>
      <c r="AN704" s="18">
        <v>0</v>
      </c>
      <c r="AO704" s="18">
        <v>0</v>
      </c>
      <c r="AP704" s="18">
        <v>0</v>
      </c>
      <c r="AQ704" s="18">
        <v>0</v>
      </c>
      <c r="AR704" s="18">
        <v>0</v>
      </c>
      <c r="AS704" s="18">
        <v>0</v>
      </c>
      <c r="AT704" s="18">
        <v>1</v>
      </c>
      <c r="AU704" s="18">
        <v>0</v>
      </c>
      <c r="AV704" s="18">
        <v>0</v>
      </c>
      <c r="AW704" s="18">
        <v>1</v>
      </c>
      <c r="AX704" s="18">
        <v>0</v>
      </c>
      <c r="AY704" s="13"/>
      <c r="AZ704" s="18">
        <v>1</v>
      </c>
      <c r="BA704" s="18">
        <v>3</v>
      </c>
      <c r="BB704" s="18">
        <v>33.87</v>
      </c>
      <c r="BC704" s="18" t="s">
        <v>2383</v>
      </c>
      <c r="BD704" s="18" t="s">
        <v>286</v>
      </c>
      <c r="BE704" s="18" t="s">
        <v>287</v>
      </c>
      <c r="BF704" s="18" t="s">
        <v>77</v>
      </c>
      <c r="BG704" s="18">
        <v>1</v>
      </c>
      <c r="BH704" s="18">
        <v>26</v>
      </c>
      <c r="BI704" s="18">
        <v>0.037</v>
      </c>
      <c r="BJ704" s="18">
        <v>1</v>
      </c>
      <c r="BK704" s="18">
        <v>92</v>
      </c>
      <c r="BL704" s="18">
        <v>74.8</v>
      </c>
      <c r="BM704" s="13">
        <f t="shared" si="0"/>
        <v>223.96</v>
      </c>
    </row>
    <row r="705" customHeight="1" spans="1:65">
      <c r="A705" s="18" t="s">
        <v>2389</v>
      </c>
      <c r="B705" s="19" t="s">
        <v>2390</v>
      </c>
      <c r="C705" s="18" t="s">
        <v>2391</v>
      </c>
      <c r="D705" s="32" t="s">
        <v>2391</v>
      </c>
      <c r="E705" s="18" t="s">
        <v>131</v>
      </c>
      <c r="F705" s="18" t="s">
        <v>132</v>
      </c>
      <c r="G705" s="18" t="s">
        <v>83</v>
      </c>
      <c r="H705" s="18" t="s">
        <v>84</v>
      </c>
      <c r="I705" s="18" t="s">
        <v>85</v>
      </c>
      <c r="J705" s="18">
        <v>5</v>
      </c>
      <c r="K705" s="16">
        <v>39.89</v>
      </c>
      <c r="L705" s="10"/>
      <c r="M705" s="16">
        <v>0</v>
      </c>
      <c r="N705" s="16">
        <v>0</v>
      </c>
      <c r="O705" s="18">
        <v>0</v>
      </c>
      <c r="P705" s="18" t="s">
        <v>86</v>
      </c>
      <c r="Q705" s="18">
        <v>3.710886</v>
      </c>
      <c r="R705" s="10"/>
      <c r="S705" s="16">
        <v>40</v>
      </c>
      <c r="T705" s="16">
        <v>2</v>
      </c>
      <c r="U705" s="18" t="s">
        <v>2711</v>
      </c>
      <c r="V705" s="18" t="s">
        <v>2390</v>
      </c>
      <c r="W705" s="18" t="s">
        <v>2391</v>
      </c>
      <c r="X705" s="18" t="s">
        <v>2391</v>
      </c>
      <c r="Y705" s="18" t="s">
        <v>131</v>
      </c>
      <c r="Z705" s="18" t="s">
        <v>132</v>
      </c>
      <c r="AA705" s="18" t="s">
        <v>83</v>
      </c>
      <c r="AB705" s="18" t="s">
        <v>84</v>
      </c>
      <c r="AC705" s="18" t="s">
        <v>85</v>
      </c>
      <c r="AD705" s="18">
        <v>74.78</v>
      </c>
      <c r="AE705" s="18">
        <v>0</v>
      </c>
      <c r="AF705" s="18">
        <v>0</v>
      </c>
      <c r="AG705" s="18">
        <v>0</v>
      </c>
      <c r="AH705" s="18">
        <v>0</v>
      </c>
      <c r="AI705" s="18">
        <v>0</v>
      </c>
      <c r="AJ705" s="18">
        <v>0</v>
      </c>
      <c r="AK705" s="18">
        <v>0</v>
      </c>
      <c r="AL705" s="18">
        <v>0</v>
      </c>
      <c r="AM705" s="18">
        <v>0</v>
      </c>
      <c r="AN705" s="18">
        <v>0</v>
      </c>
      <c r="AO705" s="18">
        <v>0</v>
      </c>
      <c r="AP705" s="18">
        <v>0</v>
      </c>
      <c r="AQ705" s="18">
        <v>0</v>
      </c>
      <c r="AR705" s="18">
        <v>0</v>
      </c>
      <c r="AS705" s="18">
        <v>0</v>
      </c>
      <c r="AT705" s="18">
        <v>0</v>
      </c>
      <c r="AU705" s="18">
        <v>0</v>
      </c>
      <c r="AV705" s="18">
        <v>0</v>
      </c>
      <c r="AW705" s="18">
        <v>0</v>
      </c>
      <c r="AX705" s="18">
        <v>0</v>
      </c>
      <c r="AY705" s="13"/>
      <c r="AZ705" s="18">
        <v>1</v>
      </c>
      <c r="BA705" s="18">
        <v>0</v>
      </c>
      <c r="BB705" s="18">
        <v>67.77</v>
      </c>
      <c r="BC705" s="18" t="s">
        <v>2392</v>
      </c>
      <c r="BD705" s="19" t="s">
        <v>2393</v>
      </c>
      <c r="BE705" s="18" t="s">
        <v>2394</v>
      </c>
      <c r="BF705" s="18" t="s">
        <v>77</v>
      </c>
      <c r="BG705" s="18">
        <v>1</v>
      </c>
      <c r="BH705" s="18">
        <v>18</v>
      </c>
      <c r="BI705" s="18">
        <v>0.0526</v>
      </c>
      <c r="BJ705" s="18">
        <v>1</v>
      </c>
      <c r="BK705" s="18">
        <v>4</v>
      </c>
      <c r="BL705" s="18">
        <v>98.9</v>
      </c>
      <c r="BM705" s="13">
        <f t="shared" si="0"/>
        <v>1595.6</v>
      </c>
    </row>
    <row r="706" customHeight="1" spans="1:65">
      <c r="A706" s="18" t="s">
        <v>2395</v>
      </c>
      <c r="B706" s="18" t="s">
        <v>1197</v>
      </c>
      <c r="C706" s="18" t="s">
        <v>2396</v>
      </c>
      <c r="D706" s="18">
        <v>840236135356</v>
      </c>
      <c r="E706" s="18" t="s">
        <v>2397</v>
      </c>
      <c r="F706" s="18" t="s">
        <v>82</v>
      </c>
      <c r="G706" s="18" t="s">
        <v>83</v>
      </c>
      <c r="H706" s="18" t="s">
        <v>69</v>
      </c>
      <c r="I706" s="18" t="s">
        <v>85</v>
      </c>
      <c r="J706" s="18">
        <v>5</v>
      </c>
      <c r="K706" s="16">
        <v>45</v>
      </c>
      <c r="L706" s="10"/>
      <c r="M706" s="16">
        <v>0</v>
      </c>
      <c r="N706" s="16">
        <v>0</v>
      </c>
      <c r="O706" s="18">
        <v>0</v>
      </c>
      <c r="P706" s="18" t="s">
        <v>86</v>
      </c>
      <c r="Q706" s="18">
        <v>3.828641</v>
      </c>
      <c r="R706" s="10"/>
      <c r="S706" s="16">
        <v>5</v>
      </c>
      <c r="T706" s="16">
        <v>1</v>
      </c>
      <c r="U706" s="18" t="s">
        <v>2395</v>
      </c>
      <c r="V706" s="18" t="s">
        <v>1197</v>
      </c>
      <c r="W706" s="18" t="s">
        <v>2396</v>
      </c>
      <c r="X706" s="18">
        <v>840236135357</v>
      </c>
      <c r="Y706" s="18" t="s">
        <v>2397</v>
      </c>
      <c r="Z706" s="18" t="s">
        <v>82</v>
      </c>
      <c r="AA706" s="18" t="s">
        <v>83</v>
      </c>
      <c r="AB706" s="18" t="s">
        <v>69</v>
      </c>
      <c r="AC706" s="18" t="s">
        <v>85</v>
      </c>
      <c r="AD706" s="18">
        <v>85</v>
      </c>
      <c r="AE706" s="18">
        <v>0</v>
      </c>
      <c r="AF706" s="18">
        <v>1</v>
      </c>
      <c r="AG706" s="18">
        <v>0</v>
      </c>
      <c r="AH706" s="18">
        <v>0</v>
      </c>
      <c r="AI706" s="18">
        <v>0</v>
      </c>
      <c r="AJ706" s="18">
        <v>0</v>
      </c>
      <c r="AK706" s="18">
        <v>0</v>
      </c>
      <c r="AL706" s="18">
        <v>0</v>
      </c>
      <c r="AM706" s="18">
        <v>0</v>
      </c>
      <c r="AN706" s="18">
        <v>0</v>
      </c>
      <c r="AO706" s="18">
        <v>0</v>
      </c>
      <c r="AP706" s="18">
        <v>0</v>
      </c>
      <c r="AQ706" s="18">
        <v>0</v>
      </c>
      <c r="AR706" s="18">
        <v>0</v>
      </c>
      <c r="AS706" s="18">
        <v>0</v>
      </c>
      <c r="AT706" s="18">
        <v>0</v>
      </c>
      <c r="AU706" s="18">
        <v>0</v>
      </c>
      <c r="AV706" s="18">
        <v>0</v>
      </c>
      <c r="AW706" s="18">
        <v>1</v>
      </c>
      <c r="AX706" s="18">
        <v>0</v>
      </c>
      <c r="AY706" s="13"/>
      <c r="AZ706" s="18">
        <v>1</v>
      </c>
      <c r="BA706" s="18">
        <v>0</v>
      </c>
      <c r="BB706" s="18">
        <v>33.33</v>
      </c>
      <c r="BC706" s="18" t="s">
        <v>2398</v>
      </c>
      <c r="BD706" s="18" t="s">
        <v>113</v>
      </c>
      <c r="BE706" s="18" t="s">
        <v>77</v>
      </c>
      <c r="BF706" s="18" t="s">
        <v>77</v>
      </c>
      <c r="BG706" s="18">
        <v>168</v>
      </c>
      <c r="BH706" s="18">
        <v>11</v>
      </c>
      <c r="BI706" s="18">
        <v>0.9385</v>
      </c>
      <c r="BJ706" s="18">
        <v>0</v>
      </c>
      <c r="BK706" s="13"/>
      <c r="BL706" s="13"/>
      <c r="BM706" s="13">
        <f t="shared" si="0"/>
        <v>225</v>
      </c>
    </row>
    <row r="707" customHeight="1" spans="1:65">
      <c r="A707" s="18" t="s">
        <v>2405</v>
      </c>
      <c r="B707" s="18" t="s">
        <v>144</v>
      </c>
      <c r="C707" s="13"/>
      <c r="D707" s="13"/>
      <c r="E707" s="18" t="s">
        <v>1509</v>
      </c>
      <c r="F707" s="18" t="s">
        <v>132</v>
      </c>
      <c r="G707" s="18" t="s">
        <v>83</v>
      </c>
      <c r="H707" s="18" t="s">
        <v>84</v>
      </c>
      <c r="I707" s="18" t="s">
        <v>85</v>
      </c>
      <c r="J707" s="18">
        <v>5</v>
      </c>
      <c r="K707" s="16">
        <v>7.25</v>
      </c>
      <c r="L707" s="10"/>
      <c r="M707" s="16">
        <v>0</v>
      </c>
      <c r="N707" s="16">
        <v>0</v>
      </c>
      <c r="O707" s="18">
        <v>0</v>
      </c>
      <c r="P707" s="18" t="s">
        <v>133</v>
      </c>
      <c r="Q707" s="18">
        <v>2.110213</v>
      </c>
      <c r="R707" s="10"/>
      <c r="S707" s="16">
        <v>381</v>
      </c>
      <c r="T707" s="16">
        <v>10</v>
      </c>
      <c r="U707" s="18" t="s">
        <v>2405</v>
      </c>
      <c r="V707" s="18" t="s">
        <v>144</v>
      </c>
      <c r="W707" s="13"/>
      <c r="X707" s="13"/>
      <c r="Y707" s="18" t="s">
        <v>1509</v>
      </c>
      <c r="Z707" s="18" t="s">
        <v>132</v>
      </c>
      <c r="AA707" s="18" t="s">
        <v>83</v>
      </c>
      <c r="AB707" s="18" t="s">
        <v>84</v>
      </c>
      <c r="AC707" s="18" t="s">
        <v>85</v>
      </c>
      <c r="AD707" s="18">
        <v>9.5</v>
      </c>
      <c r="AE707" s="18">
        <v>0</v>
      </c>
      <c r="AF707" s="18">
        <v>0</v>
      </c>
      <c r="AG707" s="18">
        <v>0</v>
      </c>
      <c r="AH707" s="18">
        <v>0</v>
      </c>
      <c r="AI707" s="18">
        <v>0</v>
      </c>
      <c r="AJ707" s="18">
        <v>0</v>
      </c>
      <c r="AK707" s="18">
        <v>0</v>
      </c>
      <c r="AL707" s="18">
        <v>0</v>
      </c>
      <c r="AM707" s="18">
        <v>0</v>
      </c>
      <c r="AN707" s="18">
        <v>0</v>
      </c>
      <c r="AO707" s="18">
        <v>0</v>
      </c>
      <c r="AP707" s="18">
        <v>0</v>
      </c>
      <c r="AQ707" s="18">
        <v>1</v>
      </c>
      <c r="AR707" s="18">
        <v>0</v>
      </c>
      <c r="AS707" s="18">
        <v>0</v>
      </c>
      <c r="AT707" s="18">
        <v>0</v>
      </c>
      <c r="AU707" s="18">
        <v>0</v>
      </c>
      <c r="AV707" s="18">
        <v>1</v>
      </c>
      <c r="AW707" s="18">
        <v>0</v>
      </c>
      <c r="AX707" s="18">
        <v>0</v>
      </c>
      <c r="AY707" s="13"/>
      <c r="AZ707" s="18">
        <v>1</v>
      </c>
      <c r="BA707" s="18">
        <v>1</v>
      </c>
      <c r="BB707" s="18">
        <v>56.32</v>
      </c>
      <c r="BC707" s="18" t="s">
        <v>2406</v>
      </c>
      <c r="BD707" s="18" t="s">
        <v>261</v>
      </c>
      <c r="BE707" s="18" t="s">
        <v>262</v>
      </c>
      <c r="BF707" s="18" t="s">
        <v>77</v>
      </c>
      <c r="BG707" s="18">
        <v>1</v>
      </c>
      <c r="BH707" s="18">
        <v>27</v>
      </c>
      <c r="BI707" s="18">
        <v>0.0357</v>
      </c>
      <c r="BJ707" s="18">
        <v>1</v>
      </c>
      <c r="BK707" s="18">
        <v>154</v>
      </c>
      <c r="BL707" s="18">
        <v>57.8</v>
      </c>
      <c r="BM707" s="13">
        <f t="shared" si="0"/>
        <v>2762.25</v>
      </c>
    </row>
    <row r="708" customHeight="1" spans="1:65">
      <c r="A708" s="18" t="s">
        <v>2409</v>
      </c>
      <c r="B708" s="18" t="s">
        <v>901</v>
      </c>
      <c r="C708" s="13"/>
      <c r="D708" s="13"/>
      <c r="E708" s="18" t="s">
        <v>163</v>
      </c>
      <c r="F708" s="18" t="s">
        <v>132</v>
      </c>
      <c r="G708" s="18" t="s">
        <v>901</v>
      </c>
      <c r="H708" s="18" t="s">
        <v>107</v>
      </c>
      <c r="I708" s="18" t="s">
        <v>85</v>
      </c>
      <c r="J708" s="18">
        <v>5</v>
      </c>
      <c r="K708" s="16">
        <v>6.99</v>
      </c>
      <c r="L708" s="10"/>
      <c r="M708" s="16">
        <v>0</v>
      </c>
      <c r="N708" s="16">
        <v>0</v>
      </c>
      <c r="O708" s="18">
        <v>0</v>
      </c>
      <c r="P708" s="18" t="s">
        <v>133</v>
      </c>
      <c r="Q708" s="18">
        <v>2.078191</v>
      </c>
      <c r="R708" s="10"/>
      <c r="S708" s="16">
        <v>164</v>
      </c>
      <c r="T708" s="16">
        <v>10</v>
      </c>
      <c r="U708" s="18" t="s">
        <v>2409</v>
      </c>
      <c r="V708" s="18" t="s">
        <v>901</v>
      </c>
      <c r="W708" s="13"/>
      <c r="X708" s="13"/>
      <c r="Y708" s="18" t="s">
        <v>163</v>
      </c>
      <c r="Z708" s="18" t="s">
        <v>132</v>
      </c>
      <c r="AA708" s="18" t="s">
        <v>901</v>
      </c>
      <c r="AB708" s="18" t="s">
        <v>107</v>
      </c>
      <c r="AC708" s="18" t="s">
        <v>85</v>
      </c>
      <c r="AD708" s="18">
        <v>8.98</v>
      </c>
      <c r="AE708" s="18">
        <v>0</v>
      </c>
      <c r="AF708" s="18">
        <v>0</v>
      </c>
      <c r="AG708" s="18">
        <v>0</v>
      </c>
      <c r="AH708" s="18">
        <v>0</v>
      </c>
      <c r="AI708" s="18">
        <v>0</v>
      </c>
      <c r="AJ708" s="18">
        <v>0</v>
      </c>
      <c r="AK708" s="18">
        <v>0</v>
      </c>
      <c r="AL708" s="18">
        <v>0</v>
      </c>
      <c r="AM708" s="18">
        <v>0</v>
      </c>
      <c r="AN708" s="18">
        <v>0</v>
      </c>
      <c r="AO708" s="18">
        <v>0</v>
      </c>
      <c r="AP708" s="18">
        <v>0</v>
      </c>
      <c r="AQ708" s="18">
        <v>0</v>
      </c>
      <c r="AR708" s="18">
        <v>0</v>
      </c>
      <c r="AS708" s="18">
        <v>0</v>
      </c>
      <c r="AT708" s="18">
        <v>0</v>
      </c>
      <c r="AU708" s="18">
        <v>0</v>
      </c>
      <c r="AV708" s="18">
        <v>0</v>
      </c>
      <c r="AW708" s="18">
        <v>0</v>
      </c>
      <c r="AX708" s="18">
        <v>0</v>
      </c>
      <c r="AY708" s="13"/>
      <c r="AZ708" s="18">
        <v>1</v>
      </c>
      <c r="BA708" s="18">
        <v>0</v>
      </c>
      <c r="BB708" s="18">
        <v>51.17</v>
      </c>
      <c r="BC708" s="18" t="s">
        <v>2410</v>
      </c>
      <c r="BD708" s="18" t="s">
        <v>2411</v>
      </c>
      <c r="BE708" s="18" t="s">
        <v>941</v>
      </c>
      <c r="BF708" s="18" t="s">
        <v>77</v>
      </c>
      <c r="BG708" s="18">
        <v>168</v>
      </c>
      <c r="BH708" s="18">
        <v>11</v>
      </c>
      <c r="BI708" s="18">
        <v>0.9385</v>
      </c>
      <c r="BJ708" s="18">
        <v>0</v>
      </c>
      <c r="BK708" s="18">
        <v>201</v>
      </c>
      <c r="BL708" s="18">
        <v>44.9</v>
      </c>
      <c r="BM708" s="13">
        <f t="shared" si="0"/>
        <v>1146.36</v>
      </c>
    </row>
    <row r="709" customHeight="1" spans="1:65">
      <c r="A709" s="18" t="s">
        <v>2413</v>
      </c>
      <c r="B709" s="18" t="s">
        <v>2414</v>
      </c>
      <c r="C709" s="13"/>
      <c r="D709" s="18">
        <v>850045533144</v>
      </c>
      <c r="E709" s="18" t="s">
        <v>163</v>
      </c>
      <c r="F709" s="18" t="s">
        <v>82</v>
      </c>
      <c r="G709" s="18" t="s">
        <v>83</v>
      </c>
      <c r="H709" s="18" t="s">
        <v>84</v>
      </c>
      <c r="I709" s="18" t="s">
        <v>85</v>
      </c>
      <c r="J709" s="18">
        <v>5</v>
      </c>
      <c r="K709" s="16">
        <v>21.95</v>
      </c>
      <c r="L709" s="10"/>
      <c r="M709" s="16">
        <v>0</v>
      </c>
      <c r="N709" s="16">
        <v>0</v>
      </c>
      <c r="O709" s="18">
        <v>0</v>
      </c>
      <c r="P709" s="18" t="s">
        <v>133</v>
      </c>
      <c r="Q709" s="18">
        <v>3.133318</v>
      </c>
      <c r="R709" s="10"/>
      <c r="S709" s="16">
        <v>1</v>
      </c>
      <c r="T709" s="16">
        <v>4</v>
      </c>
      <c r="U709" s="18" t="s">
        <v>2413</v>
      </c>
      <c r="V709" s="18" t="s">
        <v>2414</v>
      </c>
      <c r="W709" s="13"/>
      <c r="X709" s="18">
        <v>850045533145</v>
      </c>
      <c r="Y709" s="18" t="s">
        <v>163</v>
      </c>
      <c r="Z709" s="18" t="s">
        <v>82</v>
      </c>
      <c r="AA709" s="18" t="s">
        <v>83</v>
      </c>
      <c r="AB709" s="18" t="s">
        <v>84</v>
      </c>
      <c r="AC709" s="18" t="s">
        <v>85</v>
      </c>
      <c r="AD709" s="18">
        <v>38.9</v>
      </c>
      <c r="AE709" s="18">
        <v>0</v>
      </c>
      <c r="AF709" s="18">
        <v>0</v>
      </c>
      <c r="AG709" s="18">
        <v>0</v>
      </c>
      <c r="AH709" s="18">
        <v>1</v>
      </c>
      <c r="AI709" s="18">
        <v>0</v>
      </c>
      <c r="AJ709" s="18">
        <v>0</v>
      </c>
      <c r="AK709" s="18">
        <v>0</v>
      </c>
      <c r="AL709" s="18">
        <v>0</v>
      </c>
      <c r="AM709" s="18">
        <v>0</v>
      </c>
      <c r="AN709" s="18">
        <v>0</v>
      </c>
      <c r="AO709" s="18">
        <v>0</v>
      </c>
      <c r="AP709" s="18">
        <v>0</v>
      </c>
      <c r="AQ709" s="18">
        <v>0</v>
      </c>
      <c r="AR709" s="18">
        <v>0</v>
      </c>
      <c r="AS709" s="18">
        <v>0</v>
      </c>
      <c r="AT709" s="18">
        <v>0</v>
      </c>
      <c r="AU709" s="18">
        <v>0</v>
      </c>
      <c r="AV709" s="18">
        <v>0</v>
      </c>
      <c r="AW709" s="18">
        <v>0</v>
      </c>
      <c r="AX709" s="18">
        <v>0</v>
      </c>
      <c r="AY709" s="13"/>
      <c r="AZ709" s="18">
        <v>1</v>
      </c>
      <c r="BA709" s="18">
        <v>1</v>
      </c>
      <c r="BB709" s="18">
        <v>8</v>
      </c>
      <c r="BC709" s="18" t="s">
        <v>2415</v>
      </c>
      <c r="BD709" s="18" t="s">
        <v>2416</v>
      </c>
      <c r="BE709" s="18" t="s">
        <v>987</v>
      </c>
      <c r="BF709" s="18" t="s">
        <v>77</v>
      </c>
      <c r="BG709" s="18">
        <v>162</v>
      </c>
      <c r="BH709" s="18">
        <v>58</v>
      </c>
      <c r="BI709" s="18">
        <v>0.7364</v>
      </c>
      <c r="BJ709" s="18">
        <v>0</v>
      </c>
      <c r="BK709" s="13"/>
      <c r="BL709" s="13"/>
      <c r="BM709" s="13">
        <f t="shared" si="0"/>
        <v>21.95</v>
      </c>
    </row>
    <row r="710" customHeight="1" spans="1:65">
      <c r="A710" s="18" t="s">
        <v>2419</v>
      </c>
      <c r="B710" s="18" t="s">
        <v>1503</v>
      </c>
      <c r="C710" s="13"/>
      <c r="D710" s="13"/>
      <c r="E710" s="18" t="s">
        <v>81</v>
      </c>
      <c r="F710" s="18" t="s">
        <v>82</v>
      </c>
      <c r="G710" s="18" t="s">
        <v>83</v>
      </c>
      <c r="H710" s="18" t="s">
        <v>84</v>
      </c>
      <c r="I710" s="18" t="s">
        <v>85</v>
      </c>
      <c r="J710" s="18">
        <v>5</v>
      </c>
      <c r="K710" s="16">
        <v>24.99</v>
      </c>
      <c r="L710" s="16">
        <v>29.99</v>
      </c>
      <c r="M710" s="16">
        <v>16.67</v>
      </c>
      <c r="N710" s="16">
        <v>5</v>
      </c>
      <c r="O710" s="18">
        <v>1</v>
      </c>
      <c r="P710" s="18" t="s">
        <v>133</v>
      </c>
      <c r="Q710" s="18">
        <v>3.257712</v>
      </c>
      <c r="R710" s="10"/>
      <c r="S710" s="16">
        <v>8</v>
      </c>
      <c r="T710" s="16">
        <v>10</v>
      </c>
      <c r="U710" s="18" t="s">
        <v>2419</v>
      </c>
      <c r="V710" s="18" t="s">
        <v>1503</v>
      </c>
      <c r="W710" s="13"/>
      <c r="X710" s="13"/>
      <c r="Y710" s="18" t="s">
        <v>81</v>
      </c>
      <c r="Z710" s="18" t="s">
        <v>82</v>
      </c>
      <c r="AA710" s="18" t="s">
        <v>83</v>
      </c>
      <c r="AB710" s="18" t="s">
        <v>84</v>
      </c>
      <c r="AC710" s="18" t="s">
        <v>85</v>
      </c>
      <c r="AD710" s="18">
        <v>4.44599999999998</v>
      </c>
      <c r="AE710" s="18">
        <v>0</v>
      </c>
      <c r="AF710" s="18">
        <v>0</v>
      </c>
      <c r="AG710" s="18">
        <v>0</v>
      </c>
      <c r="AH710" s="18">
        <v>1</v>
      </c>
      <c r="AI710" s="18">
        <v>0</v>
      </c>
      <c r="AJ710" s="18">
        <v>0</v>
      </c>
      <c r="AK710" s="18">
        <v>1</v>
      </c>
      <c r="AL710" s="18">
        <v>0</v>
      </c>
      <c r="AM710" s="18">
        <v>0</v>
      </c>
      <c r="AN710" s="18">
        <v>0</v>
      </c>
      <c r="AO710" s="18">
        <v>0</v>
      </c>
      <c r="AP710" s="18">
        <v>0</v>
      </c>
      <c r="AQ710" s="18">
        <v>0</v>
      </c>
      <c r="AR710" s="18">
        <v>0</v>
      </c>
      <c r="AS710" s="18">
        <v>0</v>
      </c>
      <c r="AT710" s="18">
        <v>0</v>
      </c>
      <c r="AU710" s="18">
        <v>0</v>
      </c>
      <c r="AV710" s="18">
        <v>0</v>
      </c>
      <c r="AW710" s="18">
        <v>0</v>
      </c>
      <c r="AX710" s="18">
        <v>0</v>
      </c>
      <c r="AY710" s="13"/>
      <c r="AZ710" s="18">
        <v>1</v>
      </c>
      <c r="BA710" s="18">
        <v>3</v>
      </c>
      <c r="BB710" s="18">
        <v>51.97</v>
      </c>
      <c r="BC710" s="18" t="s">
        <v>2420</v>
      </c>
      <c r="BD710" s="18" t="s">
        <v>537</v>
      </c>
      <c r="BE710" s="18" t="s">
        <v>226</v>
      </c>
      <c r="BF710" s="18" t="s">
        <v>77</v>
      </c>
      <c r="BG710" s="18">
        <v>1</v>
      </c>
      <c r="BH710" s="18">
        <v>93</v>
      </c>
      <c r="BI710" s="18">
        <v>0.0106</v>
      </c>
      <c r="BJ710" s="18">
        <v>1</v>
      </c>
      <c r="BK710" s="18">
        <v>10</v>
      </c>
      <c r="BL710" s="18">
        <v>97.3</v>
      </c>
      <c r="BM710" s="13">
        <f t="shared" si="0"/>
        <v>199.92</v>
      </c>
    </row>
    <row r="711" customHeight="1" spans="1:65">
      <c r="A711" s="18" t="s">
        <v>2421</v>
      </c>
      <c r="B711" s="18" t="s">
        <v>2422</v>
      </c>
      <c r="C711" s="18" t="s">
        <v>2423</v>
      </c>
      <c r="D711" s="18">
        <v>788924502519</v>
      </c>
      <c r="E711" s="18" t="s">
        <v>2424</v>
      </c>
      <c r="F711" s="18" t="s">
        <v>198</v>
      </c>
      <c r="G711" s="18" t="s">
        <v>83</v>
      </c>
      <c r="H711" s="18" t="s">
        <v>84</v>
      </c>
      <c r="I711" s="18" t="s">
        <v>85</v>
      </c>
      <c r="J711" s="18">
        <v>5</v>
      </c>
      <c r="K711" s="16">
        <v>129.99</v>
      </c>
      <c r="L711" s="10"/>
      <c r="M711" s="16">
        <v>0</v>
      </c>
      <c r="N711" s="16">
        <v>0</v>
      </c>
      <c r="O711" s="18">
        <v>0</v>
      </c>
      <c r="P711" s="18" t="s">
        <v>95</v>
      </c>
      <c r="Q711" s="18">
        <v>4.875121</v>
      </c>
      <c r="R711" s="10"/>
      <c r="S711" s="16">
        <v>4</v>
      </c>
      <c r="T711" s="16">
        <v>12</v>
      </c>
      <c r="U711" s="18" t="s">
        <v>2421</v>
      </c>
      <c r="V711" s="18" t="s">
        <v>2422</v>
      </c>
      <c r="W711" s="18" t="s">
        <v>2423</v>
      </c>
      <c r="X711" s="18">
        <v>788924502520</v>
      </c>
      <c r="Y711" s="18" t="s">
        <v>2424</v>
      </c>
      <c r="Z711" s="18" t="s">
        <v>198</v>
      </c>
      <c r="AA711" s="18" t="s">
        <v>83</v>
      </c>
      <c r="AB711" s="18" t="s">
        <v>84</v>
      </c>
      <c r="AC711" s="18" t="s">
        <v>85</v>
      </c>
      <c r="AD711" s="18">
        <v>254.98</v>
      </c>
      <c r="AE711" s="18">
        <v>0</v>
      </c>
      <c r="AF711" s="18">
        <v>0</v>
      </c>
      <c r="AG711" s="18">
        <v>0</v>
      </c>
      <c r="AH711" s="18">
        <v>0</v>
      </c>
      <c r="AI711" s="18">
        <v>0</v>
      </c>
      <c r="AJ711" s="18">
        <v>0</v>
      </c>
      <c r="AK711" s="18">
        <v>0</v>
      </c>
      <c r="AL711" s="18">
        <v>0</v>
      </c>
      <c r="AM711" s="18">
        <v>0</v>
      </c>
      <c r="AN711" s="18">
        <v>0</v>
      </c>
      <c r="AO711" s="18">
        <v>0</v>
      </c>
      <c r="AP711" s="18">
        <v>0</v>
      </c>
      <c r="AQ711" s="18">
        <v>0</v>
      </c>
      <c r="AR711" s="18">
        <v>0</v>
      </c>
      <c r="AS711" s="18">
        <v>0</v>
      </c>
      <c r="AT711" s="18">
        <v>1</v>
      </c>
      <c r="AU711" s="18">
        <v>0</v>
      </c>
      <c r="AV711" s="18">
        <v>0</v>
      </c>
      <c r="AW711" s="18">
        <v>0</v>
      </c>
      <c r="AX711" s="18">
        <v>0</v>
      </c>
      <c r="AY711" s="13"/>
      <c r="AZ711" s="18">
        <v>1</v>
      </c>
      <c r="BA711" s="18">
        <v>0</v>
      </c>
      <c r="BB711" s="18">
        <v>28.9</v>
      </c>
      <c r="BC711" s="18" t="s">
        <v>2425</v>
      </c>
      <c r="BD711" s="18" t="s">
        <v>2426</v>
      </c>
      <c r="BE711" s="18" t="s">
        <v>243</v>
      </c>
      <c r="BF711" s="18" t="s">
        <v>77</v>
      </c>
      <c r="BG711" s="18">
        <v>162</v>
      </c>
      <c r="BH711" s="18">
        <v>18</v>
      </c>
      <c r="BI711" s="18">
        <v>0.9</v>
      </c>
      <c r="BJ711" s="18">
        <v>0</v>
      </c>
      <c r="BK711" s="18">
        <v>135</v>
      </c>
      <c r="BL711" s="18">
        <v>63</v>
      </c>
      <c r="BM711" s="13">
        <f t="shared" si="0"/>
        <v>519.96</v>
      </c>
    </row>
    <row r="712" customHeight="1" spans="1:65">
      <c r="A712" s="18" t="s">
        <v>2427</v>
      </c>
      <c r="B712" s="18" t="s">
        <v>2428</v>
      </c>
      <c r="C712" s="18" t="s">
        <v>2429</v>
      </c>
      <c r="D712" s="13"/>
      <c r="E712" s="18" t="s">
        <v>2430</v>
      </c>
      <c r="F712" s="18" t="s">
        <v>160</v>
      </c>
      <c r="G712" s="18" t="s">
        <v>83</v>
      </c>
      <c r="H712" s="18" t="s">
        <v>84</v>
      </c>
      <c r="I712" s="18" t="s">
        <v>85</v>
      </c>
      <c r="J712" s="18">
        <v>5</v>
      </c>
      <c r="K712" s="16">
        <v>124.99</v>
      </c>
      <c r="L712" s="10"/>
      <c r="M712" s="16">
        <v>0</v>
      </c>
      <c r="N712" s="16">
        <v>0</v>
      </c>
      <c r="O712" s="18">
        <v>0</v>
      </c>
      <c r="P712" s="18" t="s">
        <v>95</v>
      </c>
      <c r="Q712" s="18">
        <v>4.836203</v>
      </c>
      <c r="R712" s="10"/>
      <c r="S712" s="16">
        <v>31</v>
      </c>
      <c r="T712" s="16">
        <v>9</v>
      </c>
      <c r="U712" s="18" t="s">
        <v>2427</v>
      </c>
      <c r="V712" s="18" t="s">
        <v>2428</v>
      </c>
      <c r="W712" s="18" t="s">
        <v>2429</v>
      </c>
      <c r="X712" s="13"/>
      <c r="Y712" s="18" t="s">
        <v>2430</v>
      </c>
      <c r="Z712" s="18" t="s">
        <v>160</v>
      </c>
      <c r="AA712" s="18" t="s">
        <v>83</v>
      </c>
      <c r="AB712" s="18" t="s">
        <v>84</v>
      </c>
      <c r="AC712" s="18" t="s">
        <v>85</v>
      </c>
      <c r="AD712" s="18">
        <v>244.98</v>
      </c>
      <c r="AE712" s="18">
        <v>0</v>
      </c>
      <c r="AF712" s="18">
        <v>0</v>
      </c>
      <c r="AG712" s="18">
        <v>0</v>
      </c>
      <c r="AH712" s="18">
        <v>0</v>
      </c>
      <c r="AI712" s="18">
        <v>0</v>
      </c>
      <c r="AJ712" s="18">
        <v>0</v>
      </c>
      <c r="AK712" s="18">
        <v>0</v>
      </c>
      <c r="AL712" s="18">
        <v>0</v>
      </c>
      <c r="AM712" s="18">
        <v>0</v>
      </c>
      <c r="AN712" s="18">
        <v>0</v>
      </c>
      <c r="AO712" s="18">
        <v>0</v>
      </c>
      <c r="AP712" s="18">
        <v>0</v>
      </c>
      <c r="AQ712" s="18">
        <v>0</v>
      </c>
      <c r="AR712" s="18">
        <v>0</v>
      </c>
      <c r="AS712" s="18">
        <v>0</v>
      </c>
      <c r="AT712" s="18">
        <v>0</v>
      </c>
      <c r="AU712" s="18">
        <v>0</v>
      </c>
      <c r="AV712" s="18">
        <v>0</v>
      </c>
      <c r="AW712" s="18">
        <v>1</v>
      </c>
      <c r="AX712" s="18">
        <v>0</v>
      </c>
      <c r="AY712" s="13"/>
      <c r="AZ712" s="18">
        <v>1</v>
      </c>
      <c r="BA712" s="18">
        <v>0</v>
      </c>
      <c r="BB712" s="18">
        <v>49.99</v>
      </c>
      <c r="BC712" s="18" t="s">
        <v>2431</v>
      </c>
      <c r="BD712" s="18" t="s">
        <v>2432</v>
      </c>
      <c r="BE712" s="18" t="s">
        <v>243</v>
      </c>
      <c r="BF712" s="18" t="s">
        <v>77</v>
      </c>
      <c r="BG712" s="18">
        <v>168</v>
      </c>
      <c r="BH712" s="18">
        <v>11</v>
      </c>
      <c r="BI712" s="18">
        <v>0.9385</v>
      </c>
      <c r="BJ712" s="18">
        <v>0</v>
      </c>
      <c r="BK712" s="18">
        <v>134</v>
      </c>
      <c r="BL712" s="18">
        <v>63.3</v>
      </c>
      <c r="BM712" s="13">
        <f t="shared" si="0"/>
        <v>3874.69</v>
      </c>
    </row>
    <row r="713" customHeight="1" spans="1:65">
      <c r="A713" s="18" t="s">
        <v>327</v>
      </c>
      <c r="B713" s="18" t="s">
        <v>328</v>
      </c>
      <c r="C713" s="13"/>
      <c r="D713" s="13"/>
      <c r="E713" s="19" t="s">
        <v>329</v>
      </c>
      <c r="F713" s="18" t="s">
        <v>160</v>
      </c>
      <c r="G713" s="18" t="s">
        <v>83</v>
      </c>
      <c r="H713" s="18" t="s">
        <v>84</v>
      </c>
      <c r="I713" s="18" t="s">
        <v>85</v>
      </c>
      <c r="J713" s="18">
        <v>5</v>
      </c>
      <c r="K713" s="16">
        <v>309.99</v>
      </c>
      <c r="L713" s="10"/>
      <c r="M713" s="16">
        <v>0</v>
      </c>
      <c r="N713" s="16">
        <v>0</v>
      </c>
      <c r="O713" s="18">
        <v>0</v>
      </c>
      <c r="P713" s="18" t="s">
        <v>71</v>
      </c>
      <c r="Q713" s="18">
        <v>5.739761</v>
      </c>
      <c r="R713" s="10"/>
      <c r="S713" s="16">
        <v>6</v>
      </c>
      <c r="T713" s="16">
        <v>6</v>
      </c>
      <c r="U713" s="18" t="s">
        <v>327</v>
      </c>
      <c r="V713" s="18" t="s">
        <v>328</v>
      </c>
      <c r="W713" s="13"/>
      <c r="X713" s="13"/>
      <c r="Y713" s="19" t="s">
        <v>329</v>
      </c>
      <c r="Z713" s="18" t="s">
        <v>160</v>
      </c>
      <c r="AA713" s="18" t="s">
        <v>83</v>
      </c>
      <c r="AB713" s="18" t="s">
        <v>84</v>
      </c>
      <c r="AC713" s="18" t="s">
        <v>85</v>
      </c>
      <c r="AD713" s="18">
        <v>614.98</v>
      </c>
      <c r="AE713" s="18">
        <v>1</v>
      </c>
      <c r="AF713" s="18">
        <v>0</v>
      </c>
      <c r="AG713" s="18">
        <v>0</v>
      </c>
      <c r="AH713" s="18">
        <v>1</v>
      </c>
      <c r="AI713" s="18">
        <v>0</v>
      </c>
      <c r="AJ713" s="18">
        <v>0</v>
      </c>
      <c r="AK713" s="18">
        <v>0</v>
      </c>
      <c r="AL713" s="18">
        <v>0</v>
      </c>
      <c r="AM713" s="18">
        <v>0</v>
      </c>
      <c r="AN713" s="18">
        <v>0</v>
      </c>
      <c r="AO713" s="18">
        <v>0</v>
      </c>
      <c r="AP713" s="18">
        <v>0</v>
      </c>
      <c r="AQ713" s="18">
        <v>1</v>
      </c>
      <c r="AR713" s="18">
        <v>0</v>
      </c>
      <c r="AS713" s="18">
        <v>0</v>
      </c>
      <c r="AT713" s="18">
        <v>1</v>
      </c>
      <c r="AU713" s="18">
        <v>0</v>
      </c>
      <c r="AV713" s="18">
        <v>1</v>
      </c>
      <c r="AW713" s="18">
        <v>1</v>
      </c>
      <c r="AX713" s="18">
        <v>0</v>
      </c>
      <c r="AY713" s="13"/>
      <c r="AZ713" s="18">
        <v>1</v>
      </c>
      <c r="BA713" s="18">
        <v>3</v>
      </c>
      <c r="BB713" s="18">
        <v>49.76</v>
      </c>
      <c r="BC713" s="18" t="s">
        <v>330</v>
      </c>
      <c r="BD713" s="18" t="s">
        <v>331</v>
      </c>
      <c r="BE713" s="18" t="s">
        <v>136</v>
      </c>
      <c r="BF713" s="18" t="s">
        <v>77</v>
      </c>
      <c r="BG713" s="18">
        <v>162</v>
      </c>
      <c r="BH713" s="18">
        <v>60</v>
      </c>
      <c r="BI713" s="18">
        <v>0.7297</v>
      </c>
      <c r="BJ713" s="18">
        <v>0</v>
      </c>
      <c r="BK713" s="18">
        <v>3</v>
      </c>
      <c r="BL713" s="18">
        <v>99.2</v>
      </c>
      <c r="BM713" s="13">
        <f t="shared" si="0"/>
        <v>1859.94</v>
      </c>
    </row>
    <row r="714" customHeight="1" spans="1:65">
      <c r="A714" s="18" t="s">
        <v>2436</v>
      </c>
      <c r="B714" s="18" t="s">
        <v>2437</v>
      </c>
      <c r="C714" s="13"/>
      <c r="D714" s="13"/>
      <c r="E714" s="18" t="s">
        <v>81</v>
      </c>
      <c r="F714" s="18" t="s">
        <v>82</v>
      </c>
      <c r="G714" s="18" t="s">
        <v>83</v>
      </c>
      <c r="H714" s="18" t="s">
        <v>84</v>
      </c>
      <c r="I714" s="18" t="s">
        <v>85</v>
      </c>
      <c r="J714" s="18">
        <v>5</v>
      </c>
      <c r="K714" s="16">
        <v>10.9</v>
      </c>
      <c r="L714" s="10"/>
      <c r="M714" s="16">
        <v>0</v>
      </c>
      <c r="N714" s="16">
        <v>0</v>
      </c>
      <c r="O714" s="18">
        <v>0</v>
      </c>
      <c r="P714" s="18" t="s">
        <v>133</v>
      </c>
      <c r="Q714" s="18">
        <v>2.476538</v>
      </c>
      <c r="R714" s="10"/>
      <c r="S714" s="16">
        <v>11</v>
      </c>
      <c r="T714" s="16">
        <v>85</v>
      </c>
      <c r="U714" s="18" t="s">
        <v>2436</v>
      </c>
      <c r="V714" s="18" t="s">
        <v>2437</v>
      </c>
      <c r="W714" s="13"/>
      <c r="X714" s="13"/>
      <c r="Y714" s="18" t="s">
        <v>81</v>
      </c>
      <c r="Z714" s="18" t="s">
        <v>82</v>
      </c>
      <c r="AA714" s="18" t="s">
        <v>83</v>
      </c>
      <c r="AB714" s="18" t="s">
        <v>84</v>
      </c>
      <c r="AC714" s="18" t="s">
        <v>85</v>
      </c>
      <c r="AD714" s="18">
        <v>16.8</v>
      </c>
      <c r="AE714" s="18">
        <v>0</v>
      </c>
      <c r="AF714" s="18">
        <v>0</v>
      </c>
      <c r="AG714" s="18">
        <v>0</v>
      </c>
      <c r="AH714" s="18">
        <v>1</v>
      </c>
      <c r="AI714" s="18">
        <v>0</v>
      </c>
      <c r="AJ714" s="18">
        <v>0</v>
      </c>
      <c r="AK714" s="18">
        <v>1</v>
      </c>
      <c r="AL714" s="18">
        <v>0</v>
      </c>
      <c r="AM714" s="18">
        <v>0</v>
      </c>
      <c r="AN714" s="18">
        <v>1</v>
      </c>
      <c r="AO714" s="18">
        <v>0</v>
      </c>
      <c r="AP714" s="18">
        <v>0</v>
      </c>
      <c r="AQ714" s="18">
        <v>0</v>
      </c>
      <c r="AR714" s="18">
        <v>0</v>
      </c>
      <c r="AS714" s="18">
        <v>0</v>
      </c>
      <c r="AT714" s="18">
        <v>0</v>
      </c>
      <c r="AU714" s="18">
        <v>1</v>
      </c>
      <c r="AV714" s="18">
        <v>0</v>
      </c>
      <c r="AW714" s="18">
        <v>0</v>
      </c>
      <c r="AX714" s="18">
        <v>0</v>
      </c>
      <c r="AY714" s="13"/>
      <c r="AZ714" s="18">
        <v>1</v>
      </c>
      <c r="BA714" s="18">
        <v>3</v>
      </c>
      <c r="BB714" s="18">
        <v>34.43</v>
      </c>
      <c r="BC714" s="18" t="s">
        <v>2438</v>
      </c>
      <c r="BD714" s="18" t="s">
        <v>119</v>
      </c>
      <c r="BE714" s="18" t="s">
        <v>98</v>
      </c>
      <c r="BF714" s="18" t="s">
        <v>77</v>
      </c>
      <c r="BG714" s="18">
        <v>1</v>
      </c>
      <c r="BH714" s="18">
        <v>28</v>
      </c>
      <c r="BI714" s="18">
        <v>0.0345</v>
      </c>
      <c r="BJ714" s="18">
        <v>1</v>
      </c>
      <c r="BK714" s="18">
        <v>2</v>
      </c>
      <c r="BL714" s="18">
        <v>99.5</v>
      </c>
      <c r="BM714" s="13">
        <f t="shared" si="0"/>
        <v>119.9</v>
      </c>
    </row>
    <row r="715" customHeight="1" spans="1:65">
      <c r="A715" s="18" t="s">
        <v>2439</v>
      </c>
      <c r="B715" s="18" t="s">
        <v>125</v>
      </c>
      <c r="C715" s="13"/>
      <c r="D715" s="13"/>
      <c r="E715" s="18" t="s">
        <v>81</v>
      </c>
      <c r="F715" s="18" t="s">
        <v>82</v>
      </c>
      <c r="G715" s="18" t="s">
        <v>83</v>
      </c>
      <c r="H715" s="18" t="s">
        <v>138</v>
      </c>
      <c r="I715" s="18" t="s">
        <v>85</v>
      </c>
      <c r="J715" s="18">
        <v>5</v>
      </c>
      <c r="K715" s="16">
        <v>19.79</v>
      </c>
      <c r="L715" s="10"/>
      <c r="M715" s="16">
        <v>0</v>
      </c>
      <c r="N715" s="16">
        <v>0</v>
      </c>
      <c r="O715" s="18">
        <v>0</v>
      </c>
      <c r="P715" s="18" t="s">
        <v>133</v>
      </c>
      <c r="Q715" s="18">
        <v>3.034472</v>
      </c>
      <c r="R715" s="10"/>
      <c r="S715" s="16">
        <v>34</v>
      </c>
      <c r="T715" s="16">
        <v>4</v>
      </c>
      <c r="U715" s="18" t="s">
        <v>2439</v>
      </c>
      <c r="V715" s="18" t="s">
        <v>125</v>
      </c>
      <c r="W715" s="13"/>
      <c r="X715" s="13"/>
      <c r="Y715" s="18" t="s">
        <v>81</v>
      </c>
      <c r="Z715" s="18" t="s">
        <v>82</v>
      </c>
      <c r="AA715" s="18" t="s">
        <v>83</v>
      </c>
      <c r="AB715" s="18" t="s">
        <v>138</v>
      </c>
      <c r="AC715" s="18" t="s">
        <v>85</v>
      </c>
      <c r="AD715" s="18">
        <v>34.58</v>
      </c>
      <c r="AE715" s="18">
        <v>0</v>
      </c>
      <c r="AF715" s="18">
        <v>0</v>
      </c>
      <c r="AG715" s="18">
        <v>0</v>
      </c>
      <c r="AH715" s="18">
        <v>1</v>
      </c>
      <c r="AI715" s="18">
        <v>0</v>
      </c>
      <c r="AJ715" s="18">
        <v>1</v>
      </c>
      <c r="AK715" s="18">
        <v>0</v>
      </c>
      <c r="AL715" s="18">
        <v>0</v>
      </c>
      <c r="AM715" s="18">
        <v>0</v>
      </c>
      <c r="AN715" s="18">
        <v>0</v>
      </c>
      <c r="AO715" s="18">
        <v>0</v>
      </c>
      <c r="AP715" s="18">
        <v>0</v>
      </c>
      <c r="AQ715" s="18">
        <v>0</v>
      </c>
      <c r="AR715" s="18">
        <v>0</v>
      </c>
      <c r="AS715" s="18">
        <v>0</v>
      </c>
      <c r="AT715" s="18">
        <v>1</v>
      </c>
      <c r="AU715" s="18">
        <v>0</v>
      </c>
      <c r="AV715" s="18">
        <v>0</v>
      </c>
      <c r="AW715" s="18">
        <v>1</v>
      </c>
      <c r="AX715" s="18">
        <v>0</v>
      </c>
      <c r="AY715" s="13"/>
      <c r="AZ715" s="18">
        <v>1</v>
      </c>
      <c r="BA715" s="18">
        <v>2</v>
      </c>
      <c r="BB715" s="18">
        <v>65.64</v>
      </c>
      <c r="BC715" s="18" t="s">
        <v>2440</v>
      </c>
      <c r="BD715" s="18" t="s">
        <v>2441</v>
      </c>
      <c r="BE715" s="18" t="s">
        <v>220</v>
      </c>
      <c r="BF715" s="18" t="s">
        <v>77</v>
      </c>
      <c r="BG715" s="18">
        <v>1</v>
      </c>
      <c r="BH715" s="18">
        <v>27</v>
      </c>
      <c r="BI715" s="18">
        <v>0.0357</v>
      </c>
      <c r="BJ715" s="18">
        <v>1</v>
      </c>
      <c r="BK715" s="18">
        <v>2</v>
      </c>
      <c r="BL715" s="18">
        <v>99.5</v>
      </c>
      <c r="BM715" s="13">
        <f t="shared" si="0"/>
        <v>672.86</v>
      </c>
    </row>
    <row r="716" customHeight="1" spans="1:65">
      <c r="A716" s="18" t="s">
        <v>2448</v>
      </c>
      <c r="B716" s="18" t="s">
        <v>125</v>
      </c>
      <c r="C716" s="13"/>
      <c r="D716" s="13"/>
      <c r="E716" s="18" t="s">
        <v>255</v>
      </c>
      <c r="F716" s="18" t="s">
        <v>82</v>
      </c>
      <c r="G716" s="18" t="s">
        <v>83</v>
      </c>
      <c r="H716" s="18" t="s">
        <v>138</v>
      </c>
      <c r="I716" s="18" t="s">
        <v>153</v>
      </c>
      <c r="J716" s="18">
        <v>2</v>
      </c>
      <c r="K716" s="16">
        <v>79.89</v>
      </c>
      <c r="L716" s="10"/>
      <c r="M716" s="16">
        <v>0</v>
      </c>
      <c r="N716" s="16">
        <v>0</v>
      </c>
      <c r="O716" s="18">
        <v>0</v>
      </c>
      <c r="P716" s="18" t="s">
        <v>95</v>
      </c>
      <c r="Q716" s="18">
        <v>4.39309</v>
      </c>
      <c r="R716" s="10"/>
      <c r="S716" s="16">
        <v>23</v>
      </c>
      <c r="T716" s="16">
        <v>4</v>
      </c>
      <c r="U716" s="18" t="s">
        <v>2448</v>
      </c>
      <c r="V716" s="18" t="s">
        <v>125</v>
      </c>
      <c r="W716" s="13"/>
      <c r="X716" s="13"/>
      <c r="Y716" s="18" t="s">
        <v>255</v>
      </c>
      <c r="Z716" s="18" t="s">
        <v>82</v>
      </c>
      <c r="AA716" s="18" t="s">
        <v>83</v>
      </c>
      <c r="AB716" s="18" t="s">
        <v>138</v>
      </c>
      <c r="AC716" s="18" t="s">
        <v>153</v>
      </c>
      <c r="AD716" s="18">
        <v>157.78</v>
      </c>
      <c r="AE716" s="18">
        <v>0</v>
      </c>
      <c r="AF716" s="18">
        <v>0</v>
      </c>
      <c r="AG716" s="18">
        <v>1</v>
      </c>
      <c r="AH716" s="18">
        <v>0</v>
      </c>
      <c r="AI716" s="18">
        <v>1</v>
      </c>
      <c r="AJ716" s="18">
        <v>0</v>
      </c>
      <c r="AK716" s="18">
        <v>0</v>
      </c>
      <c r="AL716" s="18">
        <v>0</v>
      </c>
      <c r="AM716" s="18">
        <v>0</v>
      </c>
      <c r="AN716" s="18">
        <v>0</v>
      </c>
      <c r="AO716" s="18">
        <v>0</v>
      </c>
      <c r="AP716" s="18">
        <v>0</v>
      </c>
      <c r="AQ716" s="18">
        <v>0</v>
      </c>
      <c r="AR716" s="18">
        <v>0</v>
      </c>
      <c r="AS716" s="18">
        <v>0</v>
      </c>
      <c r="AT716" s="18">
        <v>0</v>
      </c>
      <c r="AU716" s="18">
        <v>0</v>
      </c>
      <c r="AV716" s="18">
        <v>0</v>
      </c>
      <c r="AW716" s="18">
        <v>0</v>
      </c>
      <c r="AX716" s="18">
        <v>0</v>
      </c>
      <c r="AY716" s="13"/>
      <c r="AZ716" s="18">
        <v>1</v>
      </c>
      <c r="BA716" s="18">
        <v>0</v>
      </c>
      <c r="BB716" s="18">
        <v>63.84</v>
      </c>
      <c r="BC716" s="18" t="s">
        <v>2449</v>
      </c>
      <c r="BD716" s="18" t="s">
        <v>856</v>
      </c>
      <c r="BE716" s="18" t="s">
        <v>690</v>
      </c>
      <c r="BF716" s="18" t="s">
        <v>77</v>
      </c>
      <c r="BG716" s="18">
        <v>168</v>
      </c>
      <c r="BH716" s="18">
        <v>11</v>
      </c>
      <c r="BI716" s="18">
        <v>0.9385</v>
      </c>
      <c r="BJ716" s="18">
        <v>0</v>
      </c>
      <c r="BK716" s="18">
        <v>3</v>
      </c>
      <c r="BL716" s="18">
        <v>99.2</v>
      </c>
      <c r="BM716" s="13">
        <f t="shared" si="0"/>
        <v>1837.47</v>
      </c>
    </row>
    <row r="717" customHeight="1" spans="1:65">
      <c r="A717" s="18" t="s">
        <v>2459</v>
      </c>
      <c r="B717" s="18" t="s">
        <v>125</v>
      </c>
      <c r="C717" s="13"/>
      <c r="D717" s="18">
        <v>7445054699658</v>
      </c>
      <c r="E717" s="18" t="s">
        <v>163</v>
      </c>
      <c r="F717" s="18" t="s">
        <v>160</v>
      </c>
      <c r="G717" s="18" t="s">
        <v>83</v>
      </c>
      <c r="H717" s="18" t="s">
        <v>138</v>
      </c>
      <c r="I717" s="18" t="s">
        <v>85</v>
      </c>
      <c r="J717" s="18">
        <v>5</v>
      </c>
      <c r="K717" s="16">
        <v>90.99</v>
      </c>
      <c r="L717" s="10"/>
      <c r="M717" s="16">
        <v>0</v>
      </c>
      <c r="N717" s="16">
        <v>0</v>
      </c>
      <c r="O717" s="18">
        <v>0</v>
      </c>
      <c r="P717" s="18" t="s">
        <v>95</v>
      </c>
      <c r="Q717" s="18">
        <v>4.52168</v>
      </c>
      <c r="R717" s="10"/>
      <c r="S717" s="16">
        <v>3</v>
      </c>
      <c r="T717" s="16">
        <v>1</v>
      </c>
      <c r="U717" s="18" t="s">
        <v>2459</v>
      </c>
      <c r="V717" s="18" t="s">
        <v>125</v>
      </c>
      <c r="W717" s="13"/>
      <c r="X717" s="18">
        <v>7445054699659</v>
      </c>
      <c r="Y717" s="18" t="s">
        <v>163</v>
      </c>
      <c r="Z717" s="18" t="s">
        <v>160</v>
      </c>
      <c r="AA717" s="18" t="s">
        <v>83</v>
      </c>
      <c r="AB717" s="18" t="s">
        <v>138</v>
      </c>
      <c r="AC717" s="18" t="s">
        <v>85</v>
      </c>
      <c r="AD717" s="18">
        <v>176.98</v>
      </c>
      <c r="AE717" s="18">
        <v>0</v>
      </c>
      <c r="AF717" s="18">
        <v>0</v>
      </c>
      <c r="AG717" s="18">
        <v>1</v>
      </c>
      <c r="AH717" s="18">
        <v>1</v>
      </c>
      <c r="AI717" s="18">
        <v>1</v>
      </c>
      <c r="AJ717" s="18">
        <v>0</v>
      </c>
      <c r="AK717" s="18">
        <v>0</v>
      </c>
      <c r="AL717" s="18">
        <v>0</v>
      </c>
      <c r="AM717" s="18">
        <v>0</v>
      </c>
      <c r="AN717" s="18">
        <v>0</v>
      </c>
      <c r="AO717" s="18">
        <v>0</v>
      </c>
      <c r="AP717" s="18">
        <v>0</v>
      </c>
      <c r="AQ717" s="18">
        <v>1</v>
      </c>
      <c r="AR717" s="18">
        <v>0</v>
      </c>
      <c r="AS717" s="18">
        <v>0</v>
      </c>
      <c r="AT717" s="18">
        <v>0</v>
      </c>
      <c r="AU717" s="18">
        <v>0</v>
      </c>
      <c r="AV717" s="18">
        <v>1</v>
      </c>
      <c r="AW717" s="18">
        <v>1</v>
      </c>
      <c r="AX717" s="18">
        <v>0</v>
      </c>
      <c r="AY717" s="13"/>
      <c r="AZ717" s="18">
        <v>1</v>
      </c>
      <c r="BA717" s="18">
        <v>2</v>
      </c>
      <c r="BB717" s="18">
        <v>59.76</v>
      </c>
      <c r="BC717" s="18" t="s">
        <v>2460</v>
      </c>
      <c r="BD717" s="18" t="s">
        <v>2461</v>
      </c>
      <c r="BE717" s="18" t="s">
        <v>590</v>
      </c>
      <c r="BF717" s="18" t="s">
        <v>77</v>
      </c>
      <c r="BG717" s="18">
        <v>162</v>
      </c>
      <c r="BH717" s="18">
        <v>20</v>
      </c>
      <c r="BI717" s="18">
        <v>0.8901</v>
      </c>
      <c r="BJ717" s="18">
        <v>0</v>
      </c>
      <c r="BK717" s="18">
        <v>3</v>
      </c>
      <c r="BL717" s="18">
        <v>99.2</v>
      </c>
      <c r="BM717" s="13">
        <f t="shared" si="0"/>
        <v>272.97</v>
      </c>
    </row>
    <row r="718" customHeight="1" spans="1:65">
      <c r="A718" s="18" t="s">
        <v>2462</v>
      </c>
      <c r="B718" s="18" t="s">
        <v>125</v>
      </c>
      <c r="C718" s="13"/>
      <c r="D718" s="13"/>
      <c r="E718" s="18" t="s">
        <v>2463</v>
      </c>
      <c r="F718" s="18" t="s">
        <v>198</v>
      </c>
      <c r="G718" s="18" t="s">
        <v>83</v>
      </c>
      <c r="H718" s="18" t="s">
        <v>138</v>
      </c>
      <c r="I718" s="18" t="s">
        <v>85</v>
      </c>
      <c r="J718" s="18">
        <v>5</v>
      </c>
      <c r="K718" s="16">
        <v>13.29</v>
      </c>
      <c r="L718" s="16">
        <v>14.77</v>
      </c>
      <c r="M718" s="16">
        <v>10.02</v>
      </c>
      <c r="N718" s="16">
        <v>1.48</v>
      </c>
      <c r="O718" s="18">
        <v>1</v>
      </c>
      <c r="P718" s="18" t="s">
        <v>133</v>
      </c>
      <c r="Q718" s="18">
        <v>2.65956</v>
      </c>
      <c r="R718" s="10"/>
      <c r="S718" s="16">
        <v>37</v>
      </c>
      <c r="T718" s="16">
        <v>10</v>
      </c>
      <c r="U718" s="18" t="s">
        <v>2462</v>
      </c>
      <c r="V718" s="18" t="s">
        <v>125</v>
      </c>
      <c r="W718" s="13"/>
      <c r="X718" s="13"/>
      <c r="Y718" s="18" t="s">
        <v>2463</v>
      </c>
      <c r="Z718" s="18" t="s">
        <v>198</v>
      </c>
      <c r="AA718" s="18" t="s">
        <v>83</v>
      </c>
      <c r="AB718" s="18" t="s">
        <v>138</v>
      </c>
      <c r="AC718" s="18" t="s">
        <v>85</v>
      </c>
      <c r="AD718" s="18">
        <v>1.57533333333338</v>
      </c>
      <c r="AE718" s="18">
        <v>0</v>
      </c>
      <c r="AF718" s="18">
        <v>0</v>
      </c>
      <c r="AG718" s="18">
        <v>0</v>
      </c>
      <c r="AH718" s="18">
        <v>0</v>
      </c>
      <c r="AI718" s="18">
        <v>0</v>
      </c>
      <c r="AJ718" s="18">
        <v>0</v>
      </c>
      <c r="AK718" s="18">
        <v>0</v>
      </c>
      <c r="AL718" s="18">
        <v>0</v>
      </c>
      <c r="AM718" s="18">
        <v>0</v>
      </c>
      <c r="AN718" s="18">
        <v>0</v>
      </c>
      <c r="AO718" s="18">
        <v>0</v>
      </c>
      <c r="AP718" s="18">
        <v>0</v>
      </c>
      <c r="AQ718" s="18">
        <v>0</v>
      </c>
      <c r="AR718" s="18">
        <v>0</v>
      </c>
      <c r="AS718" s="18">
        <v>0</v>
      </c>
      <c r="AT718" s="18">
        <v>0</v>
      </c>
      <c r="AU718" s="18">
        <v>0</v>
      </c>
      <c r="AV718" s="18">
        <v>0</v>
      </c>
      <c r="AW718" s="18">
        <v>0</v>
      </c>
      <c r="AX718" s="18">
        <v>0</v>
      </c>
      <c r="AY718" s="13"/>
      <c r="AZ718" s="18">
        <v>2</v>
      </c>
      <c r="BA718" s="18">
        <v>1</v>
      </c>
      <c r="BB718" s="18">
        <v>64.16</v>
      </c>
      <c r="BC718" s="18" t="s">
        <v>2464</v>
      </c>
      <c r="BD718" s="18" t="s">
        <v>180</v>
      </c>
      <c r="BE718" s="18" t="s">
        <v>113</v>
      </c>
      <c r="BF718" s="18" t="s">
        <v>77</v>
      </c>
      <c r="BG718" s="18">
        <v>1</v>
      </c>
      <c r="BH718" s="18">
        <v>226</v>
      </c>
      <c r="BI718" s="18">
        <v>0.0044</v>
      </c>
      <c r="BJ718" s="18">
        <v>1</v>
      </c>
      <c r="BK718" s="18">
        <v>4</v>
      </c>
      <c r="BL718" s="18">
        <v>98.9</v>
      </c>
      <c r="BM718" s="13">
        <f t="shared" si="0"/>
        <v>491.73</v>
      </c>
    </row>
    <row r="719" customHeight="1" spans="1:65">
      <c r="A719" s="18" t="s">
        <v>2473</v>
      </c>
      <c r="B719" s="18" t="s">
        <v>2474</v>
      </c>
      <c r="C719" s="13"/>
      <c r="D719" s="13"/>
      <c r="E719" s="18" t="s">
        <v>1203</v>
      </c>
      <c r="F719" s="18" t="s">
        <v>240</v>
      </c>
      <c r="G719" s="18" t="s">
        <v>83</v>
      </c>
      <c r="H719" s="18" t="s">
        <v>84</v>
      </c>
      <c r="I719" s="18" t="s">
        <v>153</v>
      </c>
      <c r="J719" s="18">
        <v>2</v>
      </c>
      <c r="K719" s="16">
        <v>175</v>
      </c>
      <c r="L719" s="10"/>
      <c r="M719" s="16">
        <v>0</v>
      </c>
      <c r="N719" s="16">
        <v>0</v>
      </c>
      <c r="O719" s="18">
        <v>0</v>
      </c>
      <c r="P719" s="18" t="s">
        <v>95</v>
      </c>
      <c r="Q719" s="18">
        <v>5.170484</v>
      </c>
      <c r="R719" s="10"/>
      <c r="S719" s="10"/>
      <c r="T719" s="10"/>
      <c r="U719" s="18" t="s">
        <v>2473</v>
      </c>
      <c r="V719" s="18" t="s">
        <v>2474</v>
      </c>
      <c r="W719" s="13"/>
      <c r="X719" s="13"/>
      <c r="Y719" s="18" t="s">
        <v>1203</v>
      </c>
      <c r="Z719" s="18" t="s">
        <v>240</v>
      </c>
      <c r="AA719" s="18" t="s">
        <v>83</v>
      </c>
      <c r="AB719" s="18" t="s">
        <v>84</v>
      </c>
      <c r="AC719" s="18" t="s">
        <v>153</v>
      </c>
      <c r="AD719" s="18">
        <v>348</v>
      </c>
      <c r="AE719" s="18">
        <v>0</v>
      </c>
      <c r="AF719" s="18">
        <v>0</v>
      </c>
      <c r="AG719" s="18">
        <v>0</v>
      </c>
      <c r="AH719" s="18">
        <v>0</v>
      </c>
      <c r="AI719" s="18">
        <v>0</v>
      </c>
      <c r="AJ719" s="18">
        <v>0</v>
      </c>
      <c r="AK719" s="18">
        <v>0</v>
      </c>
      <c r="AL719" s="18">
        <v>0</v>
      </c>
      <c r="AM719" s="18">
        <v>0</v>
      </c>
      <c r="AN719" s="18">
        <v>0</v>
      </c>
      <c r="AO719" s="18">
        <v>0</v>
      </c>
      <c r="AP719" s="18">
        <v>0</v>
      </c>
      <c r="AQ719" s="18">
        <v>1</v>
      </c>
      <c r="AR719" s="18">
        <v>0</v>
      </c>
      <c r="AS719" s="18">
        <v>0</v>
      </c>
      <c r="AT719" s="18">
        <v>0</v>
      </c>
      <c r="AU719" s="18">
        <v>0</v>
      </c>
      <c r="AV719" s="18">
        <v>1</v>
      </c>
      <c r="AW719" s="18">
        <v>1</v>
      </c>
      <c r="AX719" s="18">
        <v>0</v>
      </c>
      <c r="AY719" s="13"/>
      <c r="AZ719" s="18">
        <v>1</v>
      </c>
      <c r="BA719" s="18">
        <v>1</v>
      </c>
      <c r="BB719" s="18">
        <v>29.67</v>
      </c>
      <c r="BC719" s="18" t="s">
        <v>2475</v>
      </c>
      <c r="BD719" s="18" t="s">
        <v>2476</v>
      </c>
      <c r="BE719" s="18" t="s">
        <v>2477</v>
      </c>
      <c r="BF719" s="18" t="s">
        <v>77</v>
      </c>
      <c r="BG719" s="18">
        <v>1</v>
      </c>
      <c r="BH719" s="18">
        <v>11</v>
      </c>
      <c r="BI719" s="18">
        <v>0.0833</v>
      </c>
      <c r="BJ719" s="18">
        <v>1</v>
      </c>
      <c r="BK719" s="18">
        <v>4</v>
      </c>
      <c r="BL719" s="18">
        <v>98.9</v>
      </c>
      <c r="BM719" s="13">
        <f t="shared" si="0"/>
        <v>0</v>
      </c>
    </row>
    <row r="720" customHeight="1" spans="1:65">
      <c r="A720" s="18" t="s">
        <v>2483</v>
      </c>
      <c r="B720" s="18" t="s">
        <v>282</v>
      </c>
      <c r="C720" s="13"/>
      <c r="D720" s="13"/>
      <c r="E720" s="18" t="s">
        <v>239</v>
      </c>
      <c r="F720" s="18" t="s">
        <v>240</v>
      </c>
      <c r="G720" s="18" t="s">
        <v>83</v>
      </c>
      <c r="H720" s="18" t="s">
        <v>84</v>
      </c>
      <c r="I720" s="18" t="s">
        <v>153</v>
      </c>
      <c r="J720" s="18">
        <v>2</v>
      </c>
      <c r="K720" s="16">
        <v>45</v>
      </c>
      <c r="L720" s="10"/>
      <c r="M720" s="16">
        <v>0</v>
      </c>
      <c r="N720" s="16">
        <v>0</v>
      </c>
      <c r="O720" s="18">
        <v>0</v>
      </c>
      <c r="P720" s="18" t="s">
        <v>86</v>
      </c>
      <c r="Q720" s="18">
        <v>3.828641</v>
      </c>
      <c r="R720" s="10"/>
      <c r="S720" s="10"/>
      <c r="T720" s="10"/>
      <c r="U720" s="18" t="s">
        <v>2483</v>
      </c>
      <c r="V720" s="18" t="s">
        <v>282</v>
      </c>
      <c r="W720" s="13"/>
      <c r="X720" s="13"/>
      <c r="Y720" s="18" t="s">
        <v>239</v>
      </c>
      <c r="Z720" s="18" t="s">
        <v>240</v>
      </c>
      <c r="AA720" s="18" t="s">
        <v>83</v>
      </c>
      <c r="AB720" s="18" t="s">
        <v>84</v>
      </c>
      <c r="AC720" s="18" t="s">
        <v>153</v>
      </c>
      <c r="AD720" s="18">
        <v>88</v>
      </c>
      <c r="AE720" s="18">
        <v>0</v>
      </c>
      <c r="AF720" s="18">
        <v>0</v>
      </c>
      <c r="AG720" s="18">
        <v>0</v>
      </c>
      <c r="AH720" s="18">
        <v>0</v>
      </c>
      <c r="AI720" s="18">
        <v>0</v>
      </c>
      <c r="AJ720" s="18">
        <v>0</v>
      </c>
      <c r="AK720" s="18">
        <v>0</v>
      </c>
      <c r="AL720" s="18">
        <v>0</v>
      </c>
      <c r="AM720" s="18">
        <v>0</v>
      </c>
      <c r="AN720" s="18">
        <v>0</v>
      </c>
      <c r="AO720" s="18">
        <v>0</v>
      </c>
      <c r="AP720" s="18">
        <v>0</v>
      </c>
      <c r="AQ720" s="18">
        <v>1</v>
      </c>
      <c r="AR720" s="18">
        <v>0</v>
      </c>
      <c r="AS720" s="18">
        <v>0</v>
      </c>
      <c r="AT720" s="18">
        <v>0</v>
      </c>
      <c r="AU720" s="18">
        <v>0</v>
      </c>
      <c r="AV720" s="18">
        <v>1</v>
      </c>
      <c r="AW720" s="18">
        <v>1</v>
      </c>
      <c r="AX720" s="18">
        <v>0</v>
      </c>
      <c r="AY720" s="13"/>
      <c r="AZ720" s="18">
        <v>1</v>
      </c>
      <c r="BA720" s="18">
        <v>1</v>
      </c>
      <c r="BB720" s="18">
        <v>29.85</v>
      </c>
      <c r="BC720" s="18" t="s">
        <v>2484</v>
      </c>
      <c r="BD720" s="18" t="s">
        <v>150</v>
      </c>
      <c r="BE720" s="18" t="s">
        <v>150</v>
      </c>
      <c r="BF720" s="18" t="s">
        <v>77</v>
      </c>
      <c r="BG720" s="18">
        <v>1</v>
      </c>
      <c r="BH720" s="18">
        <v>26</v>
      </c>
      <c r="BI720" s="18">
        <v>0.037</v>
      </c>
      <c r="BJ720" s="18">
        <v>1</v>
      </c>
      <c r="BK720" s="18">
        <v>2</v>
      </c>
      <c r="BL720" s="18">
        <v>99.5</v>
      </c>
      <c r="BM720" s="13">
        <f t="shared" si="0"/>
        <v>0</v>
      </c>
    </row>
    <row r="721" customHeight="1" spans="1:65">
      <c r="A721" s="18" t="s">
        <v>2487</v>
      </c>
      <c r="B721" s="18" t="s">
        <v>2488</v>
      </c>
      <c r="C721" s="18" t="s">
        <v>2489</v>
      </c>
      <c r="D721" s="13"/>
      <c r="E721" s="18" t="s">
        <v>2490</v>
      </c>
      <c r="F721" s="18" t="s">
        <v>2491</v>
      </c>
      <c r="G721" s="18" t="s">
        <v>83</v>
      </c>
      <c r="H721" s="18" t="s">
        <v>84</v>
      </c>
      <c r="I721" s="18" t="s">
        <v>203</v>
      </c>
      <c r="J721" s="18">
        <v>4</v>
      </c>
      <c r="K721" s="16">
        <v>99.95</v>
      </c>
      <c r="L721" s="10"/>
      <c r="M721" s="16">
        <v>0</v>
      </c>
      <c r="N721" s="16">
        <v>0</v>
      </c>
      <c r="O721" s="18">
        <v>0</v>
      </c>
      <c r="P721" s="18" t="s">
        <v>95</v>
      </c>
      <c r="Q721" s="18">
        <v>4.614625</v>
      </c>
      <c r="R721" s="10"/>
      <c r="S721" s="10"/>
      <c r="T721" s="16">
        <v>3</v>
      </c>
      <c r="U721" s="18" t="s">
        <v>2712</v>
      </c>
      <c r="V721" s="18" t="s">
        <v>2488</v>
      </c>
      <c r="W721" s="18" t="s">
        <v>2713</v>
      </c>
      <c r="X721" s="13"/>
      <c r="Y721" s="18" t="s">
        <v>2490</v>
      </c>
      <c r="Z721" s="18" t="s">
        <v>2491</v>
      </c>
      <c r="AA721" s="18" t="s">
        <v>83</v>
      </c>
      <c r="AB721" s="18" t="s">
        <v>84</v>
      </c>
      <c r="AC721" s="18" t="s">
        <v>203</v>
      </c>
      <c r="AD721" s="18">
        <v>195.9</v>
      </c>
      <c r="AE721" s="18">
        <v>0</v>
      </c>
      <c r="AF721" s="18">
        <v>0</v>
      </c>
      <c r="AG721" s="18">
        <v>0</v>
      </c>
      <c r="AH721" s="18">
        <v>0</v>
      </c>
      <c r="AI721" s="18">
        <v>0</v>
      </c>
      <c r="AJ721" s="18">
        <v>0</v>
      </c>
      <c r="AK721" s="18">
        <v>0</v>
      </c>
      <c r="AL721" s="18">
        <v>0</v>
      </c>
      <c r="AM721" s="18">
        <v>0</v>
      </c>
      <c r="AN721" s="18">
        <v>0</v>
      </c>
      <c r="AO721" s="18">
        <v>0</v>
      </c>
      <c r="AP721" s="18">
        <v>0</v>
      </c>
      <c r="AQ721" s="18">
        <v>0</v>
      </c>
      <c r="AR721" s="18">
        <v>0</v>
      </c>
      <c r="AS721" s="18">
        <v>0</v>
      </c>
      <c r="AT721" s="18">
        <v>0</v>
      </c>
      <c r="AU721" s="18">
        <v>0</v>
      </c>
      <c r="AV721" s="18">
        <v>0</v>
      </c>
      <c r="AW721" s="18">
        <v>0</v>
      </c>
      <c r="AX721" s="18">
        <v>0</v>
      </c>
      <c r="AY721" s="13"/>
      <c r="AZ721" s="18">
        <v>1</v>
      </c>
      <c r="BA721" s="18">
        <v>0</v>
      </c>
      <c r="BB721" s="18">
        <v>0</v>
      </c>
      <c r="BC721" s="18" t="s">
        <v>2492</v>
      </c>
      <c r="BD721" s="13"/>
      <c r="BE721" s="13"/>
      <c r="BF721" s="13"/>
      <c r="BG721" s="18">
        <v>0</v>
      </c>
      <c r="BH721" s="18">
        <v>0</v>
      </c>
      <c r="BI721" s="13"/>
      <c r="BJ721" s="18">
        <v>0</v>
      </c>
      <c r="BK721" s="13"/>
      <c r="BL721" s="13"/>
      <c r="BM721" s="13">
        <f t="shared" si="0"/>
        <v>0</v>
      </c>
    </row>
    <row r="722" customHeight="1" spans="1:65">
      <c r="A722" s="18" t="s">
        <v>2496</v>
      </c>
      <c r="B722" s="18" t="s">
        <v>344</v>
      </c>
      <c r="C722" s="13"/>
      <c r="D722" s="13"/>
      <c r="E722" s="18" t="s">
        <v>81</v>
      </c>
      <c r="F722" s="18" t="s">
        <v>82</v>
      </c>
      <c r="G722" s="18" t="s">
        <v>346</v>
      </c>
      <c r="H722" s="18" t="s">
        <v>107</v>
      </c>
      <c r="I722" s="18" t="s">
        <v>85</v>
      </c>
      <c r="J722" s="18">
        <v>5</v>
      </c>
      <c r="K722" s="16">
        <v>11.34</v>
      </c>
      <c r="L722" s="10"/>
      <c r="M722" s="16">
        <v>0</v>
      </c>
      <c r="N722" s="16">
        <v>0</v>
      </c>
      <c r="O722" s="18">
        <v>0</v>
      </c>
      <c r="P722" s="18" t="s">
        <v>133</v>
      </c>
      <c r="Q722" s="18">
        <v>2.512846</v>
      </c>
      <c r="R722" s="10"/>
      <c r="S722" s="16">
        <v>228</v>
      </c>
      <c r="T722" s="16">
        <v>83</v>
      </c>
      <c r="U722" s="18" t="s">
        <v>2496</v>
      </c>
      <c r="V722" s="18" t="s">
        <v>344</v>
      </c>
      <c r="W722" s="13"/>
      <c r="X722" s="13"/>
      <c r="Y722" s="18" t="s">
        <v>81</v>
      </c>
      <c r="Z722" s="18" t="s">
        <v>82</v>
      </c>
      <c r="AA722" s="18" t="s">
        <v>346</v>
      </c>
      <c r="AB722" s="18" t="s">
        <v>107</v>
      </c>
      <c r="AC722" s="18" t="s">
        <v>85</v>
      </c>
      <c r="AD722" s="18">
        <v>17.68</v>
      </c>
      <c r="AE722" s="18">
        <v>0</v>
      </c>
      <c r="AF722" s="18">
        <v>0</v>
      </c>
      <c r="AG722" s="18">
        <v>0</v>
      </c>
      <c r="AH722" s="18">
        <v>0</v>
      </c>
      <c r="AI722" s="18">
        <v>0</v>
      </c>
      <c r="AJ722" s="18">
        <v>0</v>
      </c>
      <c r="AK722" s="18">
        <v>0</v>
      </c>
      <c r="AL722" s="18">
        <v>0</v>
      </c>
      <c r="AM722" s="18">
        <v>0</v>
      </c>
      <c r="AN722" s="18">
        <v>0</v>
      </c>
      <c r="AO722" s="18">
        <v>0</v>
      </c>
      <c r="AP722" s="18">
        <v>0</v>
      </c>
      <c r="AQ722" s="18">
        <v>0</v>
      </c>
      <c r="AR722" s="18">
        <v>0</v>
      </c>
      <c r="AS722" s="18">
        <v>0</v>
      </c>
      <c r="AT722" s="18">
        <v>1</v>
      </c>
      <c r="AU722" s="18">
        <v>0</v>
      </c>
      <c r="AV722" s="18">
        <v>0</v>
      </c>
      <c r="AW722" s="18">
        <v>1</v>
      </c>
      <c r="AX722" s="18">
        <v>0</v>
      </c>
      <c r="AY722" s="13"/>
      <c r="AZ722" s="18">
        <v>1</v>
      </c>
      <c r="BA722" s="18">
        <v>0</v>
      </c>
      <c r="BB722" s="18">
        <v>47.65</v>
      </c>
      <c r="BC722" s="18" t="s">
        <v>2497</v>
      </c>
      <c r="BD722" s="13"/>
      <c r="BE722" s="13"/>
      <c r="BF722" s="13"/>
      <c r="BG722" s="18">
        <v>0</v>
      </c>
      <c r="BH722" s="18">
        <v>0</v>
      </c>
      <c r="BI722" s="13"/>
      <c r="BJ722" s="18">
        <v>0</v>
      </c>
      <c r="BK722" s="18">
        <v>142</v>
      </c>
      <c r="BL722" s="18">
        <v>61.1</v>
      </c>
      <c r="BM722" s="13">
        <f t="shared" si="0"/>
        <v>2585.52</v>
      </c>
    </row>
    <row r="723" customHeight="1" spans="1:65">
      <c r="A723" s="18" t="s">
        <v>2501</v>
      </c>
      <c r="B723" s="18" t="s">
        <v>2502</v>
      </c>
      <c r="C723" s="18" t="s">
        <v>2503</v>
      </c>
      <c r="D723" s="18">
        <v>789681012365</v>
      </c>
      <c r="E723" s="18" t="s">
        <v>2504</v>
      </c>
      <c r="F723" s="18" t="s">
        <v>68</v>
      </c>
      <c r="G723" s="18" t="s">
        <v>83</v>
      </c>
      <c r="H723" s="18" t="s">
        <v>84</v>
      </c>
      <c r="I723" s="18" t="s">
        <v>203</v>
      </c>
      <c r="J723" s="18">
        <v>4</v>
      </c>
      <c r="K723" s="16">
        <v>110</v>
      </c>
      <c r="L723" s="10"/>
      <c r="M723" s="16">
        <v>0</v>
      </c>
      <c r="N723" s="16">
        <v>0</v>
      </c>
      <c r="O723" s="18">
        <v>0</v>
      </c>
      <c r="P723" s="18" t="s">
        <v>95</v>
      </c>
      <c r="Q723" s="18">
        <v>4.70953</v>
      </c>
      <c r="R723" s="10"/>
      <c r="S723" s="16">
        <v>6</v>
      </c>
      <c r="T723" s="16">
        <v>2</v>
      </c>
      <c r="U723" s="18" t="s">
        <v>2714</v>
      </c>
      <c r="V723" s="18" t="s">
        <v>2502</v>
      </c>
      <c r="W723" s="18" t="s">
        <v>2715</v>
      </c>
      <c r="X723" s="18">
        <v>789681012366</v>
      </c>
      <c r="Y723" s="18" t="s">
        <v>2504</v>
      </c>
      <c r="Z723" s="18" t="s">
        <v>68</v>
      </c>
      <c r="AA723" s="18" t="s">
        <v>83</v>
      </c>
      <c r="AB723" s="18" t="s">
        <v>84</v>
      </c>
      <c r="AC723" s="18" t="s">
        <v>203</v>
      </c>
      <c r="AD723" s="18">
        <v>216</v>
      </c>
      <c r="AE723" s="18">
        <v>0</v>
      </c>
      <c r="AF723" s="18">
        <v>0</v>
      </c>
      <c r="AG723" s="18">
        <v>0</v>
      </c>
      <c r="AH723" s="18">
        <v>0</v>
      </c>
      <c r="AI723" s="18">
        <v>0</v>
      </c>
      <c r="AJ723" s="18">
        <v>0</v>
      </c>
      <c r="AK723" s="18">
        <v>0</v>
      </c>
      <c r="AL723" s="18">
        <v>0</v>
      </c>
      <c r="AM723" s="18">
        <v>0</v>
      </c>
      <c r="AN723" s="18">
        <v>0</v>
      </c>
      <c r="AO723" s="18">
        <v>0</v>
      </c>
      <c r="AP723" s="18">
        <v>0</v>
      </c>
      <c r="AQ723" s="18">
        <v>0</v>
      </c>
      <c r="AR723" s="18">
        <v>0</v>
      </c>
      <c r="AS723" s="18">
        <v>0</v>
      </c>
      <c r="AT723" s="18">
        <v>0</v>
      </c>
      <c r="AU723" s="18">
        <v>0</v>
      </c>
      <c r="AV723" s="18">
        <v>0</v>
      </c>
      <c r="AW723" s="18">
        <v>0</v>
      </c>
      <c r="AX723" s="18">
        <v>0</v>
      </c>
      <c r="AY723" s="13"/>
      <c r="AZ723" s="18">
        <v>1</v>
      </c>
      <c r="BA723" s="18">
        <v>0</v>
      </c>
      <c r="BB723" s="18">
        <v>59.85</v>
      </c>
      <c r="BC723" s="18" t="s">
        <v>2505</v>
      </c>
      <c r="BD723" s="13"/>
      <c r="BE723" s="13"/>
      <c r="BF723" s="13"/>
      <c r="BG723" s="18">
        <v>0</v>
      </c>
      <c r="BH723" s="18">
        <v>0</v>
      </c>
      <c r="BI723" s="13"/>
      <c r="BJ723" s="18">
        <v>0</v>
      </c>
      <c r="BK723" s="18">
        <v>2</v>
      </c>
      <c r="BL723" s="18">
        <v>99.5</v>
      </c>
      <c r="BM723" s="13">
        <f t="shared" si="0"/>
        <v>660</v>
      </c>
    </row>
    <row r="724" customHeight="1" spans="1:65">
      <c r="A724" s="18" t="s">
        <v>828</v>
      </c>
      <c r="B724" s="18" t="s">
        <v>335</v>
      </c>
      <c r="C724" s="18" t="s">
        <v>829</v>
      </c>
      <c r="D724" s="13"/>
      <c r="E724" s="18" t="s">
        <v>250</v>
      </c>
      <c r="F724" s="18" t="s">
        <v>82</v>
      </c>
      <c r="G724" s="18" t="s">
        <v>83</v>
      </c>
      <c r="H724" s="18" t="s">
        <v>84</v>
      </c>
      <c r="I724" s="18" t="s">
        <v>85</v>
      </c>
      <c r="J724" s="18">
        <v>5</v>
      </c>
      <c r="K724" s="16">
        <v>32.92</v>
      </c>
      <c r="L724" s="16">
        <v>39.19</v>
      </c>
      <c r="M724" s="16">
        <v>16</v>
      </c>
      <c r="N724" s="16">
        <v>6.27</v>
      </c>
      <c r="O724" s="18">
        <v>1</v>
      </c>
      <c r="P724" s="18" t="s">
        <v>86</v>
      </c>
      <c r="Q724" s="18">
        <v>3.524005</v>
      </c>
      <c r="R724" s="10"/>
      <c r="S724" s="16">
        <v>73</v>
      </c>
      <c r="T724" s="16">
        <v>10</v>
      </c>
      <c r="U724" s="18" t="s">
        <v>828</v>
      </c>
      <c r="V724" s="18" t="s">
        <v>335</v>
      </c>
      <c r="W724" s="18" t="s">
        <v>829</v>
      </c>
      <c r="X724" s="13"/>
      <c r="Y724" s="18" t="s">
        <v>250</v>
      </c>
      <c r="Z724" s="18" t="s">
        <v>82</v>
      </c>
      <c r="AA724" s="18" t="s">
        <v>83</v>
      </c>
      <c r="AB724" s="18" t="s">
        <v>84</v>
      </c>
      <c r="AC724" s="18" t="s">
        <v>85</v>
      </c>
      <c r="AD724" s="18">
        <v>4.41600000000004</v>
      </c>
      <c r="AE724" s="18">
        <v>0</v>
      </c>
      <c r="AF724" s="18">
        <v>0</v>
      </c>
      <c r="AG724" s="18">
        <v>1</v>
      </c>
      <c r="AH724" s="18">
        <v>0</v>
      </c>
      <c r="AI724" s="18">
        <v>1</v>
      </c>
      <c r="AJ724" s="18">
        <v>0</v>
      </c>
      <c r="AK724" s="18">
        <v>0</v>
      </c>
      <c r="AL724" s="18">
        <v>0</v>
      </c>
      <c r="AM724" s="18">
        <v>0</v>
      </c>
      <c r="AN724" s="18">
        <v>0</v>
      </c>
      <c r="AO724" s="18">
        <v>0</v>
      </c>
      <c r="AP724" s="18">
        <v>0</v>
      </c>
      <c r="AQ724" s="18">
        <v>0</v>
      </c>
      <c r="AR724" s="18">
        <v>0</v>
      </c>
      <c r="AS724" s="18">
        <v>0</v>
      </c>
      <c r="AT724" s="18">
        <v>1</v>
      </c>
      <c r="AU724" s="18">
        <v>0</v>
      </c>
      <c r="AV724" s="18">
        <v>0</v>
      </c>
      <c r="AW724" s="18">
        <v>0</v>
      </c>
      <c r="AX724" s="18">
        <v>0</v>
      </c>
      <c r="AY724" s="13"/>
      <c r="AZ724" s="18">
        <v>1</v>
      </c>
      <c r="BA724" s="18">
        <v>2</v>
      </c>
      <c r="BB724" s="18">
        <v>68.42</v>
      </c>
      <c r="BC724" s="18" t="s">
        <v>336</v>
      </c>
      <c r="BD724" s="18" t="s">
        <v>337</v>
      </c>
      <c r="BE724" s="18" t="s">
        <v>76</v>
      </c>
      <c r="BF724" s="18" t="s">
        <v>77</v>
      </c>
      <c r="BG724" s="18">
        <v>168</v>
      </c>
      <c r="BH724" s="18">
        <v>53</v>
      </c>
      <c r="BI724" s="18">
        <v>0.7602</v>
      </c>
      <c r="BJ724" s="18">
        <v>0</v>
      </c>
      <c r="BK724" s="18">
        <v>19</v>
      </c>
      <c r="BL724" s="18">
        <v>94.8</v>
      </c>
      <c r="BM724" s="13">
        <f t="shared" si="0"/>
        <v>2403.16</v>
      </c>
    </row>
    <row r="725" customHeight="1" spans="1:65">
      <c r="A725" s="18" t="s">
        <v>334</v>
      </c>
      <c r="B725" s="18" t="s">
        <v>335</v>
      </c>
      <c r="C725" s="13"/>
      <c r="D725" s="13"/>
      <c r="E725" s="18" t="s">
        <v>81</v>
      </c>
      <c r="F725" s="18" t="s">
        <v>160</v>
      </c>
      <c r="G725" s="18" t="s">
        <v>83</v>
      </c>
      <c r="H725" s="18" t="s">
        <v>84</v>
      </c>
      <c r="I725" s="18" t="s">
        <v>85</v>
      </c>
      <c r="J725" s="18">
        <v>5</v>
      </c>
      <c r="K725" s="16">
        <v>228.79</v>
      </c>
      <c r="L725" s="16">
        <v>259.99</v>
      </c>
      <c r="M725" s="16">
        <v>12</v>
      </c>
      <c r="N725" s="16">
        <v>31.2</v>
      </c>
      <c r="O725" s="18">
        <v>1</v>
      </c>
      <c r="P725" s="18" t="s">
        <v>71</v>
      </c>
      <c r="Q725" s="18">
        <v>5.437166</v>
      </c>
      <c r="R725" s="16">
        <v>22.88</v>
      </c>
      <c r="S725" s="16">
        <v>17</v>
      </c>
      <c r="T725" s="16">
        <v>10</v>
      </c>
      <c r="U725" s="18" t="s">
        <v>334</v>
      </c>
      <c r="V725" s="18" t="s">
        <v>335</v>
      </c>
      <c r="W725" s="13"/>
      <c r="X725" s="13"/>
      <c r="Y725" s="18" t="s">
        <v>81</v>
      </c>
      <c r="Z725" s="18" t="s">
        <v>160</v>
      </c>
      <c r="AA725" s="18" t="s">
        <v>83</v>
      </c>
      <c r="AB725" s="18" t="s">
        <v>84</v>
      </c>
      <c r="AC725" s="18" t="s">
        <v>85</v>
      </c>
      <c r="AD725" s="18">
        <v>3.58733333333362</v>
      </c>
      <c r="AE725" s="18">
        <v>0</v>
      </c>
      <c r="AF725" s="18">
        <v>0</v>
      </c>
      <c r="AG725" s="18">
        <v>0</v>
      </c>
      <c r="AH725" s="18">
        <v>1</v>
      </c>
      <c r="AI725" s="18">
        <v>0</v>
      </c>
      <c r="AJ725" s="18">
        <v>0</v>
      </c>
      <c r="AK725" s="18">
        <v>0</v>
      </c>
      <c r="AL725" s="18">
        <v>0</v>
      </c>
      <c r="AM725" s="18">
        <v>0</v>
      </c>
      <c r="AN725" s="18">
        <v>0</v>
      </c>
      <c r="AO725" s="18">
        <v>0</v>
      </c>
      <c r="AP725" s="18">
        <v>0</v>
      </c>
      <c r="AQ725" s="18">
        <v>1</v>
      </c>
      <c r="AR725" s="18">
        <v>0</v>
      </c>
      <c r="AS725" s="18">
        <v>0</v>
      </c>
      <c r="AT725" s="18">
        <v>1</v>
      </c>
      <c r="AU725" s="18">
        <v>0</v>
      </c>
      <c r="AV725" s="18">
        <v>1</v>
      </c>
      <c r="AW725" s="18">
        <v>1</v>
      </c>
      <c r="AX725" s="18">
        <v>0</v>
      </c>
      <c r="AY725" s="18">
        <v>10</v>
      </c>
      <c r="AZ725" s="18">
        <v>1</v>
      </c>
      <c r="BA725" s="18">
        <v>2</v>
      </c>
      <c r="BB725" s="18">
        <v>58.36</v>
      </c>
      <c r="BC725" s="18" t="s">
        <v>336</v>
      </c>
      <c r="BD725" s="18" t="s">
        <v>337</v>
      </c>
      <c r="BE725" s="18" t="s">
        <v>76</v>
      </c>
      <c r="BF725" s="18" t="s">
        <v>77</v>
      </c>
      <c r="BG725" s="18">
        <v>168</v>
      </c>
      <c r="BH725" s="18">
        <v>12</v>
      </c>
      <c r="BI725" s="18">
        <v>0.9333</v>
      </c>
      <c r="BJ725" s="18">
        <v>0</v>
      </c>
      <c r="BK725" s="18">
        <v>5</v>
      </c>
      <c r="BL725" s="18">
        <v>98.6</v>
      </c>
      <c r="BM725" s="13">
        <f t="shared" si="0"/>
        <v>3889.43</v>
      </c>
    </row>
    <row r="726" customHeight="1" spans="1:65">
      <c r="A726" s="18" t="s">
        <v>545</v>
      </c>
      <c r="B726" s="18" t="s">
        <v>335</v>
      </c>
      <c r="C726" s="18" t="s">
        <v>546</v>
      </c>
      <c r="D726" s="13"/>
      <c r="E726" s="18" t="s">
        <v>81</v>
      </c>
      <c r="F726" s="18" t="s">
        <v>82</v>
      </c>
      <c r="G726" s="18" t="s">
        <v>83</v>
      </c>
      <c r="H726" s="18" t="s">
        <v>84</v>
      </c>
      <c r="I726" s="18" t="s">
        <v>85</v>
      </c>
      <c r="J726" s="18">
        <v>5</v>
      </c>
      <c r="K726" s="16">
        <v>52.99</v>
      </c>
      <c r="L726" s="10"/>
      <c r="M726" s="16">
        <v>0</v>
      </c>
      <c r="N726" s="16">
        <v>0</v>
      </c>
      <c r="O726" s="18">
        <v>0</v>
      </c>
      <c r="P726" s="18" t="s">
        <v>86</v>
      </c>
      <c r="Q726" s="18">
        <v>3.988799</v>
      </c>
      <c r="R726" s="10"/>
      <c r="S726" s="16">
        <v>165</v>
      </c>
      <c r="T726" s="16">
        <v>10</v>
      </c>
      <c r="U726" s="18" t="s">
        <v>545</v>
      </c>
      <c r="V726" s="18" t="s">
        <v>335</v>
      </c>
      <c r="W726" s="18" t="s">
        <v>546</v>
      </c>
      <c r="X726" s="13"/>
      <c r="Y726" s="18" t="s">
        <v>81</v>
      </c>
      <c r="Z726" s="18" t="s">
        <v>82</v>
      </c>
      <c r="AA726" s="18" t="s">
        <v>83</v>
      </c>
      <c r="AB726" s="18" t="s">
        <v>84</v>
      </c>
      <c r="AC726" s="18" t="s">
        <v>85</v>
      </c>
      <c r="AD726" s="18">
        <v>100.98</v>
      </c>
      <c r="AE726" s="18">
        <v>0</v>
      </c>
      <c r="AF726" s="18">
        <v>0</v>
      </c>
      <c r="AG726" s="18">
        <v>0</v>
      </c>
      <c r="AH726" s="18">
        <v>1</v>
      </c>
      <c r="AI726" s="18">
        <v>0</v>
      </c>
      <c r="AJ726" s="18">
        <v>1</v>
      </c>
      <c r="AK726" s="18">
        <v>0</v>
      </c>
      <c r="AL726" s="18">
        <v>0</v>
      </c>
      <c r="AM726" s="18">
        <v>0</v>
      </c>
      <c r="AN726" s="18">
        <v>0</v>
      </c>
      <c r="AO726" s="18">
        <v>0</v>
      </c>
      <c r="AP726" s="18">
        <v>0</v>
      </c>
      <c r="AQ726" s="18">
        <v>0</v>
      </c>
      <c r="AR726" s="18">
        <v>0</v>
      </c>
      <c r="AS726" s="18">
        <v>0</v>
      </c>
      <c r="AT726" s="18">
        <v>1</v>
      </c>
      <c r="AU726" s="18">
        <v>0</v>
      </c>
      <c r="AV726" s="18">
        <v>0</v>
      </c>
      <c r="AW726" s="18">
        <v>1</v>
      </c>
      <c r="AX726" s="18">
        <v>0</v>
      </c>
      <c r="AY726" s="13"/>
      <c r="AZ726" s="18">
        <v>1</v>
      </c>
      <c r="BA726" s="18">
        <v>2</v>
      </c>
      <c r="BB726" s="18">
        <v>67.39</v>
      </c>
      <c r="BC726" s="18" t="s">
        <v>336</v>
      </c>
      <c r="BD726" s="18" t="s">
        <v>337</v>
      </c>
      <c r="BE726" s="18" t="s">
        <v>76</v>
      </c>
      <c r="BF726" s="18" t="s">
        <v>77</v>
      </c>
      <c r="BG726" s="18">
        <v>169</v>
      </c>
      <c r="BH726" s="18">
        <v>12</v>
      </c>
      <c r="BI726" s="18">
        <v>0.9337</v>
      </c>
      <c r="BJ726" s="18">
        <v>0</v>
      </c>
      <c r="BK726" s="18">
        <v>4</v>
      </c>
      <c r="BL726" s="18">
        <v>98.9</v>
      </c>
      <c r="BM726" s="13">
        <f t="shared" si="0"/>
        <v>8743.35</v>
      </c>
    </row>
    <row r="727" customHeight="1" spans="1:65">
      <c r="A727" s="18" t="s">
        <v>568</v>
      </c>
      <c r="B727" s="18" t="s">
        <v>335</v>
      </c>
      <c r="C727" s="18" t="s">
        <v>569</v>
      </c>
      <c r="D727" s="13"/>
      <c r="E727" s="18" t="s">
        <v>81</v>
      </c>
      <c r="F727" s="18" t="s">
        <v>160</v>
      </c>
      <c r="G727" s="18" t="s">
        <v>83</v>
      </c>
      <c r="H727" s="18" t="s">
        <v>84</v>
      </c>
      <c r="I727" s="18" t="s">
        <v>85</v>
      </c>
      <c r="J727" s="18">
        <v>5</v>
      </c>
      <c r="K727" s="16">
        <v>183.76</v>
      </c>
      <c r="L727" s="10"/>
      <c r="M727" s="16">
        <v>0</v>
      </c>
      <c r="N727" s="16">
        <v>0</v>
      </c>
      <c r="O727" s="18">
        <v>0</v>
      </c>
      <c r="P727" s="18" t="s">
        <v>95</v>
      </c>
      <c r="Q727" s="18">
        <v>5.219058</v>
      </c>
      <c r="R727" s="16">
        <v>18.38</v>
      </c>
      <c r="S727" s="16">
        <v>42</v>
      </c>
      <c r="T727" s="16">
        <v>10</v>
      </c>
      <c r="U727" s="18" t="s">
        <v>568</v>
      </c>
      <c r="V727" s="18" t="s">
        <v>335</v>
      </c>
      <c r="W727" s="18" t="s">
        <v>2716</v>
      </c>
      <c r="X727" s="13"/>
      <c r="Y727" s="18" t="s">
        <v>81</v>
      </c>
      <c r="Z727" s="18" t="s">
        <v>160</v>
      </c>
      <c r="AA727" s="18" t="s">
        <v>83</v>
      </c>
      <c r="AB727" s="18" t="s">
        <v>84</v>
      </c>
      <c r="AC727" s="18" t="s">
        <v>85</v>
      </c>
      <c r="AD727" s="18">
        <v>362.52</v>
      </c>
      <c r="AE727" s="18">
        <v>0</v>
      </c>
      <c r="AF727" s="18">
        <v>0</v>
      </c>
      <c r="AG727" s="18">
        <v>0</v>
      </c>
      <c r="AH727" s="18">
        <v>1</v>
      </c>
      <c r="AI727" s="18">
        <v>0</v>
      </c>
      <c r="AJ727" s="18">
        <v>0</v>
      </c>
      <c r="AK727" s="18">
        <v>0</v>
      </c>
      <c r="AL727" s="18">
        <v>0</v>
      </c>
      <c r="AM727" s="18">
        <v>0</v>
      </c>
      <c r="AN727" s="18">
        <v>0</v>
      </c>
      <c r="AO727" s="18">
        <v>0</v>
      </c>
      <c r="AP727" s="18">
        <v>0</v>
      </c>
      <c r="AQ727" s="18">
        <v>1</v>
      </c>
      <c r="AR727" s="18">
        <v>0</v>
      </c>
      <c r="AS727" s="18">
        <v>0</v>
      </c>
      <c r="AT727" s="18">
        <v>1</v>
      </c>
      <c r="AU727" s="18">
        <v>0</v>
      </c>
      <c r="AV727" s="18">
        <v>1</v>
      </c>
      <c r="AW727" s="18">
        <v>1</v>
      </c>
      <c r="AX727" s="18">
        <v>0</v>
      </c>
      <c r="AY727" s="18">
        <v>10</v>
      </c>
      <c r="AZ727" s="18">
        <v>1</v>
      </c>
      <c r="BA727" s="18">
        <v>3</v>
      </c>
      <c r="BB727" s="18">
        <v>60.75</v>
      </c>
      <c r="BC727" s="18" t="s">
        <v>336</v>
      </c>
      <c r="BD727" s="18" t="s">
        <v>337</v>
      </c>
      <c r="BE727" s="18" t="s">
        <v>76</v>
      </c>
      <c r="BF727" s="18" t="s">
        <v>77</v>
      </c>
      <c r="BG727" s="18">
        <v>167</v>
      </c>
      <c r="BH727" s="18">
        <v>54</v>
      </c>
      <c r="BI727" s="18">
        <v>0.7557</v>
      </c>
      <c r="BJ727" s="18">
        <v>0</v>
      </c>
      <c r="BK727" s="18">
        <v>19</v>
      </c>
      <c r="BL727" s="18">
        <v>94.8</v>
      </c>
      <c r="BM727" s="13">
        <f t="shared" si="0"/>
        <v>7717.92</v>
      </c>
    </row>
    <row r="728" customHeight="1" spans="1:65">
      <c r="A728" s="18" t="s">
        <v>461</v>
      </c>
      <c r="B728" s="18" t="s">
        <v>335</v>
      </c>
      <c r="C728" s="13"/>
      <c r="D728" s="13"/>
      <c r="E728" s="18" t="s">
        <v>449</v>
      </c>
      <c r="F728" s="18" t="s">
        <v>462</v>
      </c>
      <c r="G728" s="18" t="s">
        <v>83</v>
      </c>
      <c r="H728" s="18" t="s">
        <v>84</v>
      </c>
      <c r="I728" s="18" t="s">
        <v>108</v>
      </c>
      <c r="J728" s="18">
        <v>3</v>
      </c>
      <c r="K728" s="16">
        <v>189.99</v>
      </c>
      <c r="L728" s="16">
        <v>199.99</v>
      </c>
      <c r="M728" s="16">
        <v>5</v>
      </c>
      <c r="N728" s="16">
        <v>10</v>
      </c>
      <c r="O728" s="18">
        <v>1</v>
      </c>
      <c r="P728" s="18" t="s">
        <v>95</v>
      </c>
      <c r="Q728" s="18">
        <v>5.252221</v>
      </c>
      <c r="R728" s="10"/>
      <c r="S728" s="16">
        <v>3</v>
      </c>
      <c r="T728" s="16">
        <v>10</v>
      </c>
      <c r="U728" s="18" t="s">
        <v>461</v>
      </c>
      <c r="V728" s="18" t="s">
        <v>335</v>
      </c>
      <c r="W728" s="13"/>
      <c r="X728" s="13"/>
      <c r="Y728" s="18" t="s">
        <v>449</v>
      </c>
      <c r="Z728" s="18" t="s">
        <v>462</v>
      </c>
      <c r="AA728" s="18" t="s">
        <v>83</v>
      </c>
      <c r="AB728" s="18" t="s">
        <v>84</v>
      </c>
      <c r="AC728" s="18" t="s">
        <v>108</v>
      </c>
      <c r="AD728" s="18">
        <v>-6.33266666666641</v>
      </c>
      <c r="AE728" s="18">
        <v>0</v>
      </c>
      <c r="AF728" s="18">
        <v>0</v>
      </c>
      <c r="AG728" s="18">
        <v>0</v>
      </c>
      <c r="AH728" s="18">
        <v>1</v>
      </c>
      <c r="AI728" s="18">
        <v>0</v>
      </c>
      <c r="AJ728" s="18">
        <v>0</v>
      </c>
      <c r="AK728" s="18">
        <v>0</v>
      </c>
      <c r="AL728" s="18">
        <v>0</v>
      </c>
      <c r="AM728" s="18">
        <v>0</v>
      </c>
      <c r="AN728" s="18">
        <v>1</v>
      </c>
      <c r="AO728" s="18">
        <v>0</v>
      </c>
      <c r="AP728" s="18">
        <v>0</v>
      </c>
      <c r="AQ728" s="18">
        <v>1</v>
      </c>
      <c r="AR728" s="18">
        <v>0</v>
      </c>
      <c r="AS728" s="18">
        <v>0</v>
      </c>
      <c r="AT728" s="18">
        <v>1</v>
      </c>
      <c r="AU728" s="18">
        <v>0</v>
      </c>
      <c r="AV728" s="18">
        <v>1</v>
      </c>
      <c r="AW728" s="18">
        <v>1</v>
      </c>
      <c r="AX728" s="18">
        <v>0</v>
      </c>
      <c r="AY728" s="13"/>
      <c r="AZ728" s="18">
        <v>1</v>
      </c>
      <c r="BA728" s="18">
        <v>4</v>
      </c>
      <c r="BB728" s="18">
        <v>38.93</v>
      </c>
      <c r="BC728" s="18" t="s">
        <v>336</v>
      </c>
      <c r="BD728" s="18" t="s">
        <v>337</v>
      </c>
      <c r="BE728" s="18" t="s">
        <v>76</v>
      </c>
      <c r="BF728" s="18" t="s">
        <v>77</v>
      </c>
      <c r="BG728" s="18">
        <v>168</v>
      </c>
      <c r="BH728" s="18">
        <v>52</v>
      </c>
      <c r="BI728" s="18">
        <v>0.7636</v>
      </c>
      <c r="BJ728" s="18">
        <v>0</v>
      </c>
      <c r="BK728" s="18">
        <v>22</v>
      </c>
      <c r="BL728" s="18">
        <v>94</v>
      </c>
      <c r="BM728" s="13">
        <f t="shared" si="0"/>
        <v>569.97</v>
      </c>
    </row>
    <row r="729" customHeight="1" spans="1:65">
      <c r="A729" s="18" t="s">
        <v>971</v>
      </c>
      <c r="B729" s="18" t="s">
        <v>335</v>
      </c>
      <c r="C729" s="18" t="s">
        <v>972</v>
      </c>
      <c r="D729" s="13"/>
      <c r="E729" s="18" t="s">
        <v>449</v>
      </c>
      <c r="F729" s="18" t="s">
        <v>82</v>
      </c>
      <c r="G729" s="18" t="s">
        <v>83</v>
      </c>
      <c r="H729" s="18" t="s">
        <v>84</v>
      </c>
      <c r="I729" s="18" t="s">
        <v>85</v>
      </c>
      <c r="J729" s="18">
        <v>5</v>
      </c>
      <c r="K729" s="16">
        <v>156.59</v>
      </c>
      <c r="L729" s="16">
        <v>179.99</v>
      </c>
      <c r="M729" s="16">
        <v>13</v>
      </c>
      <c r="N729" s="16">
        <v>23.4</v>
      </c>
      <c r="O729" s="18">
        <v>1</v>
      </c>
      <c r="P729" s="18" t="s">
        <v>95</v>
      </c>
      <c r="Q729" s="18">
        <v>5.059997</v>
      </c>
      <c r="R729" s="10"/>
      <c r="S729" s="16">
        <v>4</v>
      </c>
      <c r="T729" s="16">
        <v>10</v>
      </c>
      <c r="U729" s="18" t="s">
        <v>2717</v>
      </c>
      <c r="V729" s="18" t="s">
        <v>335</v>
      </c>
      <c r="W729" s="18" t="s">
        <v>972</v>
      </c>
      <c r="X729" s="13"/>
      <c r="Y729" s="18" t="s">
        <v>449</v>
      </c>
      <c r="Z729" s="18" t="s">
        <v>82</v>
      </c>
      <c r="AA729" s="18" t="s">
        <v>83</v>
      </c>
      <c r="AB729" s="18" t="s">
        <v>84</v>
      </c>
      <c r="AC729" s="18" t="s">
        <v>85</v>
      </c>
      <c r="AD729" s="18">
        <v>4.50733333333339</v>
      </c>
      <c r="AE729" s="18">
        <v>0</v>
      </c>
      <c r="AF729" s="18">
        <v>0</v>
      </c>
      <c r="AG729" s="18">
        <v>1</v>
      </c>
      <c r="AH729" s="18">
        <v>0</v>
      </c>
      <c r="AI729" s="18">
        <v>1</v>
      </c>
      <c r="AJ729" s="18">
        <v>0</v>
      </c>
      <c r="AK729" s="18">
        <v>1</v>
      </c>
      <c r="AL729" s="18">
        <v>0</v>
      </c>
      <c r="AM729" s="18">
        <v>0</v>
      </c>
      <c r="AN729" s="18">
        <v>0</v>
      </c>
      <c r="AO729" s="18">
        <v>0</v>
      </c>
      <c r="AP729" s="18">
        <v>0</v>
      </c>
      <c r="AQ729" s="18">
        <v>0</v>
      </c>
      <c r="AR729" s="18">
        <v>0</v>
      </c>
      <c r="AS729" s="18">
        <v>0</v>
      </c>
      <c r="AT729" s="18">
        <v>1</v>
      </c>
      <c r="AU729" s="18">
        <v>0</v>
      </c>
      <c r="AV729" s="18">
        <v>0</v>
      </c>
      <c r="AW729" s="18">
        <v>0</v>
      </c>
      <c r="AX729" s="18">
        <v>0</v>
      </c>
      <c r="AY729" s="13"/>
      <c r="AZ729" s="18">
        <v>1</v>
      </c>
      <c r="BA729" s="18">
        <v>2</v>
      </c>
      <c r="BB729" s="18">
        <v>43.77</v>
      </c>
      <c r="BC729" s="18" t="s">
        <v>336</v>
      </c>
      <c r="BD729" s="18" t="s">
        <v>337</v>
      </c>
      <c r="BE729" s="18" t="s">
        <v>76</v>
      </c>
      <c r="BF729" s="18" t="s">
        <v>77</v>
      </c>
      <c r="BG729" s="18">
        <v>168</v>
      </c>
      <c r="BH729" s="18">
        <v>53</v>
      </c>
      <c r="BI729" s="18">
        <v>0.7602</v>
      </c>
      <c r="BJ729" s="18">
        <v>0</v>
      </c>
      <c r="BK729" s="18">
        <v>19</v>
      </c>
      <c r="BL729" s="18">
        <v>94.8</v>
      </c>
      <c r="BM729" s="13">
        <f t="shared" si="0"/>
        <v>626.36</v>
      </c>
    </row>
    <row r="730" customHeight="1" spans="1:65">
      <c r="A730" s="18" t="s">
        <v>2506</v>
      </c>
      <c r="B730" s="18" t="s">
        <v>658</v>
      </c>
      <c r="C730" s="18" t="s">
        <v>2507</v>
      </c>
      <c r="D730" s="13"/>
      <c r="E730" s="19" t="s">
        <v>2508</v>
      </c>
      <c r="F730" s="18" t="s">
        <v>82</v>
      </c>
      <c r="G730" s="18" t="s">
        <v>83</v>
      </c>
      <c r="H730" s="18" t="s">
        <v>84</v>
      </c>
      <c r="I730" s="18" t="s">
        <v>85</v>
      </c>
      <c r="J730" s="18">
        <v>5</v>
      </c>
      <c r="K730" s="16">
        <v>86.9</v>
      </c>
      <c r="L730" s="10"/>
      <c r="M730" s="16">
        <v>0</v>
      </c>
      <c r="N730" s="16">
        <v>0</v>
      </c>
      <c r="O730" s="18">
        <v>0</v>
      </c>
      <c r="P730" s="18" t="s">
        <v>95</v>
      </c>
      <c r="Q730" s="18">
        <v>4.4762</v>
      </c>
      <c r="R730" s="10"/>
      <c r="S730" s="16">
        <v>6</v>
      </c>
      <c r="T730" s="16">
        <v>4</v>
      </c>
      <c r="U730" s="18" t="s">
        <v>2718</v>
      </c>
      <c r="V730" s="18" t="s">
        <v>658</v>
      </c>
      <c r="W730" s="18" t="s">
        <v>2507</v>
      </c>
      <c r="X730" s="13"/>
      <c r="Y730" s="19" t="s">
        <v>2508</v>
      </c>
      <c r="Z730" s="18" t="s">
        <v>82</v>
      </c>
      <c r="AA730" s="18" t="s">
        <v>83</v>
      </c>
      <c r="AB730" s="18" t="s">
        <v>84</v>
      </c>
      <c r="AC730" s="18" t="s">
        <v>85</v>
      </c>
      <c r="AD730" s="18">
        <v>168.8</v>
      </c>
      <c r="AE730" s="18">
        <v>0</v>
      </c>
      <c r="AF730" s="18">
        <v>0</v>
      </c>
      <c r="AG730" s="18">
        <v>1</v>
      </c>
      <c r="AH730" s="18">
        <v>0</v>
      </c>
      <c r="AI730" s="18">
        <v>1</v>
      </c>
      <c r="AJ730" s="18">
        <v>0</v>
      </c>
      <c r="AK730" s="18">
        <v>0</v>
      </c>
      <c r="AL730" s="18">
        <v>0</v>
      </c>
      <c r="AM730" s="18">
        <v>0</v>
      </c>
      <c r="AN730" s="18">
        <v>0</v>
      </c>
      <c r="AO730" s="18">
        <v>0</v>
      </c>
      <c r="AP730" s="18">
        <v>0</v>
      </c>
      <c r="AQ730" s="18">
        <v>0</v>
      </c>
      <c r="AR730" s="18">
        <v>0</v>
      </c>
      <c r="AS730" s="18">
        <v>0</v>
      </c>
      <c r="AT730" s="18">
        <v>1</v>
      </c>
      <c r="AU730" s="18">
        <v>0</v>
      </c>
      <c r="AV730" s="18">
        <v>0</v>
      </c>
      <c r="AW730" s="18">
        <v>0</v>
      </c>
      <c r="AX730" s="18">
        <v>0</v>
      </c>
      <c r="AY730" s="13"/>
      <c r="AZ730" s="18">
        <v>1</v>
      </c>
      <c r="BA730" s="18">
        <v>1</v>
      </c>
      <c r="BB730" s="18">
        <v>24</v>
      </c>
      <c r="BC730" s="18" t="s">
        <v>2509</v>
      </c>
      <c r="BD730" s="13"/>
      <c r="BE730" s="13"/>
      <c r="BF730" s="13"/>
      <c r="BG730" s="18">
        <v>0</v>
      </c>
      <c r="BH730" s="18">
        <v>0</v>
      </c>
      <c r="BI730" s="13"/>
      <c r="BJ730" s="18">
        <v>0</v>
      </c>
      <c r="BK730" s="13"/>
      <c r="BL730" s="13"/>
      <c r="BM730" s="13">
        <f t="shared" si="0"/>
        <v>521.4</v>
      </c>
    </row>
    <row r="731" customHeight="1" spans="1:65">
      <c r="A731" s="18" t="s">
        <v>2510</v>
      </c>
      <c r="B731" s="18" t="s">
        <v>2511</v>
      </c>
      <c r="C731" s="18" t="s">
        <v>2512</v>
      </c>
      <c r="D731" s="18">
        <v>850009357519</v>
      </c>
      <c r="E731" s="18" t="s">
        <v>2513</v>
      </c>
      <c r="F731" s="18" t="s">
        <v>68</v>
      </c>
      <c r="G731" s="18" t="s">
        <v>83</v>
      </c>
      <c r="H731" s="18" t="s">
        <v>84</v>
      </c>
      <c r="I731" s="18" t="s">
        <v>85</v>
      </c>
      <c r="J731" s="18">
        <v>5</v>
      </c>
      <c r="K731" s="16">
        <v>599</v>
      </c>
      <c r="L731" s="10"/>
      <c r="M731" s="16">
        <v>0</v>
      </c>
      <c r="N731" s="16">
        <v>0</v>
      </c>
      <c r="O731" s="18">
        <v>0</v>
      </c>
      <c r="P731" s="18" t="s">
        <v>147</v>
      </c>
      <c r="Q731" s="18">
        <v>6.39693</v>
      </c>
      <c r="R731" s="10"/>
      <c r="S731" s="16">
        <v>9</v>
      </c>
      <c r="T731" s="16">
        <v>10</v>
      </c>
      <c r="U731" s="18" t="s">
        <v>2510</v>
      </c>
      <c r="V731" s="18" t="s">
        <v>2511</v>
      </c>
      <c r="W731" s="18" t="s">
        <v>2512</v>
      </c>
      <c r="X731" s="18">
        <v>850009357520</v>
      </c>
      <c r="Y731" s="18" t="s">
        <v>2513</v>
      </c>
      <c r="Z731" s="18" t="s">
        <v>68</v>
      </c>
      <c r="AA731" s="18" t="s">
        <v>83</v>
      </c>
      <c r="AB731" s="18" t="s">
        <v>84</v>
      </c>
      <c r="AC731" s="18" t="s">
        <v>85</v>
      </c>
      <c r="AD731" s="18">
        <v>1193</v>
      </c>
      <c r="AE731" s="18">
        <v>0</v>
      </c>
      <c r="AF731" s="18">
        <v>0</v>
      </c>
      <c r="AG731" s="18">
        <v>1</v>
      </c>
      <c r="AH731" s="18">
        <v>0</v>
      </c>
      <c r="AI731" s="18">
        <v>1</v>
      </c>
      <c r="AJ731" s="18">
        <v>0</v>
      </c>
      <c r="AK731" s="18">
        <v>1</v>
      </c>
      <c r="AL731" s="18">
        <v>0</v>
      </c>
      <c r="AM731" s="18">
        <v>0</v>
      </c>
      <c r="AN731" s="18">
        <v>0</v>
      </c>
      <c r="AO731" s="18">
        <v>0</v>
      </c>
      <c r="AP731" s="18">
        <v>0</v>
      </c>
      <c r="AQ731" s="18">
        <v>0</v>
      </c>
      <c r="AR731" s="18">
        <v>0</v>
      </c>
      <c r="AS731" s="18">
        <v>0</v>
      </c>
      <c r="AT731" s="18">
        <v>0</v>
      </c>
      <c r="AU731" s="18">
        <v>0</v>
      </c>
      <c r="AV731" s="18">
        <v>0</v>
      </c>
      <c r="AW731" s="18">
        <v>0</v>
      </c>
      <c r="AX731" s="18">
        <v>0</v>
      </c>
      <c r="AY731" s="13"/>
      <c r="AZ731" s="18">
        <v>1</v>
      </c>
      <c r="BA731" s="18">
        <v>1</v>
      </c>
      <c r="BB731" s="18">
        <v>48.29</v>
      </c>
      <c r="BC731" s="18" t="s">
        <v>2514</v>
      </c>
      <c r="BD731" s="13"/>
      <c r="BE731" s="13"/>
      <c r="BF731" s="13"/>
      <c r="BG731" s="18">
        <v>0</v>
      </c>
      <c r="BH731" s="18">
        <v>0</v>
      </c>
      <c r="BI731" s="13"/>
      <c r="BJ731" s="18">
        <v>0</v>
      </c>
      <c r="BK731" s="18">
        <v>8</v>
      </c>
      <c r="BL731" s="18">
        <v>97.8</v>
      </c>
      <c r="BM731" s="13">
        <f t="shared" si="0"/>
        <v>5391</v>
      </c>
    </row>
    <row r="732" customHeight="1" spans="1:65">
      <c r="A732" s="18" t="s">
        <v>2518</v>
      </c>
      <c r="B732" s="18" t="s">
        <v>1768</v>
      </c>
      <c r="C732" s="13"/>
      <c r="D732" s="13"/>
      <c r="E732" s="18" t="s">
        <v>239</v>
      </c>
      <c r="F732" s="18" t="s">
        <v>240</v>
      </c>
      <c r="G732" s="18" t="s">
        <v>83</v>
      </c>
      <c r="H732" s="18" t="s">
        <v>84</v>
      </c>
      <c r="I732" s="18" t="s">
        <v>153</v>
      </c>
      <c r="J732" s="18">
        <v>2</v>
      </c>
      <c r="K732" s="16">
        <v>100</v>
      </c>
      <c r="L732" s="10"/>
      <c r="M732" s="16">
        <v>0</v>
      </c>
      <c r="N732" s="16">
        <v>0</v>
      </c>
      <c r="O732" s="18">
        <v>0</v>
      </c>
      <c r="P732" s="18" t="s">
        <v>95</v>
      </c>
      <c r="Q732" s="18">
        <v>4.615121</v>
      </c>
      <c r="R732" s="16">
        <v>25</v>
      </c>
      <c r="S732" s="10"/>
      <c r="T732" s="10"/>
      <c r="U732" s="18" t="s">
        <v>2518</v>
      </c>
      <c r="V732" s="18" t="s">
        <v>1768</v>
      </c>
      <c r="W732" s="13"/>
      <c r="X732" s="13"/>
      <c r="Y732" s="18" t="s">
        <v>239</v>
      </c>
      <c r="Z732" s="18" t="s">
        <v>240</v>
      </c>
      <c r="AA732" s="18" t="s">
        <v>83</v>
      </c>
      <c r="AB732" s="18" t="s">
        <v>84</v>
      </c>
      <c r="AC732" s="18" t="s">
        <v>153</v>
      </c>
      <c r="AD732" s="18">
        <v>198</v>
      </c>
      <c r="AE732" s="18">
        <v>0</v>
      </c>
      <c r="AF732" s="18">
        <v>0</v>
      </c>
      <c r="AG732" s="18">
        <v>0</v>
      </c>
      <c r="AH732" s="18">
        <v>0</v>
      </c>
      <c r="AI732" s="18">
        <v>0</v>
      </c>
      <c r="AJ732" s="18">
        <v>0</v>
      </c>
      <c r="AK732" s="18">
        <v>0</v>
      </c>
      <c r="AL732" s="18">
        <v>0</v>
      </c>
      <c r="AM732" s="18">
        <v>0</v>
      </c>
      <c r="AN732" s="18">
        <v>0</v>
      </c>
      <c r="AO732" s="18">
        <v>0</v>
      </c>
      <c r="AP732" s="18">
        <v>0</v>
      </c>
      <c r="AQ732" s="18">
        <v>0</v>
      </c>
      <c r="AR732" s="18">
        <v>0</v>
      </c>
      <c r="AS732" s="18">
        <v>0</v>
      </c>
      <c r="AT732" s="18">
        <v>0</v>
      </c>
      <c r="AU732" s="18">
        <v>0</v>
      </c>
      <c r="AV732" s="18">
        <v>0</v>
      </c>
      <c r="AW732" s="18">
        <v>0</v>
      </c>
      <c r="AX732" s="18">
        <v>0</v>
      </c>
      <c r="AY732" s="18">
        <v>4</v>
      </c>
      <c r="AZ732" s="18">
        <v>1</v>
      </c>
      <c r="BA732" s="18">
        <v>0</v>
      </c>
      <c r="BB732" s="18">
        <v>0</v>
      </c>
      <c r="BC732" s="18" t="s">
        <v>2519</v>
      </c>
      <c r="BD732" s="18" t="s">
        <v>2520</v>
      </c>
      <c r="BE732" s="18" t="s">
        <v>262</v>
      </c>
      <c r="BF732" s="18" t="s">
        <v>77</v>
      </c>
      <c r="BG732" s="18">
        <v>168</v>
      </c>
      <c r="BH732" s="18">
        <v>11</v>
      </c>
      <c r="BI732" s="18">
        <v>0.9385</v>
      </c>
      <c r="BJ732" s="18">
        <v>0</v>
      </c>
      <c r="BK732" s="13"/>
      <c r="BL732" s="13"/>
      <c r="BM732" s="13">
        <f t="shared" si="0"/>
        <v>0</v>
      </c>
    </row>
    <row r="733" customHeight="1" spans="1:65">
      <c r="A733" s="19" t="s">
        <v>2035</v>
      </c>
      <c r="B733" s="18" t="s">
        <v>339</v>
      </c>
      <c r="C733" s="13"/>
      <c r="D733" s="13"/>
      <c r="E733" s="18" t="s">
        <v>2036</v>
      </c>
      <c r="F733" s="18" t="s">
        <v>132</v>
      </c>
      <c r="G733" s="18" t="s">
        <v>83</v>
      </c>
      <c r="H733" s="18" t="s">
        <v>84</v>
      </c>
      <c r="I733" s="18" t="s">
        <v>85</v>
      </c>
      <c r="J733" s="18">
        <v>5</v>
      </c>
      <c r="K733" s="16">
        <v>299.95</v>
      </c>
      <c r="L733" s="10"/>
      <c r="M733" s="16">
        <v>0</v>
      </c>
      <c r="N733" s="16">
        <v>0</v>
      </c>
      <c r="O733" s="18">
        <v>0</v>
      </c>
      <c r="P733" s="18" t="s">
        <v>71</v>
      </c>
      <c r="Q733" s="18">
        <v>5.706944</v>
      </c>
      <c r="R733" s="10"/>
      <c r="S733" s="16">
        <v>6</v>
      </c>
      <c r="T733" s="16">
        <v>1</v>
      </c>
      <c r="U733" s="18" t="s">
        <v>2035</v>
      </c>
      <c r="V733" s="18" t="s">
        <v>339</v>
      </c>
      <c r="W733" s="13"/>
      <c r="X733" s="13"/>
      <c r="Y733" s="18" t="s">
        <v>2036</v>
      </c>
      <c r="Z733" s="18" t="s">
        <v>132</v>
      </c>
      <c r="AA733" s="18" t="s">
        <v>83</v>
      </c>
      <c r="AB733" s="18" t="s">
        <v>84</v>
      </c>
      <c r="AC733" s="18" t="s">
        <v>85</v>
      </c>
      <c r="AD733" s="18">
        <v>594.9</v>
      </c>
      <c r="AE733" s="18">
        <v>0</v>
      </c>
      <c r="AF733" s="18">
        <v>0</v>
      </c>
      <c r="AG733" s="18">
        <v>0</v>
      </c>
      <c r="AH733" s="18">
        <v>1</v>
      </c>
      <c r="AI733" s="18">
        <v>0</v>
      </c>
      <c r="AJ733" s="18">
        <v>1</v>
      </c>
      <c r="AK733" s="18">
        <v>0</v>
      </c>
      <c r="AL733" s="18">
        <v>0</v>
      </c>
      <c r="AM733" s="18">
        <v>0</v>
      </c>
      <c r="AN733" s="18">
        <v>0</v>
      </c>
      <c r="AO733" s="18">
        <v>0</v>
      </c>
      <c r="AP733" s="18">
        <v>0</v>
      </c>
      <c r="AQ733" s="18">
        <v>0</v>
      </c>
      <c r="AR733" s="18">
        <v>0</v>
      </c>
      <c r="AS733" s="18">
        <v>0</v>
      </c>
      <c r="AT733" s="18">
        <v>0</v>
      </c>
      <c r="AU733" s="18">
        <v>0</v>
      </c>
      <c r="AV733" s="18">
        <v>0</v>
      </c>
      <c r="AW733" s="18">
        <v>1</v>
      </c>
      <c r="AX733" s="18">
        <v>0</v>
      </c>
      <c r="AY733" s="13"/>
      <c r="AZ733" s="18">
        <v>1</v>
      </c>
      <c r="BA733" s="18">
        <v>1</v>
      </c>
      <c r="BB733" s="18">
        <v>60.02</v>
      </c>
      <c r="BC733" s="18" t="s">
        <v>341</v>
      </c>
      <c r="BD733" s="18" t="s">
        <v>342</v>
      </c>
      <c r="BE733" s="18" t="s">
        <v>76</v>
      </c>
      <c r="BF733" s="18" t="s">
        <v>77</v>
      </c>
      <c r="BG733" s="18">
        <v>169</v>
      </c>
      <c r="BH733" s="18">
        <v>11</v>
      </c>
      <c r="BI733" s="18">
        <v>0.9389</v>
      </c>
      <c r="BJ733" s="18">
        <v>0</v>
      </c>
      <c r="BK733" s="18">
        <v>52</v>
      </c>
      <c r="BL733" s="18">
        <v>85.8</v>
      </c>
      <c r="BM733" s="13">
        <f t="shared" si="0"/>
        <v>1799.7</v>
      </c>
    </row>
    <row r="734" customHeight="1" spans="1:65">
      <c r="A734" s="19" t="s">
        <v>338</v>
      </c>
      <c r="B734" s="18" t="s">
        <v>339</v>
      </c>
      <c r="C734" s="13"/>
      <c r="D734" s="13"/>
      <c r="E734" s="18" t="s">
        <v>340</v>
      </c>
      <c r="F734" s="18" t="s">
        <v>198</v>
      </c>
      <c r="G734" s="18" t="s">
        <v>83</v>
      </c>
      <c r="H734" s="18" t="s">
        <v>84</v>
      </c>
      <c r="I734" s="18" t="s">
        <v>153</v>
      </c>
      <c r="J734" s="18">
        <v>2</v>
      </c>
      <c r="K734" s="16">
        <v>179.95</v>
      </c>
      <c r="L734" s="10"/>
      <c r="M734" s="16">
        <v>0</v>
      </c>
      <c r="N734" s="16">
        <v>0</v>
      </c>
      <c r="O734" s="18">
        <v>0</v>
      </c>
      <c r="P734" s="18" t="s">
        <v>95</v>
      </c>
      <c r="Q734" s="18">
        <v>5.198221</v>
      </c>
      <c r="R734" s="10"/>
      <c r="S734" s="16">
        <v>6</v>
      </c>
      <c r="T734" s="16">
        <v>4</v>
      </c>
      <c r="U734" s="19" t="s">
        <v>338</v>
      </c>
      <c r="V734" s="18" t="s">
        <v>339</v>
      </c>
      <c r="W734" s="13"/>
      <c r="X734" s="13"/>
      <c r="Y734" s="18" t="s">
        <v>340</v>
      </c>
      <c r="Z734" s="18" t="s">
        <v>198</v>
      </c>
      <c r="AA734" s="18" t="s">
        <v>83</v>
      </c>
      <c r="AB734" s="18" t="s">
        <v>84</v>
      </c>
      <c r="AC734" s="18" t="s">
        <v>153</v>
      </c>
      <c r="AD734" s="18">
        <v>357.9</v>
      </c>
      <c r="AE734" s="18">
        <v>0</v>
      </c>
      <c r="AF734" s="18">
        <v>0</v>
      </c>
      <c r="AG734" s="18">
        <v>0</v>
      </c>
      <c r="AH734" s="18">
        <v>1</v>
      </c>
      <c r="AI734" s="18">
        <v>0</v>
      </c>
      <c r="AJ734" s="18">
        <v>1</v>
      </c>
      <c r="AK734" s="18">
        <v>0</v>
      </c>
      <c r="AL734" s="18">
        <v>0</v>
      </c>
      <c r="AM734" s="18">
        <v>0</v>
      </c>
      <c r="AN734" s="18">
        <v>0</v>
      </c>
      <c r="AO734" s="18">
        <v>0</v>
      </c>
      <c r="AP734" s="18">
        <v>0</v>
      </c>
      <c r="AQ734" s="18">
        <v>0</v>
      </c>
      <c r="AR734" s="18">
        <v>0</v>
      </c>
      <c r="AS734" s="18">
        <v>0</v>
      </c>
      <c r="AT734" s="18">
        <v>0</v>
      </c>
      <c r="AU734" s="18">
        <v>0</v>
      </c>
      <c r="AV734" s="18">
        <v>0</v>
      </c>
      <c r="AW734" s="18">
        <v>0</v>
      </c>
      <c r="AX734" s="18">
        <v>0</v>
      </c>
      <c r="AY734" s="13"/>
      <c r="AZ734" s="18">
        <v>1</v>
      </c>
      <c r="BA734" s="18">
        <v>1</v>
      </c>
      <c r="BB734" s="18">
        <v>49.8</v>
      </c>
      <c r="BC734" s="18" t="s">
        <v>341</v>
      </c>
      <c r="BD734" s="18" t="s">
        <v>342</v>
      </c>
      <c r="BE734" s="18" t="s">
        <v>76</v>
      </c>
      <c r="BF734" s="18" t="s">
        <v>77</v>
      </c>
      <c r="BG734" s="18">
        <v>168</v>
      </c>
      <c r="BH734" s="18">
        <v>11</v>
      </c>
      <c r="BI734" s="18">
        <v>0.9385</v>
      </c>
      <c r="BJ734" s="18">
        <v>0</v>
      </c>
      <c r="BK734" s="18">
        <v>51</v>
      </c>
      <c r="BL734" s="18">
        <v>86</v>
      </c>
      <c r="BM734" s="13">
        <f t="shared" si="0"/>
        <v>1079.7</v>
      </c>
    </row>
    <row r="735" customHeight="1" spans="1:65">
      <c r="A735" s="18" t="s">
        <v>343</v>
      </c>
      <c r="B735" s="18" t="s">
        <v>344</v>
      </c>
      <c r="C735" s="18" t="s">
        <v>345</v>
      </c>
      <c r="D735" s="13"/>
      <c r="E735" s="18" t="s">
        <v>81</v>
      </c>
      <c r="F735" s="18" t="s">
        <v>82</v>
      </c>
      <c r="G735" s="18" t="s">
        <v>346</v>
      </c>
      <c r="H735" s="18" t="s">
        <v>107</v>
      </c>
      <c r="I735" s="18" t="s">
        <v>85</v>
      </c>
      <c r="J735" s="18">
        <v>5</v>
      </c>
      <c r="K735" s="16">
        <v>65.99</v>
      </c>
      <c r="L735" s="10"/>
      <c r="M735" s="16">
        <v>0</v>
      </c>
      <c r="N735" s="16">
        <v>0</v>
      </c>
      <c r="O735" s="18">
        <v>0</v>
      </c>
      <c r="P735" s="18" t="s">
        <v>86</v>
      </c>
      <c r="Q735" s="18">
        <v>4.204543</v>
      </c>
      <c r="R735" s="10"/>
      <c r="S735" s="16">
        <v>120</v>
      </c>
      <c r="T735" s="16">
        <v>7</v>
      </c>
      <c r="U735" s="18" t="s">
        <v>343</v>
      </c>
      <c r="V735" s="18" t="s">
        <v>344</v>
      </c>
      <c r="W735" s="18" t="s">
        <v>345</v>
      </c>
      <c r="X735" s="13"/>
      <c r="Y735" s="18" t="s">
        <v>81</v>
      </c>
      <c r="Z735" s="18" t="s">
        <v>82</v>
      </c>
      <c r="AA735" s="18" t="s">
        <v>346</v>
      </c>
      <c r="AB735" s="18" t="s">
        <v>107</v>
      </c>
      <c r="AC735" s="18" t="s">
        <v>85</v>
      </c>
      <c r="AD735" s="18">
        <v>126.98</v>
      </c>
      <c r="AE735" s="18">
        <v>0</v>
      </c>
      <c r="AF735" s="18">
        <v>0</v>
      </c>
      <c r="AG735" s="18">
        <v>0</v>
      </c>
      <c r="AH735" s="18">
        <v>0</v>
      </c>
      <c r="AI735" s="18">
        <v>0</v>
      </c>
      <c r="AJ735" s="18">
        <v>0</v>
      </c>
      <c r="AK735" s="18">
        <v>0</v>
      </c>
      <c r="AL735" s="18">
        <v>0</v>
      </c>
      <c r="AM735" s="18">
        <v>0</v>
      </c>
      <c r="AN735" s="18">
        <v>0</v>
      </c>
      <c r="AO735" s="18">
        <v>0</v>
      </c>
      <c r="AP735" s="18">
        <v>0</v>
      </c>
      <c r="AQ735" s="18">
        <v>0</v>
      </c>
      <c r="AR735" s="18">
        <v>0</v>
      </c>
      <c r="AS735" s="18">
        <v>0</v>
      </c>
      <c r="AT735" s="18">
        <v>0</v>
      </c>
      <c r="AU735" s="18">
        <v>0</v>
      </c>
      <c r="AV735" s="18">
        <v>0</v>
      </c>
      <c r="AW735" s="18">
        <v>0</v>
      </c>
      <c r="AX735" s="18">
        <v>0</v>
      </c>
      <c r="AY735" s="13"/>
      <c r="AZ735" s="18">
        <v>1</v>
      </c>
      <c r="BA735" s="18">
        <v>1</v>
      </c>
      <c r="BB735" s="18">
        <v>67.14</v>
      </c>
      <c r="BC735" s="18" t="s">
        <v>347</v>
      </c>
      <c r="BD735" s="18" t="s">
        <v>348</v>
      </c>
      <c r="BE735" s="18" t="s">
        <v>150</v>
      </c>
      <c r="BF735" s="18" t="s">
        <v>77</v>
      </c>
      <c r="BG735" s="18">
        <v>1</v>
      </c>
      <c r="BH735" s="18">
        <v>51</v>
      </c>
      <c r="BI735" s="18">
        <v>0.0192</v>
      </c>
      <c r="BJ735" s="18">
        <v>1</v>
      </c>
      <c r="BK735" s="18">
        <v>8</v>
      </c>
      <c r="BL735" s="18">
        <v>97.8</v>
      </c>
      <c r="BM735" s="13">
        <f t="shared" si="0"/>
        <v>7918.8</v>
      </c>
    </row>
    <row r="736" customHeight="1" spans="1:65">
      <c r="A736" s="18" t="s">
        <v>349</v>
      </c>
      <c r="B736" s="18" t="s">
        <v>350</v>
      </c>
      <c r="C736" s="18" t="s">
        <v>351</v>
      </c>
      <c r="D736" s="13"/>
      <c r="E736" s="18" t="s">
        <v>250</v>
      </c>
      <c r="F736" s="18" t="s">
        <v>352</v>
      </c>
      <c r="G736" s="18" t="s">
        <v>83</v>
      </c>
      <c r="H736" s="18" t="s">
        <v>84</v>
      </c>
      <c r="I736" s="18" t="s">
        <v>85</v>
      </c>
      <c r="J736" s="18">
        <v>5</v>
      </c>
      <c r="K736" s="16">
        <v>21.95</v>
      </c>
      <c r="L736" s="10"/>
      <c r="M736" s="16">
        <v>0</v>
      </c>
      <c r="N736" s="16">
        <v>0</v>
      </c>
      <c r="O736" s="18">
        <v>0</v>
      </c>
      <c r="P736" s="18" t="s">
        <v>133</v>
      </c>
      <c r="Q736" s="18">
        <v>3.133318</v>
      </c>
      <c r="R736" s="10"/>
      <c r="S736" s="16">
        <v>2346</v>
      </c>
      <c r="T736" s="16">
        <v>10</v>
      </c>
      <c r="U736" s="18" t="s">
        <v>2719</v>
      </c>
      <c r="V736" s="18" t="s">
        <v>350</v>
      </c>
      <c r="W736" s="19" t="s">
        <v>2720</v>
      </c>
      <c r="X736" s="13"/>
      <c r="Y736" s="18" t="s">
        <v>250</v>
      </c>
      <c r="Z736" s="18" t="s">
        <v>352</v>
      </c>
      <c r="AA736" s="18" t="s">
        <v>83</v>
      </c>
      <c r="AB736" s="18" t="s">
        <v>84</v>
      </c>
      <c r="AC736" s="18" t="s">
        <v>85</v>
      </c>
      <c r="AD736" s="18">
        <v>38.9</v>
      </c>
      <c r="AE736" s="18">
        <v>0</v>
      </c>
      <c r="AF736" s="18">
        <v>0</v>
      </c>
      <c r="AG736" s="18">
        <v>0</v>
      </c>
      <c r="AH736" s="18">
        <v>0</v>
      </c>
      <c r="AI736" s="18">
        <v>0</v>
      </c>
      <c r="AJ736" s="18">
        <v>0</v>
      </c>
      <c r="AK736" s="18">
        <v>0</v>
      </c>
      <c r="AL736" s="18">
        <v>0</v>
      </c>
      <c r="AM736" s="18">
        <v>0</v>
      </c>
      <c r="AN736" s="18">
        <v>0</v>
      </c>
      <c r="AO736" s="18">
        <v>0</v>
      </c>
      <c r="AP736" s="18">
        <v>0</v>
      </c>
      <c r="AQ736" s="18">
        <v>0</v>
      </c>
      <c r="AR736" s="18">
        <v>0</v>
      </c>
      <c r="AS736" s="18">
        <v>0</v>
      </c>
      <c r="AT736" s="18">
        <v>0</v>
      </c>
      <c r="AU736" s="18">
        <v>0</v>
      </c>
      <c r="AV736" s="18">
        <v>0</v>
      </c>
      <c r="AW736" s="18">
        <v>1</v>
      </c>
      <c r="AX736" s="18">
        <v>0</v>
      </c>
      <c r="AY736" s="13"/>
      <c r="AZ736" s="18">
        <v>4</v>
      </c>
      <c r="BA736" s="18">
        <v>1</v>
      </c>
      <c r="BB736" s="18">
        <v>67.46</v>
      </c>
      <c r="BC736" s="18" t="s">
        <v>353</v>
      </c>
      <c r="BD736" s="18" t="s">
        <v>261</v>
      </c>
      <c r="BE736" s="18" t="s">
        <v>262</v>
      </c>
      <c r="BF736" s="18" t="s">
        <v>77</v>
      </c>
      <c r="BG736" s="18">
        <v>1</v>
      </c>
      <c r="BH736" s="18">
        <v>27</v>
      </c>
      <c r="BI736" s="18">
        <v>0.0357</v>
      </c>
      <c r="BJ736" s="18">
        <v>1</v>
      </c>
      <c r="BK736" s="18">
        <v>29</v>
      </c>
      <c r="BL736" s="18">
        <v>92.1</v>
      </c>
      <c r="BM736" s="13">
        <f t="shared" si="0"/>
        <v>51494.7</v>
      </c>
    </row>
    <row r="737" customHeight="1" spans="1:65">
      <c r="A737" s="18" t="s">
        <v>354</v>
      </c>
      <c r="B737" s="18" t="s">
        <v>125</v>
      </c>
      <c r="C737" s="13"/>
      <c r="D737" s="13"/>
      <c r="E737" s="18" t="s">
        <v>82</v>
      </c>
      <c r="F737" s="18" t="s">
        <v>82</v>
      </c>
      <c r="G737" s="18" t="s">
        <v>83</v>
      </c>
      <c r="H737" s="18" t="s">
        <v>138</v>
      </c>
      <c r="I737" s="18" t="s">
        <v>85</v>
      </c>
      <c r="J737" s="18">
        <v>5</v>
      </c>
      <c r="K737" s="16">
        <v>20.99</v>
      </c>
      <c r="L737" s="10"/>
      <c r="M737" s="16">
        <v>0</v>
      </c>
      <c r="N737" s="16">
        <v>0</v>
      </c>
      <c r="O737" s="18">
        <v>0</v>
      </c>
      <c r="P737" s="18" t="s">
        <v>133</v>
      </c>
      <c r="Q737" s="18">
        <v>3.090588</v>
      </c>
      <c r="R737" s="10"/>
      <c r="S737" s="16">
        <v>8</v>
      </c>
      <c r="T737" s="16">
        <v>7</v>
      </c>
      <c r="U737" s="18" t="s">
        <v>354</v>
      </c>
      <c r="V737" s="18" t="s">
        <v>125</v>
      </c>
      <c r="W737" s="13"/>
      <c r="X737" s="13"/>
      <c r="Y737" s="18" t="s">
        <v>82</v>
      </c>
      <c r="Z737" s="18" t="s">
        <v>82</v>
      </c>
      <c r="AA737" s="18" t="s">
        <v>83</v>
      </c>
      <c r="AB737" s="18" t="s">
        <v>138</v>
      </c>
      <c r="AC737" s="18" t="s">
        <v>85</v>
      </c>
      <c r="AD737" s="18">
        <v>36.98</v>
      </c>
      <c r="AE737" s="18">
        <v>0</v>
      </c>
      <c r="AF737" s="18">
        <v>0</v>
      </c>
      <c r="AG737" s="18">
        <v>0</v>
      </c>
      <c r="AH737" s="18">
        <v>0</v>
      </c>
      <c r="AI737" s="18">
        <v>0</v>
      </c>
      <c r="AJ737" s="18">
        <v>0</v>
      </c>
      <c r="AK737" s="18">
        <v>0</v>
      </c>
      <c r="AL737" s="18">
        <v>1</v>
      </c>
      <c r="AM737" s="18">
        <v>0</v>
      </c>
      <c r="AN737" s="18">
        <v>0</v>
      </c>
      <c r="AO737" s="18">
        <v>0</v>
      </c>
      <c r="AP737" s="18">
        <v>0</v>
      </c>
      <c r="AQ737" s="18">
        <v>0</v>
      </c>
      <c r="AR737" s="18">
        <v>0</v>
      </c>
      <c r="AS737" s="18">
        <v>0</v>
      </c>
      <c r="AT737" s="18">
        <v>0</v>
      </c>
      <c r="AU737" s="18">
        <v>0</v>
      </c>
      <c r="AV737" s="18">
        <v>0</v>
      </c>
      <c r="AW737" s="18">
        <v>0</v>
      </c>
      <c r="AX737" s="18">
        <v>0</v>
      </c>
      <c r="AY737" s="13"/>
      <c r="AZ737" s="18">
        <v>1</v>
      </c>
      <c r="BA737" s="18">
        <v>0</v>
      </c>
      <c r="BB737" s="18">
        <v>50.58</v>
      </c>
      <c r="BC737" s="18" t="s">
        <v>355</v>
      </c>
      <c r="BD737" s="18" t="s">
        <v>356</v>
      </c>
      <c r="BE737" s="18" t="s">
        <v>287</v>
      </c>
      <c r="BF737" s="18" t="s">
        <v>77</v>
      </c>
      <c r="BG737" s="18">
        <v>2</v>
      </c>
      <c r="BH737" s="18">
        <v>220</v>
      </c>
      <c r="BI737" s="18">
        <v>0.009</v>
      </c>
      <c r="BJ737" s="18">
        <v>0</v>
      </c>
      <c r="BK737" s="18">
        <v>9</v>
      </c>
      <c r="BL737" s="18">
        <v>97.5</v>
      </c>
      <c r="BM737" s="13">
        <f t="shared" si="0"/>
        <v>167.92</v>
      </c>
    </row>
    <row r="738" customHeight="1" spans="1:65">
      <c r="A738" s="18" t="s">
        <v>120</v>
      </c>
      <c r="B738" s="18" t="s">
        <v>115</v>
      </c>
      <c r="C738" s="18" t="s">
        <v>121</v>
      </c>
      <c r="D738" s="18">
        <v>840414665354</v>
      </c>
      <c r="E738" s="18" t="s">
        <v>122</v>
      </c>
      <c r="F738" s="18" t="s">
        <v>82</v>
      </c>
      <c r="G738" s="18" t="s">
        <v>117</v>
      </c>
      <c r="H738" s="18" t="s">
        <v>107</v>
      </c>
      <c r="I738" s="18" t="s">
        <v>85</v>
      </c>
      <c r="J738" s="18">
        <v>5</v>
      </c>
      <c r="K738" s="16">
        <v>144.99</v>
      </c>
      <c r="L738" s="10"/>
      <c r="M738" s="16">
        <v>0</v>
      </c>
      <c r="N738" s="16">
        <v>0</v>
      </c>
      <c r="O738" s="18">
        <v>0</v>
      </c>
      <c r="P738" s="18" t="s">
        <v>95</v>
      </c>
      <c r="Q738" s="18">
        <v>4.983538</v>
      </c>
      <c r="R738" s="10"/>
      <c r="S738" s="16">
        <v>35</v>
      </c>
      <c r="T738" s="16">
        <v>10</v>
      </c>
      <c r="U738" s="18" t="s">
        <v>120</v>
      </c>
      <c r="V738" s="18" t="s">
        <v>115</v>
      </c>
      <c r="W738" s="18" t="s">
        <v>121</v>
      </c>
      <c r="X738" s="18">
        <v>840414665355</v>
      </c>
      <c r="Y738" s="18" t="s">
        <v>122</v>
      </c>
      <c r="Z738" s="18" t="s">
        <v>82</v>
      </c>
      <c r="AA738" s="18" t="s">
        <v>117</v>
      </c>
      <c r="AB738" s="18" t="s">
        <v>107</v>
      </c>
      <c r="AC738" s="18" t="s">
        <v>85</v>
      </c>
      <c r="AD738" s="18">
        <v>284.98</v>
      </c>
      <c r="AE738" s="18">
        <v>0</v>
      </c>
      <c r="AF738" s="18">
        <v>0</v>
      </c>
      <c r="AG738" s="18">
        <v>1</v>
      </c>
      <c r="AH738" s="18">
        <v>0</v>
      </c>
      <c r="AI738" s="18">
        <v>0</v>
      </c>
      <c r="AJ738" s="18">
        <v>0</v>
      </c>
      <c r="AK738" s="18">
        <v>0</v>
      </c>
      <c r="AL738" s="18">
        <v>0</v>
      </c>
      <c r="AM738" s="18">
        <v>0</v>
      </c>
      <c r="AN738" s="18">
        <v>0</v>
      </c>
      <c r="AO738" s="18">
        <v>0</v>
      </c>
      <c r="AP738" s="18">
        <v>0</v>
      </c>
      <c r="AQ738" s="18">
        <v>0</v>
      </c>
      <c r="AR738" s="18">
        <v>0</v>
      </c>
      <c r="AS738" s="18">
        <v>1</v>
      </c>
      <c r="AT738" s="18">
        <v>0</v>
      </c>
      <c r="AU738" s="18">
        <v>0</v>
      </c>
      <c r="AV738" s="18">
        <v>0</v>
      </c>
      <c r="AW738" s="18">
        <v>0</v>
      </c>
      <c r="AX738" s="18">
        <v>0</v>
      </c>
      <c r="AY738" s="13"/>
      <c r="AZ738" s="18">
        <v>1</v>
      </c>
      <c r="BA738" s="18">
        <v>0</v>
      </c>
      <c r="BB738" s="18">
        <v>60.87</v>
      </c>
      <c r="BC738" s="18" t="s">
        <v>118</v>
      </c>
      <c r="BD738" s="18" t="s">
        <v>119</v>
      </c>
      <c r="BE738" s="18" t="s">
        <v>76</v>
      </c>
      <c r="BF738" s="18" t="s">
        <v>77</v>
      </c>
      <c r="BG738" s="18">
        <v>162</v>
      </c>
      <c r="BH738" s="18">
        <v>19</v>
      </c>
      <c r="BI738" s="18">
        <v>0.895</v>
      </c>
      <c r="BJ738" s="18">
        <v>0</v>
      </c>
      <c r="BK738" s="18">
        <v>3</v>
      </c>
      <c r="BL738" s="18">
        <v>99.2</v>
      </c>
      <c r="BM738" s="13">
        <f t="shared" si="0"/>
        <v>5074.65</v>
      </c>
    </row>
    <row r="739" customHeight="1" spans="1:65">
      <c r="A739" s="18" t="s">
        <v>114</v>
      </c>
      <c r="B739" s="18" t="s">
        <v>115</v>
      </c>
      <c r="C739" s="13"/>
      <c r="D739" s="13"/>
      <c r="E739" s="18" t="s">
        <v>116</v>
      </c>
      <c r="F739" s="18" t="s">
        <v>82</v>
      </c>
      <c r="G739" s="18" t="s">
        <v>117</v>
      </c>
      <c r="H739" s="18" t="s">
        <v>107</v>
      </c>
      <c r="I739" s="18" t="s">
        <v>85</v>
      </c>
      <c r="J739" s="18">
        <v>5</v>
      </c>
      <c r="K739" s="16">
        <v>159.99</v>
      </c>
      <c r="L739" s="10"/>
      <c r="M739" s="16">
        <v>0</v>
      </c>
      <c r="N739" s="16">
        <v>0</v>
      </c>
      <c r="O739" s="18">
        <v>0</v>
      </c>
      <c r="P739" s="18" t="s">
        <v>95</v>
      </c>
      <c r="Q739" s="18">
        <v>5.081342</v>
      </c>
      <c r="R739" s="10"/>
      <c r="S739" s="16">
        <v>69</v>
      </c>
      <c r="T739" s="16">
        <v>10</v>
      </c>
      <c r="U739" s="18" t="s">
        <v>114</v>
      </c>
      <c r="V739" s="18" t="s">
        <v>115</v>
      </c>
      <c r="W739" s="13"/>
      <c r="X739" s="13"/>
      <c r="Y739" s="18" t="s">
        <v>116</v>
      </c>
      <c r="Z739" s="18" t="s">
        <v>82</v>
      </c>
      <c r="AA739" s="18" t="s">
        <v>117</v>
      </c>
      <c r="AB739" s="18" t="s">
        <v>107</v>
      </c>
      <c r="AC739" s="18" t="s">
        <v>85</v>
      </c>
      <c r="AD739" s="18">
        <v>314.98</v>
      </c>
      <c r="AE739" s="18">
        <v>0</v>
      </c>
      <c r="AF739" s="18">
        <v>0</v>
      </c>
      <c r="AG739" s="18">
        <v>1</v>
      </c>
      <c r="AH739" s="18">
        <v>0</v>
      </c>
      <c r="AI739" s="18">
        <v>0</v>
      </c>
      <c r="AJ739" s="18">
        <v>0</v>
      </c>
      <c r="AK739" s="18">
        <v>0</v>
      </c>
      <c r="AL739" s="18">
        <v>0</v>
      </c>
      <c r="AM739" s="18">
        <v>0</v>
      </c>
      <c r="AN739" s="18">
        <v>0</v>
      </c>
      <c r="AO739" s="18">
        <v>0</v>
      </c>
      <c r="AP739" s="18">
        <v>1</v>
      </c>
      <c r="AQ739" s="18">
        <v>0</v>
      </c>
      <c r="AR739" s="18">
        <v>0</v>
      </c>
      <c r="AS739" s="18">
        <v>0</v>
      </c>
      <c r="AT739" s="18">
        <v>0</v>
      </c>
      <c r="AU739" s="18">
        <v>0</v>
      </c>
      <c r="AV739" s="18">
        <v>0</v>
      </c>
      <c r="AW739" s="18">
        <v>0</v>
      </c>
      <c r="AX739" s="18">
        <v>0</v>
      </c>
      <c r="AY739" s="13"/>
      <c r="AZ739" s="18">
        <v>1</v>
      </c>
      <c r="BA739" s="18">
        <v>0</v>
      </c>
      <c r="BB739" s="18">
        <v>64.7</v>
      </c>
      <c r="BC739" s="18" t="s">
        <v>118</v>
      </c>
      <c r="BD739" s="18" t="s">
        <v>119</v>
      </c>
      <c r="BE739" s="18" t="s">
        <v>76</v>
      </c>
      <c r="BF739" s="18" t="s">
        <v>77</v>
      </c>
      <c r="BG739" s="18">
        <v>162</v>
      </c>
      <c r="BH739" s="18">
        <v>19</v>
      </c>
      <c r="BI739" s="18">
        <v>0.895</v>
      </c>
      <c r="BJ739" s="18">
        <v>0</v>
      </c>
      <c r="BK739" s="18">
        <v>3</v>
      </c>
      <c r="BL739" s="18">
        <v>99.2</v>
      </c>
      <c r="BM739" s="13">
        <f t="shared" si="0"/>
        <v>11039.31</v>
      </c>
    </row>
    <row r="740" customHeight="1" spans="1:65">
      <c r="A740" s="18" t="s">
        <v>2316</v>
      </c>
      <c r="B740" s="18" t="s">
        <v>245</v>
      </c>
      <c r="C740" s="18" t="s">
        <v>2317</v>
      </c>
      <c r="D740" s="13"/>
      <c r="E740" s="18" t="s">
        <v>390</v>
      </c>
      <c r="F740" s="18" t="s">
        <v>160</v>
      </c>
      <c r="G740" s="18" t="s">
        <v>83</v>
      </c>
      <c r="H740" s="18" t="s">
        <v>84</v>
      </c>
      <c r="I740" s="18" t="s">
        <v>85</v>
      </c>
      <c r="J740" s="18">
        <v>5</v>
      </c>
      <c r="K740" s="16">
        <v>113.39</v>
      </c>
      <c r="L740" s="16">
        <v>125.99</v>
      </c>
      <c r="M740" s="16">
        <v>10</v>
      </c>
      <c r="N740" s="16">
        <v>12.6</v>
      </c>
      <c r="O740" s="18">
        <v>1</v>
      </c>
      <c r="P740" s="18" t="s">
        <v>95</v>
      </c>
      <c r="Q740" s="18">
        <v>4.739614</v>
      </c>
      <c r="R740" s="16">
        <v>7.09</v>
      </c>
      <c r="S740" s="16">
        <v>69</v>
      </c>
      <c r="T740" s="16">
        <v>10</v>
      </c>
      <c r="U740" s="18" t="s">
        <v>2316</v>
      </c>
      <c r="V740" s="18" t="s">
        <v>245</v>
      </c>
      <c r="W740" s="18" t="s">
        <v>2317</v>
      </c>
      <c r="X740" s="13"/>
      <c r="Y740" s="18" t="s">
        <v>390</v>
      </c>
      <c r="Z740" s="18" t="s">
        <v>160</v>
      </c>
      <c r="AA740" s="18" t="s">
        <v>83</v>
      </c>
      <c r="AB740" s="18" t="s">
        <v>84</v>
      </c>
      <c r="AC740" s="18" t="s">
        <v>85</v>
      </c>
      <c r="AD740" s="18">
        <v>0.827333333333499</v>
      </c>
      <c r="AE740" s="18">
        <v>0</v>
      </c>
      <c r="AF740" s="18">
        <v>0</v>
      </c>
      <c r="AG740" s="18">
        <v>1</v>
      </c>
      <c r="AH740" s="18">
        <v>0</v>
      </c>
      <c r="AI740" s="18">
        <v>1</v>
      </c>
      <c r="AJ740" s="18">
        <v>0</v>
      </c>
      <c r="AK740" s="18">
        <v>0</v>
      </c>
      <c r="AL740" s="18">
        <v>0</v>
      </c>
      <c r="AM740" s="18">
        <v>0</v>
      </c>
      <c r="AN740" s="18">
        <v>0</v>
      </c>
      <c r="AO740" s="18">
        <v>0</v>
      </c>
      <c r="AP740" s="18">
        <v>0</v>
      </c>
      <c r="AQ740" s="18">
        <v>1</v>
      </c>
      <c r="AR740" s="18">
        <v>0</v>
      </c>
      <c r="AS740" s="18">
        <v>0</v>
      </c>
      <c r="AT740" s="18">
        <v>0</v>
      </c>
      <c r="AU740" s="18">
        <v>0</v>
      </c>
      <c r="AV740" s="18">
        <v>1</v>
      </c>
      <c r="AW740" s="18">
        <v>1</v>
      </c>
      <c r="AX740" s="18">
        <v>0</v>
      </c>
      <c r="AY740" s="18">
        <v>16</v>
      </c>
      <c r="AZ740" s="18">
        <v>1</v>
      </c>
      <c r="BA740" s="18">
        <v>1</v>
      </c>
      <c r="BB740" s="18">
        <v>66.95</v>
      </c>
      <c r="BC740" s="18" t="s">
        <v>359</v>
      </c>
      <c r="BD740" s="18" t="s">
        <v>175</v>
      </c>
      <c r="BE740" s="18" t="s">
        <v>226</v>
      </c>
      <c r="BF740" s="18" t="s">
        <v>77</v>
      </c>
      <c r="BG740" s="18">
        <v>162</v>
      </c>
      <c r="BH740" s="18">
        <v>60</v>
      </c>
      <c r="BI740" s="18">
        <v>0.7297</v>
      </c>
      <c r="BJ740" s="18">
        <v>0</v>
      </c>
      <c r="BK740" s="18">
        <v>12</v>
      </c>
      <c r="BL740" s="18">
        <v>96.7</v>
      </c>
      <c r="BM740" s="13">
        <f t="shared" si="0"/>
        <v>7823.91</v>
      </c>
    </row>
    <row r="741" customHeight="1" spans="1:65">
      <c r="A741" s="18" t="s">
        <v>357</v>
      </c>
      <c r="B741" s="18" t="s">
        <v>245</v>
      </c>
      <c r="C741" s="18" t="s">
        <v>358</v>
      </c>
      <c r="D741" s="13"/>
      <c r="E741" s="18" t="s">
        <v>239</v>
      </c>
      <c r="F741" s="18" t="s">
        <v>160</v>
      </c>
      <c r="G741" s="18" t="s">
        <v>83</v>
      </c>
      <c r="H741" s="18" t="s">
        <v>84</v>
      </c>
      <c r="I741" s="18" t="s">
        <v>85</v>
      </c>
      <c r="J741" s="18">
        <v>5</v>
      </c>
      <c r="K741" s="16">
        <v>95.39</v>
      </c>
      <c r="L741" s="16">
        <v>105.99</v>
      </c>
      <c r="M741" s="16">
        <v>10</v>
      </c>
      <c r="N741" s="16">
        <v>10.6</v>
      </c>
      <c r="O741" s="18">
        <v>1</v>
      </c>
      <c r="P741" s="18" t="s">
        <v>95</v>
      </c>
      <c r="Q741" s="18">
        <v>4.568402</v>
      </c>
      <c r="R741" s="16">
        <v>11.92</v>
      </c>
      <c r="S741" s="16">
        <v>91</v>
      </c>
      <c r="T741" s="16">
        <v>10</v>
      </c>
      <c r="U741" s="18" t="s">
        <v>357</v>
      </c>
      <c r="V741" s="18" t="s">
        <v>245</v>
      </c>
      <c r="W741" s="18" t="s">
        <v>358</v>
      </c>
      <c r="X741" s="13"/>
      <c r="Y741" s="18" t="s">
        <v>239</v>
      </c>
      <c r="Z741" s="18" t="s">
        <v>160</v>
      </c>
      <c r="AA741" s="18" t="s">
        <v>83</v>
      </c>
      <c r="AB741" s="18" t="s">
        <v>84</v>
      </c>
      <c r="AC741" s="18" t="s">
        <v>85</v>
      </c>
      <c r="AD741" s="18">
        <v>0.960666666666597</v>
      </c>
      <c r="AE741" s="18">
        <v>0</v>
      </c>
      <c r="AF741" s="18">
        <v>0</v>
      </c>
      <c r="AG741" s="18">
        <v>0</v>
      </c>
      <c r="AH741" s="18">
        <v>0</v>
      </c>
      <c r="AI741" s="18">
        <v>0</v>
      </c>
      <c r="AJ741" s="18">
        <v>0</v>
      </c>
      <c r="AK741" s="18">
        <v>0</v>
      </c>
      <c r="AL741" s="18">
        <v>0</v>
      </c>
      <c r="AM741" s="18">
        <v>0</v>
      </c>
      <c r="AN741" s="18">
        <v>0</v>
      </c>
      <c r="AO741" s="18">
        <v>0</v>
      </c>
      <c r="AP741" s="18">
        <v>0</v>
      </c>
      <c r="AQ741" s="18">
        <v>1</v>
      </c>
      <c r="AR741" s="18">
        <v>0</v>
      </c>
      <c r="AS741" s="18">
        <v>0</v>
      </c>
      <c r="AT741" s="18">
        <v>0</v>
      </c>
      <c r="AU741" s="18">
        <v>0</v>
      </c>
      <c r="AV741" s="18">
        <v>1</v>
      </c>
      <c r="AW741" s="18">
        <v>1</v>
      </c>
      <c r="AX741" s="18">
        <v>0</v>
      </c>
      <c r="AY741" s="18">
        <v>8</v>
      </c>
      <c r="AZ741" s="18">
        <v>1</v>
      </c>
      <c r="BA741" s="18">
        <v>1</v>
      </c>
      <c r="BB741" s="18">
        <v>68.56</v>
      </c>
      <c r="BC741" s="18" t="s">
        <v>359</v>
      </c>
      <c r="BD741" s="18" t="s">
        <v>175</v>
      </c>
      <c r="BE741" s="18" t="s">
        <v>91</v>
      </c>
      <c r="BF741" s="18" t="s">
        <v>77</v>
      </c>
      <c r="BG741" s="18">
        <v>162</v>
      </c>
      <c r="BH741" s="18">
        <v>60</v>
      </c>
      <c r="BI741" s="18">
        <v>0.7297</v>
      </c>
      <c r="BJ741" s="18">
        <v>0</v>
      </c>
      <c r="BK741" s="18">
        <v>6</v>
      </c>
      <c r="BL741" s="18">
        <v>98.4</v>
      </c>
      <c r="BM741" s="13">
        <f t="shared" si="0"/>
        <v>8680.49</v>
      </c>
    </row>
    <row r="742" customHeight="1" spans="1:65">
      <c r="A742" s="18" t="s">
        <v>360</v>
      </c>
      <c r="B742" s="18" t="s">
        <v>125</v>
      </c>
      <c r="C742" s="13"/>
      <c r="D742" s="13"/>
      <c r="E742" s="18" t="s">
        <v>81</v>
      </c>
      <c r="F742" s="18" t="s">
        <v>82</v>
      </c>
      <c r="G742" s="18" t="s">
        <v>117</v>
      </c>
      <c r="H742" s="18" t="s">
        <v>138</v>
      </c>
      <c r="I742" s="18" t="s">
        <v>85</v>
      </c>
      <c r="J742" s="18">
        <v>5</v>
      </c>
      <c r="K742" s="16">
        <v>24.99</v>
      </c>
      <c r="L742" s="10"/>
      <c r="M742" s="16">
        <v>0</v>
      </c>
      <c r="N742" s="16">
        <v>0</v>
      </c>
      <c r="O742" s="18">
        <v>0</v>
      </c>
      <c r="P742" s="18" t="s">
        <v>133</v>
      </c>
      <c r="Q742" s="18">
        <v>3.257712</v>
      </c>
      <c r="R742" s="10"/>
      <c r="S742" s="16">
        <v>35</v>
      </c>
      <c r="T742" s="16">
        <v>10</v>
      </c>
      <c r="U742" s="18" t="s">
        <v>360</v>
      </c>
      <c r="V742" s="18" t="s">
        <v>125</v>
      </c>
      <c r="W742" s="13"/>
      <c r="X742" s="13"/>
      <c r="Y742" s="18" t="s">
        <v>81</v>
      </c>
      <c r="Z742" s="18" t="s">
        <v>82</v>
      </c>
      <c r="AA742" s="18" t="s">
        <v>117</v>
      </c>
      <c r="AB742" s="18" t="s">
        <v>138</v>
      </c>
      <c r="AC742" s="18" t="s">
        <v>85</v>
      </c>
      <c r="AD742" s="18">
        <v>44.98</v>
      </c>
      <c r="AE742" s="18">
        <v>0</v>
      </c>
      <c r="AF742" s="18">
        <v>0</v>
      </c>
      <c r="AG742" s="18">
        <v>0</v>
      </c>
      <c r="AH742" s="18">
        <v>0</v>
      </c>
      <c r="AI742" s="18">
        <v>0</v>
      </c>
      <c r="AJ742" s="18">
        <v>0</v>
      </c>
      <c r="AK742" s="18">
        <v>0</v>
      </c>
      <c r="AL742" s="18">
        <v>0</v>
      </c>
      <c r="AM742" s="18">
        <v>0</v>
      </c>
      <c r="AN742" s="18">
        <v>0</v>
      </c>
      <c r="AO742" s="18">
        <v>0</v>
      </c>
      <c r="AP742" s="18">
        <v>0</v>
      </c>
      <c r="AQ742" s="18">
        <v>0</v>
      </c>
      <c r="AR742" s="18">
        <v>0</v>
      </c>
      <c r="AS742" s="18">
        <v>0</v>
      </c>
      <c r="AT742" s="18">
        <v>0</v>
      </c>
      <c r="AU742" s="18">
        <v>1</v>
      </c>
      <c r="AV742" s="18">
        <v>0</v>
      </c>
      <c r="AW742" s="18">
        <v>0</v>
      </c>
      <c r="AX742" s="18">
        <v>0</v>
      </c>
      <c r="AY742" s="13"/>
      <c r="AZ742" s="18">
        <v>1</v>
      </c>
      <c r="BA742" s="18">
        <v>0</v>
      </c>
      <c r="BB742" s="18">
        <v>56.43</v>
      </c>
      <c r="BC742" s="18" t="s">
        <v>361</v>
      </c>
      <c r="BD742" s="18" t="s">
        <v>362</v>
      </c>
      <c r="BE742" s="18" t="s">
        <v>363</v>
      </c>
      <c r="BF742" s="18" t="s">
        <v>77</v>
      </c>
      <c r="BG742" s="18">
        <v>168</v>
      </c>
      <c r="BH742" s="18">
        <v>11</v>
      </c>
      <c r="BI742" s="18">
        <v>0.9385</v>
      </c>
      <c r="BJ742" s="18">
        <v>0</v>
      </c>
      <c r="BK742" s="18">
        <v>57</v>
      </c>
      <c r="BL742" s="18">
        <v>84.4</v>
      </c>
      <c r="BM742" s="13">
        <f t="shared" si="0"/>
        <v>874.65</v>
      </c>
    </row>
    <row r="743" customHeight="1" spans="1:65">
      <c r="A743" s="18" t="s">
        <v>364</v>
      </c>
      <c r="B743" s="18" t="s">
        <v>365</v>
      </c>
      <c r="C743" s="18" t="s">
        <v>366</v>
      </c>
      <c r="D743" s="18">
        <v>810010073013</v>
      </c>
      <c r="E743" s="18" t="s">
        <v>255</v>
      </c>
      <c r="F743" s="18" t="s">
        <v>82</v>
      </c>
      <c r="G743" s="18" t="s">
        <v>83</v>
      </c>
      <c r="H743" s="18" t="s">
        <v>84</v>
      </c>
      <c r="I743" s="18" t="s">
        <v>85</v>
      </c>
      <c r="J743" s="18">
        <v>5</v>
      </c>
      <c r="K743" s="16">
        <v>149.99</v>
      </c>
      <c r="L743" s="10"/>
      <c r="M743" s="16">
        <v>0</v>
      </c>
      <c r="N743" s="16">
        <v>0</v>
      </c>
      <c r="O743" s="18">
        <v>0</v>
      </c>
      <c r="P743" s="18" t="s">
        <v>95</v>
      </c>
      <c r="Q743" s="18">
        <v>5.017214</v>
      </c>
      <c r="R743" s="10"/>
      <c r="S743" s="16">
        <v>4</v>
      </c>
      <c r="T743" s="16">
        <v>3</v>
      </c>
      <c r="U743" s="18" t="s">
        <v>364</v>
      </c>
      <c r="V743" s="18" t="s">
        <v>365</v>
      </c>
      <c r="W743" s="18" t="s">
        <v>366</v>
      </c>
      <c r="X743" s="18">
        <v>810010073014</v>
      </c>
      <c r="Y743" s="18" t="s">
        <v>255</v>
      </c>
      <c r="Z743" s="18" t="s">
        <v>82</v>
      </c>
      <c r="AA743" s="18" t="s">
        <v>83</v>
      </c>
      <c r="AB743" s="18" t="s">
        <v>84</v>
      </c>
      <c r="AC743" s="18" t="s">
        <v>85</v>
      </c>
      <c r="AD743" s="18">
        <v>294.98</v>
      </c>
      <c r="AE743" s="18">
        <v>0</v>
      </c>
      <c r="AF743" s="18">
        <v>0</v>
      </c>
      <c r="AG743" s="18">
        <v>1</v>
      </c>
      <c r="AH743" s="18">
        <v>0</v>
      </c>
      <c r="AI743" s="18">
        <v>1</v>
      </c>
      <c r="AJ743" s="18">
        <v>0</v>
      </c>
      <c r="AK743" s="18">
        <v>0</v>
      </c>
      <c r="AL743" s="18">
        <v>0</v>
      </c>
      <c r="AM743" s="18">
        <v>0</v>
      </c>
      <c r="AN743" s="18">
        <v>0</v>
      </c>
      <c r="AO743" s="18">
        <v>0</v>
      </c>
      <c r="AP743" s="18">
        <v>0</v>
      </c>
      <c r="AQ743" s="18">
        <v>0</v>
      </c>
      <c r="AR743" s="18">
        <v>0</v>
      </c>
      <c r="AS743" s="18">
        <v>0</v>
      </c>
      <c r="AT743" s="18">
        <v>0</v>
      </c>
      <c r="AU743" s="18">
        <v>0</v>
      </c>
      <c r="AV743" s="18">
        <v>0</v>
      </c>
      <c r="AW743" s="18">
        <v>0</v>
      </c>
      <c r="AX743" s="18">
        <v>0</v>
      </c>
      <c r="AY743" s="13"/>
      <c r="AZ743" s="18">
        <v>1</v>
      </c>
      <c r="BA743" s="18">
        <v>0</v>
      </c>
      <c r="BB743" s="18">
        <v>52.71</v>
      </c>
      <c r="BC743" s="18" t="s">
        <v>367</v>
      </c>
      <c r="BD743" s="18" t="s">
        <v>368</v>
      </c>
      <c r="BE743" s="18" t="s">
        <v>98</v>
      </c>
      <c r="BF743" s="18" t="s">
        <v>77</v>
      </c>
      <c r="BG743" s="18">
        <v>1</v>
      </c>
      <c r="BH743" s="18">
        <v>27</v>
      </c>
      <c r="BI743" s="18">
        <v>0.0357</v>
      </c>
      <c r="BJ743" s="18">
        <v>1</v>
      </c>
      <c r="BK743" s="18">
        <v>2</v>
      </c>
      <c r="BL743" s="18">
        <v>99.5</v>
      </c>
      <c r="BM743" s="13">
        <f t="shared" si="0"/>
        <v>599.96</v>
      </c>
    </row>
    <row r="744" customHeight="1" spans="1:65">
      <c r="A744" s="18" t="s">
        <v>1018</v>
      </c>
      <c r="B744" s="18" t="s">
        <v>365</v>
      </c>
      <c r="C744" s="18" t="s">
        <v>1019</v>
      </c>
      <c r="D744" s="18">
        <v>810177163602</v>
      </c>
      <c r="E744" s="18" t="s">
        <v>559</v>
      </c>
      <c r="F744" s="18" t="s">
        <v>240</v>
      </c>
      <c r="G744" s="18" t="s">
        <v>83</v>
      </c>
      <c r="H744" s="18" t="s">
        <v>84</v>
      </c>
      <c r="I744" s="18" t="s">
        <v>85</v>
      </c>
      <c r="J744" s="18">
        <v>5</v>
      </c>
      <c r="K744" s="16">
        <v>249.99</v>
      </c>
      <c r="L744" s="10"/>
      <c r="M744" s="16">
        <v>0</v>
      </c>
      <c r="N744" s="16">
        <v>0</v>
      </c>
      <c r="O744" s="18">
        <v>0</v>
      </c>
      <c r="P744" s="18" t="s">
        <v>71</v>
      </c>
      <c r="Q744" s="18">
        <v>5.525413</v>
      </c>
      <c r="R744" s="10"/>
      <c r="S744" s="16">
        <v>4</v>
      </c>
      <c r="T744" s="16">
        <v>4</v>
      </c>
      <c r="U744" s="18" t="s">
        <v>1018</v>
      </c>
      <c r="V744" s="18" t="s">
        <v>365</v>
      </c>
      <c r="W744" s="18" t="s">
        <v>1019</v>
      </c>
      <c r="X744" s="18">
        <v>810177163603</v>
      </c>
      <c r="Y744" s="18" t="s">
        <v>559</v>
      </c>
      <c r="Z744" s="18" t="s">
        <v>240</v>
      </c>
      <c r="AA744" s="18" t="s">
        <v>83</v>
      </c>
      <c r="AB744" s="18" t="s">
        <v>84</v>
      </c>
      <c r="AC744" s="18" t="s">
        <v>85</v>
      </c>
      <c r="AD744" s="18">
        <v>494.98</v>
      </c>
      <c r="AE744" s="18">
        <v>0</v>
      </c>
      <c r="AF744" s="18">
        <v>0</v>
      </c>
      <c r="AG744" s="18">
        <v>0</v>
      </c>
      <c r="AH744" s="18">
        <v>0</v>
      </c>
      <c r="AI744" s="18">
        <v>0</v>
      </c>
      <c r="AJ744" s="18">
        <v>0</v>
      </c>
      <c r="AK744" s="18">
        <v>0</v>
      </c>
      <c r="AL744" s="18">
        <v>0</v>
      </c>
      <c r="AM744" s="18">
        <v>0</v>
      </c>
      <c r="AN744" s="18">
        <v>0</v>
      </c>
      <c r="AO744" s="18">
        <v>0</v>
      </c>
      <c r="AP744" s="18">
        <v>0</v>
      </c>
      <c r="AQ744" s="18">
        <v>0</v>
      </c>
      <c r="AR744" s="18">
        <v>0</v>
      </c>
      <c r="AS744" s="18">
        <v>0</v>
      </c>
      <c r="AT744" s="18">
        <v>0</v>
      </c>
      <c r="AU744" s="18">
        <v>0</v>
      </c>
      <c r="AV744" s="18">
        <v>1</v>
      </c>
      <c r="AW744" s="18">
        <v>1</v>
      </c>
      <c r="AX744" s="18">
        <v>0</v>
      </c>
      <c r="AY744" s="13"/>
      <c r="AZ744" s="18">
        <v>1</v>
      </c>
      <c r="BA744" s="18">
        <v>0</v>
      </c>
      <c r="BB744" s="18">
        <v>43.25</v>
      </c>
      <c r="BC744" s="18" t="s">
        <v>367</v>
      </c>
      <c r="BD744" s="18" t="s">
        <v>368</v>
      </c>
      <c r="BE744" s="18" t="s">
        <v>98</v>
      </c>
      <c r="BF744" s="18" t="s">
        <v>77</v>
      </c>
      <c r="BG744" s="18">
        <v>1</v>
      </c>
      <c r="BH744" s="18">
        <v>27</v>
      </c>
      <c r="BI744" s="18">
        <v>0.0357</v>
      </c>
      <c r="BJ744" s="18">
        <v>1</v>
      </c>
      <c r="BK744" s="18">
        <v>82</v>
      </c>
      <c r="BL744" s="18">
        <v>77.5</v>
      </c>
      <c r="BM744" s="13">
        <f t="shared" si="0"/>
        <v>999.96</v>
      </c>
    </row>
    <row r="745" customHeight="1" spans="1:65">
      <c r="A745" s="18" t="s">
        <v>369</v>
      </c>
      <c r="B745" s="18" t="s">
        <v>370</v>
      </c>
      <c r="C745" s="13"/>
      <c r="D745" s="13"/>
      <c r="E745" s="18" t="s">
        <v>371</v>
      </c>
      <c r="F745" s="18" t="s">
        <v>240</v>
      </c>
      <c r="G745" s="18" t="s">
        <v>83</v>
      </c>
      <c r="H745" s="18" t="s">
        <v>84</v>
      </c>
      <c r="I745" s="18" t="s">
        <v>153</v>
      </c>
      <c r="J745" s="18">
        <v>2</v>
      </c>
      <c r="K745" s="16">
        <v>150</v>
      </c>
      <c r="L745" s="10"/>
      <c r="M745" s="16">
        <v>0</v>
      </c>
      <c r="N745" s="16">
        <v>0</v>
      </c>
      <c r="O745" s="18">
        <v>0</v>
      </c>
      <c r="P745" s="18" t="s">
        <v>95</v>
      </c>
      <c r="Q745" s="18">
        <v>5.01728</v>
      </c>
      <c r="R745" s="10"/>
      <c r="S745" s="10"/>
      <c r="T745" s="16">
        <v>4</v>
      </c>
      <c r="U745" s="18" t="s">
        <v>2721</v>
      </c>
      <c r="V745" s="18" t="s">
        <v>370</v>
      </c>
      <c r="W745" s="13"/>
      <c r="X745" s="13"/>
      <c r="Y745" s="18" t="s">
        <v>371</v>
      </c>
      <c r="Z745" s="18" t="s">
        <v>240</v>
      </c>
      <c r="AA745" s="18" t="s">
        <v>83</v>
      </c>
      <c r="AB745" s="18" t="s">
        <v>84</v>
      </c>
      <c r="AC745" s="18" t="s">
        <v>153</v>
      </c>
      <c r="AD745" s="18">
        <v>298</v>
      </c>
      <c r="AE745" s="18">
        <v>0</v>
      </c>
      <c r="AF745" s="18">
        <v>0</v>
      </c>
      <c r="AG745" s="18">
        <v>0</v>
      </c>
      <c r="AH745" s="18">
        <v>0</v>
      </c>
      <c r="AI745" s="18">
        <v>0</v>
      </c>
      <c r="AJ745" s="18">
        <v>0</v>
      </c>
      <c r="AK745" s="18">
        <v>0</v>
      </c>
      <c r="AL745" s="18">
        <v>0</v>
      </c>
      <c r="AM745" s="18">
        <v>0</v>
      </c>
      <c r="AN745" s="18">
        <v>0</v>
      </c>
      <c r="AO745" s="18">
        <v>0</v>
      </c>
      <c r="AP745" s="18">
        <v>0</v>
      </c>
      <c r="AQ745" s="18">
        <v>0</v>
      </c>
      <c r="AR745" s="18">
        <v>0</v>
      </c>
      <c r="AS745" s="18">
        <v>0</v>
      </c>
      <c r="AT745" s="18">
        <v>0</v>
      </c>
      <c r="AU745" s="18">
        <v>0</v>
      </c>
      <c r="AV745" s="18">
        <v>0</v>
      </c>
      <c r="AW745" s="18">
        <v>0</v>
      </c>
      <c r="AX745" s="18">
        <v>0</v>
      </c>
      <c r="AY745" s="13"/>
      <c r="AZ745" s="18">
        <v>1</v>
      </c>
      <c r="BA745" s="18">
        <v>0</v>
      </c>
      <c r="BB745" s="18">
        <v>0</v>
      </c>
      <c r="BC745" s="18" t="s">
        <v>372</v>
      </c>
      <c r="BD745" s="18" t="s">
        <v>373</v>
      </c>
      <c r="BE745" s="18" t="s">
        <v>91</v>
      </c>
      <c r="BF745" s="18" t="s">
        <v>77</v>
      </c>
      <c r="BG745" s="18">
        <v>168</v>
      </c>
      <c r="BH745" s="18">
        <v>11</v>
      </c>
      <c r="BI745" s="18">
        <v>0.9385</v>
      </c>
      <c r="BJ745" s="18">
        <v>0</v>
      </c>
      <c r="BK745" s="13"/>
      <c r="BL745" s="13"/>
      <c r="BM745" s="13">
        <f t="shared" si="0"/>
        <v>0</v>
      </c>
    </row>
    <row r="746" customHeight="1" spans="1:65">
      <c r="A746" s="18" t="s">
        <v>369</v>
      </c>
      <c r="B746" s="18" t="s">
        <v>370</v>
      </c>
      <c r="C746" s="13"/>
      <c r="D746" s="13"/>
      <c r="E746" s="18" t="s">
        <v>371</v>
      </c>
      <c r="F746" s="18" t="s">
        <v>240</v>
      </c>
      <c r="G746" s="18" t="s">
        <v>83</v>
      </c>
      <c r="H746" s="18" t="s">
        <v>84</v>
      </c>
      <c r="I746" s="18" t="s">
        <v>153</v>
      </c>
      <c r="J746" s="18">
        <v>2</v>
      </c>
      <c r="K746" s="16">
        <v>200</v>
      </c>
      <c r="L746" s="10"/>
      <c r="M746" s="16">
        <v>0</v>
      </c>
      <c r="N746" s="16">
        <v>0</v>
      </c>
      <c r="O746" s="18">
        <v>0</v>
      </c>
      <c r="P746" s="18" t="s">
        <v>71</v>
      </c>
      <c r="Q746" s="18">
        <v>5.303305</v>
      </c>
      <c r="R746" s="10"/>
      <c r="S746" s="10"/>
      <c r="T746" s="16">
        <v>4</v>
      </c>
      <c r="U746" s="18" t="s">
        <v>2721</v>
      </c>
      <c r="V746" s="18" t="s">
        <v>370</v>
      </c>
      <c r="W746" s="13"/>
      <c r="X746" s="13"/>
      <c r="Y746" s="18" t="s">
        <v>371</v>
      </c>
      <c r="Z746" s="18" t="s">
        <v>240</v>
      </c>
      <c r="AA746" s="18" t="s">
        <v>83</v>
      </c>
      <c r="AB746" s="18" t="s">
        <v>84</v>
      </c>
      <c r="AC746" s="18" t="s">
        <v>153</v>
      </c>
      <c r="AD746" s="18">
        <v>398</v>
      </c>
      <c r="AE746" s="18">
        <v>0</v>
      </c>
      <c r="AF746" s="18">
        <v>0</v>
      </c>
      <c r="AG746" s="18">
        <v>0</v>
      </c>
      <c r="AH746" s="18">
        <v>0</v>
      </c>
      <c r="AI746" s="18">
        <v>0</v>
      </c>
      <c r="AJ746" s="18">
        <v>0</v>
      </c>
      <c r="AK746" s="18">
        <v>0</v>
      </c>
      <c r="AL746" s="18">
        <v>0</v>
      </c>
      <c r="AM746" s="18">
        <v>0</v>
      </c>
      <c r="AN746" s="18">
        <v>0</v>
      </c>
      <c r="AO746" s="18">
        <v>0</v>
      </c>
      <c r="AP746" s="18">
        <v>0</v>
      </c>
      <c r="AQ746" s="18">
        <v>0</v>
      </c>
      <c r="AR746" s="18">
        <v>0</v>
      </c>
      <c r="AS746" s="18">
        <v>0</v>
      </c>
      <c r="AT746" s="18">
        <v>0</v>
      </c>
      <c r="AU746" s="18">
        <v>0</v>
      </c>
      <c r="AV746" s="18">
        <v>0</v>
      </c>
      <c r="AW746" s="18">
        <v>0</v>
      </c>
      <c r="AX746" s="18">
        <v>0</v>
      </c>
      <c r="AY746" s="13"/>
      <c r="AZ746" s="18">
        <v>1</v>
      </c>
      <c r="BA746" s="18">
        <v>0</v>
      </c>
      <c r="BB746" s="18">
        <v>0</v>
      </c>
      <c r="BC746" s="18" t="s">
        <v>372</v>
      </c>
      <c r="BD746" s="18" t="s">
        <v>373</v>
      </c>
      <c r="BE746" s="18" t="s">
        <v>91</v>
      </c>
      <c r="BF746" s="18" t="s">
        <v>77</v>
      </c>
      <c r="BG746" s="18">
        <v>168</v>
      </c>
      <c r="BH746" s="18">
        <v>11</v>
      </c>
      <c r="BI746" s="18">
        <v>0.9385</v>
      </c>
      <c r="BJ746" s="18">
        <v>0</v>
      </c>
      <c r="BK746" s="13"/>
      <c r="BL746" s="13"/>
      <c r="BM746" s="13">
        <f t="shared" si="0"/>
        <v>0</v>
      </c>
    </row>
    <row r="747" customHeight="1" spans="1:65">
      <c r="A747" s="18" t="s">
        <v>376</v>
      </c>
      <c r="B747" s="18" t="s">
        <v>377</v>
      </c>
      <c r="C747" s="13"/>
      <c r="D747" s="13"/>
      <c r="E747" s="18" t="s">
        <v>378</v>
      </c>
      <c r="F747" s="18" t="s">
        <v>132</v>
      </c>
      <c r="G747" s="18" t="s">
        <v>117</v>
      </c>
      <c r="H747" s="18" t="s">
        <v>84</v>
      </c>
      <c r="I747" s="18" t="s">
        <v>85</v>
      </c>
      <c r="J747" s="18">
        <v>5</v>
      </c>
      <c r="K747" s="16">
        <v>7.95</v>
      </c>
      <c r="L747" s="10"/>
      <c r="M747" s="16">
        <v>0</v>
      </c>
      <c r="N747" s="16">
        <v>0</v>
      </c>
      <c r="O747" s="18">
        <v>0</v>
      </c>
      <c r="P747" s="18" t="s">
        <v>133</v>
      </c>
      <c r="Q747" s="18">
        <v>2.191654</v>
      </c>
      <c r="R747" s="10"/>
      <c r="S747" s="16">
        <v>39</v>
      </c>
      <c r="T747" s="16">
        <v>10</v>
      </c>
      <c r="U747" s="18" t="s">
        <v>376</v>
      </c>
      <c r="V747" s="18" t="s">
        <v>377</v>
      </c>
      <c r="W747" s="13"/>
      <c r="X747" s="13"/>
      <c r="Y747" s="18" t="s">
        <v>378</v>
      </c>
      <c r="Z747" s="18" t="s">
        <v>132</v>
      </c>
      <c r="AA747" s="18" t="s">
        <v>117</v>
      </c>
      <c r="AB747" s="18" t="s">
        <v>84</v>
      </c>
      <c r="AC747" s="18" t="s">
        <v>85</v>
      </c>
      <c r="AD747" s="18">
        <v>10.9</v>
      </c>
      <c r="AE747" s="18">
        <v>0</v>
      </c>
      <c r="AF747" s="18">
        <v>0</v>
      </c>
      <c r="AG747" s="18">
        <v>0</v>
      </c>
      <c r="AH747" s="18">
        <v>0</v>
      </c>
      <c r="AI747" s="18">
        <v>0</v>
      </c>
      <c r="AJ747" s="18">
        <v>0</v>
      </c>
      <c r="AK747" s="18">
        <v>0</v>
      </c>
      <c r="AL747" s="18">
        <v>0</v>
      </c>
      <c r="AM747" s="18">
        <v>0</v>
      </c>
      <c r="AN747" s="18">
        <v>0</v>
      </c>
      <c r="AO747" s="18">
        <v>0</v>
      </c>
      <c r="AP747" s="18">
        <v>0</v>
      </c>
      <c r="AQ747" s="18">
        <v>0</v>
      </c>
      <c r="AR747" s="18">
        <v>0</v>
      </c>
      <c r="AS747" s="18">
        <v>1</v>
      </c>
      <c r="AT747" s="18">
        <v>0</v>
      </c>
      <c r="AU747" s="18">
        <v>0</v>
      </c>
      <c r="AV747" s="18">
        <v>0</v>
      </c>
      <c r="AW747" s="18">
        <v>0</v>
      </c>
      <c r="AX747" s="18">
        <v>0</v>
      </c>
      <c r="AY747" s="13"/>
      <c r="AZ747" s="18">
        <v>1</v>
      </c>
      <c r="BA747" s="18">
        <v>0</v>
      </c>
      <c r="BB747" s="18">
        <v>31.84</v>
      </c>
      <c r="BC747" s="18" t="s">
        <v>379</v>
      </c>
      <c r="BD747" s="18" t="s">
        <v>380</v>
      </c>
      <c r="BE747" s="18" t="s">
        <v>381</v>
      </c>
      <c r="BF747" s="18" t="s">
        <v>382</v>
      </c>
      <c r="BG747" s="18">
        <v>1</v>
      </c>
      <c r="BH747" s="18">
        <v>16</v>
      </c>
      <c r="BI747" s="18">
        <v>0.0588</v>
      </c>
      <c r="BJ747" s="18">
        <v>1</v>
      </c>
      <c r="BK747" s="13"/>
      <c r="BL747" s="13"/>
      <c r="BM747" s="13">
        <f t="shared" si="0"/>
        <v>310.05</v>
      </c>
    </row>
    <row r="748" customHeight="1" spans="1:65">
      <c r="A748" s="18" t="s">
        <v>1977</v>
      </c>
      <c r="B748" s="18" t="s">
        <v>384</v>
      </c>
      <c r="C748" s="18" t="s">
        <v>1978</v>
      </c>
      <c r="D748" s="13"/>
      <c r="E748" s="18" t="s">
        <v>81</v>
      </c>
      <c r="F748" s="18" t="s">
        <v>160</v>
      </c>
      <c r="G748" s="18" t="s">
        <v>83</v>
      </c>
      <c r="H748" s="18" t="s">
        <v>84</v>
      </c>
      <c r="I748" s="18" t="s">
        <v>85</v>
      </c>
      <c r="J748" s="18">
        <v>5</v>
      </c>
      <c r="K748" s="16">
        <v>259.99</v>
      </c>
      <c r="L748" s="16">
        <v>349.99</v>
      </c>
      <c r="M748" s="16">
        <v>25.72</v>
      </c>
      <c r="N748" s="16">
        <v>90</v>
      </c>
      <c r="O748" s="18">
        <v>1</v>
      </c>
      <c r="P748" s="18" t="s">
        <v>71</v>
      </c>
      <c r="Q748" s="18">
        <v>5.564482</v>
      </c>
      <c r="R748" s="16">
        <v>26</v>
      </c>
      <c r="S748" s="16">
        <v>6</v>
      </c>
      <c r="T748" s="16">
        <v>10</v>
      </c>
      <c r="U748" s="18" t="s">
        <v>1977</v>
      </c>
      <c r="V748" s="18" t="s">
        <v>384</v>
      </c>
      <c r="W748" s="18" t="s">
        <v>1978</v>
      </c>
      <c r="X748" s="13"/>
      <c r="Y748" s="18" t="s">
        <v>81</v>
      </c>
      <c r="Z748" s="18" t="s">
        <v>160</v>
      </c>
      <c r="AA748" s="18" t="s">
        <v>83</v>
      </c>
      <c r="AB748" s="18" t="s">
        <v>84</v>
      </c>
      <c r="AC748" s="18" t="s">
        <v>85</v>
      </c>
      <c r="AD748" s="18">
        <v>36.5260000000004</v>
      </c>
      <c r="AE748" s="18">
        <v>0</v>
      </c>
      <c r="AF748" s="18">
        <v>0</v>
      </c>
      <c r="AG748" s="18">
        <v>0</v>
      </c>
      <c r="AH748" s="18">
        <v>0</v>
      </c>
      <c r="AI748" s="18">
        <v>0</v>
      </c>
      <c r="AJ748" s="18">
        <v>0</v>
      </c>
      <c r="AK748" s="18">
        <v>0</v>
      </c>
      <c r="AL748" s="18">
        <v>0</v>
      </c>
      <c r="AM748" s="18">
        <v>0</v>
      </c>
      <c r="AN748" s="18">
        <v>0</v>
      </c>
      <c r="AO748" s="18">
        <v>0</v>
      </c>
      <c r="AP748" s="18">
        <v>0</v>
      </c>
      <c r="AQ748" s="18">
        <v>1</v>
      </c>
      <c r="AR748" s="18">
        <v>0</v>
      </c>
      <c r="AS748" s="18">
        <v>0</v>
      </c>
      <c r="AT748" s="18">
        <v>0</v>
      </c>
      <c r="AU748" s="18">
        <v>0</v>
      </c>
      <c r="AV748" s="18">
        <v>1</v>
      </c>
      <c r="AW748" s="18">
        <v>1</v>
      </c>
      <c r="AX748" s="18">
        <v>0</v>
      </c>
      <c r="AY748" s="18">
        <v>10</v>
      </c>
      <c r="AZ748" s="18">
        <v>1</v>
      </c>
      <c r="BA748" s="18">
        <v>1</v>
      </c>
      <c r="BB748" s="18">
        <v>52.24</v>
      </c>
      <c r="BC748" s="18" t="s">
        <v>385</v>
      </c>
      <c r="BD748" s="18" t="s">
        <v>773</v>
      </c>
      <c r="BE748" s="18" t="s">
        <v>774</v>
      </c>
      <c r="BF748" s="18" t="s">
        <v>77</v>
      </c>
      <c r="BG748" s="18">
        <v>1</v>
      </c>
      <c r="BH748" s="18">
        <v>28</v>
      </c>
      <c r="BI748" s="18">
        <v>0.0345</v>
      </c>
      <c r="BJ748" s="18">
        <v>1</v>
      </c>
      <c r="BK748" s="18">
        <v>6</v>
      </c>
      <c r="BL748" s="18">
        <v>98.4</v>
      </c>
      <c r="BM748" s="13">
        <f t="shared" si="0"/>
        <v>1559.94</v>
      </c>
    </row>
    <row r="749" customHeight="1" spans="1:65">
      <c r="A749" s="18" t="s">
        <v>875</v>
      </c>
      <c r="B749" s="18" t="s">
        <v>384</v>
      </c>
      <c r="C749" s="13"/>
      <c r="D749" s="13"/>
      <c r="E749" s="18" t="s">
        <v>876</v>
      </c>
      <c r="F749" s="18" t="s">
        <v>462</v>
      </c>
      <c r="G749" s="18" t="s">
        <v>83</v>
      </c>
      <c r="H749" s="18" t="s">
        <v>84</v>
      </c>
      <c r="I749" s="18" t="s">
        <v>85</v>
      </c>
      <c r="J749" s="18">
        <v>5</v>
      </c>
      <c r="K749" s="16">
        <v>36.99</v>
      </c>
      <c r="L749" s="10"/>
      <c r="M749" s="16">
        <v>0</v>
      </c>
      <c r="N749" s="16">
        <v>0</v>
      </c>
      <c r="O749" s="18">
        <v>0</v>
      </c>
      <c r="P749" s="18" t="s">
        <v>86</v>
      </c>
      <c r="Q749" s="18">
        <v>3.637323</v>
      </c>
      <c r="R749" s="10"/>
      <c r="S749" s="16">
        <v>12</v>
      </c>
      <c r="T749" s="16">
        <v>10</v>
      </c>
      <c r="U749" s="18" t="s">
        <v>875</v>
      </c>
      <c r="V749" s="18" t="s">
        <v>384</v>
      </c>
      <c r="W749" s="13"/>
      <c r="X749" s="13"/>
      <c r="Y749" s="18" t="s">
        <v>876</v>
      </c>
      <c r="Z749" s="18" t="s">
        <v>462</v>
      </c>
      <c r="AA749" s="18" t="s">
        <v>83</v>
      </c>
      <c r="AB749" s="18" t="s">
        <v>84</v>
      </c>
      <c r="AC749" s="18" t="s">
        <v>85</v>
      </c>
      <c r="AD749" s="18">
        <v>68.98</v>
      </c>
      <c r="AE749" s="18">
        <v>1</v>
      </c>
      <c r="AF749" s="18">
        <v>1</v>
      </c>
      <c r="AG749" s="18">
        <v>0</v>
      </c>
      <c r="AH749" s="18">
        <v>1</v>
      </c>
      <c r="AI749" s="18">
        <v>0</v>
      </c>
      <c r="AJ749" s="18">
        <v>0</v>
      </c>
      <c r="AK749" s="18">
        <v>0</v>
      </c>
      <c r="AL749" s="18">
        <v>0</v>
      </c>
      <c r="AM749" s="18">
        <v>0</v>
      </c>
      <c r="AN749" s="18">
        <v>0</v>
      </c>
      <c r="AO749" s="18">
        <v>0</v>
      </c>
      <c r="AP749" s="18">
        <v>0</v>
      </c>
      <c r="AQ749" s="18">
        <v>0</v>
      </c>
      <c r="AR749" s="18">
        <v>0</v>
      </c>
      <c r="AS749" s="18">
        <v>0</v>
      </c>
      <c r="AT749" s="18">
        <v>1</v>
      </c>
      <c r="AU749" s="18">
        <v>0</v>
      </c>
      <c r="AV749" s="18">
        <v>0</v>
      </c>
      <c r="AW749" s="18">
        <v>1</v>
      </c>
      <c r="AX749" s="18">
        <v>0</v>
      </c>
      <c r="AY749" s="13"/>
      <c r="AZ749" s="18">
        <v>1</v>
      </c>
      <c r="BA749" s="18">
        <v>2</v>
      </c>
      <c r="BB749" s="18">
        <v>51.67</v>
      </c>
      <c r="BC749" s="18" t="s">
        <v>385</v>
      </c>
      <c r="BD749" s="18" t="s">
        <v>773</v>
      </c>
      <c r="BE749" s="18" t="s">
        <v>774</v>
      </c>
      <c r="BF749" s="18" t="s">
        <v>77</v>
      </c>
      <c r="BG749" s="18">
        <v>1</v>
      </c>
      <c r="BH749" s="18">
        <v>28</v>
      </c>
      <c r="BI749" s="18">
        <v>0.0345</v>
      </c>
      <c r="BJ749" s="18">
        <v>1</v>
      </c>
      <c r="BK749" s="18">
        <v>2</v>
      </c>
      <c r="BL749" s="18">
        <v>99.5</v>
      </c>
      <c r="BM749" s="13">
        <f t="shared" si="0"/>
        <v>443.88</v>
      </c>
    </row>
    <row r="750" customHeight="1" spans="1:65">
      <c r="A750" s="18" t="s">
        <v>383</v>
      </c>
      <c r="B750" s="18" t="s">
        <v>384</v>
      </c>
      <c r="C750" s="13"/>
      <c r="D750" s="13"/>
      <c r="E750" s="18" t="s">
        <v>250</v>
      </c>
      <c r="F750" s="18" t="s">
        <v>160</v>
      </c>
      <c r="G750" s="18" t="s">
        <v>83</v>
      </c>
      <c r="H750" s="18" t="s">
        <v>84</v>
      </c>
      <c r="I750" s="18" t="s">
        <v>85</v>
      </c>
      <c r="J750" s="18">
        <v>5</v>
      </c>
      <c r="K750" s="16">
        <v>299.69</v>
      </c>
      <c r="L750" s="16">
        <v>332.99</v>
      </c>
      <c r="M750" s="16">
        <v>10</v>
      </c>
      <c r="N750" s="16">
        <v>33.3</v>
      </c>
      <c r="O750" s="18">
        <v>1</v>
      </c>
      <c r="P750" s="18" t="s">
        <v>71</v>
      </c>
      <c r="Q750" s="18">
        <v>5.70608</v>
      </c>
      <c r="R750" s="16">
        <v>29.97</v>
      </c>
      <c r="S750" s="16">
        <v>15</v>
      </c>
      <c r="T750" s="16">
        <v>10</v>
      </c>
      <c r="U750" s="18" t="s">
        <v>383</v>
      </c>
      <c r="V750" s="18" t="s">
        <v>384</v>
      </c>
      <c r="W750" s="13"/>
      <c r="X750" s="13"/>
      <c r="Y750" s="18" t="s">
        <v>250</v>
      </c>
      <c r="Z750" s="18" t="s">
        <v>160</v>
      </c>
      <c r="AA750" s="18" t="s">
        <v>83</v>
      </c>
      <c r="AB750" s="18" t="s">
        <v>84</v>
      </c>
      <c r="AC750" s="18" t="s">
        <v>85</v>
      </c>
      <c r="AD750" s="18">
        <v>-0.552666666666795</v>
      </c>
      <c r="AE750" s="18">
        <v>0</v>
      </c>
      <c r="AF750" s="18">
        <v>0</v>
      </c>
      <c r="AG750" s="18">
        <v>0</v>
      </c>
      <c r="AH750" s="18">
        <v>1</v>
      </c>
      <c r="AI750" s="18">
        <v>0</v>
      </c>
      <c r="AJ750" s="18">
        <v>0</v>
      </c>
      <c r="AK750" s="18">
        <v>0</v>
      </c>
      <c r="AL750" s="18">
        <v>0</v>
      </c>
      <c r="AM750" s="18">
        <v>0</v>
      </c>
      <c r="AN750" s="18">
        <v>0</v>
      </c>
      <c r="AO750" s="18">
        <v>0</v>
      </c>
      <c r="AP750" s="18">
        <v>0</v>
      </c>
      <c r="AQ750" s="18">
        <v>1</v>
      </c>
      <c r="AR750" s="18">
        <v>0</v>
      </c>
      <c r="AS750" s="18">
        <v>0</v>
      </c>
      <c r="AT750" s="18">
        <v>1</v>
      </c>
      <c r="AU750" s="18">
        <v>0</v>
      </c>
      <c r="AV750" s="18">
        <v>1</v>
      </c>
      <c r="AW750" s="18">
        <v>1</v>
      </c>
      <c r="AX750" s="18">
        <v>0</v>
      </c>
      <c r="AY750" s="18">
        <v>10</v>
      </c>
      <c r="AZ750" s="18">
        <v>1</v>
      </c>
      <c r="BA750" s="18">
        <v>2</v>
      </c>
      <c r="BB750" s="18">
        <v>56.76</v>
      </c>
      <c r="BC750" s="18" t="s">
        <v>385</v>
      </c>
      <c r="BD750" s="18" t="s">
        <v>386</v>
      </c>
      <c r="BE750" s="18" t="s">
        <v>226</v>
      </c>
      <c r="BF750" s="18" t="s">
        <v>77</v>
      </c>
      <c r="BG750" s="18">
        <v>1</v>
      </c>
      <c r="BH750" s="18">
        <v>28</v>
      </c>
      <c r="BI750" s="18">
        <v>0.0345</v>
      </c>
      <c r="BJ750" s="18">
        <v>1</v>
      </c>
      <c r="BK750" s="18">
        <v>3</v>
      </c>
      <c r="BL750" s="18">
        <v>99.2</v>
      </c>
      <c r="BM750" s="13">
        <f t="shared" si="0"/>
        <v>4495.35</v>
      </c>
    </row>
    <row r="751" customHeight="1" spans="1:65">
      <c r="A751" s="18" t="s">
        <v>493</v>
      </c>
      <c r="B751" s="18" t="s">
        <v>384</v>
      </c>
      <c r="C751" s="13"/>
      <c r="D751" s="13"/>
      <c r="E751" s="18" t="s">
        <v>81</v>
      </c>
      <c r="F751" s="18" t="s">
        <v>160</v>
      </c>
      <c r="G751" s="18" t="s">
        <v>83</v>
      </c>
      <c r="H751" s="18" t="s">
        <v>84</v>
      </c>
      <c r="I751" s="18" t="s">
        <v>85</v>
      </c>
      <c r="J751" s="18">
        <v>5</v>
      </c>
      <c r="K751" s="16">
        <v>220.99</v>
      </c>
      <c r="L751" s="16">
        <v>245.54</v>
      </c>
      <c r="M751" s="16">
        <v>10</v>
      </c>
      <c r="N751" s="16">
        <v>24.55</v>
      </c>
      <c r="O751" s="18">
        <v>1</v>
      </c>
      <c r="P751" s="18" t="s">
        <v>71</v>
      </c>
      <c r="Q751" s="18">
        <v>5.402632</v>
      </c>
      <c r="R751" s="16">
        <v>22.1</v>
      </c>
      <c r="S751" s="16">
        <v>81</v>
      </c>
      <c r="T751" s="16">
        <v>10</v>
      </c>
      <c r="U751" s="18" t="s">
        <v>493</v>
      </c>
      <c r="V751" s="18" t="s">
        <v>384</v>
      </c>
      <c r="W751" s="13"/>
      <c r="X751" s="13"/>
      <c r="Y751" s="18" t="s">
        <v>81</v>
      </c>
      <c r="Z751" s="18" t="s">
        <v>160</v>
      </c>
      <c r="AA751" s="18" t="s">
        <v>83</v>
      </c>
      <c r="AB751" s="18" t="s">
        <v>84</v>
      </c>
      <c r="AC751" s="18" t="s">
        <v>85</v>
      </c>
      <c r="AD751" s="18">
        <v>0.0273333333333881</v>
      </c>
      <c r="AE751" s="18">
        <v>0</v>
      </c>
      <c r="AF751" s="18">
        <v>0</v>
      </c>
      <c r="AG751" s="18">
        <v>0</v>
      </c>
      <c r="AH751" s="18">
        <v>1</v>
      </c>
      <c r="AI751" s="18">
        <v>0</v>
      </c>
      <c r="AJ751" s="18">
        <v>0</v>
      </c>
      <c r="AK751" s="18">
        <v>0</v>
      </c>
      <c r="AL751" s="18">
        <v>0</v>
      </c>
      <c r="AM751" s="18">
        <v>0</v>
      </c>
      <c r="AN751" s="18">
        <v>0</v>
      </c>
      <c r="AO751" s="18">
        <v>0</v>
      </c>
      <c r="AP751" s="18">
        <v>0</v>
      </c>
      <c r="AQ751" s="18">
        <v>1</v>
      </c>
      <c r="AR751" s="18">
        <v>0</v>
      </c>
      <c r="AS751" s="18">
        <v>0</v>
      </c>
      <c r="AT751" s="18">
        <v>1</v>
      </c>
      <c r="AU751" s="18">
        <v>0</v>
      </c>
      <c r="AV751" s="18">
        <v>1</v>
      </c>
      <c r="AW751" s="18">
        <v>1</v>
      </c>
      <c r="AX751" s="18">
        <v>0</v>
      </c>
      <c r="AY751" s="18">
        <v>10</v>
      </c>
      <c r="AZ751" s="18">
        <v>1</v>
      </c>
      <c r="BA751" s="18">
        <v>2</v>
      </c>
      <c r="BB751" s="18">
        <v>68.18</v>
      </c>
      <c r="BC751" s="18" t="s">
        <v>385</v>
      </c>
      <c r="BD751" s="18" t="s">
        <v>386</v>
      </c>
      <c r="BE751" s="18" t="s">
        <v>226</v>
      </c>
      <c r="BF751" s="18" t="s">
        <v>77</v>
      </c>
      <c r="BG751" s="18">
        <v>1</v>
      </c>
      <c r="BH751" s="18">
        <v>28</v>
      </c>
      <c r="BI751" s="18">
        <v>0.0345</v>
      </c>
      <c r="BJ751" s="18">
        <v>1</v>
      </c>
      <c r="BK751" s="18">
        <v>5</v>
      </c>
      <c r="BL751" s="18">
        <v>98.6</v>
      </c>
      <c r="BM751" s="13">
        <f t="shared" si="0"/>
        <v>17900.19</v>
      </c>
    </row>
    <row r="752" customHeight="1" spans="1:65">
      <c r="A752" s="18" t="s">
        <v>2206</v>
      </c>
      <c r="B752" s="18" t="s">
        <v>384</v>
      </c>
      <c r="C752" s="18" t="s">
        <v>2207</v>
      </c>
      <c r="D752" s="13"/>
      <c r="E752" s="18" t="s">
        <v>81</v>
      </c>
      <c r="F752" s="18" t="s">
        <v>160</v>
      </c>
      <c r="G752" s="18" t="s">
        <v>83</v>
      </c>
      <c r="H752" s="18" t="s">
        <v>84</v>
      </c>
      <c r="I752" s="18" t="s">
        <v>85</v>
      </c>
      <c r="J752" s="18">
        <v>5</v>
      </c>
      <c r="K752" s="16">
        <v>37.99</v>
      </c>
      <c r="L752" s="16">
        <v>39.99</v>
      </c>
      <c r="M752" s="16">
        <v>5</v>
      </c>
      <c r="N752" s="16">
        <v>2</v>
      </c>
      <c r="O752" s="18">
        <v>1</v>
      </c>
      <c r="P752" s="18" t="s">
        <v>86</v>
      </c>
      <c r="Q752" s="18">
        <v>3.663305</v>
      </c>
      <c r="R752" s="16">
        <v>4.75</v>
      </c>
      <c r="S752" s="16">
        <v>152</v>
      </c>
      <c r="T752" s="16">
        <v>10</v>
      </c>
      <c r="U752" s="18" t="s">
        <v>2206</v>
      </c>
      <c r="V752" s="18" t="s">
        <v>384</v>
      </c>
      <c r="W752" s="18" t="s">
        <v>2207</v>
      </c>
      <c r="X752" s="13"/>
      <c r="Y752" s="18" t="s">
        <v>81</v>
      </c>
      <c r="Z752" s="18" t="s">
        <v>160</v>
      </c>
      <c r="AA752" s="18" t="s">
        <v>83</v>
      </c>
      <c r="AB752" s="18" t="s">
        <v>84</v>
      </c>
      <c r="AC752" s="18" t="s">
        <v>85</v>
      </c>
      <c r="AD752" s="18">
        <v>-1.1326666666667</v>
      </c>
      <c r="AE752" s="18">
        <v>0</v>
      </c>
      <c r="AF752" s="18">
        <v>0</v>
      </c>
      <c r="AG752" s="18">
        <v>0</v>
      </c>
      <c r="AH752" s="18">
        <v>1</v>
      </c>
      <c r="AI752" s="18">
        <v>0</v>
      </c>
      <c r="AJ752" s="18">
        <v>0</v>
      </c>
      <c r="AK752" s="18">
        <v>0</v>
      </c>
      <c r="AL752" s="18">
        <v>0</v>
      </c>
      <c r="AM752" s="18">
        <v>0</v>
      </c>
      <c r="AN752" s="18">
        <v>0</v>
      </c>
      <c r="AO752" s="18">
        <v>0</v>
      </c>
      <c r="AP752" s="18">
        <v>0</v>
      </c>
      <c r="AQ752" s="18">
        <v>0</v>
      </c>
      <c r="AR752" s="18">
        <v>0</v>
      </c>
      <c r="AS752" s="18">
        <v>0</v>
      </c>
      <c r="AT752" s="18">
        <v>1</v>
      </c>
      <c r="AU752" s="18">
        <v>0</v>
      </c>
      <c r="AV752" s="18">
        <v>0</v>
      </c>
      <c r="AW752" s="18">
        <v>1</v>
      </c>
      <c r="AX752" s="18">
        <v>0</v>
      </c>
      <c r="AY752" s="18">
        <v>8</v>
      </c>
      <c r="AZ752" s="18">
        <v>1</v>
      </c>
      <c r="BA752" s="18">
        <v>1</v>
      </c>
      <c r="BB752" s="18">
        <v>68.88</v>
      </c>
      <c r="BC752" s="18" t="s">
        <v>385</v>
      </c>
      <c r="BD752" s="18" t="s">
        <v>386</v>
      </c>
      <c r="BE752" s="18" t="s">
        <v>226</v>
      </c>
      <c r="BF752" s="18" t="s">
        <v>77</v>
      </c>
      <c r="BG752" s="18">
        <v>1</v>
      </c>
      <c r="BH752" s="18">
        <v>28</v>
      </c>
      <c r="BI752" s="18">
        <v>0.0345</v>
      </c>
      <c r="BJ752" s="18">
        <v>1</v>
      </c>
      <c r="BK752" s="18">
        <v>2</v>
      </c>
      <c r="BL752" s="18">
        <v>99.5</v>
      </c>
      <c r="BM752" s="13">
        <f t="shared" si="0"/>
        <v>5774.48</v>
      </c>
    </row>
    <row r="753" customHeight="1" spans="1:65">
      <c r="A753" s="18" t="s">
        <v>1374</v>
      </c>
      <c r="B753" s="18" t="s">
        <v>384</v>
      </c>
      <c r="C753" s="13"/>
      <c r="D753" s="13"/>
      <c r="E753" s="18" t="s">
        <v>81</v>
      </c>
      <c r="F753" s="18" t="s">
        <v>160</v>
      </c>
      <c r="G753" s="18" t="s">
        <v>83</v>
      </c>
      <c r="H753" s="18" t="s">
        <v>84</v>
      </c>
      <c r="I753" s="18" t="s">
        <v>85</v>
      </c>
      <c r="J753" s="18">
        <v>5</v>
      </c>
      <c r="K753" s="16">
        <v>39.99</v>
      </c>
      <c r="L753" s="16">
        <v>62.99</v>
      </c>
      <c r="M753" s="16">
        <v>36.51</v>
      </c>
      <c r="N753" s="16">
        <v>23</v>
      </c>
      <c r="O753" s="18">
        <v>1</v>
      </c>
      <c r="P753" s="18" t="s">
        <v>86</v>
      </c>
      <c r="Q753" s="18">
        <v>3.713328</v>
      </c>
      <c r="R753" s="10"/>
      <c r="S753" s="16">
        <v>15</v>
      </c>
      <c r="T753" s="16">
        <v>10</v>
      </c>
      <c r="U753" s="18" t="s">
        <v>1374</v>
      </c>
      <c r="V753" s="18" t="s">
        <v>384</v>
      </c>
      <c r="W753" s="13"/>
      <c r="X753" s="13"/>
      <c r="Y753" s="18" t="s">
        <v>81</v>
      </c>
      <c r="Z753" s="18" t="s">
        <v>160</v>
      </c>
      <c r="AA753" s="18" t="s">
        <v>83</v>
      </c>
      <c r="AB753" s="18" t="s">
        <v>84</v>
      </c>
      <c r="AC753" s="18" t="s">
        <v>85</v>
      </c>
      <c r="AD753" s="18">
        <v>18.3366666666667</v>
      </c>
      <c r="AE753" s="18">
        <v>1</v>
      </c>
      <c r="AF753" s="18">
        <v>0</v>
      </c>
      <c r="AG753" s="18">
        <v>0</v>
      </c>
      <c r="AH753" s="18">
        <v>1</v>
      </c>
      <c r="AI753" s="18">
        <v>0</v>
      </c>
      <c r="AJ753" s="18">
        <v>1</v>
      </c>
      <c r="AK753" s="18">
        <v>0</v>
      </c>
      <c r="AL753" s="18">
        <v>0</v>
      </c>
      <c r="AM753" s="18">
        <v>0</v>
      </c>
      <c r="AN753" s="18">
        <v>0</v>
      </c>
      <c r="AO753" s="18">
        <v>0</v>
      </c>
      <c r="AP753" s="18">
        <v>0</v>
      </c>
      <c r="AQ753" s="18">
        <v>0</v>
      </c>
      <c r="AR753" s="18">
        <v>0</v>
      </c>
      <c r="AS753" s="18">
        <v>0</v>
      </c>
      <c r="AT753" s="18">
        <v>0</v>
      </c>
      <c r="AU753" s="18">
        <v>0</v>
      </c>
      <c r="AV753" s="18">
        <v>0</v>
      </c>
      <c r="AW753" s="18">
        <v>0</v>
      </c>
      <c r="AX753" s="18">
        <v>0</v>
      </c>
      <c r="AY753" s="13"/>
      <c r="AZ753" s="18">
        <v>2</v>
      </c>
      <c r="BA753" s="18">
        <v>2</v>
      </c>
      <c r="BB753" s="18">
        <v>64.8</v>
      </c>
      <c r="BC753" s="18" t="s">
        <v>385</v>
      </c>
      <c r="BD753" s="18" t="s">
        <v>225</v>
      </c>
      <c r="BE753" s="18" t="s">
        <v>226</v>
      </c>
      <c r="BF753" s="18" t="s">
        <v>77</v>
      </c>
      <c r="BG753" s="18">
        <v>1</v>
      </c>
      <c r="BH753" s="18">
        <v>52</v>
      </c>
      <c r="BI753" s="18">
        <v>0.0189</v>
      </c>
      <c r="BJ753" s="18">
        <v>1</v>
      </c>
      <c r="BK753" s="18">
        <v>2</v>
      </c>
      <c r="BL753" s="18">
        <v>99.5</v>
      </c>
      <c r="BM753" s="13">
        <f t="shared" si="0"/>
        <v>599.85</v>
      </c>
    </row>
    <row r="754" customHeight="1" spans="1:65">
      <c r="A754" s="18" t="s">
        <v>1454</v>
      </c>
      <c r="B754" s="18" t="s">
        <v>384</v>
      </c>
      <c r="C754" s="18" t="s">
        <v>1455</v>
      </c>
      <c r="D754" s="13"/>
      <c r="E754" s="18" t="s">
        <v>1456</v>
      </c>
      <c r="F754" s="18" t="s">
        <v>82</v>
      </c>
      <c r="G754" s="18" t="s">
        <v>83</v>
      </c>
      <c r="H754" s="18" t="s">
        <v>84</v>
      </c>
      <c r="I754" s="18" t="s">
        <v>85</v>
      </c>
      <c r="J754" s="18">
        <v>5</v>
      </c>
      <c r="K754" s="16">
        <v>35.99</v>
      </c>
      <c r="L754" s="16">
        <v>37.88</v>
      </c>
      <c r="M754" s="16">
        <v>4.99</v>
      </c>
      <c r="N754" s="16">
        <v>1.89</v>
      </c>
      <c r="O754" s="18">
        <v>1</v>
      </c>
      <c r="P754" s="18" t="s">
        <v>86</v>
      </c>
      <c r="Q754" s="18">
        <v>3.610648</v>
      </c>
      <c r="R754" s="10"/>
      <c r="S754" s="16">
        <v>1</v>
      </c>
      <c r="T754" s="16">
        <v>10</v>
      </c>
      <c r="U754" s="18" t="s">
        <v>1454</v>
      </c>
      <c r="V754" s="18" t="s">
        <v>384</v>
      </c>
      <c r="W754" s="18" t="s">
        <v>2722</v>
      </c>
      <c r="X754" s="13"/>
      <c r="Y754" s="18" t="s">
        <v>1456</v>
      </c>
      <c r="Z754" s="18" t="s">
        <v>82</v>
      </c>
      <c r="AA754" s="18" t="s">
        <v>83</v>
      </c>
      <c r="AB754" s="18" t="s">
        <v>84</v>
      </c>
      <c r="AC754" s="18" t="s">
        <v>85</v>
      </c>
      <c r="AD754" s="18">
        <v>-1.0606666666667</v>
      </c>
      <c r="AE754" s="18">
        <v>0</v>
      </c>
      <c r="AF754" s="18">
        <v>0</v>
      </c>
      <c r="AG754" s="18">
        <v>0</v>
      </c>
      <c r="AH754" s="18">
        <v>1</v>
      </c>
      <c r="AI754" s="18">
        <v>0</v>
      </c>
      <c r="AJ754" s="18">
        <v>1</v>
      </c>
      <c r="AK754" s="18">
        <v>1</v>
      </c>
      <c r="AL754" s="18">
        <v>0</v>
      </c>
      <c r="AM754" s="18">
        <v>0</v>
      </c>
      <c r="AN754" s="18">
        <v>0</v>
      </c>
      <c r="AO754" s="18">
        <v>0</v>
      </c>
      <c r="AP754" s="18">
        <v>0</v>
      </c>
      <c r="AQ754" s="18">
        <v>0</v>
      </c>
      <c r="AR754" s="18">
        <v>0</v>
      </c>
      <c r="AS754" s="18">
        <v>0</v>
      </c>
      <c r="AT754" s="18">
        <v>0</v>
      </c>
      <c r="AU754" s="18">
        <v>0</v>
      </c>
      <c r="AV754" s="18">
        <v>0</v>
      </c>
      <c r="AW754" s="18">
        <v>0</v>
      </c>
      <c r="AX754" s="18">
        <v>0</v>
      </c>
      <c r="AY754" s="13"/>
      <c r="AZ754" s="18">
        <v>4</v>
      </c>
      <c r="BA754" s="18">
        <v>3</v>
      </c>
      <c r="BB754" s="18">
        <v>34.89</v>
      </c>
      <c r="BC754" s="18" t="s">
        <v>385</v>
      </c>
      <c r="BD754" s="18" t="s">
        <v>1457</v>
      </c>
      <c r="BE754" s="18" t="s">
        <v>287</v>
      </c>
      <c r="BF754" s="18" t="s">
        <v>77</v>
      </c>
      <c r="BG754" s="18">
        <v>1</v>
      </c>
      <c r="BH754" s="18">
        <v>27</v>
      </c>
      <c r="BI754" s="18">
        <v>0.0357</v>
      </c>
      <c r="BJ754" s="18">
        <v>1</v>
      </c>
      <c r="BK754" s="18">
        <v>3</v>
      </c>
      <c r="BL754" s="18">
        <v>99.2</v>
      </c>
      <c r="BM754" s="13">
        <f t="shared" si="0"/>
        <v>35.99</v>
      </c>
    </row>
    <row r="755" customHeight="1" spans="1:65">
      <c r="A755" s="18" t="s">
        <v>646</v>
      </c>
      <c r="B755" s="18" t="s">
        <v>144</v>
      </c>
      <c r="C755" s="13"/>
      <c r="D755" s="13"/>
      <c r="E755" s="18" t="s">
        <v>163</v>
      </c>
      <c r="F755" s="18" t="s">
        <v>132</v>
      </c>
      <c r="G755" s="18" t="s">
        <v>83</v>
      </c>
      <c r="H755" s="18" t="s">
        <v>84</v>
      </c>
      <c r="I755" s="18" t="s">
        <v>85</v>
      </c>
      <c r="J755" s="18">
        <v>5</v>
      </c>
      <c r="K755" s="16">
        <v>27.25</v>
      </c>
      <c r="L755" s="10"/>
      <c r="M755" s="16">
        <v>0</v>
      </c>
      <c r="N755" s="16">
        <v>0</v>
      </c>
      <c r="O755" s="18">
        <v>0</v>
      </c>
      <c r="P755" s="18" t="s">
        <v>86</v>
      </c>
      <c r="Q755" s="18">
        <v>3.341093</v>
      </c>
      <c r="R755" s="10"/>
      <c r="S755" s="16">
        <v>176</v>
      </c>
      <c r="T755" s="16">
        <v>10</v>
      </c>
      <c r="U755" s="18" t="s">
        <v>2723</v>
      </c>
      <c r="V755" s="18" t="s">
        <v>144</v>
      </c>
      <c r="W755" s="13"/>
      <c r="X755" s="13"/>
      <c r="Y755" s="18" t="s">
        <v>163</v>
      </c>
      <c r="Z755" s="18" t="s">
        <v>132</v>
      </c>
      <c r="AA755" s="18" t="s">
        <v>83</v>
      </c>
      <c r="AB755" s="18" t="s">
        <v>84</v>
      </c>
      <c r="AC755" s="18" t="s">
        <v>85</v>
      </c>
      <c r="AD755" s="18">
        <v>49.5</v>
      </c>
      <c r="AE755" s="18">
        <v>0</v>
      </c>
      <c r="AF755" s="18">
        <v>0</v>
      </c>
      <c r="AG755" s="18">
        <v>0</v>
      </c>
      <c r="AH755" s="18">
        <v>0</v>
      </c>
      <c r="AI755" s="18">
        <v>0</v>
      </c>
      <c r="AJ755" s="18">
        <v>0</v>
      </c>
      <c r="AK755" s="18">
        <v>0</v>
      </c>
      <c r="AL755" s="18">
        <v>0</v>
      </c>
      <c r="AM755" s="18">
        <v>0</v>
      </c>
      <c r="AN755" s="18">
        <v>0</v>
      </c>
      <c r="AO755" s="18">
        <v>0</v>
      </c>
      <c r="AP755" s="18">
        <v>0</v>
      </c>
      <c r="AQ755" s="18">
        <v>0</v>
      </c>
      <c r="AR755" s="18">
        <v>0</v>
      </c>
      <c r="AS755" s="18">
        <v>0</v>
      </c>
      <c r="AT755" s="18">
        <v>0</v>
      </c>
      <c r="AU755" s="18">
        <v>0</v>
      </c>
      <c r="AV755" s="18">
        <v>0</v>
      </c>
      <c r="AW755" s="18">
        <v>1</v>
      </c>
      <c r="AX755" s="18">
        <v>0</v>
      </c>
      <c r="AY755" s="13"/>
      <c r="AZ755" s="18">
        <v>1</v>
      </c>
      <c r="BA755" s="18">
        <v>0</v>
      </c>
      <c r="BB755" s="18">
        <v>67.61</v>
      </c>
      <c r="BC755" s="18" t="s">
        <v>391</v>
      </c>
      <c r="BD755" s="18" t="s">
        <v>392</v>
      </c>
      <c r="BE755" s="18" t="s">
        <v>393</v>
      </c>
      <c r="BF755" s="18" t="s">
        <v>77</v>
      </c>
      <c r="BG755" s="18">
        <v>1</v>
      </c>
      <c r="BH755" s="18">
        <v>226</v>
      </c>
      <c r="BI755" s="18">
        <v>0.0044</v>
      </c>
      <c r="BJ755" s="18">
        <v>1</v>
      </c>
      <c r="BK755" s="18">
        <v>3</v>
      </c>
      <c r="BL755" s="18">
        <v>99.2</v>
      </c>
      <c r="BM755" s="13">
        <f t="shared" si="0"/>
        <v>4796</v>
      </c>
    </row>
    <row r="756" customHeight="1" spans="1:65">
      <c r="A756" s="18" t="s">
        <v>389</v>
      </c>
      <c r="B756" s="18" t="s">
        <v>125</v>
      </c>
      <c r="C756" s="13"/>
      <c r="D756" s="13"/>
      <c r="E756" s="18" t="s">
        <v>390</v>
      </c>
      <c r="F756" s="18" t="s">
        <v>240</v>
      </c>
      <c r="G756" s="18" t="s">
        <v>83</v>
      </c>
      <c r="H756" s="18" t="s">
        <v>138</v>
      </c>
      <c r="I756" s="18" t="s">
        <v>85</v>
      </c>
      <c r="J756" s="18">
        <v>5</v>
      </c>
      <c r="K756" s="16">
        <v>29.98</v>
      </c>
      <c r="L756" s="10"/>
      <c r="M756" s="16">
        <v>0</v>
      </c>
      <c r="N756" s="16">
        <v>0</v>
      </c>
      <c r="O756" s="18">
        <v>0</v>
      </c>
      <c r="P756" s="18" t="s">
        <v>86</v>
      </c>
      <c r="Q756" s="18">
        <v>3.433342</v>
      </c>
      <c r="R756" s="10"/>
      <c r="S756" s="16">
        <v>34</v>
      </c>
      <c r="T756" s="16">
        <v>10</v>
      </c>
      <c r="U756" s="18" t="s">
        <v>389</v>
      </c>
      <c r="V756" s="18" t="s">
        <v>125</v>
      </c>
      <c r="W756" s="13"/>
      <c r="X756" s="13"/>
      <c r="Y756" s="18" t="s">
        <v>390</v>
      </c>
      <c r="Z756" s="18" t="s">
        <v>240</v>
      </c>
      <c r="AA756" s="18" t="s">
        <v>83</v>
      </c>
      <c r="AB756" s="18" t="s">
        <v>138</v>
      </c>
      <c r="AC756" s="18" t="s">
        <v>85</v>
      </c>
      <c r="AD756" s="18">
        <v>54.96</v>
      </c>
      <c r="AE756" s="18">
        <v>0</v>
      </c>
      <c r="AF756" s="18">
        <v>0</v>
      </c>
      <c r="AG756" s="18">
        <v>0</v>
      </c>
      <c r="AH756" s="18">
        <v>0</v>
      </c>
      <c r="AI756" s="18">
        <v>0</v>
      </c>
      <c r="AJ756" s="18">
        <v>0</v>
      </c>
      <c r="AK756" s="18">
        <v>0</v>
      </c>
      <c r="AL756" s="18">
        <v>0</v>
      </c>
      <c r="AM756" s="18">
        <v>0</v>
      </c>
      <c r="AN756" s="18">
        <v>0</v>
      </c>
      <c r="AO756" s="18">
        <v>0</v>
      </c>
      <c r="AP756" s="18">
        <v>0</v>
      </c>
      <c r="AQ756" s="18">
        <v>1</v>
      </c>
      <c r="AR756" s="18">
        <v>0</v>
      </c>
      <c r="AS756" s="18">
        <v>0</v>
      </c>
      <c r="AT756" s="18">
        <v>0</v>
      </c>
      <c r="AU756" s="18">
        <v>0</v>
      </c>
      <c r="AV756" s="18">
        <v>1</v>
      </c>
      <c r="AW756" s="18">
        <v>0</v>
      </c>
      <c r="AX756" s="18">
        <v>0</v>
      </c>
      <c r="AY756" s="13"/>
      <c r="AZ756" s="18">
        <v>1</v>
      </c>
      <c r="BA756" s="18">
        <v>1</v>
      </c>
      <c r="BB756" s="18">
        <v>60.76</v>
      </c>
      <c r="BC756" s="18" t="s">
        <v>391</v>
      </c>
      <c r="BD756" s="18" t="s">
        <v>392</v>
      </c>
      <c r="BE756" s="18" t="s">
        <v>393</v>
      </c>
      <c r="BF756" s="18" t="s">
        <v>77</v>
      </c>
      <c r="BG756" s="18">
        <v>1</v>
      </c>
      <c r="BH756" s="18">
        <v>226</v>
      </c>
      <c r="BI756" s="18">
        <v>0.0044</v>
      </c>
      <c r="BJ756" s="18">
        <v>1</v>
      </c>
      <c r="BK756" s="18">
        <v>2</v>
      </c>
      <c r="BL756" s="18">
        <v>99.5</v>
      </c>
      <c r="BM756" s="13">
        <f t="shared" si="0"/>
        <v>1019.32</v>
      </c>
    </row>
    <row r="757" customHeight="1" spans="1:65">
      <c r="A757" s="18" t="s">
        <v>394</v>
      </c>
      <c r="B757" s="18" t="s">
        <v>115</v>
      </c>
      <c r="C757" s="18" t="s">
        <v>395</v>
      </c>
      <c r="D757" s="18">
        <v>840268930653</v>
      </c>
      <c r="E757" s="18" t="s">
        <v>81</v>
      </c>
      <c r="F757" s="18" t="s">
        <v>68</v>
      </c>
      <c r="G757" s="18" t="s">
        <v>117</v>
      </c>
      <c r="H757" s="18" t="s">
        <v>107</v>
      </c>
      <c r="I757" s="18" t="s">
        <v>85</v>
      </c>
      <c r="J757" s="18">
        <v>5</v>
      </c>
      <c r="K757" s="16">
        <v>199.99</v>
      </c>
      <c r="L757" s="10"/>
      <c r="M757" s="16">
        <v>0</v>
      </c>
      <c r="N757" s="16">
        <v>0</v>
      </c>
      <c r="O757" s="18">
        <v>0</v>
      </c>
      <c r="P757" s="18" t="s">
        <v>95</v>
      </c>
      <c r="Q757" s="18">
        <v>5.303255</v>
      </c>
      <c r="R757" s="10"/>
      <c r="S757" s="10"/>
      <c r="T757" s="10"/>
      <c r="U757" s="18" t="s">
        <v>394</v>
      </c>
      <c r="V757" s="18" t="s">
        <v>115</v>
      </c>
      <c r="W757" s="18" t="s">
        <v>2724</v>
      </c>
      <c r="X757" s="18">
        <v>840268930654</v>
      </c>
      <c r="Y757" s="18" t="s">
        <v>81</v>
      </c>
      <c r="Z757" s="18" t="s">
        <v>68</v>
      </c>
      <c r="AA757" s="18" t="s">
        <v>117</v>
      </c>
      <c r="AB757" s="18" t="s">
        <v>107</v>
      </c>
      <c r="AC757" s="18" t="s">
        <v>85</v>
      </c>
      <c r="AD757" s="18">
        <v>394.98</v>
      </c>
      <c r="AE757" s="18">
        <v>0</v>
      </c>
      <c r="AF757" s="18">
        <v>1</v>
      </c>
      <c r="AG757" s="18">
        <v>0</v>
      </c>
      <c r="AH757" s="18">
        <v>0</v>
      </c>
      <c r="AI757" s="18">
        <v>0</v>
      </c>
      <c r="AJ757" s="18">
        <v>0</v>
      </c>
      <c r="AK757" s="18">
        <v>0</v>
      </c>
      <c r="AL757" s="18">
        <v>0</v>
      </c>
      <c r="AM757" s="18">
        <v>0</v>
      </c>
      <c r="AN757" s="18">
        <v>0</v>
      </c>
      <c r="AO757" s="18">
        <v>0</v>
      </c>
      <c r="AP757" s="18">
        <v>1</v>
      </c>
      <c r="AQ757" s="18">
        <v>0</v>
      </c>
      <c r="AR757" s="18">
        <v>0</v>
      </c>
      <c r="AS757" s="18">
        <v>0</v>
      </c>
      <c r="AT757" s="18">
        <v>1</v>
      </c>
      <c r="AU757" s="18">
        <v>0</v>
      </c>
      <c r="AV757" s="18">
        <v>0</v>
      </c>
      <c r="AW757" s="18">
        <v>1</v>
      </c>
      <c r="AX757" s="18">
        <v>0</v>
      </c>
      <c r="AY757" s="13"/>
      <c r="AZ757" s="18">
        <v>1</v>
      </c>
      <c r="BA757" s="18">
        <v>0</v>
      </c>
      <c r="BB757" s="18">
        <v>0</v>
      </c>
      <c r="BC757" s="18" t="s">
        <v>396</v>
      </c>
      <c r="BD757" s="18" t="s">
        <v>397</v>
      </c>
      <c r="BE757" s="18" t="s">
        <v>398</v>
      </c>
      <c r="BF757" s="18" t="s">
        <v>77</v>
      </c>
      <c r="BG757" s="18">
        <v>1</v>
      </c>
      <c r="BH757" s="18">
        <v>11</v>
      </c>
      <c r="BI757" s="18">
        <v>0.0833</v>
      </c>
      <c r="BJ757" s="18">
        <v>1</v>
      </c>
      <c r="BK757" s="13"/>
      <c r="BL757" s="13"/>
      <c r="BM757" s="13">
        <f t="shared" si="0"/>
        <v>0</v>
      </c>
    </row>
    <row r="758" customHeight="1" spans="1:65">
      <c r="A758" s="18" t="s">
        <v>403</v>
      </c>
      <c r="B758" s="18" t="s">
        <v>404</v>
      </c>
      <c r="C758" s="13"/>
      <c r="D758" s="13"/>
      <c r="E758" s="18" t="s">
        <v>131</v>
      </c>
      <c r="F758" s="18" t="s">
        <v>132</v>
      </c>
      <c r="G758" s="18" t="s">
        <v>83</v>
      </c>
      <c r="H758" s="18" t="s">
        <v>84</v>
      </c>
      <c r="I758" s="18" t="s">
        <v>85</v>
      </c>
      <c r="J758" s="18">
        <v>5</v>
      </c>
      <c r="K758" s="16">
        <v>9.99</v>
      </c>
      <c r="L758" s="10"/>
      <c r="M758" s="16">
        <v>0</v>
      </c>
      <c r="N758" s="16">
        <v>0</v>
      </c>
      <c r="O758" s="18">
        <v>0</v>
      </c>
      <c r="P758" s="18" t="s">
        <v>133</v>
      </c>
      <c r="Q758" s="18">
        <v>2.396986</v>
      </c>
      <c r="R758" s="10"/>
      <c r="S758" s="16">
        <v>952</v>
      </c>
      <c r="T758" s="16">
        <v>10</v>
      </c>
      <c r="U758" s="18" t="s">
        <v>403</v>
      </c>
      <c r="V758" s="18" t="s">
        <v>404</v>
      </c>
      <c r="W758" s="13"/>
      <c r="X758" s="13"/>
      <c r="Y758" s="18" t="s">
        <v>131</v>
      </c>
      <c r="Z758" s="18" t="s">
        <v>132</v>
      </c>
      <c r="AA758" s="18" t="s">
        <v>83</v>
      </c>
      <c r="AB758" s="18" t="s">
        <v>84</v>
      </c>
      <c r="AC758" s="18" t="s">
        <v>85</v>
      </c>
      <c r="AD758" s="18">
        <v>14.98</v>
      </c>
      <c r="AE758" s="18">
        <v>0</v>
      </c>
      <c r="AF758" s="18">
        <v>0</v>
      </c>
      <c r="AG758" s="18">
        <v>0</v>
      </c>
      <c r="AH758" s="18">
        <v>1</v>
      </c>
      <c r="AI758" s="18">
        <v>0</v>
      </c>
      <c r="AJ758" s="18">
        <v>0</v>
      </c>
      <c r="AK758" s="18">
        <v>0</v>
      </c>
      <c r="AL758" s="18">
        <v>0</v>
      </c>
      <c r="AM758" s="18">
        <v>0</v>
      </c>
      <c r="AN758" s="18">
        <v>0</v>
      </c>
      <c r="AO758" s="18">
        <v>0</v>
      </c>
      <c r="AP758" s="18">
        <v>0</v>
      </c>
      <c r="AQ758" s="18">
        <v>0</v>
      </c>
      <c r="AR758" s="18">
        <v>0</v>
      </c>
      <c r="AS758" s="18">
        <v>0</v>
      </c>
      <c r="AT758" s="18">
        <v>0</v>
      </c>
      <c r="AU758" s="18">
        <v>0</v>
      </c>
      <c r="AV758" s="18">
        <v>0</v>
      </c>
      <c r="AW758" s="18">
        <v>0</v>
      </c>
      <c r="AX758" s="18">
        <v>0</v>
      </c>
      <c r="AY758" s="13"/>
      <c r="AZ758" s="18">
        <v>1</v>
      </c>
      <c r="BA758" s="18">
        <v>1</v>
      </c>
      <c r="BB758" s="18">
        <v>61.21</v>
      </c>
      <c r="BC758" s="18" t="s">
        <v>405</v>
      </c>
      <c r="BD758" s="18" t="s">
        <v>406</v>
      </c>
      <c r="BE758" s="18" t="s">
        <v>407</v>
      </c>
      <c r="BF758" s="18" t="s">
        <v>77</v>
      </c>
      <c r="BG758" s="18">
        <v>163</v>
      </c>
      <c r="BH758" s="18">
        <v>59</v>
      </c>
      <c r="BI758" s="18">
        <v>0.7342</v>
      </c>
      <c r="BJ758" s="18">
        <v>0</v>
      </c>
      <c r="BK758" s="18">
        <v>102</v>
      </c>
      <c r="BL758" s="18">
        <v>72.1</v>
      </c>
      <c r="BM758" s="13">
        <f t="shared" si="0"/>
        <v>9510.48</v>
      </c>
    </row>
    <row r="759" customHeight="1" spans="1:65">
      <c r="A759" s="18" t="s">
        <v>2042</v>
      </c>
      <c r="B759" s="18" t="s">
        <v>404</v>
      </c>
      <c r="C759" s="13"/>
      <c r="D759" s="13"/>
      <c r="E759" s="18" t="s">
        <v>67</v>
      </c>
      <c r="F759" s="18" t="s">
        <v>240</v>
      </c>
      <c r="G759" s="18" t="s">
        <v>83</v>
      </c>
      <c r="H759" s="18" t="s">
        <v>84</v>
      </c>
      <c r="I759" s="18" t="s">
        <v>203</v>
      </c>
      <c r="J759" s="18">
        <v>4</v>
      </c>
      <c r="K759" s="16">
        <v>44.99</v>
      </c>
      <c r="L759" s="10"/>
      <c r="M759" s="16">
        <v>0</v>
      </c>
      <c r="N759" s="16">
        <v>0</v>
      </c>
      <c r="O759" s="18">
        <v>0</v>
      </c>
      <c r="P759" s="18" t="s">
        <v>86</v>
      </c>
      <c r="Q759" s="18">
        <v>3.828424</v>
      </c>
      <c r="R759" s="16">
        <v>11.25</v>
      </c>
      <c r="S759" s="16">
        <v>256</v>
      </c>
      <c r="T759" s="16">
        <v>10</v>
      </c>
      <c r="U759" s="18" t="s">
        <v>2725</v>
      </c>
      <c r="V759" s="18" t="s">
        <v>404</v>
      </c>
      <c r="W759" s="13"/>
      <c r="X759" s="13"/>
      <c r="Y759" s="18" t="s">
        <v>67</v>
      </c>
      <c r="Z759" s="18" t="s">
        <v>240</v>
      </c>
      <c r="AA759" s="18" t="s">
        <v>83</v>
      </c>
      <c r="AB759" s="18" t="s">
        <v>84</v>
      </c>
      <c r="AC759" s="18" t="s">
        <v>203</v>
      </c>
      <c r="AD759" s="18">
        <v>85.98</v>
      </c>
      <c r="AE759" s="18">
        <v>0</v>
      </c>
      <c r="AF759" s="18">
        <v>0</v>
      </c>
      <c r="AG759" s="18">
        <v>0</v>
      </c>
      <c r="AH759" s="18">
        <v>0</v>
      </c>
      <c r="AI759" s="18">
        <v>0</v>
      </c>
      <c r="AJ759" s="18">
        <v>0</v>
      </c>
      <c r="AK759" s="18">
        <v>0</v>
      </c>
      <c r="AL759" s="18">
        <v>0</v>
      </c>
      <c r="AM759" s="18">
        <v>0</v>
      </c>
      <c r="AN759" s="18">
        <v>0</v>
      </c>
      <c r="AO759" s="18">
        <v>0</v>
      </c>
      <c r="AP759" s="18">
        <v>0</v>
      </c>
      <c r="AQ759" s="18">
        <v>1</v>
      </c>
      <c r="AR759" s="18">
        <v>0</v>
      </c>
      <c r="AS759" s="18">
        <v>0</v>
      </c>
      <c r="AT759" s="18">
        <v>0</v>
      </c>
      <c r="AU759" s="18">
        <v>0</v>
      </c>
      <c r="AV759" s="18">
        <v>1</v>
      </c>
      <c r="AW759" s="18">
        <v>1</v>
      </c>
      <c r="AX759" s="18">
        <v>0</v>
      </c>
      <c r="AY759" s="18">
        <v>4</v>
      </c>
      <c r="AZ759" s="18">
        <v>1</v>
      </c>
      <c r="BA759" s="18">
        <v>1</v>
      </c>
      <c r="BB759" s="18">
        <v>51.73</v>
      </c>
      <c r="BC759" s="18" t="s">
        <v>405</v>
      </c>
      <c r="BD759" s="18" t="s">
        <v>406</v>
      </c>
      <c r="BE759" s="18" t="s">
        <v>407</v>
      </c>
      <c r="BF759" s="18" t="s">
        <v>77</v>
      </c>
      <c r="BG759" s="18">
        <v>162</v>
      </c>
      <c r="BH759" s="18">
        <v>60</v>
      </c>
      <c r="BI759" s="18">
        <v>0.7297</v>
      </c>
      <c r="BJ759" s="18">
        <v>0</v>
      </c>
      <c r="BK759" s="18">
        <v>204</v>
      </c>
      <c r="BL759" s="18">
        <v>44.1</v>
      </c>
      <c r="BM759" s="13">
        <f t="shared" si="0"/>
        <v>11517.44</v>
      </c>
    </row>
    <row r="760" customHeight="1" spans="1:65">
      <c r="A760" s="18" t="s">
        <v>572</v>
      </c>
      <c r="B760" s="18" t="s">
        <v>404</v>
      </c>
      <c r="C760" s="13"/>
      <c r="D760" s="18">
        <v>889490020145</v>
      </c>
      <c r="E760" s="18" t="s">
        <v>559</v>
      </c>
      <c r="F760" s="18" t="s">
        <v>82</v>
      </c>
      <c r="G760" s="18" t="s">
        <v>83</v>
      </c>
      <c r="H760" s="18" t="s">
        <v>84</v>
      </c>
      <c r="I760" s="18" t="s">
        <v>203</v>
      </c>
      <c r="J760" s="18">
        <v>4</v>
      </c>
      <c r="K760" s="16">
        <v>69.99</v>
      </c>
      <c r="L760" s="10"/>
      <c r="M760" s="16">
        <v>0</v>
      </c>
      <c r="N760" s="16">
        <v>0</v>
      </c>
      <c r="O760" s="18">
        <v>0</v>
      </c>
      <c r="P760" s="18" t="s">
        <v>86</v>
      </c>
      <c r="Q760" s="18">
        <v>4.262539</v>
      </c>
      <c r="R760" s="16">
        <v>8.75</v>
      </c>
      <c r="S760" s="16">
        <v>337</v>
      </c>
      <c r="T760" s="16">
        <v>10</v>
      </c>
      <c r="U760" s="18" t="s">
        <v>572</v>
      </c>
      <c r="V760" s="18" t="s">
        <v>404</v>
      </c>
      <c r="W760" s="13"/>
      <c r="X760" s="18">
        <v>889490020146</v>
      </c>
      <c r="Y760" s="18" t="s">
        <v>559</v>
      </c>
      <c r="Z760" s="18" t="s">
        <v>82</v>
      </c>
      <c r="AA760" s="18" t="s">
        <v>83</v>
      </c>
      <c r="AB760" s="18" t="s">
        <v>84</v>
      </c>
      <c r="AC760" s="18" t="s">
        <v>203</v>
      </c>
      <c r="AD760" s="18">
        <v>135.98</v>
      </c>
      <c r="AE760" s="18">
        <v>0</v>
      </c>
      <c r="AF760" s="18">
        <v>0</v>
      </c>
      <c r="AG760" s="18">
        <v>0</v>
      </c>
      <c r="AH760" s="18">
        <v>0</v>
      </c>
      <c r="AI760" s="18">
        <v>0</v>
      </c>
      <c r="AJ760" s="18">
        <v>0</v>
      </c>
      <c r="AK760" s="18">
        <v>0</v>
      </c>
      <c r="AL760" s="18">
        <v>0</v>
      </c>
      <c r="AM760" s="18">
        <v>0</v>
      </c>
      <c r="AN760" s="18">
        <v>0</v>
      </c>
      <c r="AO760" s="18">
        <v>0</v>
      </c>
      <c r="AP760" s="18">
        <v>0</v>
      </c>
      <c r="AQ760" s="18">
        <v>0</v>
      </c>
      <c r="AR760" s="18">
        <v>0</v>
      </c>
      <c r="AS760" s="18">
        <v>0</v>
      </c>
      <c r="AT760" s="18">
        <v>0</v>
      </c>
      <c r="AU760" s="18">
        <v>0</v>
      </c>
      <c r="AV760" s="18">
        <v>1</v>
      </c>
      <c r="AW760" s="18">
        <v>1</v>
      </c>
      <c r="AX760" s="18">
        <v>0</v>
      </c>
      <c r="AY760" s="18">
        <v>8</v>
      </c>
      <c r="AZ760" s="18">
        <v>1</v>
      </c>
      <c r="BA760" s="18">
        <v>0</v>
      </c>
      <c r="BB760" s="18">
        <v>66.48</v>
      </c>
      <c r="BC760" s="18" t="s">
        <v>405</v>
      </c>
      <c r="BD760" s="18" t="s">
        <v>406</v>
      </c>
      <c r="BE760" s="18" t="s">
        <v>407</v>
      </c>
      <c r="BF760" s="18" t="s">
        <v>77</v>
      </c>
      <c r="BG760" s="18">
        <v>162</v>
      </c>
      <c r="BH760" s="18">
        <v>60</v>
      </c>
      <c r="BI760" s="18">
        <v>0.7297</v>
      </c>
      <c r="BJ760" s="18">
        <v>0</v>
      </c>
      <c r="BK760" s="18">
        <v>29</v>
      </c>
      <c r="BL760" s="18">
        <v>92.1</v>
      </c>
      <c r="BM760" s="13">
        <f t="shared" si="0"/>
        <v>23586.63</v>
      </c>
    </row>
    <row r="761" customHeight="1" spans="1:65">
      <c r="A761" s="18" t="s">
        <v>408</v>
      </c>
      <c r="B761" s="18" t="s">
        <v>125</v>
      </c>
      <c r="C761" s="13"/>
      <c r="D761" s="13"/>
      <c r="E761" s="18" t="s">
        <v>250</v>
      </c>
      <c r="F761" s="18" t="s">
        <v>82</v>
      </c>
      <c r="G761" s="18" t="s">
        <v>83</v>
      </c>
      <c r="H761" s="18" t="s">
        <v>138</v>
      </c>
      <c r="I761" s="18" t="s">
        <v>85</v>
      </c>
      <c r="J761" s="18">
        <v>5</v>
      </c>
      <c r="K761" s="16">
        <v>27.99</v>
      </c>
      <c r="L761" s="10"/>
      <c r="M761" s="16">
        <v>0</v>
      </c>
      <c r="N761" s="16">
        <v>0</v>
      </c>
      <c r="O761" s="18">
        <v>0</v>
      </c>
      <c r="P761" s="18" t="s">
        <v>86</v>
      </c>
      <c r="Q761" s="18">
        <v>3.366951</v>
      </c>
      <c r="R761" s="10"/>
      <c r="S761" s="16">
        <v>123</v>
      </c>
      <c r="T761" s="16">
        <v>72</v>
      </c>
      <c r="U761" s="18" t="s">
        <v>408</v>
      </c>
      <c r="V761" s="18" t="s">
        <v>125</v>
      </c>
      <c r="W761" s="13"/>
      <c r="X761" s="13"/>
      <c r="Y761" s="18" t="s">
        <v>250</v>
      </c>
      <c r="Z761" s="18" t="s">
        <v>82</v>
      </c>
      <c r="AA761" s="18" t="s">
        <v>83</v>
      </c>
      <c r="AB761" s="18" t="s">
        <v>138</v>
      </c>
      <c r="AC761" s="18" t="s">
        <v>85</v>
      </c>
      <c r="AD761" s="18">
        <v>50.98</v>
      </c>
      <c r="AE761" s="18">
        <v>0</v>
      </c>
      <c r="AF761" s="18">
        <v>0</v>
      </c>
      <c r="AG761" s="18">
        <v>1</v>
      </c>
      <c r="AH761" s="18">
        <v>0</v>
      </c>
      <c r="AI761" s="18">
        <v>1</v>
      </c>
      <c r="AJ761" s="18">
        <v>0</v>
      </c>
      <c r="AK761" s="18">
        <v>0</v>
      </c>
      <c r="AL761" s="18">
        <v>0</v>
      </c>
      <c r="AM761" s="18">
        <v>0</v>
      </c>
      <c r="AN761" s="18">
        <v>0</v>
      </c>
      <c r="AO761" s="18">
        <v>0</v>
      </c>
      <c r="AP761" s="18">
        <v>0</v>
      </c>
      <c r="AQ761" s="18">
        <v>0</v>
      </c>
      <c r="AR761" s="18">
        <v>0</v>
      </c>
      <c r="AS761" s="18">
        <v>0</v>
      </c>
      <c r="AT761" s="18">
        <v>1</v>
      </c>
      <c r="AU761" s="18">
        <v>1</v>
      </c>
      <c r="AV761" s="18">
        <v>0</v>
      </c>
      <c r="AW761" s="18">
        <v>0</v>
      </c>
      <c r="AX761" s="18">
        <v>0</v>
      </c>
      <c r="AY761" s="13"/>
      <c r="AZ761" s="18">
        <v>1</v>
      </c>
      <c r="BA761" s="18">
        <v>1</v>
      </c>
      <c r="BB761" s="18">
        <v>53.43</v>
      </c>
      <c r="BC761" s="18" t="s">
        <v>409</v>
      </c>
      <c r="BD761" s="18" t="s">
        <v>410</v>
      </c>
      <c r="BE761" s="18" t="s">
        <v>407</v>
      </c>
      <c r="BF761" s="18" t="s">
        <v>77</v>
      </c>
      <c r="BG761" s="18">
        <v>162</v>
      </c>
      <c r="BH761" s="18">
        <v>19</v>
      </c>
      <c r="BI761" s="18">
        <v>0.895</v>
      </c>
      <c r="BJ761" s="18">
        <v>0</v>
      </c>
      <c r="BK761" s="18">
        <v>22</v>
      </c>
      <c r="BL761" s="18">
        <v>94</v>
      </c>
      <c r="BM761" s="13">
        <f t="shared" si="0"/>
        <v>3442.77</v>
      </c>
    </row>
    <row r="762" customHeight="1" spans="1:65">
      <c r="A762" s="18" t="s">
        <v>603</v>
      </c>
      <c r="B762" s="18" t="s">
        <v>125</v>
      </c>
      <c r="C762" s="13"/>
      <c r="D762" s="13"/>
      <c r="E762" s="18" t="s">
        <v>255</v>
      </c>
      <c r="F762" s="18" t="s">
        <v>82</v>
      </c>
      <c r="G762" s="18" t="s">
        <v>83</v>
      </c>
      <c r="H762" s="18" t="s">
        <v>138</v>
      </c>
      <c r="I762" s="18" t="s">
        <v>85</v>
      </c>
      <c r="J762" s="18">
        <v>5</v>
      </c>
      <c r="K762" s="16">
        <v>99.99</v>
      </c>
      <c r="L762" s="10"/>
      <c r="M762" s="16">
        <v>0</v>
      </c>
      <c r="N762" s="16">
        <v>0</v>
      </c>
      <c r="O762" s="18">
        <v>0</v>
      </c>
      <c r="P762" s="18" t="s">
        <v>95</v>
      </c>
      <c r="Q762" s="18">
        <v>4.615022</v>
      </c>
      <c r="R762" s="10"/>
      <c r="S762" s="16">
        <v>79</v>
      </c>
      <c r="T762" s="16">
        <v>80</v>
      </c>
      <c r="U762" s="18" t="s">
        <v>603</v>
      </c>
      <c r="V762" s="18" t="s">
        <v>125</v>
      </c>
      <c r="W762" s="13"/>
      <c r="X762" s="13"/>
      <c r="Y762" s="18" t="s">
        <v>255</v>
      </c>
      <c r="Z762" s="18" t="s">
        <v>82</v>
      </c>
      <c r="AA762" s="18" t="s">
        <v>83</v>
      </c>
      <c r="AB762" s="18" t="s">
        <v>138</v>
      </c>
      <c r="AC762" s="18" t="s">
        <v>85</v>
      </c>
      <c r="AD762" s="18">
        <v>194.98</v>
      </c>
      <c r="AE762" s="18">
        <v>0</v>
      </c>
      <c r="AF762" s="18">
        <v>0</v>
      </c>
      <c r="AG762" s="18">
        <v>1</v>
      </c>
      <c r="AH762" s="18">
        <v>0</v>
      </c>
      <c r="AI762" s="18">
        <v>1</v>
      </c>
      <c r="AJ762" s="18">
        <v>0</v>
      </c>
      <c r="AK762" s="18">
        <v>0</v>
      </c>
      <c r="AL762" s="18">
        <v>0</v>
      </c>
      <c r="AM762" s="18">
        <v>0</v>
      </c>
      <c r="AN762" s="18">
        <v>0</v>
      </c>
      <c r="AO762" s="18">
        <v>0</v>
      </c>
      <c r="AP762" s="18">
        <v>0</v>
      </c>
      <c r="AQ762" s="18">
        <v>0</v>
      </c>
      <c r="AR762" s="18">
        <v>0</v>
      </c>
      <c r="AS762" s="18">
        <v>0</v>
      </c>
      <c r="AT762" s="18">
        <v>0</v>
      </c>
      <c r="AU762" s="18">
        <v>0</v>
      </c>
      <c r="AV762" s="18">
        <v>0</v>
      </c>
      <c r="AW762" s="18">
        <v>0</v>
      </c>
      <c r="AX762" s="18">
        <v>0</v>
      </c>
      <c r="AY762" s="13"/>
      <c r="AZ762" s="18">
        <v>1</v>
      </c>
      <c r="BA762" s="18">
        <v>2</v>
      </c>
      <c r="BB762" s="18">
        <v>49.46</v>
      </c>
      <c r="BC762" s="18" t="s">
        <v>409</v>
      </c>
      <c r="BD762" s="18" t="s">
        <v>410</v>
      </c>
      <c r="BE762" s="18" t="s">
        <v>407</v>
      </c>
      <c r="BF762" s="18" t="s">
        <v>77</v>
      </c>
      <c r="BG762" s="18">
        <v>162</v>
      </c>
      <c r="BH762" s="18">
        <v>19</v>
      </c>
      <c r="BI762" s="18">
        <v>0.895</v>
      </c>
      <c r="BJ762" s="18">
        <v>0</v>
      </c>
      <c r="BK762" s="18">
        <v>5</v>
      </c>
      <c r="BL762" s="18">
        <v>98.6</v>
      </c>
      <c r="BM762" s="13">
        <f t="shared" si="0"/>
        <v>7899.21</v>
      </c>
    </row>
    <row r="763" customHeight="1" spans="1:65">
      <c r="A763" s="18" t="s">
        <v>651</v>
      </c>
      <c r="B763" s="18" t="s">
        <v>125</v>
      </c>
      <c r="C763" s="13"/>
      <c r="D763" s="13"/>
      <c r="E763" s="18" t="s">
        <v>255</v>
      </c>
      <c r="F763" s="18" t="s">
        <v>82</v>
      </c>
      <c r="G763" s="18" t="s">
        <v>83</v>
      </c>
      <c r="H763" s="18" t="s">
        <v>138</v>
      </c>
      <c r="I763" s="18" t="s">
        <v>85</v>
      </c>
      <c r="J763" s="18">
        <v>5</v>
      </c>
      <c r="K763" s="16">
        <v>25.99</v>
      </c>
      <c r="L763" s="10"/>
      <c r="M763" s="16">
        <v>0</v>
      </c>
      <c r="N763" s="16">
        <v>0</v>
      </c>
      <c r="O763" s="18">
        <v>0</v>
      </c>
      <c r="P763" s="18" t="s">
        <v>86</v>
      </c>
      <c r="Q763" s="18">
        <v>3.295466</v>
      </c>
      <c r="R763" s="10"/>
      <c r="S763" s="16">
        <v>55</v>
      </c>
      <c r="T763" s="16">
        <v>42</v>
      </c>
      <c r="U763" s="18" t="s">
        <v>651</v>
      </c>
      <c r="V763" s="18" t="s">
        <v>125</v>
      </c>
      <c r="W763" s="13"/>
      <c r="X763" s="13"/>
      <c r="Y763" s="18" t="s">
        <v>255</v>
      </c>
      <c r="Z763" s="18" t="s">
        <v>82</v>
      </c>
      <c r="AA763" s="18" t="s">
        <v>83</v>
      </c>
      <c r="AB763" s="18" t="s">
        <v>138</v>
      </c>
      <c r="AC763" s="18" t="s">
        <v>85</v>
      </c>
      <c r="AD763" s="18">
        <v>46.98</v>
      </c>
      <c r="AE763" s="18">
        <v>0</v>
      </c>
      <c r="AF763" s="18">
        <v>0</v>
      </c>
      <c r="AG763" s="18">
        <v>0</v>
      </c>
      <c r="AH763" s="18">
        <v>0</v>
      </c>
      <c r="AI763" s="18">
        <v>0</v>
      </c>
      <c r="AJ763" s="18">
        <v>0</v>
      </c>
      <c r="AK763" s="18">
        <v>0</v>
      </c>
      <c r="AL763" s="18">
        <v>0</v>
      </c>
      <c r="AM763" s="18">
        <v>0</v>
      </c>
      <c r="AN763" s="18">
        <v>0</v>
      </c>
      <c r="AO763" s="18">
        <v>0</v>
      </c>
      <c r="AP763" s="18">
        <v>0</v>
      </c>
      <c r="AQ763" s="18">
        <v>0</v>
      </c>
      <c r="AR763" s="18">
        <v>0</v>
      </c>
      <c r="AS763" s="18">
        <v>0</v>
      </c>
      <c r="AT763" s="18">
        <v>0</v>
      </c>
      <c r="AU763" s="18">
        <v>0</v>
      </c>
      <c r="AV763" s="18">
        <v>0</v>
      </c>
      <c r="AW763" s="18">
        <v>0</v>
      </c>
      <c r="AX763" s="18">
        <v>0</v>
      </c>
      <c r="AY763" s="13"/>
      <c r="AZ763" s="18">
        <v>1</v>
      </c>
      <c r="BA763" s="18">
        <v>1</v>
      </c>
      <c r="BB763" s="18">
        <v>50.88</v>
      </c>
      <c r="BC763" s="18" t="s">
        <v>409</v>
      </c>
      <c r="BD763" s="18" t="s">
        <v>410</v>
      </c>
      <c r="BE763" s="18" t="s">
        <v>407</v>
      </c>
      <c r="BF763" s="18" t="s">
        <v>77</v>
      </c>
      <c r="BG763" s="18">
        <v>162</v>
      </c>
      <c r="BH763" s="18">
        <v>19</v>
      </c>
      <c r="BI763" s="18">
        <v>0.895</v>
      </c>
      <c r="BJ763" s="18">
        <v>0</v>
      </c>
      <c r="BK763" s="18">
        <v>22</v>
      </c>
      <c r="BL763" s="18">
        <v>94</v>
      </c>
      <c r="BM763" s="13">
        <f t="shared" si="0"/>
        <v>1429.45</v>
      </c>
    </row>
    <row r="764" customHeight="1" spans="1:65">
      <c r="A764" s="18" t="s">
        <v>1460</v>
      </c>
      <c r="B764" s="18" t="s">
        <v>125</v>
      </c>
      <c r="C764" s="13"/>
      <c r="D764" s="13"/>
      <c r="E764" s="18" t="s">
        <v>255</v>
      </c>
      <c r="F764" s="18" t="s">
        <v>82</v>
      </c>
      <c r="G764" s="18" t="s">
        <v>83</v>
      </c>
      <c r="H764" s="18" t="s">
        <v>138</v>
      </c>
      <c r="I764" s="18" t="s">
        <v>85</v>
      </c>
      <c r="J764" s="18">
        <v>5</v>
      </c>
      <c r="K764" s="16">
        <v>22.99</v>
      </c>
      <c r="L764" s="10"/>
      <c r="M764" s="16">
        <v>0</v>
      </c>
      <c r="N764" s="16">
        <v>0</v>
      </c>
      <c r="O764" s="18">
        <v>0</v>
      </c>
      <c r="P764" s="18" t="s">
        <v>133</v>
      </c>
      <c r="Q764" s="18">
        <v>3.177637</v>
      </c>
      <c r="R764" s="10"/>
      <c r="S764" s="16">
        <v>39</v>
      </c>
      <c r="T764" s="16">
        <v>63</v>
      </c>
      <c r="U764" s="18" t="s">
        <v>1460</v>
      </c>
      <c r="V764" s="18" t="s">
        <v>125</v>
      </c>
      <c r="W764" s="13"/>
      <c r="X764" s="13"/>
      <c r="Y764" s="18" t="s">
        <v>255</v>
      </c>
      <c r="Z764" s="18" t="s">
        <v>82</v>
      </c>
      <c r="AA764" s="18" t="s">
        <v>83</v>
      </c>
      <c r="AB764" s="18" t="s">
        <v>138</v>
      </c>
      <c r="AC764" s="18" t="s">
        <v>85</v>
      </c>
      <c r="AD764" s="18">
        <v>40.98</v>
      </c>
      <c r="AE764" s="18">
        <v>0</v>
      </c>
      <c r="AF764" s="18">
        <v>0</v>
      </c>
      <c r="AG764" s="18">
        <v>0</v>
      </c>
      <c r="AH764" s="18">
        <v>0</v>
      </c>
      <c r="AI764" s="18">
        <v>0</v>
      </c>
      <c r="AJ764" s="18">
        <v>0</v>
      </c>
      <c r="AK764" s="18">
        <v>0</v>
      </c>
      <c r="AL764" s="18">
        <v>0</v>
      </c>
      <c r="AM764" s="18">
        <v>0</v>
      </c>
      <c r="AN764" s="18">
        <v>0</v>
      </c>
      <c r="AO764" s="18">
        <v>0</v>
      </c>
      <c r="AP764" s="18">
        <v>0</v>
      </c>
      <c r="AQ764" s="18">
        <v>0</v>
      </c>
      <c r="AR764" s="18">
        <v>0</v>
      </c>
      <c r="AS764" s="18">
        <v>0</v>
      </c>
      <c r="AT764" s="18">
        <v>0</v>
      </c>
      <c r="AU764" s="18">
        <v>0</v>
      </c>
      <c r="AV764" s="18">
        <v>0</v>
      </c>
      <c r="AW764" s="18">
        <v>0</v>
      </c>
      <c r="AX764" s="18">
        <v>0</v>
      </c>
      <c r="AY764" s="13"/>
      <c r="AZ764" s="18">
        <v>1</v>
      </c>
      <c r="BA764" s="18">
        <v>0</v>
      </c>
      <c r="BB764" s="18">
        <v>43.5</v>
      </c>
      <c r="BC764" s="18" t="s">
        <v>409</v>
      </c>
      <c r="BD764" s="18" t="s">
        <v>410</v>
      </c>
      <c r="BE764" s="18" t="s">
        <v>407</v>
      </c>
      <c r="BF764" s="18" t="s">
        <v>77</v>
      </c>
      <c r="BG764" s="18">
        <v>162</v>
      </c>
      <c r="BH764" s="18">
        <v>19</v>
      </c>
      <c r="BI764" s="18">
        <v>0.895</v>
      </c>
      <c r="BJ764" s="18">
        <v>0</v>
      </c>
      <c r="BK764" s="18">
        <v>22</v>
      </c>
      <c r="BL764" s="18">
        <v>94</v>
      </c>
      <c r="BM764" s="13">
        <f t="shared" si="0"/>
        <v>896.61</v>
      </c>
    </row>
    <row r="765" customHeight="1" spans="1:65">
      <c r="A765" s="18" t="s">
        <v>1786</v>
      </c>
      <c r="B765" s="18" t="s">
        <v>125</v>
      </c>
      <c r="C765" s="13"/>
      <c r="D765" s="13"/>
      <c r="E765" s="18" t="s">
        <v>255</v>
      </c>
      <c r="F765" s="18" t="s">
        <v>82</v>
      </c>
      <c r="G765" s="18" t="s">
        <v>83</v>
      </c>
      <c r="H765" s="18" t="s">
        <v>138</v>
      </c>
      <c r="I765" s="18" t="s">
        <v>85</v>
      </c>
      <c r="J765" s="18">
        <v>5</v>
      </c>
      <c r="K765" s="16">
        <v>18.95</v>
      </c>
      <c r="L765" s="10"/>
      <c r="M765" s="16">
        <v>0</v>
      </c>
      <c r="N765" s="16">
        <v>0</v>
      </c>
      <c r="O765" s="18">
        <v>0</v>
      </c>
      <c r="P765" s="18" t="s">
        <v>133</v>
      </c>
      <c r="Q765" s="18">
        <v>2.993229</v>
      </c>
      <c r="R765" s="10"/>
      <c r="S765" s="16">
        <v>225</v>
      </c>
      <c r="T765" s="16">
        <v>27</v>
      </c>
      <c r="U765" s="18" t="s">
        <v>1786</v>
      </c>
      <c r="V765" s="18" t="s">
        <v>125</v>
      </c>
      <c r="W765" s="13"/>
      <c r="X765" s="13"/>
      <c r="Y765" s="18" t="s">
        <v>255</v>
      </c>
      <c r="Z765" s="18" t="s">
        <v>82</v>
      </c>
      <c r="AA765" s="18" t="s">
        <v>83</v>
      </c>
      <c r="AB765" s="18" t="s">
        <v>138</v>
      </c>
      <c r="AC765" s="18" t="s">
        <v>85</v>
      </c>
      <c r="AD765" s="18">
        <v>32.9</v>
      </c>
      <c r="AE765" s="18">
        <v>0</v>
      </c>
      <c r="AF765" s="18">
        <v>0</v>
      </c>
      <c r="AG765" s="18">
        <v>0</v>
      </c>
      <c r="AH765" s="18">
        <v>0</v>
      </c>
      <c r="AI765" s="18">
        <v>0</v>
      </c>
      <c r="AJ765" s="18">
        <v>0</v>
      </c>
      <c r="AK765" s="18">
        <v>0</v>
      </c>
      <c r="AL765" s="18">
        <v>0</v>
      </c>
      <c r="AM765" s="18">
        <v>0</v>
      </c>
      <c r="AN765" s="18">
        <v>0</v>
      </c>
      <c r="AO765" s="18">
        <v>0</v>
      </c>
      <c r="AP765" s="18">
        <v>0</v>
      </c>
      <c r="AQ765" s="18">
        <v>0</v>
      </c>
      <c r="AR765" s="18">
        <v>0</v>
      </c>
      <c r="AS765" s="18">
        <v>0</v>
      </c>
      <c r="AT765" s="18">
        <v>0</v>
      </c>
      <c r="AU765" s="18">
        <v>0</v>
      </c>
      <c r="AV765" s="18">
        <v>0</v>
      </c>
      <c r="AW765" s="18">
        <v>0</v>
      </c>
      <c r="AX765" s="18">
        <v>0</v>
      </c>
      <c r="AY765" s="13"/>
      <c r="AZ765" s="18">
        <v>1</v>
      </c>
      <c r="BA765" s="18">
        <v>1</v>
      </c>
      <c r="BB765" s="18">
        <v>63.92</v>
      </c>
      <c r="BC765" s="18" t="s">
        <v>409</v>
      </c>
      <c r="BD765" s="18" t="s">
        <v>410</v>
      </c>
      <c r="BE765" s="18" t="s">
        <v>407</v>
      </c>
      <c r="BF765" s="18" t="s">
        <v>77</v>
      </c>
      <c r="BG765" s="18">
        <v>162</v>
      </c>
      <c r="BH765" s="18">
        <v>19</v>
      </c>
      <c r="BI765" s="18">
        <v>0.895</v>
      </c>
      <c r="BJ765" s="18">
        <v>0</v>
      </c>
      <c r="BK765" s="18">
        <v>22</v>
      </c>
      <c r="BL765" s="18">
        <v>94</v>
      </c>
      <c r="BM765" s="13">
        <f t="shared" si="0"/>
        <v>4263.75</v>
      </c>
    </row>
    <row r="766" customHeight="1" spans="1:65">
      <c r="A766" s="18" t="s">
        <v>2384</v>
      </c>
      <c r="B766" s="18" t="s">
        <v>125</v>
      </c>
      <c r="C766" s="13"/>
      <c r="D766" s="13"/>
      <c r="E766" s="18" t="s">
        <v>255</v>
      </c>
      <c r="F766" s="18" t="s">
        <v>82</v>
      </c>
      <c r="G766" s="18" t="s">
        <v>83</v>
      </c>
      <c r="H766" s="18" t="s">
        <v>138</v>
      </c>
      <c r="I766" s="18" t="s">
        <v>85</v>
      </c>
      <c r="J766" s="18">
        <v>5</v>
      </c>
      <c r="K766" s="16">
        <v>49.99</v>
      </c>
      <c r="L766" s="10"/>
      <c r="M766" s="16">
        <v>0</v>
      </c>
      <c r="N766" s="16">
        <v>0</v>
      </c>
      <c r="O766" s="18">
        <v>0</v>
      </c>
      <c r="P766" s="18" t="s">
        <v>86</v>
      </c>
      <c r="Q766" s="18">
        <v>3.93163</v>
      </c>
      <c r="R766" s="10"/>
      <c r="S766" s="16">
        <v>97</v>
      </c>
      <c r="T766" s="16">
        <v>46</v>
      </c>
      <c r="U766" s="18" t="s">
        <v>2384</v>
      </c>
      <c r="V766" s="18" t="s">
        <v>125</v>
      </c>
      <c r="W766" s="13"/>
      <c r="X766" s="13"/>
      <c r="Y766" s="18" t="s">
        <v>255</v>
      </c>
      <c r="Z766" s="18" t="s">
        <v>82</v>
      </c>
      <c r="AA766" s="18" t="s">
        <v>83</v>
      </c>
      <c r="AB766" s="18" t="s">
        <v>138</v>
      </c>
      <c r="AC766" s="18" t="s">
        <v>85</v>
      </c>
      <c r="AD766" s="18">
        <v>94.98</v>
      </c>
      <c r="AE766" s="18">
        <v>0</v>
      </c>
      <c r="AF766" s="18">
        <v>0</v>
      </c>
      <c r="AG766" s="18">
        <v>1</v>
      </c>
      <c r="AH766" s="18">
        <v>0</v>
      </c>
      <c r="AI766" s="18">
        <v>1</v>
      </c>
      <c r="AJ766" s="18">
        <v>0</v>
      </c>
      <c r="AK766" s="18">
        <v>0</v>
      </c>
      <c r="AL766" s="18">
        <v>0</v>
      </c>
      <c r="AM766" s="18">
        <v>0</v>
      </c>
      <c r="AN766" s="18">
        <v>0</v>
      </c>
      <c r="AO766" s="18">
        <v>0</v>
      </c>
      <c r="AP766" s="18">
        <v>0</v>
      </c>
      <c r="AQ766" s="18">
        <v>0</v>
      </c>
      <c r="AR766" s="18">
        <v>0</v>
      </c>
      <c r="AS766" s="18">
        <v>0</v>
      </c>
      <c r="AT766" s="18">
        <v>1</v>
      </c>
      <c r="AU766" s="18">
        <v>1</v>
      </c>
      <c r="AV766" s="18">
        <v>0</v>
      </c>
      <c r="AW766" s="18">
        <v>0</v>
      </c>
      <c r="AX766" s="18">
        <v>0</v>
      </c>
      <c r="AY766" s="13"/>
      <c r="AZ766" s="18">
        <v>1</v>
      </c>
      <c r="BA766" s="18">
        <v>1</v>
      </c>
      <c r="BB766" s="18">
        <v>55.33</v>
      </c>
      <c r="BC766" s="18" t="s">
        <v>409</v>
      </c>
      <c r="BD766" s="18" t="s">
        <v>410</v>
      </c>
      <c r="BE766" s="18" t="s">
        <v>407</v>
      </c>
      <c r="BF766" s="18" t="s">
        <v>77</v>
      </c>
      <c r="BG766" s="18">
        <v>162</v>
      </c>
      <c r="BH766" s="18">
        <v>19</v>
      </c>
      <c r="BI766" s="18">
        <v>0.895</v>
      </c>
      <c r="BJ766" s="18">
        <v>0</v>
      </c>
      <c r="BK766" s="18">
        <v>22</v>
      </c>
      <c r="BL766" s="18">
        <v>94</v>
      </c>
      <c r="BM766" s="13">
        <f t="shared" si="0"/>
        <v>4849.03</v>
      </c>
    </row>
    <row r="767" customHeight="1" spans="1:65">
      <c r="A767" s="18" t="s">
        <v>2212</v>
      </c>
      <c r="B767" s="18" t="s">
        <v>125</v>
      </c>
      <c r="C767" s="13"/>
      <c r="D767" s="13"/>
      <c r="E767" s="18" t="s">
        <v>255</v>
      </c>
      <c r="F767" s="18" t="s">
        <v>82</v>
      </c>
      <c r="G767" s="18" t="s">
        <v>83</v>
      </c>
      <c r="H767" s="18" t="s">
        <v>138</v>
      </c>
      <c r="I767" s="18" t="s">
        <v>85</v>
      </c>
      <c r="J767" s="18">
        <v>5</v>
      </c>
      <c r="K767" s="16">
        <v>43.95</v>
      </c>
      <c r="L767" s="10"/>
      <c r="M767" s="16">
        <v>0</v>
      </c>
      <c r="N767" s="16">
        <v>0</v>
      </c>
      <c r="O767" s="18">
        <v>0</v>
      </c>
      <c r="P767" s="18" t="s">
        <v>86</v>
      </c>
      <c r="Q767" s="18">
        <v>3.805551</v>
      </c>
      <c r="R767" s="10"/>
      <c r="S767" s="16">
        <v>40</v>
      </c>
      <c r="T767" s="16">
        <v>39</v>
      </c>
      <c r="U767" s="18" t="s">
        <v>2212</v>
      </c>
      <c r="V767" s="18" t="s">
        <v>125</v>
      </c>
      <c r="W767" s="13"/>
      <c r="X767" s="13"/>
      <c r="Y767" s="18" t="s">
        <v>255</v>
      </c>
      <c r="Z767" s="18" t="s">
        <v>82</v>
      </c>
      <c r="AA767" s="18" t="s">
        <v>83</v>
      </c>
      <c r="AB767" s="18" t="s">
        <v>138</v>
      </c>
      <c r="AC767" s="18" t="s">
        <v>85</v>
      </c>
      <c r="AD767" s="18">
        <v>82.9</v>
      </c>
      <c r="AE767" s="18">
        <v>0</v>
      </c>
      <c r="AF767" s="18">
        <v>0</v>
      </c>
      <c r="AG767" s="18">
        <v>1</v>
      </c>
      <c r="AH767" s="18">
        <v>0</v>
      </c>
      <c r="AI767" s="18">
        <v>1</v>
      </c>
      <c r="AJ767" s="18">
        <v>0</v>
      </c>
      <c r="AK767" s="18">
        <v>0</v>
      </c>
      <c r="AL767" s="18">
        <v>0</v>
      </c>
      <c r="AM767" s="18">
        <v>0</v>
      </c>
      <c r="AN767" s="18">
        <v>0</v>
      </c>
      <c r="AO767" s="18">
        <v>0</v>
      </c>
      <c r="AP767" s="18">
        <v>0</v>
      </c>
      <c r="AQ767" s="18">
        <v>0</v>
      </c>
      <c r="AR767" s="18">
        <v>0</v>
      </c>
      <c r="AS767" s="18">
        <v>0</v>
      </c>
      <c r="AT767" s="18">
        <v>0</v>
      </c>
      <c r="AU767" s="18">
        <v>0</v>
      </c>
      <c r="AV767" s="18">
        <v>0</v>
      </c>
      <c r="AW767" s="18">
        <v>0</v>
      </c>
      <c r="AX767" s="18">
        <v>0</v>
      </c>
      <c r="AY767" s="13"/>
      <c r="AZ767" s="18">
        <v>1</v>
      </c>
      <c r="BA767" s="18">
        <v>2</v>
      </c>
      <c r="BB767" s="18">
        <v>48.45</v>
      </c>
      <c r="BC767" s="18" t="s">
        <v>409</v>
      </c>
      <c r="BD767" s="18" t="s">
        <v>410</v>
      </c>
      <c r="BE767" s="18" t="s">
        <v>557</v>
      </c>
      <c r="BF767" s="18" t="s">
        <v>77</v>
      </c>
      <c r="BG767" s="18">
        <v>162</v>
      </c>
      <c r="BH767" s="18">
        <v>19</v>
      </c>
      <c r="BI767" s="18">
        <v>0.895</v>
      </c>
      <c r="BJ767" s="18">
        <v>0</v>
      </c>
      <c r="BK767" s="18">
        <v>22</v>
      </c>
      <c r="BL767" s="18">
        <v>94</v>
      </c>
      <c r="BM767" s="13">
        <f t="shared" si="0"/>
        <v>1758</v>
      </c>
    </row>
    <row r="768" customHeight="1" spans="1:65">
      <c r="A768" s="18" t="s">
        <v>123</v>
      </c>
      <c r="B768" s="18" t="s">
        <v>124</v>
      </c>
      <c r="C768" s="13"/>
      <c r="D768" s="18">
        <v>840268905552</v>
      </c>
      <c r="E768" s="18" t="s">
        <v>81</v>
      </c>
      <c r="F768" s="18" t="s">
        <v>82</v>
      </c>
      <c r="G768" s="18" t="s">
        <v>117</v>
      </c>
      <c r="H768" s="18" t="s">
        <v>84</v>
      </c>
      <c r="I768" s="18" t="s">
        <v>85</v>
      </c>
      <c r="J768" s="18">
        <v>5</v>
      </c>
      <c r="K768" s="16">
        <v>39.95</v>
      </c>
      <c r="L768" s="10"/>
      <c r="M768" s="16">
        <v>0</v>
      </c>
      <c r="N768" s="16">
        <v>0</v>
      </c>
      <c r="O768" s="18">
        <v>0</v>
      </c>
      <c r="P768" s="18" t="s">
        <v>86</v>
      </c>
      <c r="Q768" s="18">
        <v>3.712352</v>
      </c>
      <c r="R768" s="10"/>
      <c r="S768" s="16">
        <v>9</v>
      </c>
      <c r="T768" s="16">
        <v>1</v>
      </c>
      <c r="U768" s="18" t="s">
        <v>123</v>
      </c>
      <c r="V768" s="18" t="s">
        <v>124</v>
      </c>
      <c r="W768" s="13"/>
      <c r="X768" s="18">
        <v>840268905553</v>
      </c>
      <c r="Y768" s="18" t="s">
        <v>81</v>
      </c>
      <c r="Z768" s="18" t="s">
        <v>82</v>
      </c>
      <c r="AA768" s="18" t="s">
        <v>117</v>
      </c>
      <c r="AB768" s="18" t="s">
        <v>84</v>
      </c>
      <c r="AC768" s="18" t="s">
        <v>85</v>
      </c>
      <c r="AD768" s="18">
        <v>74.9</v>
      </c>
      <c r="AE768" s="18">
        <v>0</v>
      </c>
      <c r="AF768" s="18">
        <v>1</v>
      </c>
      <c r="AG768" s="18">
        <v>0</v>
      </c>
      <c r="AH768" s="18">
        <v>0</v>
      </c>
      <c r="AI768" s="18">
        <v>0</v>
      </c>
      <c r="AJ768" s="18">
        <v>0</v>
      </c>
      <c r="AK768" s="18">
        <v>0</v>
      </c>
      <c r="AL768" s="18">
        <v>0</v>
      </c>
      <c r="AM768" s="18">
        <v>0</v>
      </c>
      <c r="AN768" s="18">
        <v>1</v>
      </c>
      <c r="AO768" s="18">
        <v>0</v>
      </c>
      <c r="AP768" s="18">
        <v>0</v>
      </c>
      <c r="AQ768" s="18">
        <v>0</v>
      </c>
      <c r="AR768" s="18">
        <v>0</v>
      </c>
      <c r="AS768" s="18">
        <v>0</v>
      </c>
      <c r="AT768" s="18">
        <v>1</v>
      </c>
      <c r="AU768" s="18">
        <v>0</v>
      </c>
      <c r="AV768" s="18">
        <v>0</v>
      </c>
      <c r="AW768" s="18">
        <v>0</v>
      </c>
      <c r="AX768" s="18">
        <v>0</v>
      </c>
      <c r="AY768" s="13"/>
      <c r="AZ768" s="18">
        <v>1</v>
      </c>
      <c r="BA768" s="18">
        <v>1</v>
      </c>
      <c r="BB768" s="18">
        <v>36</v>
      </c>
      <c r="BC768" s="18" t="s">
        <v>126</v>
      </c>
      <c r="BD768" s="18" t="s">
        <v>127</v>
      </c>
      <c r="BE768" s="18" t="s">
        <v>128</v>
      </c>
      <c r="BF768" s="18" t="s">
        <v>77</v>
      </c>
      <c r="BG768" s="18">
        <v>1</v>
      </c>
      <c r="BH768" s="18">
        <v>27</v>
      </c>
      <c r="BI768" s="18">
        <v>0.0357</v>
      </c>
      <c r="BJ768" s="18">
        <v>1</v>
      </c>
      <c r="BK768" s="13"/>
      <c r="BL768" s="13"/>
      <c r="BM768" s="13">
        <f t="shared" si="0"/>
        <v>359.55</v>
      </c>
    </row>
    <row r="769" customHeight="1" spans="1:65">
      <c r="A769" s="18" t="s">
        <v>1930</v>
      </c>
      <c r="B769" s="18" t="s">
        <v>124</v>
      </c>
      <c r="C769" s="13"/>
      <c r="D769" s="18">
        <v>840268955465</v>
      </c>
      <c r="E769" s="18" t="s">
        <v>81</v>
      </c>
      <c r="F769" s="18" t="s">
        <v>82</v>
      </c>
      <c r="G769" s="18" t="s">
        <v>117</v>
      </c>
      <c r="H769" s="18" t="s">
        <v>84</v>
      </c>
      <c r="I769" s="18" t="s">
        <v>85</v>
      </c>
      <c r="J769" s="18">
        <v>5</v>
      </c>
      <c r="K769" s="16">
        <v>39.95</v>
      </c>
      <c r="L769" s="10"/>
      <c r="M769" s="16">
        <v>0</v>
      </c>
      <c r="N769" s="16">
        <v>0</v>
      </c>
      <c r="O769" s="18">
        <v>0</v>
      </c>
      <c r="P769" s="18" t="s">
        <v>86</v>
      </c>
      <c r="Q769" s="18">
        <v>3.712352</v>
      </c>
      <c r="R769" s="10"/>
      <c r="S769" s="16">
        <v>3</v>
      </c>
      <c r="T769" s="16">
        <v>10</v>
      </c>
      <c r="U769" s="18" t="s">
        <v>1930</v>
      </c>
      <c r="V769" s="18" t="s">
        <v>124</v>
      </c>
      <c r="W769" s="13"/>
      <c r="X769" s="18">
        <v>840268955466</v>
      </c>
      <c r="Y769" s="18" t="s">
        <v>81</v>
      </c>
      <c r="Z769" s="18" t="s">
        <v>82</v>
      </c>
      <c r="AA769" s="18" t="s">
        <v>117</v>
      </c>
      <c r="AB769" s="18" t="s">
        <v>84</v>
      </c>
      <c r="AC769" s="18" t="s">
        <v>85</v>
      </c>
      <c r="AD769" s="18">
        <v>74.9</v>
      </c>
      <c r="AE769" s="18">
        <v>0</v>
      </c>
      <c r="AF769" s="18">
        <v>0</v>
      </c>
      <c r="AG769" s="18">
        <v>0</v>
      </c>
      <c r="AH769" s="18">
        <v>0</v>
      </c>
      <c r="AI769" s="18">
        <v>0</v>
      </c>
      <c r="AJ769" s="18">
        <v>0</v>
      </c>
      <c r="AK769" s="18">
        <v>1</v>
      </c>
      <c r="AL769" s="18">
        <v>0</v>
      </c>
      <c r="AM769" s="18">
        <v>0</v>
      </c>
      <c r="AN769" s="18">
        <v>1</v>
      </c>
      <c r="AO769" s="18">
        <v>0</v>
      </c>
      <c r="AP769" s="18">
        <v>0</v>
      </c>
      <c r="AQ769" s="18">
        <v>0</v>
      </c>
      <c r="AR769" s="18">
        <v>0</v>
      </c>
      <c r="AS769" s="18">
        <v>0</v>
      </c>
      <c r="AT769" s="18">
        <v>0</v>
      </c>
      <c r="AU769" s="18">
        <v>1</v>
      </c>
      <c r="AV769" s="18">
        <v>0</v>
      </c>
      <c r="AW769" s="18">
        <v>0</v>
      </c>
      <c r="AX769" s="18">
        <v>0</v>
      </c>
      <c r="AY769" s="13"/>
      <c r="AZ769" s="18">
        <v>1</v>
      </c>
      <c r="BA769" s="18">
        <v>2</v>
      </c>
      <c r="BB769" s="18">
        <v>38.57</v>
      </c>
      <c r="BC769" s="18" t="s">
        <v>126</v>
      </c>
      <c r="BD769" s="18" t="s">
        <v>127</v>
      </c>
      <c r="BE769" s="18" t="s">
        <v>128</v>
      </c>
      <c r="BF769" s="18" t="s">
        <v>77</v>
      </c>
      <c r="BG769" s="18">
        <v>1</v>
      </c>
      <c r="BH769" s="18">
        <v>27</v>
      </c>
      <c r="BI769" s="18">
        <v>0.0357</v>
      </c>
      <c r="BJ769" s="18">
        <v>1</v>
      </c>
      <c r="BK769" s="18">
        <v>8</v>
      </c>
      <c r="BL769" s="18">
        <v>97.8</v>
      </c>
      <c r="BM769" s="13">
        <f t="shared" si="0"/>
        <v>119.85</v>
      </c>
    </row>
    <row r="770" customHeight="1" spans="1:65">
      <c r="A770" s="18" t="s">
        <v>416</v>
      </c>
      <c r="B770" s="18" t="s">
        <v>115</v>
      </c>
      <c r="C770" s="18" t="s">
        <v>417</v>
      </c>
      <c r="D770" s="18">
        <v>840414626881</v>
      </c>
      <c r="E770" s="18" t="s">
        <v>116</v>
      </c>
      <c r="F770" s="18" t="s">
        <v>82</v>
      </c>
      <c r="G770" s="18" t="s">
        <v>117</v>
      </c>
      <c r="H770" s="18" t="s">
        <v>107</v>
      </c>
      <c r="I770" s="18" t="s">
        <v>85</v>
      </c>
      <c r="J770" s="18">
        <v>5</v>
      </c>
      <c r="K770" s="16">
        <v>185</v>
      </c>
      <c r="L770" s="10"/>
      <c r="M770" s="16">
        <v>0</v>
      </c>
      <c r="N770" s="16">
        <v>0</v>
      </c>
      <c r="O770" s="18">
        <v>0</v>
      </c>
      <c r="P770" s="18" t="s">
        <v>95</v>
      </c>
      <c r="Q770" s="18">
        <v>5.225747</v>
      </c>
      <c r="R770" s="10"/>
      <c r="S770" s="16">
        <v>36</v>
      </c>
      <c r="T770" s="16">
        <v>4</v>
      </c>
      <c r="U770" s="18" t="s">
        <v>416</v>
      </c>
      <c r="V770" s="18" t="s">
        <v>115</v>
      </c>
      <c r="W770" s="18" t="s">
        <v>2543</v>
      </c>
      <c r="X770" s="18">
        <v>840414626882</v>
      </c>
      <c r="Y770" s="18" t="s">
        <v>116</v>
      </c>
      <c r="Z770" s="18" t="s">
        <v>82</v>
      </c>
      <c r="AA770" s="18" t="s">
        <v>117</v>
      </c>
      <c r="AB770" s="18" t="s">
        <v>107</v>
      </c>
      <c r="AC770" s="18" t="s">
        <v>85</v>
      </c>
      <c r="AD770" s="18">
        <v>365</v>
      </c>
      <c r="AE770" s="18">
        <v>0</v>
      </c>
      <c r="AF770" s="18">
        <v>0</v>
      </c>
      <c r="AG770" s="18">
        <v>1</v>
      </c>
      <c r="AH770" s="18">
        <v>0</v>
      </c>
      <c r="AI770" s="18">
        <v>0</v>
      </c>
      <c r="AJ770" s="18">
        <v>0</v>
      </c>
      <c r="AK770" s="18">
        <v>0</v>
      </c>
      <c r="AL770" s="18">
        <v>0</v>
      </c>
      <c r="AM770" s="18">
        <v>0</v>
      </c>
      <c r="AN770" s="18">
        <v>0</v>
      </c>
      <c r="AO770" s="18">
        <v>0</v>
      </c>
      <c r="AP770" s="18">
        <v>1</v>
      </c>
      <c r="AQ770" s="18">
        <v>0</v>
      </c>
      <c r="AR770" s="18">
        <v>0</v>
      </c>
      <c r="AS770" s="18">
        <v>0</v>
      </c>
      <c r="AT770" s="18">
        <v>0</v>
      </c>
      <c r="AU770" s="18">
        <v>0</v>
      </c>
      <c r="AV770" s="18">
        <v>0</v>
      </c>
      <c r="AW770" s="18">
        <v>0</v>
      </c>
      <c r="AX770" s="18">
        <v>0</v>
      </c>
      <c r="AY770" s="13"/>
      <c r="AZ770" s="18">
        <v>1</v>
      </c>
      <c r="BA770" s="18">
        <v>0</v>
      </c>
      <c r="BB770" s="18">
        <v>65.67</v>
      </c>
      <c r="BC770" s="18" t="s">
        <v>418</v>
      </c>
      <c r="BD770" s="18" t="s">
        <v>150</v>
      </c>
      <c r="BE770" s="18" t="s">
        <v>136</v>
      </c>
      <c r="BF770" s="18" t="s">
        <v>77</v>
      </c>
      <c r="BG770" s="18">
        <v>168</v>
      </c>
      <c r="BH770" s="18">
        <v>11</v>
      </c>
      <c r="BI770" s="18">
        <v>0.9385</v>
      </c>
      <c r="BJ770" s="18">
        <v>0</v>
      </c>
      <c r="BK770" s="18">
        <v>4</v>
      </c>
      <c r="BL770" s="18">
        <v>98.9</v>
      </c>
      <c r="BM770" s="13">
        <f t="shared" si="0"/>
        <v>6660</v>
      </c>
    </row>
    <row r="771" customHeight="1" spans="1:65">
      <c r="A771" s="18" t="s">
        <v>2264</v>
      </c>
      <c r="B771" s="18" t="s">
        <v>125</v>
      </c>
      <c r="C771" s="19" t="s">
        <v>2265</v>
      </c>
      <c r="D771" s="13"/>
      <c r="E771" s="18" t="s">
        <v>178</v>
      </c>
      <c r="F771" s="18" t="s">
        <v>132</v>
      </c>
      <c r="G771" s="18" t="s">
        <v>427</v>
      </c>
      <c r="H771" s="18" t="s">
        <v>138</v>
      </c>
      <c r="I771" s="18" t="s">
        <v>85</v>
      </c>
      <c r="J771" s="18">
        <v>5</v>
      </c>
      <c r="K771" s="16">
        <v>21.9</v>
      </c>
      <c r="L771" s="10"/>
      <c r="M771" s="16">
        <v>0</v>
      </c>
      <c r="N771" s="16">
        <v>0</v>
      </c>
      <c r="O771" s="18">
        <v>0</v>
      </c>
      <c r="P771" s="18" t="s">
        <v>133</v>
      </c>
      <c r="Q771" s="18">
        <v>3.131137</v>
      </c>
      <c r="R771" s="10"/>
      <c r="S771" s="16">
        <v>133</v>
      </c>
      <c r="T771" s="16">
        <v>10</v>
      </c>
      <c r="U771" s="18" t="s">
        <v>2264</v>
      </c>
      <c r="V771" s="18" t="s">
        <v>125</v>
      </c>
      <c r="W771" s="19" t="s">
        <v>2265</v>
      </c>
      <c r="X771" s="13"/>
      <c r="Y771" s="18" t="s">
        <v>178</v>
      </c>
      <c r="Z771" s="18" t="s">
        <v>132</v>
      </c>
      <c r="AA771" s="18" t="s">
        <v>427</v>
      </c>
      <c r="AB771" s="18" t="s">
        <v>138</v>
      </c>
      <c r="AC771" s="18" t="s">
        <v>85</v>
      </c>
      <c r="AD771" s="18">
        <v>38.8</v>
      </c>
      <c r="AE771" s="18">
        <v>0</v>
      </c>
      <c r="AF771" s="18">
        <v>1</v>
      </c>
      <c r="AG771" s="18">
        <v>0</v>
      </c>
      <c r="AH771" s="18">
        <v>0</v>
      </c>
      <c r="AI771" s="18">
        <v>0</v>
      </c>
      <c r="AJ771" s="18">
        <v>0</v>
      </c>
      <c r="AK771" s="18">
        <v>0</v>
      </c>
      <c r="AL771" s="18">
        <v>0</v>
      </c>
      <c r="AM771" s="18">
        <v>0</v>
      </c>
      <c r="AN771" s="18">
        <v>0</v>
      </c>
      <c r="AO771" s="18">
        <v>0</v>
      </c>
      <c r="AP771" s="18">
        <v>0</v>
      </c>
      <c r="AQ771" s="18">
        <v>0</v>
      </c>
      <c r="AR771" s="18">
        <v>0</v>
      </c>
      <c r="AS771" s="18">
        <v>0</v>
      </c>
      <c r="AT771" s="18">
        <v>0</v>
      </c>
      <c r="AU771" s="18">
        <v>0</v>
      </c>
      <c r="AV771" s="18">
        <v>0</v>
      </c>
      <c r="AW771" s="18">
        <v>0</v>
      </c>
      <c r="AX771" s="18">
        <v>0</v>
      </c>
      <c r="AY771" s="13"/>
      <c r="AZ771" s="18">
        <v>1</v>
      </c>
      <c r="BA771" s="18">
        <v>0</v>
      </c>
      <c r="BB771" s="18">
        <v>66.87</v>
      </c>
      <c r="BC771" s="18" t="s">
        <v>428</v>
      </c>
      <c r="BD771" s="18" t="s">
        <v>225</v>
      </c>
      <c r="BE771" s="18" t="s">
        <v>226</v>
      </c>
      <c r="BF771" s="18" t="s">
        <v>77</v>
      </c>
      <c r="BG771" s="18">
        <v>1</v>
      </c>
      <c r="BH771" s="18">
        <v>14</v>
      </c>
      <c r="BI771" s="18">
        <v>0.0667</v>
      </c>
      <c r="BJ771" s="18">
        <v>1</v>
      </c>
      <c r="BK771" s="18">
        <v>4</v>
      </c>
      <c r="BL771" s="18">
        <v>98.9</v>
      </c>
      <c r="BM771" s="13">
        <f t="shared" si="0"/>
        <v>2912.7</v>
      </c>
    </row>
    <row r="772" customHeight="1" spans="1:65">
      <c r="A772" s="18" t="s">
        <v>424</v>
      </c>
      <c r="B772" s="18" t="s">
        <v>125</v>
      </c>
      <c r="C772" s="18" t="s">
        <v>425</v>
      </c>
      <c r="D772" s="13"/>
      <c r="E772" s="18" t="s">
        <v>426</v>
      </c>
      <c r="F772" s="18" t="s">
        <v>132</v>
      </c>
      <c r="G772" s="18" t="s">
        <v>427</v>
      </c>
      <c r="H772" s="18" t="s">
        <v>138</v>
      </c>
      <c r="I772" s="18" t="s">
        <v>85</v>
      </c>
      <c r="J772" s="18">
        <v>5</v>
      </c>
      <c r="K772" s="16">
        <v>41.99</v>
      </c>
      <c r="L772" s="10"/>
      <c r="M772" s="16">
        <v>0</v>
      </c>
      <c r="N772" s="16">
        <v>0</v>
      </c>
      <c r="O772" s="18">
        <v>0</v>
      </c>
      <c r="P772" s="18" t="s">
        <v>86</v>
      </c>
      <c r="Q772" s="18">
        <v>3.760968</v>
      </c>
      <c r="R772" s="10"/>
      <c r="S772" s="16">
        <v>107</v>
      </c>
      <c r="T772" s="16">
        <v>10</v>
      </c>
      <c r="U772" s="18" t="s">
        <v>2726</v>
      </c>
      <c r="V772" s="18" t="s">
        <v>125</v>
      </c>
      <c r="W772" s="19" t="s">
        <v>2727</v>
      </c>
      <c r="X772" s="13"/>
      <c r="Y772" s="18" t="s">
        <v>426</v>
      </c>
      <c r="Z772" s="18" t="s">
        <v>132</v>
      </c>
      <c r="AA772" s="18" t="s">
        <v>427</v>
      </c>
      <c r="AB772" s="18" t="s">
        <v>138</v>
      </c>
      <c r="AC772" s="18" t="s">
        <v>85</v>
      </c>
      <c r="AD772" s="18">
        <v>78.98</v>
      </c>
      <c r="AE772" s="18">
        <v>0</v>
      </c>
      <c r="AF772" s="18">
        <v>1</v>
      </c>
      <c r="AG772" s="18">
        <v>0</v>
      </c>
      <c r="AH772" s="18">
        <v>0</v>
      </c>
      <c r="AI772" s="18">
        <v>0</v>
      </c>
      <c r="AJ772" s="18">
        <v>0</v>
      </c>
      <c r="AK772" s="18">
        <v>0</v>
      </c>
      <c r="AL772" s="18">
        <v>0</v>
      </c>
      <c r="AM772" s="18">
        <v>0</v>
      </c>
      <c r="AN772" s="18">
        <v>0</v>
      </c>
      <c r="AO772" s="18">
        <v>0</v>
      </c>
      <c r="AP772" s="18">
        <v>0</v>
      </c>
      <c r="AQ772" s="18">
        <v>0</v>
      </c>
      <c r="AR772" s="18">
        <v>0</v>
      </c>
      <c r="AS772" s="18">
        <v>0</v>
      </c>
      <c r="AT772" s="18">
        <v>0</v>
      </c>
      <c r="AU772" s="18">
        <v>0</v>
      </c>
      <c r="AV772" s="18">
        <v>0</v>
      </c>
      <c r="AW772" s="18">
        <v>1</v>
      </c>
      <c r="AX772" s="18">
        <v>0</v>
      </c>
      <c r="AY772" s="13"/>
      <c r="AZ772" s="18">
        <v>2</v>
      </c>
      <c r="BA772" s="18">
        <v>0</v>
      </c>
      <c r="BB772" s="18">
        <v>66.25</v>
      </c>
      <c r="BC772" s="18" t="s">
        <v>428</v>
      </c>
      <c r="BD772" s="18" t="s">
        <v>225</v>
      </c>
      <c r="BE772" s="18" t="s">
        <v>226</v>
      </c>
      <c r="BF772" s="18" t="s">
        <v>77</v>
      </c>
      <c r="BG772" s="18">
        <v>1</v>
      </c>
      <c r="BH772" s="18">
        <v>14</v>
      </c>
      <c r="BI772" s="18">
        <v>0.0667</v>
      </c>
      <c r="BJ772" s="18">
        <v>1</v>
      </c>
      <c r="BK772" s="18">
        <v>4</v>
      </c>
      <c r="BL772" s="18">
        <v>98.9</v>
      </c>
      <c r="BM772" s="13">
        <f t="shared" si="0"/>
        <v>4492.93</v>
      </c>
    </row>
    <row r="773" customHeight="1" spans="1:65">
      <c r="A773" s="18" t="s">
        <v>496</v>
      </c>
      <c r="B773" s="18" t="s">
        <v>125</v>
      </c>
      <c r="C773" s="19" t="s">
        <v>497</v>
      </c>
      <c r="D773" s="19"/>
      <c r="E773" s="18" t="s">
        <v>426</v>
      </c>
      <c r="F773" s="18" t="s">
        <v>132</v>
      </c>
      <c r="G773" s="18" t="s">
        <v>427</v>
      </c>
      <c r="H773" s="18" t="s">
        <v>138</v>
      </c>
      <c r="I773" s="18" t="s">
        <v>85</v>
      </c>
      <c r="J773" s="18">
        <v>5</v>
      </c>
      <c r="K773" s="16">
        <v>21.9</v>
      </c>
      <c r="L773" s="10"/>
      <c r="M773" s="16">
        <v>0</v>
      </c>
      <c r="N773" s="16">
        <v>0</v>
      </c>
      <c r="O773" s="18">
        <v>0</v>
      </c>
      <c r="P773" s="18" t="s">
        <v>133</v>
      </c>
      <c r="Q773" s="18">
        <v>3.131137</v>
      </c>
      <c r="R773" s="10"/>
      <c r="S773" s="16">
        <v>600</v>
      </c>
      <c r="T773" s="16">
        <v>10</v>
      </c>
      <c r="U773" s="18" t="s">
        <v>2728</v>
      </c>
      <c r="V773" s="18" t="s">
        <v>125</v>
      </c>
      <c r="W773" s="19" t="s">
        <v>497</v>
      </c>
      <c r="X773" s="13"/>
      <c r="Y773" s="18" t="s">
        <v>426</v>
      </c>
      <c r="Z773" s="18" t="s">
        <v>132</v>
      </c>
      <c r="AA773" s="18" t="s">
        <v>427</v>
      </c>
      <c r="AB773" s="18" t="s">
        <v>138</v>
      </c>
      <c r="AC773" s="18" t="s">
        <v>85</v>
      </c>
      <c r="AD773" s="18">
        <v>38.8</v>
      </c>
      <c r="AE773" s="18">
        <v>0</v>
      </c>
      <c r="AF773" s="18">
        <v>1</v>
      </c>
      <c r="AG773" s="18">
        <v>0</v>
      </c>
      <c r="AH773" s="18">
        <v>0</v>
      </c>
      <c r="AI773" s="18">
        <v>0</v>
      </c>
      <c r="AJ773" s="18">
        <v>0</v>
      </c>
      <c r="AK773" s="18">
        <v>0</v>
      </c>
      <c r="AL773" s="18">
        <v>0</v>
      </c>
      <c r="AM773" s="18">
        <v>0</v>
      </c>
      <c r="AN773" s="18">
        <v>0</v>
      </c>
      <c r="AO773" s="18">
        <v>0</v>
      </c>
      <c r="AP773" s="18">
        <v>0</v>
      </c>
      <c r="AQ773" s="18">
        <v>0</v>
      </c>
      <c r="AR773" s="18">
        <v>0</v>
      </c>
      <c r="AS773" s="18">
        <v>0</v>
      </c>
      <c r="AT773" s="18">
        <v>0</v>
      </c>
      <c r="AU773" s="18">
        <v>0</v>
      </c>
      <c r="AV773" s="18">
        <v>0</v>
      </c>
      <c r="AW773" s="18">
        <v>0</v>
      </c>
      <c r="AX773" s="18">
        <v>0</v>
      </c>
      <c r="AY773" s="13"/>
      <c r="AZ773" s="18">
        <v>1</v>
      </c>
      <c r="BA773" s="18">
        <v>0</v>
      </c>
      <c r="BB773" s="18">
        <v>66.46</v>
      </c>
      <c r="BC773" s="18" t="s">
        <v>428</v>
      </c>
      <c r="BD773" s="18" t="s">
        <v>225</v>
      </c>
      <c r="BE773" s="18" t="s">
        <v>226</v>
      </c>
      <c r="BF773" s="18" t="s">
        <v>77</v>
      </c>
      <c r="BG773" s="18">
        <v>1</v>
      </c>
      <c r="BH773" s="18">
        <v>14</v>
      </c>
      <c r="BI773" s="18">
        <v>0.0667</v>
      </c>
      <c r="BJ773" s="18">
        <v>1</v>
      </c>
      <c r="BK773" s="18">
        <v>35</v>
      </c>
      <c r="BL773" s="18">
        <v>90.4</v>
      </c>
      <c r="BM773" s="13">
        <f t="shared" si="0"/>
        <v>13140</v>
      </c>
    </row>
    <row r="774" customHeight="1" spans="1:65">
      <c r="A774" s="18" t="s">
        <v>1571</v>
      </c>
      <c r="B774" s="18" t="s">
        <v>115</v>
      </c>
      <c r="C774" s="18" t="s">
        <v>1573</v>
      </c>
      <c r="D774" s="13"/>
      <c r="E774" s="18" t="s">
        <v>894</v>
      </c>
      <c r="F774" s="18" t="s">
        <v>82</v>
      </c>
      <c r="G774" s="18" t="s">
        <v>117</v>
      </c>
      <c r="H774" s="18" t="s">
        <v>84</v>
      </c>
      <c r="I774" s="18" t="s">
        <v>85</v>
      </c>
      <c r="J774" s="18">
        <v>5</v>
      </c>
      <c r="K774" s="16">
        <v>32.9</v>
      </c>
      <c r="L774" s="10"/>
      <c r="M774" s="16">
        <v>0</v>
      </c>
      <c r="N774" s="16">
        <v>0</v>
      </c>
      <c r="O774" s="18">
        <v>0</v>
      </c>
      <c r="P774" s="18" t="s">
        <v>86</v>
      </c>
      <c r="Q774" s="18">
        <v>3.523415</v>
      </c>
      <c r="R774" s="10"/>
      <c r="S774" s="16">
        <v>165</v>
      </c>
      <c r="T774" s="16">
        <v>10</v>
      </c>
      <c r="U774" s="18" t="s">
        <v>2729</v>
      </c>
      <c r="V774" s="18" t="s">
        <v>115</v>
      </c>
      <c r="W774" s="19" t="s">
        <v>2730</v>
      </c>
      <c r="X774" s="13"/>
      <c r="Y774" s="18" t="s">
        <v>894</v>
      </c>
      <c r="Z774" s="18" t="s">
        <v>82</v>
      </c>
      <c r="AA774" s="18" t="s">
        <v>117</v>
      </c>
      <c r="AB774" s="18" t="s">
        <v>84</v>
      </c>
      <c r="AC774" s="18" t="s">
        <v>85</v>
      </c>
      <c r="AD774" s="18">
        <v>60.8</v>
      </c>
      <c r="AE774" s="18">
        <v>0</v>
      </c>
      <c r="AF774" s="18">
        <v>1</v>
      </c>
      <c r="AG774" s="18">
        <v>0</v>
      </c>
      <c r="AH774" s="18">
        <v>0</v>
      </c>
      <c r="AI774" s="18">
        <v>0</v>
      </c>
      <c r="AJ774" s="18">
        <v>0</v>
      </c>
      <c r="AK774" s="18">
        <v>0</v>
      </c>
      <c r="AL774" s="18">
        <v>0</v>
      </c>
      <c r="AM774" s="18">
        <v>0</v>
      </c>
      <c r="AN774" s="18">
        <v>0</v>
      </c>
      <c r="AO774" s="18">
        <v>0</v>
      </c>
      <c r="AP774" s="18">
        <v>0</v>
      </c>
      <c r="AQ774" s="18">
        <v>0</v>
      </c>
      <c r="AR774" s="18">
        <v>0</v>
      </c>
      <c r="AS774" s="18">
        <v>1</v>
      </c>
      <c r="AT774" s="18">
        <v>0</v>
      </c>
      <c r="AU774" s="18">
        <v>0</v>
      </c>
      <c r="AV774" s="18">
        <v>0</v>
      </c>
      <c r="AW774" s="18">
        <v>0</v>
      </c>
      <c r="AX774" s="18">
        <v>0</v>
      </c>
      <c r="AY774" s="13"/>
      <c r="AZ774" s="18">
        <v>1</v>
      </c>
      <c r="BA774" s="18">
        <v>0</v>
      </c>
      <c r="BB774" s="18">
        <v>65.59</v>
      </c>
      <c r="BC774" s="18" t="s">
        <v>428</v>
      </c>
      <c r="BD774" s="18" t="s">
        <v>741</v>
      </c>
      <c r="BE774" s="18" t="s">
        <v>128</v>
      </c>
      <c r="BF774" s="18" t="s">
        <v>77</v>
      </c>
      <c r="BG774" s="18">
        <v>1</v>
      </c>
      <c r="BH774" s="18">
        <v>14</v>
      </c>
      <c r="BI774" s="18">
        <v>0.0667</v>
      </c>
      <c r="BJ774" s="18">
        <v>1</v>
      </c>
      <c r="BK774" s="18">
        <v>26</v>
      </c>
      <c r="BL774" s="18">
        <v>92.9</v>
      </c>
      <c r="BM774" s="13">
        <f t="shared" si="0"/>
        <v>5428.5</v>
      </c>
    </row>
    <row r="775" customHeight="1" spans="1:65">
      <c r="A775" s="18" t="s">
        <v>1119</v>
      </c>
      <c r="B775" s="18" t="s">
        <v>125</v>
      </c>
      <c r="C775" s="18" t="s">
        <v>177</v>
      </c>
      <c r="D775" s="13"/>
      <c r="E775" s="18" t="s">
        <v>122</v>
      </c>
      <c r="F775" s="18" t="s">
        <v>82</v>
      </c>
      <c r="G775" s="18" t="s">
        <v>117</v>
      </c>
      <c r="H775" s="18" t="s">
        <v>138</v>
      </c>
      <c r="I775" s="18" t="s">
        <v>85</v>
      </c>
      <c r="J775" s="18">
        <v>5</v>
      </c>
      <c r="K775" s="16">
        <v>17.99</v>
      </c>
      <c r="L775" s="10"/>
      <c r="M775" s="16">
        <v>0</v>
      </c>
      <c r="N775" s="16">
        <v>0</v>
      </c>
      <c r="O775" s="18">
        <v>0</v>
      </c>
      <c r="P775" s="18" t="s">
        <v>133</v>
      </c>
      <c r="Q775" s="18">
        <v>2.943913</v>
      </c>
      <c r="R775" s="10"/>
      <c r="S775" s="16">
        <v>352</v>
      </c>
      <c r="T775" s="16">
        <v>10</v>
      </c>
      <c r="U775" s="18" t="s">
        <v>1119</v>
      </c>
      <c r="V775" s="18" t="s">
        <v>125</v>
      </c>
      <c r="W775" s="18" t="s">
        <v>2569</v>
      </c>
      <c r="X775" s="13"/>
      <c r="Y775" s="18" t="s">
        <v>122</v>
      </c>
      <c r="Z775" s="18" t="s">
        <v>82</v>
      </c>
      <c r="AA775" s="18" t="s">
        <v>117</v>
      </c>
      <c r="AB775" s="18" t="s">
        <v>138</v>
      </c>
      <c r="AC775" s="18" t="s">
        <v>85</v>
      </c>
      <c r="AD775" s="18">
        <v>30.98</v>
      </c>
      <c r="AE775" s="18">
        <v>0</v>
      </c>
      <c r="AF775" s="18">
        <v>1</v>
      </c>
      <c r="AG775" s="18">
        <v>0</v>
      </c>
      <c r="AH775" s="18">
        <v>0</v>
      </c>
      <c r="AI775" s="18">
        <v>0</v>
      </c>
      <c r="AJ775" s="18">
        <v>0</v>
      </c>
      <c r="AK775" s="18">
        <v>0</v>
      </c>
      <c r="AL775" s="18">
        <v>0</v>
      </c>
      <c r="AM775" s="18">
        <v>0</v>
      </c>
      <c r="AN775" s="18">
        <v>0</v>
      </c>
      <c r="AO775" s="18">
        <v>0</v>
      </c>
      <c r="AP775" s="18">
        <v>1</v>
      </c>
      <c r="AQ775" s="18">
        <v>0</v>
      </c>
      <c r="AR775" s="18">
        <v>0</v>
      </c>
      <c r="AS775" s="18">
        <v>1</v>
      </c>
      <c r="AT775" s="18">
        <v>0</v>
      </c>
      <c r="AU775" s="18">
        <v>0</v>
      </c>
      <c r="AV775" s="18">
        <v>0</v>
      </c>
      <c r="AW775" s="18">
        <v>0</v>
      </c>
      <c r="AX775" s="18">
        <v>0</v>
      </c>
      <c r="AY775" s="13"/>
      <c r="AZ775" s="18">
        <v>1</v>
      </c>
      <c r="BA775" s="18">
        <v>0</v>
      </c>
      <c r="BB775" s="18">
        <v>68.66</v>
      </c>
      <c r="BC775" s="18" t="s">
        <v>428</v>
      </c>
      <c r="BD775" s="18" t="s">
        <v>741</v>
      </c>
      <c r="BE775" s="18" t="s">
        <v>128</v>
      </c>
      <c r="BF775" s="18" t="s">
        <v>77</v>
      </c>
      <c r="BG775" s="18">
        <v>1</v>
      </c>
      <c r="BH775" s="18">
        <v>14</v>
      </c>
      <c r="BI775" s="18">
        <v>0.0667</v>
      </c>
      <c r="BJ775" s="18">
        <v>1</v>
      </c>
      <c r="BK775" s="18">
        <v>3</v>
      </c>
      <c r="BL775" s="18">
        <v>99.2</v>
      </c>
      <c r="BM775" s="13">
        <f t="shared" si="0"/>
        <v>6332.48</v>
      </c>
    </row>
    <row r="776" customHeight="1" spans="1:65">
      <c r="A776" s="18" t="s">
        <v>429</v>
      </c>
      <c r="B776" s="18" t="s">
        <v>427</v>
      </c>
      <c r="C776" s="18" t="s">
        <v>430</v>
      </c>
      <c r="D776" s="18">
        <v>193108148504</v>
      </c>
      <c r="E776" s="18" t="s">
        <v>81</v>
      </c>
      <c r="F776" s="18" t="s">
        <v>82</v>
      </c>
      <c r="G776" s="18" t="s">
        <v>427</v>
      </c>
      <c r="H776" s="18" t="s">
        <v>107</v>
      </c>
      <c r="I776" s="18" t="s">
        <v>85</v>
      </c>
      <c r="J776" s="18">
        <v>5</v>
      </c>
      <c r="K776" s="16">
        <v>59.97</v>
      </c>
      <c r="L776" s="10"/>
      <c r="M776" s="16">
        <v>0</v>
      </c>
      <c r="N776" s="16">
        <v>0</v>
      </c>
      <c r="O776" s="18">
        <v>0</v>
      </c>
      <c r="P776" s="18" t="s">
        <v>86</v>
      </c>
      <c r="Q776" s="18">
        <v>4.110382</v>
      </c>
      <c r="R776" s="10"/>
      <c r="S776" s="16">
        <v>2</v>
      </c>
      <c r="T776" s="16">
        <v>1</v>
      </c>
      <c r="U776" s="18" t="s">
        <v>429</v>
      </c>
      <c r="V776" s="18" t="s">
        <v>427</v>
      </c>
      <c r="W776" s="18" t="s">
        <v>430</v>
      </c>
      <c r="X776" s="18">
        <v>193108148505</v>
      </c>
      <c r="Y776" s="18" t="s">
        <v>81</v>
      </c>
      <c r="Z776" s="18" t="s">
        <v>82</v>
      </c>
      <c r="AA776" s="18" t="s">
        <v>427</v>
      </c>
      <c r="AB776" s="18" t="s">
        <v>107</v>
      </c>
      <c r="AC776" s="18" t="s">
        <v>85</v>
      </c>
      <c r="AD776" s="18">
        <v>114.94</v>
      </c>
      <c r="AE776" s="18">
        <v>0</v>
      </c>
      <c r="AF776" s="18">
        <v>0</v>
      </c>
      <c r="AG776" s="18">
        <v>0</v>
      </c>
      <c r="AH776" s="18">
        <v>0</v>
      </c>
      <c r="AI776" s="18">
        <v>0</v>
      </c>
      <c r="AJ776" s="18">
        <v>0</v>
      </c>
      <c r="AK776" s="18">
        <v>1</v>
      </c>
      <c r="AL776" s="18">
        <v>0</v>
      </c>
      <c r="AM776" s="18">
        <v>0</v>
      </c>
      <c r="AN776" s="18">
        <v>0</v>
      </c>
      <c r="AO776" s="18">
        <v>0</v>
      </c>
      <c r="AP776" s="18">
        <v>0</v>
      </c>
      <c r="AQ776" s="18">
        <v>0</v>
      </c>
      <c r="AR776" s="18">
        <v>0</v>
      </c>
      <c r="AS776" s="18">
        <v>0</v>
      </c>
      <c r="AT776" s="18">
        <v>0</v>
      </c>
      <c r="AU776" s="18">
        <v>1</v>
      </c>
      <c r="AV776" s="18">
        <v>0</v>
      </c>
      <c r="AW776" s="18">
        <v>0</v>
      </c>
      <c r="AX776" s="18">
        <v>0</v>
      </c>
      <c r="AY776" s="13"/>
      <c r="AZ776" s="18">
        <v>1</v>
      </c>
      <c r="BA776" s="18">
        <v>1</v>
      </c>
      <c r="BB776" s="18">
        <v>56.01</v>
      </c>
      <c r="BC776" s="18" t="s">
        <v>431</v>
      </c>
      <c r="BD776" s="13"/>
      <c r="BE776" s="13"/>
      <c r="BF776" s="13"/>
      <c r="BG776" s="18">
        <v>0</v>
      </c>
      <c r="BH776" s="18">
        <v>0</v>
      </c>
      <c r="BI776" s="13"/>
      <c r="BJ776" s="18">
        <v>0</v>
      </c>
      <c r="BK776" s="18">
        <v>8</v>
      </c>
      <c r="BL776" s="18">
        <v>97.8</v>
      </c>
      <c r="BM776" s="13">
        <f t="shared" si="0"/>
        <v>119.94</v>
      </c>
    </row>
    <row r="777" customHeight="1" spans="1:65">
      <c r="A777" s="18" t="s">
        <v>436</v>
      </c>
      <c r="B777" s="18" t="s">
        <v>437</v>
      </c>
      <c r="C777" s="13"/>
      <c r="D777" s="13"/>
      <c r="E777" s="18" t="s">
        <v>438</v>
      </c>
      <c r="F777" s="18" t="s">
        <v>240</v>
      </c>
      <c r="G777" s="18" t="s">
        <v>83</v>
      </c>
      <c r="H777" s="18" t="s">
        <v>84</v>
      </c>
      <c r="I777" s="18" t="s">
        <v>203</v>
      </c>
      <c r="J777" s="18">
        <v>4</v>
      </c>
      <c r="K777" s="16">
        <v>129.99</v>
      </c>
      <c r="L777" s="10"/>
      <c r="M777" s="16">
        <v>0</v>
      </c>
      <c r="N777" s="16">
        <v>0</v>
      </c>
      <c r="O777" s="18">
        <v>0</v>
      </c>
      <c r="P777" s="18" t="s">
        <v>95</v>
      </c>
      <c r="Q777" s="18">
        <v>4.875121</v>
      </c>
      <c r="R777" s="10"/>
      <c r="S777" s="10"/>
      <c r="T777" s="10"/>
      <c r="U777" s="18" t="s">
        <v>2731</v>
      </c>
      <c r="V777" s="18" t="s">
        <v>437</v>
      </c>
      <c r="W777" s="13"/>
      <c r="X777" s="13"/>
      <c r="Y777" s="18" t="s">
        <v>438</v>
      </c>
      <c r="Z777" s="18" t="s">
        <v>240</v>
      </c>
      <c r="AA777" s="18" t="s">
        <v>83</v>
      </c>
      <c r="AB777" s="18" t="s">
        <v>84</v>
      </c>
      <c r="AC777" s="18" t="s">
        <v>203</v>
      </c>
      <c r="AD777" s="18">
        <v>255.98</v>
      </c>
      <c r="AE777" s="18">
        <v>0</v>
      </c>
      <c r="AF777" s="18">
        <v>0</v>
      </c>
      <c r="AG777" s="18">
        <v>0</v>
      </c>
      <c r="AH777" s="18">
        <v>0</v>
      </c>
      <c r="AI777" s="18">
        <v>0</v>
      </c>
      <c r="AJ777" s="18">
        <v>0</v>
      </c>
      <c r="AK777" s="18">
        <v>0</v>
      </c>
      <c r="AL777" s="18">
        <v>0</v>
      </c>
      <c r="AM777" s="18">
        <v>0</v>
      </c>
      <c r="AN777" s="18">
        <v>0</v>
      </c>
      <c r="AO777" s="18">
        <v>0</v>
      </c>
      <c r="AP777" s="18">
        <v>0</v>
      </c>
      <c r="AQ777" s="18">
        <v>1</v>
      </c>
      <c r="AR777" s="18">
        <v>0</v>
      </c>
      <c r="AS777" s="18">
        <v>0</v>
      </c>
      <c r="AT777" s="18">
        <v>0</v>
      </c>
      <c r="AU777" s="18">
        <v>0</v>
      </c>
      <c r="AV777" s="18">
        <v>1</v>
      </c>
      <c r="AW777" s="18">
        <v>0</v>
      </c>
      <c r="AX777" s="18">
        <v>0</v>
      </c>
      <c r="AY777" s="13"/>
      <c r="AZ777" s="18">
        <v>1</v>
      </c>
      <c r="BA777" s="18">
        <v>1</v>
      </c>
      <c r="BB777" s="18">
        <v>0</v>
      </c>
      <c r="BC777" s="18" t="s">
        <v>439</v>
      </c>
      <c r="BD777" s="18" t="s">
        <v>440</v>
      </c>
      <c r="BE777" s="18" t="s">
        <v>76</v>
      </c>
      <c r="BF777" s="18" t="s">
        <v>77</v>
      </c>
      <c r="BG777" s="18">
        <v>168</v>
      </c>
      <c r="BH777" s="18">
        <v>11</v>
      </c>
      <c r="BI777" s="18">
        <v>0.9385</v>
      </c>
      <c r="BJ777" s="18">
        <v>0</v>
      </c>
      <c r="BK777" s="13"/>
      <c r="BL777" s="13"/>
      <c r="BM777" s="13">
        <f t="shared" si="0"/>
        <v>0</v>
      </c>
    </row>
    <row r="778" customHeight="1" spans="1:65">
      <c r="A778" s="18" t="s">
        <v>441</v>
      </c>
      <c r="B778" s="18" t="s">
        <v>442</v>
      </c>
      <c r="C778" s="13"/>
      <c r="D778" s="13"/>
      <c r="E778" s="18" t="s">
        <v>438</v>
      </c>
      <c r="F778" s="18" t="s">
        <v>240</v>
      </c>
      <c r="G778" s="18" t="s">
        <v>83</v>
      </c>
      <c r="H778" s="18" t="s">
        <v>84</v>
      </c>
      <c r="I778" s="18" t="s">
        <v>153</v>
      </c>
      <c r="J778" s="18">
        <v>2</v>
      </c>
      <c r="K778" s="16">
        <v>69.99</v>
      </c>
      <c r="L778" s="10"/>
      <c r="M778" s="16">
        <v>0</v>
      </c>
      <c r="N778" s="16">
        <v>0</v>
      </c>
      <c r="O778" s="18">
        <v>0</v>
      </c>
      <c r="P778" s="18" t="s">
        <v>86</v>
      </c>
      <c r="Q778" s="18">
        <v>4.262539</v>
      </c>
      <c r="R778" s="16">
        <v>8.75</v>
      </c>
      <c r="S778" s="10"/>
      <c r="T778" s="10"/>
      <c r="U778" s="18" t="s">
        <v>441</v>
      </c>
      <c r="V778" s="18" t="s">
        <v>442</v>
      </c>
      <c r="W778" s="13"/>
      <c r="X778" s="13"/>
      <c r="Y778" s="18" t="s">
        <v>438</v>
      </c>
      <c r="Z778" s="18" t="s">
        <v>240</v>
      </c>
      <c r="AA778" s="18" t="s">
        <v>83</v>
      </c>
      <c r="AB778" s="18" t="s">
        <v>84</v>
      </c>
      <c r="AC778" s="18" t="s">
        <v>153</v>
      </c>
      <c r="AD778" s="18">
        <v>137.98</v>
      </c>
      <c r="AE778" s="18">
        <v>0</v>
      </c>
      <c r="AF778" s="18">
        <v>0</v>
      </c>
      <c r="AG778" s="18">
        <v>0</v>
      </c>
      <c r="AH778" s="18">
        <v>1</v>
      </c>
      <c r="AI778" s="18">
        <v>0</v>
      </c>
      <c r="AJ778" s="18">
        <v>0</v>
      </c>
      <c r="AK778" s="18">
        <v>0</v>
      </c>
      <c r="AL778" s="18">
        <v>0</v>
      </c>
      <c r="AM778" s="18">
        <v>0</v>
      </c>
      <c r="AN778" s="18">
        <v>0</v>
      </c>
      <c r="AO778" s="18">
        <v>0</v>
      </c>
      <c r="AP778" s="18">
        <v>0</v>
      </c>
      <c r="AQ778" s="18">
        <v>1</v>
      </c>
      <c r="AR778" s="18">
        <v>0</v>
      </c>
      <c r="AS778" s="18">
        <v>0</v>
      </c>
      <c r="AT778" s="18">
        <v>0</v>
      </c>
      <c r="AU778" s="18">
        <v>0</v>
      </c>
      <c r="AV778" s="18">
        <v>1</v>
      </c>
      <c r="AW778" s="18">
        <v>0</v>
      </c>
      <c r="AX778" s="18">
        <v>0</v>
      </c>
      <c r="AY778" s="18">
        <v>8</v>
      </c>
      <c r="AZ778" s="18">
        <v>1</v>
      </c>
      <c r="BA778" s="18">
        <v>2</v>
      </c>
      <c r="BB778" s="18">
        <v>0</v>
      </c>
      <c r="BC778" s="18" t="s">
        <v>443</v>
      </c>
      <c r="BD778" s="18" t="s">
        <v>444</v>
      </c>
      <c r="BE778" s="18" t="s">
        <v>166</v>
      </c>
      <c r="BF778" s="18" t="s">
        <v>77</v>
      </c>
      <c r="BG778" s="18">
        <v>168</v>
      </c>
      <c r="BH778" s="18">
        <v>11</v>
      </c>
      <c r="BI778" s="18">
        <v>0.9385</v>
      </c>
      <c r="BJ778" s="18">
        <v>0</v>
      </c>
      <c r="BK778" s="13"/>
      <c r="BL778" s="13"/>
      <c r="BM778" s="13">
        <f t="shared" si="0"/>
        <v>0</v>
      </c>
    </row>
    <row r="779" customHeight="1" spans="1:65">
      <c r="A779" s="18" t="s">
        <v>447</v>
      </c>
      <c r="B779" s="18" t="s">
        <v>448</v>
      </c>
      <c r="C779" s="13"/>
      <c r="D779" s="13"/>
      <c r="E779" s="18" t="s">
        <v>449</v>
      </c>
      <c r="F779" s="18" t="s">
        <v>82</v>
      </c>
      <c r="G779" s="18" t="s">
        <v>83</v>
      </c>
      <c r="H779" s="18" t="s">
        <v>450</v>
      </c>
      <c r="I779" s="18" t="s">
        <v>153</v>
      </c>
      <c r="J779" s="18">
        <v>2</v>
      </c>
      <c r="K779" s="16">
        <v>45</v>
      </c>
      <c r="L779" s="10"/>
      <c r="M779" s="16">
        <v>0</v>
      </c>
      <c r="N779" s="16">
        <v>0</v>
      </c>
      <c r="O779" s="18">
        <v>0</v>
      </c>
      <c r="P779" s="18" t="s">
        <v>86</v>
      </c>
      <c r="Q779" s="18">
        <v>3.828641</v>
      </c>
      <c r="R779" s="10"/>
      <c r="S779" s="10"/>
      <c r="T779" s="10"/>
      <c r="U779" s="18" t="s">
        <v>447</v>
      </c>
      <c r="V779" s="18" t="s">
        <v>448</v>
      </c>
      <c r="W779" s="13"/>
      <c r="X779" s="13"/>
      <c r="Y779" s="18" t="s">
        <v>449</v>
      </c>
      <c r="Z779" s="18" t="s">
        <v>82</v>
      </c>
      <c r="AA779" s="18" t="s">
        <v>83</v>
      </c>
      <c r="AB779" s="18" t="s">
        <v>450</v>
      </c>
      <c r="AC779" s="18" t="s">
        <v>153</v>
      </c>
      <c r="AD779" s="18">
        <v>88</v>
      </c>
      <c r="AE779" s="18">
        <v>0</v>
      </c>
      <c r="AF779" s="18">
        <v>0</v>
      </c>
      <c r="AG779" s="18">
        <v>0</v>
      </c>
      <c r="AH779" s="18">
        <v>0</v>
      </c>
      <c r="AI779" s="18">
        <v>0</v>
      </c>
      <c r="AJ779" s="18">
        <v>0</v>
      </c>
      <c r="AK779" s="18">
        <v>0</v>
      </c>
      <c r="AL779" s="18">
        <v>0</v>
      </c>
      <c r="AM779" s="18">
        <v>0</v>
      </c>
      <c r="AN779" s="18">
        <v>0</v>
      </c>
      <c r="AO779" s="18">
        <v>0</v>
      </c>
      <c r="AP779" s="18">
        <v>0</v>
      </c>
      <c r="AQ779" s="18">
        <v>0</v>
      </c>
      <c r="AR779" s="18">
        <v>0</v>
      </c>
      <c r="AS779" s="18">
        <v>0</v>
      </c>
      <c r="AT779" s="18">
        <v>0</v>
      </c>
      <c r="AU779" s="18">
        <v>0</v>
      </c>
      <c r="AV779" s="18">
        <v>0</v>
      </c>
      <c r="AW779" s="18">
        <v>0</v>
      </c>
      <c r="AX779" s="18">
        <v>0</v>
      </c>
      <c r="AY779" s="13"/>
      <c r="AZ779" s="18">
        <v>1</v>
      </c>
      <c r="BA779" s="18">
        <v>0</v>
      </c>
      <c r="BB779" s="18">
        <v>0</v>
      </c>
      <c r="BC779" s="18" t="s">
        <v>451</v>
      </c>
      <c r="BD779" s="18" t="s">
        <v>452</v>
      </c>
      <c r="BE779" s="18" t="s">
        <v>453</v>
      </c>
      <c r="BF779" s="18" t="s">
        <v>77</v>
      </c>
      <c r="BG779" s="18">
        <v>1</v>
      </c>
      <c r="BH779" s="18">
        <v>11</v>
      </c>
      <c r="BI779" s="18">
        <v>0.0833</v>
      </c>
      <c r="BJ779" s="18">
        <v>1</v>
      </c>
      <c r="BK779" s="13"/>
      <c r="BL779" s="13"/>
      <c r="BM779" s="13">
        <f t="shared" si="0"/>
        <v>0</v>
      </c>
    </row>
    <row r="780" customHeight="1" spans="1:65">
      <c r="A780" s="18" t="s">
        <v>454</v>
      </c>
      <c r="B780" s="18" t="s">
        <v>455</v>
      </c>
      <c r="C780" s="13"/>
      <c r="D780" s="13"/>
      <c r="E780" s="18" t="s">
        <v>456</v>
      </c>
      <c r="F780" s="18" t="s">
        <v>240</v>
      </c>
      <c r="G780" s="18" t="s">
        <v>83</v>
      </c>
      <c r="H780" s="18" t="s">
        <v>84</v>
      </c>
      <c r="I780" s="18" t="s">
        <v>153</v>
      </c>
      <c r="J780" s="18">
        <v>2</v>
      </c>
      <c r="K780" s="16">
        <v>40</v>
      </c>
      <c r="L780" s="10"/>
      <c r="M780" s="16">
        <v>0</v>
      </c>
      <c r="N780" s="16">
        <v>0</v>
      </c>
      <c r="O780" s="18">
        <v>0</v>
      </c>
      <c r="P780" s="18" t="s">
        <v>86</v>
      </c>
      <c r="Q780" s="18">
        <v>3.713572</v>
      </c>
      <c r="R780" s="16">
        <v>10</v>
      </c>
      <c r="S780" s="10"/>
      <c r="T780" s="10"/>
      <c r="U780" s="18" t="s">
        <v>454</v>
      </c>
      <c r="V780" s="18" t="s">
        <v>455</v>
      </c>
      <c r="W780" s="13"/>
      <c r="X780" s="13"/>
      <c r="Y780" s="18" t="s">
        <v>456</v>
      </c>
      <c r="Z780" s="18" t="s">
        <v>240</v>
      </c>
      <c r="AA780" s="18" t="s">
        <v>83</v>
      </c>
      <c r="AB780" s="18" t="s">
        <v>84</v>
      </c>
      <c r="AC780" s="18" t="s">
        <v>153</v>
      </c>
      <c r="AD780" s="18">
        <v>78</v>
      </c>
      <c r="AE780" s="18">
        <v>0</v>
      </c>
      <c r="AF780" s="18">
        <v>0</v>
      </c>
      <c r="AG780" s="18">
        <v>0</v>
      </c>
      <c r="AH780" s="18">
        <v>0</v>
      </c>
      <c r="AI780" s="18">
        <v>0</v>
      </c>
      <c r="AJ780" s="18">
        <v>0</v>
      </c>
      <c r="AK780" s="18">
        <v>0</v>
      </c>
      <c r="AL780" s="18">
        <v>0</v>
      </c>
      <c r="AM780" s="18">
        <v>0</v>
      </c>
      <c r="AN780" s="18">
        <v>0</v>
      </c>
      <c r="AO780" s="18">
        <v>0</v>
      </c>
      <c r="AP780" s="18">
        <v>0</v>
      </c>
      <c r="AQ780" s="18">
        <v>1</v>
      </c>
      <c r="AR780" s="18">
        <v>0</v>
      </c>
      <c r="AS780" s="18">
        <v>0</v>
      </c>
      <c r="AT780" s="18">
        <v>0</v>
      </c>
      <c r="AU780" s="18">
        <v>0</v>
      </c>
      <c r="AV780" s="18">
        <v>1</v>
      </c>
      <c r="AW780" s="18">
        <v>1</v>
      </c>
      <c r="AX780" s="18">
        <v>0</v>
      </c>
      <c r="AY780" s="18">
        <v>4</v>
      </c>
      <c r="AZ780" s="18">
        <v>1</v>
      </c>
      <c r="BA780" s="18">
        <v>1</v>
      </c>
      <c r="BB780" s="18">
        <v>26.04</v>
      </c>
      <c r="BC780" s="18" t="s">
        <v>457</v>
      </c>
      <c r="BD780" s="18" t="s">
        <v>458</v>
      </c>
      <c r="BE780" s="18" t="s">
        <v>136</v>
      </c>
      <c r="BF780" s="18" t="s">
        <v>77</v>
      </c>
      <c r="BG780" s="18">
        <v>168</v>
      </c>
      <c r="BH780" s="18">
        <v>11</v>
      </c>
      <c r="BI780" s="18">
        <v>0.9385</v>
      </c>
      <c r="BJ780" s="18">
        <v>0</v>
      </c>
      <c r="BK780" s="18">
        <v>48</v>
      </c>
      <c r="BL780" s="18">
        <v>86.8</v>
      </c>
      <c r="BM780" s="13">
        <f t="shared" si="0"/>
        <v>0</v>
      </c>
    </row>
    <row r="781" customHeight="1" spans="1:65">
      <c r="A781" s="18" t="s">
        <v>848</v>
      </c>
      <c r="B781" s="18" t="s">
        <v>849</v>
      </c>
      <c r="C781" s="18" t="s">
        <v>850</v>
      </c>
      <c r="D781" s="13"/>
      <c r="E781" s="18" t="s">
        <v>851</v>
      </c>
      <c r="F781" s="18" t="s">
        <v>68</v>
      </c>
      <c r="G781" s="18" t="s">
        <v>83</v>
      </c>
      <c r="H781" s="18" t="s">
        <v>84</v>
      </c>
      <c r="I781" s="18" t="s">
        <v>203</v>
      </c>
      <c r="J781" s="18">
        <v>4</v>
      </c>
      <c r="K781" s="16">
        <v>149</v>
      </c>
      <c r="L781" s="10"/>
      <c r="M781" s="16">
        <v>0</v>
      </c>
      <c r="N781" s="16">
        <v>0</v>
      </c>
      <c r="O781" s="18">
        <v>0</v>
      </c>
      <c r="P781" s="18" t="s">
        <v>95</v>
      </c>
      <c r="Q781" s="18">
        <v>5.010635</v>
      </c>
      <c r="R781" s="10"/>
      <c r="S781" s="10"/>
      <c r="T781" s="10"/>
      <c r="U781" s="18" t="s">
        <v>848</v>
      </c>
      <c r="V781" s="18" t="s">
        <v>849</v>
      </c>
      <c r="W781" s="18" t="s">
        <v>850</v>
      </c>
      <c r="X781" s="13"/>
      <c r="Y781" s="18" t="s">
        <v>851</v>
      </c>
      <c r="Z781" s="18" t="s">
        <v>68</v>
      </c>
      <c r="AA781" s="18" t="s">
        <v>83</v>
      </c>
      <c r="AB781" s="18" t="s">
        <v>84</v>
      </c>
      <c r="AC781" s="18" t="s">
        <v>203</v>
      </c>
      <c r="AD781" s="18">
        <v>294</v>
      </c>
      <c r="AE781" s="18">
        <v>0</v>
      </c>
      <c r="AF781" s="18">
        <v>0</v>
      </c>
      <c r="AG781" s="18">
        <v>0</v>
      </c>
      <c r="AH781" s="18">
        <v>0</v>
      </c>
      <c r="AI781" s="18">
        <v>0</v>
      </c>
      <c r="AJ781" s="18">
        <v>0</v>
      </c>
      <c r="AK781" s="18">
        <v>0</v>
      </c>
      <c r="AL781" s="18">
        <v>0</v>
      </c>
      <c r="AM781" s="18">
        <v>0</v>
      </c>
      <c r="AN781" s="18">
        <v>0</v>
      </c>
      <c r="AO781" s="18">
        <v>0</v>
      </c>
      <c r="AP781" s="18">
        <v>0</v>
      </c>
      <c r="AQ781" s="18">
        <v>0</v>
      </c>
      <c r="AR781" s="18">
        <v>0</v>
      </c>
      <c r="AS781" s="18">
        <v>0</v>
      </c>
      <c r="AT781" s="18">
        <v>1</v>
      </c>
      <c r="AU781" s="18">
        <v>0</v>
      </c>
      <c r="AV781" s="18">
        <v>0</v>
      </c>
      <c r="AW781" s="18">
        <v>0</v>
      </c>
      <c r="AX781" s="18">
        <v>1</v>
      </c>
      <c r="AY781" s="13"/>
      <c r="AZ781" s="18">
        <v>1</v>
      </c>
      <c r="BA781" s="18">
        <v>0</v>
      </c>
      <c r="BB781" s="18">
        <v>0</v>
      </c>
      <c r="BC781" s="18" t="s">
        <v>457</v>
      </c>
      <c r="BD781" s="18" t="s">
        <v>458</v>
      </c>
      <c r="BE781" s="18" t="s">
        <v>136</v>
      </c>
      <c r="BF781" s="18" t="s">
        <v>77</v>
      </c>
      <c r="BG781" s="18">
        <v>168</v>
      </c>
      <c r="BH781" s="18">
        <v>11</v>
      </c>
      <c r="BI781" s="18">
        <v>0.9385</v>
      </c>
      <c r="BJ781" s="18">
        <v>0</v>
      </c>
      <c r="BK781" s="13"/>
      <c r="BL781" s="13"/>
      <c r="BM781" s="13">
        <f t="shared" si="0"/>
        <v>0</v>
      </c>
    </row>
    <row r="782" customHeight="1" spans="1:65">
      <c r="A782" s="18" t="s">
        <v>459</v>
      </c>
      <c r="B782" s="18" t="s">
        <v>335</v>
      </c>
      <c r="C782" s="13"/>
      <c r="D782" s="13"/>
      <c r="E782" s="18" t="s">
        <v>81</v>
      </c>
      <c r="F782" s="18" t="s">
        <v>160</v>
      </c>
      <c r="G782" s="18" t="s">
        <v>83</v>
      </c>
      <c r="H782" s="18" t="s">
        <v>84</v>
      </c>
      <c r="I782" s="18" t="s">
        <v>85</v>
      </c>
      <c r="J782" s="18">
        <v>5</v>
      </c>
      <c r="K782" s="16">
        <v>43.11</v>
      </c>
      <c r="L782" s="10"/>
      <c r="M782" s="16">
        <v>0</v>
      </c>
      <c r="N782" s="16">
        <v>0</v>
      </c>
      <c r="O782" s="18">
        <v>0</v>
      </c>
      <c r="P782" s="18" t="s">
        <v>86</v>
      </c>
      <c r="Q782" s="18">
        <v>3.786687</v>
      </c>
      <c r="R782" s="16">
        <v>4.31</v>
      </c>
      <c r="S782" s="16">
        <v>15</v>
      </c>
      <c r="T782" s="16">
        <v>10</v>
      </c>
      <c r="U782" s="18" t="s">
        <v>459</v>
      </c>
      <c r="V782" s="18" t="s">
        <v>335</v>
      </c>
      <c r="W782" s="13"/>
      <c r="X782" s="13"/>
      <c r="Y782" s="18" t="s">
        <v>81</v>
      </c>
      <c r="Z782" s="18" t="s">
        <v>160</v>
      </c>
      <c r="AA782" s="18" t="s">
        <v>83</v>
      </c>
      <c r="AB782" s="18" t="s">
        <v>84</v>
      </c>
      <c r="AC782" s="18" t="s">
        <v>85</v>
      </c>
      <c r="AD782" s="18">
        <v>81.22</v>
      </c>
      <c r="AE782" s="18">
        <v>0</v>
      </c>
      <c r="AF782" s="18">
        <v>0</v>
      </c>
      <c r="AG782" s="18">
        <v>0</v>
      </c>
      <c r="AH782" s="18">
        <v>1</v>
      </c>
      <c r="AI782" s="18">
        <v>0</v>
      </c>
      <c r="AJ782" s="18">
        <v>0</v>
      </c>
      <c r="AK782" s="18">
        <v>0</v>
      </c>
      <c r="AL782" s="18">
        <v>0</v>
      </c>
      <c r="AM782" s="18">
        <v>0</v>
      </c>
      <c r="AN782" s="18">
        <v>0</v>
      </c>
      <c r="AO782" s="18">
        <v>0</v>
      </c>
      <c r="AP782" s="18">
        <v>0</v>
      </c>
      <c r="AQ782" s="18">
        <v>1</v>
      </c>
      <c r="AR782" s="18">
        <v>0</v>
      </c>
      <c r="AS782" s="18">
        <v>0</v>
      </c>
      <c r="AT782" s="18">
        <v>1</v>
      </c>
      <c r="AU782" s="18">
        <v>0</v>
      </c>
      <c r="AV782" s="18">
        <v>1</v>
      </c>
      <c r="AW782" s="18">
        <v>1</v>
      </c>
      <c r="AX782" s="18">
        <v>0</v>
      </c>
      <c r="AY782" s="18">
        <v>10</v>
      </c>
      <c r="AZ782" s="18">
        <v>1</v>
      </c>
      <c r="BA782" s="18">
        <v>2</v>
      </c>
      <c r="BB782" s="18">
        <v>51.63</v>
      </c>
      <c r="BC782" s="18" t="s">
        <v>460</v>
      </c>
      <c r="BD782" s="18" t="s">
        <v>337</v>
      </c>
      <c r="BE782" s="18" t="s">
        <v>76</v>
      </c>
      <c r="BF782" s="18" t="s">
        <v>77</v>
      </c>
      <c r="BG782" s="18">
        <v>168</v>
      </c>
      <c r="BH782" s="18">
        <v>12</v>
      </c>
      <c r="BI782" s="18">
        <v>0.9333</v>
      </c>
      <c r="BJ782" s="18">
        <v>0</v>
      </c>
      <c r="BK782" s="18">
        <v>29</v>
      </c>
      <c r="BL782" s="18">
        <v>92.1</v>
      </c>
      <c r="BM782" s="13">
        <f t="shared" si="0"/>
        <v>646.65</v>
      </c>
    </row>
    <row r="783" customHeight="1" spans="1:65">
      <c r="A783" s="18" t="s">
        <v>1418</v>
      </c>
      <c r="B783" s="18" t="s">
        <v>1029</v>
      </c>
      <c r="C783" s="18" t="s">
        <v>1419</v>
      </c>
      <c r="D783" s="13"/>
      <c r="E783" s="18" t="s">
        <v>2732</v>
      </c>
      <c r="F783" s="18" t="s">
        <v>82</v>
      </c>
      <c r="G783" s="18" t="s">
        <v>83</v>
      </c>
      <c r="H783" s="18" t="s">
        <v>450</v>
      </c>
      <c r="I783" s="18" t="s">
        <v>153</v>
      </c>
      <c r="J783" s="18">
        <v>2</v>
      </c>
      <c r="K783" s="16">
        <v>100</v>
      </c>
      <c r="L783" s="10"/>
      <c r="M783" s="16">
        <v>0</v>
      </c>
      <c r="N783" s="16">
        <v>0</v>
      </c>
      <c r="O783" s="18">
        <v>0</v>
      </c>
      <c r="P783" s="18" t="s">
        <v>95</v>
      </c>
      <c r="Q783" s="18">
        <v>4.615121</v>
      </c>
      <c r="R783" s="10"/>
      <c r="S783" s="16">
        <v>1</v>
      </c>
      <c r="T783" s="16">
        <v>6</v>
      </c>
      <c r="U783" s="18" t="s">
        <v>1418</v>
      </c>
      <c r="V783" s="18" t="s">
        <v>1029</v>
      </c>
      <c r="W783" s="18" t="s">
        <v>1419</v>
      </c>
      <c r="X783" s="13"/>
      <c r="Y783" s="18" t="s">
        <v>1170</v>
      </c>
      <c r="Z783" s="18" t="s">
        <v>82</v>
      </c>
      <c r="AA783" s="18" t="s">
        <v>83</v>
      </c>
      <c r="AB783" s="18" t="s">
        <v>450</v>
      </c>
      <c r="AC783" s="18" t="s">
        <v>153</v>
      </c>
      <c r="AD783" s="18">
        <v>198</v>
      </c>
      <c r="AE783" s="18">
        <v>0</v>
      </c>
      <c r="AF783" s="18">
        <v>0</v>
      </c>
      <c r="AG783" s="18">
        <v>0</v>
      </c>
      <c r="AH783" s="18">
        <v>0</v>
      </c>
      <c r="AI783" s="18">
        <v>0</v>
      </c>
      <c r="AJ783" s="18">
        <v>0</v>
      </c>
      <c r="AK783" s="18">
        <v>0</v>
      </c>
      <c r="AL783" s="18">
        <v>0</v>
      </c>
      <c r="AM783" s="18">
        <v>0</v>
      </c>
      <c r="AN783" s="18">
        <v>0</v>
      </c>
      <c r="AO783" s="18">
        <v>0</v>
      </c>
      <c r="AP783" s="18">
        <v>0</v>
      </c>
      <c r="AQ783" s="18">
        <v>0</v>
      </c>
      <c r="AR783" s="18">
        <v>0</v>
      </c>
      <c r="AS783" s="18">
        <v>0</v>
      </c>
      <c r="AT783" s="18">
        <v>0</v>
      </c>
      <c r="AU783" s="18">
        <v>0</v>
      </c>
      <c r="AV783" s="18">
        <v>0</v>
      </c>
      <c r="AW783" s="18">
        <v>0</v>
      </c>
      <c r="AX783" s="18">
        <v>0</v>
      </c>
      <c r="AY783" s="13"/>
      <c r="AZ783" s="18">
        <v>1</v>
      </c>
      <c r="BA783" s="18">
        <v>2</v>
      </c>
      <c r="BB783" s="18">
        <v>34.16</v>
      </c>
      <c r="BC783" s="18" t="s">
        <v>468</v>
      </c>
      <c r="BD783" s="18" t="s">
        <v>469</v>
      </c>
      <c r="BE783" s="18" t="s">
        <v>243</v>
      </c>
      <c r="BF783" s="18" t="s">
        <v>77</v>
      </c>
      <c r="BG783" s="18">
        <v>162</v>
      </c>
      <c r="BH783" s="18">
        <v>19</v>
      </c>
      <c r="BI783" s="18">
        <v>0.895</v>
      </c>
      <c r="BJ783" s="18">
        <v>0</v>
      </c>
      <c r="BK783" s="18">
        <v>19</v>
      </c>
      <c r="BL783" s="18">
        <v>94.8</v>
      </c>
      <c r="BM783" s="13">
        <f t="shared" si="0"/>
        <v>100</v>
      </c>
    </row>
    <row r="784" customHeight="1" spans="1:65">
      <c r="A784" s="18" t="s">
        <v>2081</v>
      </c>
      <c r="B784" s="18" t="s">
        <v>370</v>
      </c>
      <c r="C784" s="18" t="s">
        <v>2082</v>
      </c>
      <c r="D784" s="18">
        <v>814320022990</v>
      </c>
      <c r="E784" s="18" t="s">
        <v>239</v>
      </c>
      <c r="F784" s="18" t="s">
        <v>68</v>
      </c>
      <c r="G784" s="18" t="s">
        <v>83</v>
      </c>
      <c r="H784" s="18" t="s">
        <v>84</v>
      </c>
      <c r="I784" s="18" t="s">
        <v>203</v>
      </c>
      <c r="J784" s="18">
        <v>4</v>
      </c>
      <c r="K784" s="16">
        <v>200</v>
      </c>
      <c r="L784" s="10"/>
      <c r="M784" s="16">
        <v>0</v>
      </c>
      <c r="N784" s="16">
        <v>0</v>
      </c>
      <c r="O784" s="18">
        <v>0</v>
      </c>
      <c r="P784" s="18" t="s">
        <v>71</v>
      </c>
      <c r="Q784" s="18">
        <v>5.303305</v>
      </c>
      <c r="R784" s="10"/>
      <c r="S784" s="10"/>
      <c r="T784" s="16">
        <v>3</v>
      </c>
      <c r="U784" s="18" t="s">
        <v>2081</v>
      </c>
      <c r="V784" s="18" t="s">
        <v>370</v>
      </c>
      <c r="W784" s="18" t="s">
        <v>2082</v>
      </c>
      <c r="X784" s="18">
        <v>814320022991</v>
      </c>
      <c r="Y784" s="18" t="s">
        <v>239</v>
      </c>
      <c r="Z784" s="18" t="s">
        <v>68</v>
      </c>
      <c r="AA784" s="18" t="s">
        <v>83</v>
      </c>
      <c r="AB784" s="18" t="s">
        <v>84</v>
      </c>
      <c r="AC784" s="18" t="s">
        <v>203</v>
      </c>
      <c r="AD784" s="18">
        <v>396</v>
      </c>
      <c r="AE784" s="18">
        <v>0</v>
      </c>
      <c r="AF784" s="18">
        <v>0</v>
      </c>
      <c r="AG784" s="18">
        <v>1</v>
      </c>
      <c r="AH784" s="18">
        <v>0</v>
      </c>
      <c r="AI784" s="18">
        <v>1</v>
      </c>
      <c r="AJ784" s="18">
        <v>0</v>
      </c>
      <c r="AK784" s="18">
        <v>0</v>
      </c>
      <c r="AL784" s="18">
        <v>0</v>
      </c>
      <c r="AM784" s="18">
        <v>0</v>
      </c>
      <c r="AN784" s="18">
        <v>0</v>
      </c>
      <c r="AO784" s="18">
        <v>0</v>
      </c>
      <c r="AP784" s="18">
        <v>0</v>
      </c>
      <c r="AQ784" s="18">
        <v>0</v>
      </c>
      <c r="AR784" s="18">
        <v>0</v>
      </c>
      <c r="AS784" s="18">
        <v>0</v>
      </c>
      <c r="AT784" s="18">
        <v>0</v>
      </c>
      <c r="AU784" s="18">
        <v>0</v>
      </c>
      <c r="AV784" s="18">
        <v>1</v>
      </c>
      <c r="AW784" s="18">
        <v>0</v>
      </c>
      <c r="AX784" s="18">
        <v>0</v>
      </c>
      <c r="AY784" s="13"/>
      <c r="AZ784" s="18">
        <v>1</v>
      </c>
      <c r="BA784" s="18">
        <v>0</v>
      </c>
      <c r="BB784" s="18">
        <v>24.9</v>
      </c>
      <c r="BC784" s="18" t="s">
        <v>468</v>
      </c>
      <c r="BD784" s="18" t="s">
        <v>469</v>
      </c>
      <c r="BE784" s="18" t="s">
        <v>243</v>
      </c>
      <c r="BF784" s="18" t="s">
        <v>77</v>
      </c>
      <c r="BG784" s="18">
        <v>162</v>
      </c>
      <c r="BH784" s="18">
        <v>19</v>
      </c>
      <c r="BI784" s="18">
        <v>0.895</v>
      </c>
      <c r="BJ784" s="18">
        <v>0</v>
      </c>
      <c r="BK784" s="18">
        <v>62</v>
      </c>
      <c r="BL784" s="18">
        <v>83</v>
      </c>
      <c r="BM784" s="13">
        <f t="shared" si="0"/>
        <v>0</v>
      </c>
    </row>
    <row r="785" customHeight="1" spans="1:65">
      <c r="A785" s="18" t="s">
        <v>465</v>
      </c>
      <c r="B785" s="18" t="s">
        <v>466</v>
      </c>
      <c r="C785" s="18" t="s">
        <v>467</v>
      </c>
      <c r="D785" s="18">
        <v>765066008291</v>
      </c>
      <c r="E785" s="18" t="s">
        <v>239</v>
      </c>
      <c r="F785" s="18" t="s">
        <v>240</v>
      </c>
      <c r="G785" s="18" t="s">
        <v>83</v>
      </c>
      <c r="H785" s="18" t="s">
        <v>84</v>
      </c>
      <c r="I785" s="18" t="s">
        <v>203</v>
      </c>
      <c r="J785" s="18">
        <v>4</v>
      </c>
      <c r="K785" s="16">
        <v>193.99</v>
      </c>
      <c r="L785" s="10"/>
      <c r="M785" s="16">
        <v>0</v>
      </c>
      <c r="N785" s="16">
        <v>0</v>
      </c>
      <c r="O785" s="18">
        <v>0</v>
      </c>
      <c r="P785" s="18" t="s">
        <v>95</v>
      </c>
      <c r="Q785" s="18">
        <v>5.272948</v>
      </c>
      <c r="R785" s="10"/>
      <c r="S785" s="10"/>
      <c r="T785" s="10"/>
      <c r="U785" s="18" t="s">
        <v>465</v>
      </c>
      <c r="V785" s="18" t="s">
        <v>466</v>
      </c>
      <c r="W785" s="18" t="s">
        <v>467</v>
      </c>
      <c r="X785" s="18">
        <v>765066008292</v>
      </c>
      <c r="Y785" s="18" t="s">
        <v>239</v>
      </c>
      <c r="Z785" s="18" t="s">
        <v>240</v>
      </c>
      <c r="AA785" s="18" t="s">
        <v>83</v>
      </c>
      <c r="AB785" s="18" t="s">
        <v>84</v>
      </c>
      <c r="AC785" s="18" t="s">
        <v>203</v>
      </c>
      <c r="AD785" s="18">
        <v>383.98</v>
      </c>
      <c r="AE785" s="18">
        <v>0</v>
      </c>
      <c r="AF785" s="18">
        <v>0</v>
      </c>
      <c r="AG785" s="18">
        <v>0</v>
      </c>
      <c r="AH785" s="18">
        <v>0</v>
      </c>
      <c r="AI785" s="18">
        <v>0</v>
      </c>
      <c r="AJ785" s="18">
        <v>0</v>
      </c>
      <c r="AK785" s="18">
        <v>0</v>
      </c>
      <c r="AL785" s="18">
        <v>0</v>
      </c>
      <c r="AM785" s="18">
        <v>0</v>
      </c>
      <c r="AN785" s="18">
        <v>0</v>
      </c>
      <c r="AO785" s="18">
        <v>0</v>
      </c>
      <c r="AP785" s="18">
        <v>0</v>
      </c>
      <c r="AQ785" s="18">
        <v>0</v>
      </c>
      <c r="AR785" s="18">
        <v>0</v>
      </c>
      <c r="AS785" s="18">
        <v>0</v>
      </c>
      <c r="AT785" s="18">
        <v>0</v>
      </c>
      <c r="AU785" s="18">
        <v>0</v>
      </c>
      <c r="AV785" s="18">
        <v>1</v>
      </c>
      <c r="AW785" s="18">
        <v>0</v>
      </c>
      <c r="AX785" s="18">
        <v>0</v>
      </c>
      <c r="AY785" s="13"/>
      <c r="AZ785" s="18">
        <v>1</v>
      </c>
      <c r="BA785" s="18">
        <v>0</v>
      </c>
      <c r="BB785" s="18">
        <v>29.85</v>
      </c>
      <c r="BC785" s="18" t="s">
        <v>468</v>
      </c>
      <c r="BD785" s="18" t="s">
        <v>469</v>
      </c>
      <c r="BE785" s="18" t="s">
        <v>267</v>
      </c>
      <c r="BF785" s="18" t="s">
        <v>77</v>
      </c>
      <c r="BG785" s="18">
        <v>7</v>
      </c>
      <c r="BH785" s="18">
        <v>14</v>
      </c>
      <c r="BI785" s="18">
        <v>0.3333</v>
      </c>
      <c r="BJ785" s="18">
        <v>0</v>
      </c>
      <c r="BK785" s="18">
        <v>2</v>
      </c>
      <c r="BL785" s="18">
        <v>99.5</v>
      </c>
      <c r="BM785" s="13">
        <f t="shared" si="0"/>
        <v>0</v>
      </c>
    </row>
    <row r="786" customHeight="1" spans="1:65">
      <c r="A786" s="18" t="s">
        <v>1167</v>
      </c>
      <c r="B786" s="18" t="s">
        <v>1168</v>
      </c>
      <c r="C786" s="18" t="s">
        <v>1169</v>
      </c>
      <c r="D786" s="18">
        <v>612212082523</v>
      </c>
      <c r="E786" s="18" t="s">
        <v>2732</v>
      </c>
      <c r="F786" s="18" t="s">
        <v>82</v>
      </c>
      <c r="G786" s="18" t="s">
        <v>83</v>
      </c>
      <c r="H786" s="18" t="s">
        <v>84</v>
      </c>
      <c r="I786" s="18" t="s">
        <v>203</v>
      </c>
      <c r="J786" s="18">
        <v>4</v>
      </c>
      <c r="K786" s="16">
        <v>800</v>
      </c>
      <c r="L786" s="10"/>
      <c r="M786" s="16">
        <v>0</v>
      </c>
      <c r="N786" s="16">
        <v>0</v>
      </c>
      <c r="O786" s="18">
        <v>0</v>
      </c>
      <c r="P786" s="18" t="s">
        <v>147</v>
      </c>
      <c r="Q786" s="18">
        <v>6.685861</v>
      </c>
      <c r="R786" s="10"/>
      <c r="S786" s="16">
        <v>1</v>
      </c>
      <c r="T786" s="16">
        <v>2</v>
      </c>
      <c r="U786" s="18" t="s">
        <v>1167</v>
      </c>
      <c r="V786" s="18" t="s">
        <v>1168</v>
      </c>
      <c r="W786" s="18" t="s">
        <v>1169</v>
      </c>
      <c r="X786" s="18">
        <v>612212082524</v>
      </c>
      <c r="Y786" s="18" t="s">
        <v>1170</v>
      </c>
      <c r="Z786" s="18" t="s">
        <v>82</v>
      </c>
      <c r="AA786" s="18" t="s">
        <v>83</v>
      </c>
      <c r="AB786" s="18" t="s">
        <v>84</v>
      </c>
      <c r="AC786" s="18" t="s">
        <v>203</v>
      </c>
      <c r="AD786" s="18">
        <v>1596</v>
      </c>
      <c r="AE786" s="18">
        <v>0</v>
      </c>
      <c r="AF786" s="18">
        <v>0</v>
      </c>
      <c r="AG786" s="18">
        <v>0</v>
      </c>
      <c r="AH786" s="18">
        <v>0</v>
      </c>
      <c r="AI786" s="18">
        <v>0</v>
      </c>
      <c r="AJ786" s="18">
        <v>0</v>
      </c>
      <c r="AK786" s="18">
        <v>0</v>
      </c>
      <c r="AL786" s="18">
        <v>0</v>
      </c>
      <c r="AM786" s="18">
        <v>0</v>
      </c>
      <c r="AN786" s="18">
        <v>0</v>
      </c>
      <c r="AO786" s="18">
        <v>0</v>
      </c>
      <c r="AP786" s="18">
        <v>0</v>
      </c>
      <c r="AQ786" s="18">
        <v>0</v>
      </c>
      <c r="AR786" s="18">
        <v>0</v>
      </c>
      <c r="AS786" s="18">
        <v>0</v>
      </c>
      <c r="AT786" s="18">
        <v>1</v>
      </c>
      <c r="AU786" s="18">
        <v>0</v>
      </c>
      <c r="AV786" s="18">
        <v>0</v>
      </c>
      <c r="AW786" s="18">
        <v>0</v>
      </c>
      <c r="AX786" s="18">
        <v>0</v>
      </c>
      <c r="AY786" s="13"/>
      <c r="AZ786" s="18">
        <v>1</v>
      </c>
      <c r="BA786" s="18">
        <v>0</v>
      </c>
      <c r="BB786" s="18">
        <v>36.52</v>
      </c>
      <c r="BC786" s="18" t="s">
        <v>468</v>
      </c>
      <c r="BD786" s="18" t="s">
        <v>469</v>
      </c>
      <c r="BE786" s="18" t="s">
        <v>267</v>
      </c>
      <c r="BF786" s="18" t="s">
        <v>77</v>
      </c>
      <c r="BG786" s="18">
        <v>39</v>
      </c>
      <c r="BH786" s="18">
        <v>14</v>
      </c>
      <c r="BI786" s="18">
        <v>0.7358</v>
      </c>
      <c r="BJ786" s="18">
        <v>0</v>
      </c>
      <c r="BK786" s="18">
        <v>83</v>
      </c>
      <c r="BL786" s="18">
        <v>77.3</v>
      </c>
      <c r="BM786" s="13">
        <f t="shared" si="0"/>
        <v>800</v>
      </c>
    </row>
    <row r="787" customHeight="1" spans="1:65">
      <c r="A787" s="18" t="s">
        <v>1922</v>
      </c>
      <c r="B787" s="18" t="s">
        <v>370</v>
      </c>
      <c r="C787" s="18" t="s">
        <v>1923</v>
      </c>
      <c r="D787" s="18">
        <v>765066008673</v>
      </c>
      <c r="E787" s="18" t="s">
        <v>239</v>
      </c>
      <c r="F787" s="18" t="s">
        <v>240</v>
      </c>
      <c r="G787" s="18" t="s">
        <v>83</v>
      </c>
      <c r="H787" s="18" t="s">
        <v>84</v>
      </c>
      <c r="I787" s="18" t="s">
        <v>203</v>
      </c>
      <c r="J787" s="18">
        <v>4</v>
      </c>
      <c r="K787" s="16">
        <v>305.99</v>
      </c>
      <c r="L787" s="10"/>
      <c r="M787" s="16">
        <v>0</v>
      </c>
      <c r="N787" s="16">
        <v>0</v>
      </c>
      <c r="O787" s="18">
        <v>0</v>
      </c>
      <c r="P787" s="18" t="s">
        <v>71</v>
      </c>
      <c r="Q787" s="18">
        <v>5.726815</v>
      </c>
      <c r="R787" s="10"/>
      <c r="S787" s="10"/>
      <c r="T787" s="10"/>
      <c r="U787" s="18" t="s">
        <v>1922</v>
      </c>
      <c r="V787" s="18" t="s">
        <v>370</v>
      </c>
      <c r="W787" s="18" t="s">
        <v>1923</v>
      </c>
      <c r="X787" s="18">
        <v>765066008674</v>
      </c>
      <c r="Y787" s="18" t="s">
        <v>239</v>
      </c>
      <c r="Z787" s="18" t="s">
        <v>240</v>
      </c>
      <c r="AA787" s="18" t="s">
        <v>83</v>
      </c>
      <c r="AB787" s="18" t="s">
        <v>84</v>
      </c>
      <c r="AC787" s="18" t="s">
        <v>203</v>
      </c>
      <c r="AD787" s="18">
        <v>607.98</v>
      </c>
      <c r="AE787" s="18">
        <v>0</v>
      </c>
      <c r="AF787" s="18">
        <v>0</v>
      </c>
      <c r="AG787" s="18">
        <v>0</v>
      </c>
      <c r="AH787" s="18">
        <v>0</v>
      </c>
      <c r="AI787" s="18">
        <v>0</v>
      </c>
      <c r="AJ787" s="18">
        <v>0</v>
      </c>
      <c r="AK787" s="18">
        <v>0</v>
      </c>
      <c r="AL787" s="18">
        <v>0</v>
      </c>
      <c r="AM787" s="18">
        <v>0</v>
      </c>
      <c r="AN787" s="18">
        <v>0</v>
      </c>
      <c r="AO787" s="18">
        <v>0</v>
      </c>
      <c r="AP787" s="18">
        <v>0</v>
      </c>
      <c r="AQ787" s="18">
        <v>1</v>
      </c>
      <c r="AR787" s="18">
        <v>0</v>
      </c>
      <c r="AS787" s="18">
        <v>0</v>
      </c>
      <c r="AT787" s="18">
        <v>0</v>
      </c>
      <c r="AU787" s="18">
        <v>0</v>
      </c>
      <c r="AV787" s="18">
        <v>1</v>
      </c>
      <c r="AW787" s="18">
        <v>0</v>
      </c>
      <c r="AX787" s="18">
        <v>0</v>
      </c>
      <c r="AY787" s="13"/>
      <c r="AZ787" s="18">
        <v>1</v>
      </c>
      <c r="BA787" s="18">
        <v>1</v>
      </c>
      <c r="BB787" s="18">
        <v>29.85</v>
      </c>
      <c r="BC787" s="18" t="s">
        <v>468</v>
      </c>
      <c r="BD787" s="18" t="s">
        <v>469</v>
      </c>
      <c r="BE787" s="18" t="s">
        <v>267</v>
      </c>
      <c r="BF787" s="18" t="s">
        <v>77</v>
      </c>
      <c r="BG787" s="18">
        <v>39</v>
      </c>
      <c r="BH787" s="18">
        <v>14</v>
      </c>
      <c r="BI787" s="18">
        <v>0.7358</v>
      </c>
      <c r="BJ787" s="18">
        <v>0</v>
      </c>
      <c r="BK787" s="18">
        <v>2</v>
      </c>
      <c r="BL787" s="18">
        <v>99.5</v>
      </c>
      <c r="BM787" s="13">
        <f t="shared" si="0"/>
        <v>0</v>
      </c>
    </row>
    <row r="788" customHeight="1" spans="1:65">
      <c r="A788" s="18" t="s">
        <v>2515</v>
      </c>
      <c r="B788" s="18" t="s">
        <v>370</v>
      </c>
      <c r="C788" s="18" t="s">
        <v>2516</v>
      </c>
      <c r="D788" s="18">
        <v>765066010324</v>
      </c>
      <c r="E788" s="18" t="s">
        <v>2517</v>
      </c>
      <c r="F788" s="18" t="s">
        <v>240</v>
      </c>
      <c r="G788" s="18" t="s">
        <v>83</v>
      </c>
      <c r="H788" s="18" t="s">
        <v>84</v>
      </c>
      <c r="I788" s="18" t="s">
        <v>203</v>
      </c>
      <c r="J788" s="18">
        <v>4</v>
      </c>
      <c r="K788" s="16">
        <v>500</v>
      </c>
      <c r="L788" s="10"/>
      <c r="M788" s="16">
        <v>0</v>
      </c>
      <c r="N788" s="16">
        <v>0</v>
      </c>
      <c r="O788" s="18">
        <v>0</v>
      </c>
      <c r="P788" s="18" t="s">
        <v>147</v>
      </c>
      <c r="Q788" s="18">
        <v>6.216606</v>
      </c>
      <c r="R788" s="10"/>
      <c r="S788" s="10"/>
      <c r="T788" s="16">
        <v>2</v>
      </c>
      <c r="U788" s="18" t="s">
        <v>2515</v>
      </c>
      <c r="V788" s="18" t="s">
        <v>370</v>
      </c>
      <c r="W788" s="18" t="s">
        <v>2516</v>
      </c>
      <c r="X788" s="18">
        <v>765066010325</v>
      </c>
      <c r="Y788" s="18" t="s">
        <v>2517</v>
      </c>
      <c r="Z788" s="18" t="s">
        <v>240</v>
      </c>
      <c r="AA788" s="18" t="s">
        <v>83</v>
      </c>
      <c r="AB788" s="18" t="s">
        <v>84</v>
      </c>
      <c r="AC788" s="18" t="s">
        <v>203</v>
      </c>
      <c r="AD788" s="18">
        <v>996</v>
      </c>
      <c r="AE788" s="18">
        <v>0</v>
      </c>
      <c r="AF788" s="18">
        <v>0</v>
      </c>
      <c r="AG788" s="18">
        <v>0</v>
      </c>
      <c r="AH788" s="18">
        <v>0</v>
      </c>
      <c r="AI788" s="18">
        <v>0</v>
      </c>
      <c r="AJ788" s="18">
        <v>0</v>
      </c>
      <c r="AK788" s="18">
        <v>0</v>
      </c>
      <c r="AL788" s="18">
        <v>0</v>
      </c>
      <c r="AM788" s="18">
        <v>0</v>
      </c>
      <c r="AN788" s="18">
        <v>0</v>
      </c>
      <c r="AO788" s="18">
        <v>0</v>
      </c>
      <c r="AP788" s="18">
        <v>0</v>
      </c>
      <c r="AQ788" s="18">
        <v>0</v>
      </c>
      <c r="AR788" s="18">
        <v>0</v>
      </c>
      <c r="AS788" s="18">
        <v>0</v>
      </c>
      <c r="AT788" s="18">
        <v>0</v>
      </c>
      <c r="AU788" s="18">
        <v>0</v>
      </c>
      <c r="AV788" s="18">
        <v>1</v>
      </c>
      <c r="AW788" s="18">
        <v>0</v>
      </c>
      <c r="AX788" s="18">
        <v>0</v>
      </c>
      <c r="AY788" s="13"/>
      <c r="AZ788" s="18">
        <v>1</v>
      </c>
      <c r="BA788" s="18">
        <v>0</v>
      </c>
      <c r="BB788" s="18">
        <v>23.67</v>
      </c>
      <c r="BC788" s="18" t="s">
        <v>468</v>
      </c>
      <c r="BD788" s="13"/>
      <c r="BE788" s="13"/>
      <c r="BF788" s="13"/>
      <c r="BG788" s="18">
        <v>0</v>
      </c>
      <c r="BH788" s="18">
        <v>0</v>
      </c>
      <c r="BI788" s="13"/>
      <c r="BJ788" s="18">
        <v>0</v>
      </c>
      <c r="BK788" s="18">
        <v>77</v>
      </c>
      <c r="BL788" s="18">
        <v>78.9</v>
      </c>
      <c r="BM788" s="13">
        <f t="shared" si="0"/>
        <v>0</v>
      </c>
    </row>
    <row r="789" customHeight="1" spans="1:65">
      <c r="A789" s="18" t="s">
        <v>470</v>
      </c>
      <c r="B789" s="18" t="s">
        <v>471</v>
      </c>
      <c r="C789" s="13"/>
      <c r="D789" s="13"/>
      <c r="E789" s="18" t="s">
        <v>472</v>
      </c>
      <c r="F789" s="18" t="s">
        <v>132</v>
      </c>
      <c r="G789" s="18" t="s">
        <v>83</v>
      </c>
      <c r="H789" s="18" t="s">
        <v>84</v>
      </c>
      <c r="I789" s="18" t="s">
        <v>85</v>
      </c>
      <c r="J789" s="18">
        <v>5</v>
      </c>
      <c r="K789" s="16">
        <v>140</v>
      </c>
      <c r="L789" s="10"/>
      <c r="M789" s="16">
        <v>0</v>
      </c>
      <c r="N789" s="16">
        <v>0</v>
      </c>
      <c r="O789" s="18">
        <v>0</v>
      </c>
      <c r="P789" s="18" t="s">
        <v>95</v>
      </c>
      <c r="Q789" s="18">
        <v>4.94876</v>
      </c>
      <c r="R789" s="10"/>
      <c r="S789" s="16">
        <v>31</v>
      </c>
      <c r="T789" s="16">
        <v>10</v>
      </c>
      <c r="U789" s="18" t="s">
        <v>470</v>
      </c>
      <c r="V789" s="18" t="s">
        <v>471</v>
      </c>
      <c r="W789" s="13"/>
      <c r="X789" s="13"/>
      <c r="Y789" s="18" t="s">
        <v>472</v>
      </c>
      <c r="Z789" s="18" t="s">
        <v>132</v>
      </c>
      <c r="AA789" s="18" t="s">
        <v>83</v>
      </c>
      <c r="AB789" s="18" t="s">
        <v>84</v>
      </c>
      <c r="AC789" s="18" t="s">
        <v>85</v>
      </c>
      <c r="AD789" s="18">
        <v>275</v>
      </c>
      <c r="AE789" s="18">
        <v>0</v>
      </c>
      <c r="AF789" s="18">
        <v>0</v>
      </c>
      <c r="AG789" s="18">
        <v>0</v>
      </c>
      <c r="AH789" s="18">
        <v>0</v>
      </c>
      <c r="AI789" s="18">
        <v>0</v>
      </c>
      <c r="AJ789" s="18">
        <v>0</v>
      </c>
      <c r="AK789" s="18">
        <v>0</v>
      </c>
      <c r="AL789" s="18">
        <v>0</v>
      </c>
      <c r="AM789" s="18">
        <v>0</v>
      </c>
      <c r="AN789" s="18">
        <v>0</v>
      </c>
      <c r="AO789" s="18">
        <v>0</v>
      </c>
      <c r="AP789" s="18">
        <v>0</v>
      </c>
      <c r="AQ789" s="18">
        <v>0</v>
      </c>
      <c r="AR789" s="18">
        <v>0</v>
      </c>
      <c r="AS789" s="18">
        <v>0</v>
      </c>
      <c r="AT789" s="18">
        <v>0</v>
      </c>
      <c r="AU789" s="18">
        <v>0</v>
      </c>
      <c r="AV789" s="18">
        <v>0</v>
      </c>
      <c r="AW789" s="18">
        <v>0</v>
      </c>
      <c r="AX789" s="18">
        <v>0</v>
      </c>
      <c r="AY789" s="13"/>
      <c r="AZ789" s="18">
        <v>1</v>
      </c>
      <c r="BA789" s="18">
        <v>0</v>
      </c>
      <c r="BB789" s="18">
        <v>60.09</v>
      </c>
      <c r="BC789" s="18" t="s">
        <v>473</v>
      </c>
      <c r="BD789" s="18" t="s">
        <v>474</v>
      </c>
      <c r="BE789" s="18" t="s">
        <v>113</v>
      </c>
      <c r="BF789" s="18" t="s">
        <v>77</v>
      </c>
      <c r="BG789" s="18">
        <v>169</v>
      </c>
      <c r="BH789" s="18">
        <v>24</v>
      </c>
      <c r="BI789" s="18">
        <v>0.8756</v>
      </c>
      <c r="BJ789" s="18">
        <v>0</v>
      </c>
      <c r="BK789" s="18">
        <v>2</v>
      </c>
      <c r="BL789" s="18">
        <v>99.5</v>
      </c>
      <c r="BM789" s="13">
        <f t="shared" si="0"/>
        <v>4340</v>
      </c>
    </row>
    <row r="790" customHeight="1" spans="1:65">
      <c r="A790" s="18" t="s">
        <v>729</v>
      </c>
      <c r="B790" s="18" t="s">
        <v>280</v>
      </c>
      <c r="C790" s="31">
        <v>900057</v>
      </c>
      <c r="D790" s="13"/>
      <c r="E790" s="18" t="s">
        <v>131</v>
      </c>
      <c r="F790" s="18" t="s">
        <v>132</v>
      </c>
      <c r="G790" s="18" t="s">
        <v>83</v>
      </c>
      <c r="H790" s="18" t="s">
        <v>84</v>
      </c>
      <c r="I790" s="18" t="s">
        <v>85</v>
      </c>
      <c r="J790" s="18">
        <v>5</v>
      </c>
      <c r="K790" s="16">
        <v>6.99</v>
      </c>
      <c r="L790" s="10"/>
      <c r="M790" s="16">
        <v>0</v>
      </c>
      <c r="N790" s="16">
        <v>0</v>
      </c>
      <c r="O790" s="18">
        <v>0</v>
      </c>
      <c r="P790" s="18" t="s">
        <v>133</v>
      </c>
      <c r="Q790" s="18">
        <v>2.078191</v>
      </c>
      <c r="R790" s="10"/>
      <c r="S790" s="16">
        <v>560</v>
      </c>
      <c r="T790" s="16">
        <v>10</v>
      </c>
      <c r="U790" s="18" t="s">
        <v>729</v>
      </c>
      <c r="V790" s="18" t="s">
        <v>280</v>
      </c>
      <c r="W790" s="31">
        <v>900058</v>
      </c>
      <c r="X790" s="13"/>
      <c r="Y790" s="18" t="s">
        <v>131</v>
      </c>
      <c r="Z790" s="18" t="s">
        <v>132</v>
      </c>
      <c r="AA790" s="18" t="s">
        <v>83</v>
      </c>
      <c r="AB790" s="18" t="s">
        <v>84</v>
      </c>
      <c r="AC790" s="18" t="s">
        <v>85</v>
      </c>
      <c r="AD790" s="18">
        <v>8.98</v>
      </c>
      <c r="AE790" s="18">
        <v>0</v>
      </c>
      <c r="AF790" s="18">
        <v>0</v>
      </c>
      <c r="AG790" s="18">
        <v>0</v>
      </c>
      <c r="AH790" s="18">
        <v>0</v>
      </c>
      <c r="AI790" s="18">
        <v>0</v>
      </c>
      <c r="AJ790" s="18">
        <v>0</v>
      </c>
      <c r="AK790" s="18">
        <v>0</v>
      </c>
      <c r="AL790" s="18">
        <v>0</v>
      </c>
      <c r="AM790" s="18">
        <v>0</v>
      </c>
      <c r="AN790" s="18">
        <v>0</v>
      </c>
      <c r="AO790" s="18">
        <v>0</v>
      </c>
      <c r="AP790" s="18">
        <v>0</v>
      </c>
      <c r="AQ790" s="18">
        <v>0</v>
      </c>
      <c r="AR790" s="18">
        <v>0</v>
      </c>
      <c r="AS790" s="18">
        <v>0</v>
      </c>
      <c r="AT790" s="18">
        <v>0</v>
      </c>
      <c r="AU790" s="18">
        <v>0</v>
      </c>
      <c r="AV790" s="18">
        <v>0</v>
      </c>
      <c r="AW790" s="18">
        <v>1</v>
      </c>
      <c r="AX790" s="18">
        <v>0</v>
      </c>
      <c r="AY790" s="13"/>
      <c r="AZ790" s="18">
        <v>1</v>
      </c>
      <c r="BA790" s="18">
        <v>0</v>
      </c>
      <c r="BB790" s="18">
        <v>54</v>
      </c>
      <c r="BC790" s="18" t="s">
        <v>134</v>
      </c>
      <c r="BD790" s="18" t="s">
        <v>135</v>
      </c>
      <c r="BE790" s="18" t="s">
        <v>150</v>
      </c>
      <c r="BF790" s="18" t="s">
        <v>77</v>
      </c>
      <c r="BG790" s="18">
        <v>208</v>
      </c>
      <c r="BH790" s="18">
        <v>11</v>
      </c>
      <c r="BI790" s="18">
        <v>0.9498</v>
      </c>
      <c r="BJ790" s="18">
        <v>0</v>
      </c>
      <c r="BK790" s="18">
        <v>186</v>
      </c>
      <c r="BL790" s="18">
        <v>49</v>
      </c>
      <c r="BM790" s="13">
        <f t="shared" si="0"/>
        <v>3914.4</v>
      </c>
    </row>
    <row r="791" customHeight="1" spans="1:65">
      <c r="A791" s="18" t="s">
        <v>1998</v>
      </c>
      <c r="B791" s="18" t="s">
        <v>280</v>
      </c>
      <c r="C791" s="31">
        <v>900905</v>
      </c>
      <c r="D791" s="13"/>
      <c r="E791" s="18" t="s">
        <v>131</v>
      </c>
      <c r="F791" s="18" t="s">
        <v>132</v>
      </c>
      <c r="G791" s="18" t="s">
        <v>83</v>
      </c>
      <c r="H791" s="18" t="s">
        <v>84</v>
      </c>
      <c r="I791" s="18" t="s">
        <v>85</v>
      </c>
      <c r="J791" s="18">
        <v>5</v>
      </c>
      <c r="K791" s="16">
        <v>6.99</v>
      </c>
      <c r="L791" s="10"/>
      <c r="M791" s="16">
        <v>0</v>
      </c>
      <c r="N791" s="16">
        <v>0</v>
      </c>
      <c r="O791" s="18">
        <v>0</v>
      </c>
      <c r="P791" s="18" t="s">
        <v>133</v>
      </c>
      <c r="Q791" s="18">
        <v>2.078191</v>
      </c>
      <c r="R791" s="10"/>
      <c r="S791" s="16">
        <v>501</v>
      </c>
      <c r="T791" s="16">
        <v>10</v>
      </c>
      <c r="U791" s="18" t="s">
        <v>1998</v>
      </c>
      <c r="V791" s="18" t="s">
        <v>280</v>
      </c>
      <c r="W791" s="31">
        <v>900906</v>
      </c>
      <c r="X791" s="13"/>
      <c r="Y791" s="18" t="s">
        <v>131</v>
      </c>
      <c r="Z791" s="18" t="s">
        <v>132</v>
      </c>
      <c r="AA791" s="18" t="s">
        <v>83</v>
      </c>
      <c r="AB791" s="18" t="s">
        <v>84</v>
      </c>
      <c r="AC791" s="18" t="s">
        <v>85</v>
      </c>
      <c r="AD791" s="18">
        <v>8.98</v>
      </c>
      <c r="AE791" s="18">
        <v>0</v>
      </c>
      <c r="AF791" s="18">
        <v>0</v>
      </c>
      <c r="AG791" s="18">
        <v>0</v>
      </c>
      <c r="AH791" s="18">
        <v>0</v>
      </c>
      <c r="AI791" s="18">
        <v>0</v>
      </c>
      <c r="AJ791" s="18">
        <v>0</v>
      </c>
      <c r="AK791" s="18">
        <v>0</v>
      </c>
      <c r="AL791" s="18">
        <v>0</v>
      </c>
      <c r="AM791" s="18">
        <v>0</v>
      </c>
      <c r="AN791" s="18">
        <v>0</v>
      </c>
      <c r="AO791" s="18">
        <v>0</v>
      </c>
      <c r="AP791" s="18">
        <v>0</v>
      </c>
      <c r="AQ791" s="18">
        <v>0</v>
      </c>
      <c r="AR791" s="18">
        <v>0</v>
      </c>
      <c r="AS791" s="18">
        <v>0</v>
      </c>
      <c r="AT791" s="18">
        <v>0</v>
      </c>
      <c r="AU791" s="18">
        <v>0</v>
      </c>
      <c r="AV791" s="18">
        <v>0</v>
      </c>
      <c r="AW791" s="18">
        <v>0</v>
      </c>
      <c r="AX791" s="18">
        <v>0</v>
      </c>
      <c r="AY791" s="13"/>
      <c r="AZ791" s="18">
        <v>1</v>
      </c>
      <c r="BA791" s="18">
        <v>0</v>
      </c>
      <c r="BB791" s="18">
        <v>53.92</v>
      </c>
      <c r="BC791" s="18" t="s">
        <v>134</v>
      </c>
      <c r="BD791" s="18" t="s">
        <v>135</v>
      </c>
      <c r="BE791" s="18" t="s">
        <v>150</v>
      </c>
      <c r="BF791" s="18" t="s">
        <v>77</v>
      </c>
      <c r="BG791" s="18">
        <v>208</v>
      </c>
      <c r="BH791" s="18">
        <v>11</v>
      </c>
      <c r="BI791" s="18">
        <v>0.9498</v>
      </c>
      <c r="BJ791" s="18">
        <v>0</v>
      </c>
      <c r="BK791" s="18">
        <v>186</v>
      </c>
      <c r="BL791" s="18">
        <v>49</v>
      </c>
      <c r="BM791" s="13">
        <f t="shared" si="0"/>
        <v>3501.99</v>
      </c>
    </row>
    <row r="792" customHeight="1" spans="1:65">
      <c r="A792" s="18" t="s">
        <v>279</v>
      </c>
      <c r="B792" s="18" t="s">
        <v>280</v>
      </c>
      <c r="C792" s="18">
        <v>530119</v>
      </c>
      <c r="D792" s="13"/>
      <c r="E792" s="18" t="s">
        <v>217</v>
      </c>
      <c r="F792" s="18" t="s">
        <v>132</v>
      </c>
      <c r="G792" s="18" t="s">
        <v>83</v>
      </c>
      <c r="H792" s="18" t="s">
        <v>84</v>
      </c>
      <c r="I792" s="18" t="s">
        <v>85</v>
      </c>
      <c r="J792" s="18">
        <v>5</v>
      </c>
      <c r="K792" s="16">
        <v>99.89</v>
      </c>
      <c r="L792" s="10"/>
      <c r="M792" s="16">
        <v>0</v>
      </c>
      <c r="N792" s="16">
        <v>0</v>
      </c>
      <c r="O792" s="18">
        <v>0</v>
      </c>
      <c r="P792" s="18" t="s">
        <v>95</v>
      </c>
      <c r="Q792" s="18">
        <v>4.614031</v>
      </c>
      <c r="R792" s="10"/>
      <c r="S792" s="16">
        <v>176</v>
      </c>
      <c r="T792" s="16">
        <v>10</v>
      </c>
      <c r="U792" s="18" t="s">
        <v>279</v>
      </c>
      <c r="V792" s="18" t="s">
        <v>280</v>
      </c>
      <c r="W792" s="31">
        <v>530120</v>
      </c>
      <c r="X792" s="13"/>
      <c r="Y792" s="18" t="s">
        <v>217</v>
      </c>
      <c r="Z792" s="18" t="s">
        <v>132</v>
      </c>
      <c r="AA792" s="18" t="s">
        <v>83</v>
      </c>
      <c r="AB792" s="18" t="s">
        <v>84</v>
      </c>
      <c r="AC792" s="18" t="s">
        <v>85</v>
      </c>
      <c r="AD792" s="18">
        <v>194.78</v>
      </c>
      <c r="AE792" s="18">
        <v>0</v>
      </c>
      <c r="AF792" s="18">
        <v>0</v>
      </c>
      <c r="AG792" s="18">
        <v>0</v>
      </c>
      <c r="AH792" s="18">
        <v>0</v>
      </c>
      <c r="AI792" s="18">
        <v>0</v>
      </c>
      <c r="AJ792" s="18">
        <v>0</v>
      </c>
      <c r="AK792" s="18">
        <v>0</v>
      </c>
      <c r="AL792" s="18">
        <v>0</v>
      </c>
      <c r="AM792" s="18">
        <v>0</v>
      </c>
      <c r="AN792" s="18">
        <v>0</v>
      </c>
      <c r="AO792" s="18">
        <v>0</v>
      </c>
      <c r="AP792" s="18">
        <v>0</v>
      </c>
      <c r="AQ792" s="18">
        <v>0</v>
      </c>
      <c r="AR792" s="18">
        <v>0</v>
      </c>
      <c r="AS792" s="18">
        <v>0</v>
      </c>
      <c r="AT792" s="18">
        <v>0</v>
      </c>
      <c r="AU792" s="18">
        <v>0</v>
      </c>
      <c r="AV792" s="18">
        <v>0</v>
      </c>
      <c r="AW792" s="18">
        <v>1</v>
      </c>
      <c r="AX792" s="18">
        <v>0</v>
      </c>
      <c r="AY792" s="13"/>
      <c r="AZ792" s="18">
        <v>1</v>
      </c>
      <c r="BA792" s="18">
        <v>0</v>
      </c>
      <c r="BB792" s="18">
        <v>56.27</v>
      </c>
      <c r="BC792" s="18" t="s">
        <v>134</v>
      </c>
      <c r="BD792" s="18" t="s">
        <v>135</v>
      </c>
      <c r="BE792" s="18" t="s">
        <v>150</v>
      </c>
      <c r="BF792" s="18" t="s">
        <v>77</v>
      </c>
      <c r="BG792" s="18">
        <v>208</v>
      </c>
      <c r="BH792" s="18">
        <v>11</v>
      </c>
      <c r="BI792" s="18">
        <v>0.9498</v>
      </c>
      <c r="BJ792" s="18">
        <v>0</v>
      </c>
      <c r="BK792" s="18">
        <v>141</v>
      </c>
      <c r="BL792" s="18">
        <v>61.4</v>
      </c>
      <c r="BM792" s="13">
        <f t="shared" si="0"/>
        <v>17580.64</v>
      </c>
    </row>
    <row r="793" customHeight="1" spans="1:65">
      <c r="A793" s="18" t="s">
        <v>1562</v>
      </c>
      <c r="B793" s="18" t="s">
        <v>280</v>
      </c>
      <c r="C793" s="18" t="s">
        <v>1563</v>
      </c>
      <c r="D793" s="13"/>
      <c r="E793" s="18" t="s">
        <v>217</v>
      </c>
      <c r="F793" s="18" t="s">
        <v>132</v>
      </c>
      <c r="G793" s="18" t="s">
        <v>83</v>
      </c>
      <c r="H793" s="18" t="s">
        <v>84</v>
      </c>
      <c r="I793" s="18" t="s">
        <v>85</v>
      </c>
      <c r="J793" s="18">
        <v>5</v>
      </c>
      <c r="K793" s="16">
        <v>55.99</v>
      </c>
      <c r="L793" s="10"/>
      <c r="M793" s="16">
        <v>0</v>
      </c>
      <c r="N793" s="16">
        <v>0</v>
      </c>
      <c r="O793" s="18">
        <v>0</v>
      </c>
      <c r="P793" s="18" t="s">
        <v>86</v>
      </c>
      <c r="Q793" s="18">
        <v>4.042876</v>
      </c>
      <c r="R793" s="10"/>
      <c r="S793" s="16">
        <v>670</v>
      </c>
      <c r="T793" s="16">
        <v>10</v>
      </c>
      <c r="U793" s="18" t="s">
        <v>1562</v>
      </c>
      <c r="V793" s="18" t="s">
        <v>280</v>
      </c>
      <c r="W793" s="18" t="s">
        <v>2733</v>
      </c>
      <c r="X793" s="13"/>
      <c r="Y793" s="18" t="s">
        <v>217</v>
      </c>
      <c r="Z793" s="18" t="s">
        <v>132</v>
      </c>
      <c r="AA793" s="18" t="s">
        <v>83</v>
      </c>
      <c r="AB793" s="18" t="s">
        <v>84</v>
      </c>
      <c r="AC793" s="18" t="s">
        <v>85</v>
      </c>
      <c r="AD793" s="18">
        <v>106.98</v>
      </c>
      <c r="AE793" s="18">
        <v>0</v>
      </c>
      <c r="AF793" s="18">
        <v>0</v>
      </c>
      <c r="AG793" s="18">
        <v>0</v>
      </c>
      <c r="AH793" s="18">
        <v>0</v>
      </c>
      <c r="AI793" s="18">
        <v>0</v>
      </c>
      <c r="AJ793" s="18">
        <v>0</v>
      </c>
      <c r="AK793" s="18">
        <v>0</v>
      </c>
      <c r="AL793" s="18">
        <v>0</v>
      </c>
      <c r="AM793" s="18">
        <v>0</v>
      </c>
      <c r="AN793" s="18">
        <v>0</v>
      </c>
      <c r="AO793" s="18">
        <v>0</v>
      </c>
      <c r="AP793" s="18">
        <v>0</v>
      </c>
      <c r="AQ793" s="18">
        <v>0</v>
      </c>
      <c r="AR793" s="18">
        <v>0</v>
      </c>
      <c r="AS793" s="18">
        <v>0</v>
      </c>
      <c r="AT793" s="18">
        <v>0</v>
      </c>
      <c r="AU793" s="18">
        <v>0</v>
      </c>
      <c r="AV793" s="18">
        <v>0</v>
      </c>
      <c r="AW793" s="18">
        <v>1</v>
      </c>
      <c r="AX793" s="18">
        <v>0</v>
      </c>
      <c r="AY793" s="13"/>
      <c r="AZ793" s="18">
        <v>1</v>
      </c>
      <c r="BA793" s="18">
        <v>0</v>
      </c>
      <c r="BB793" s="18">
        <v>57.89</v>
      </c>
      <c r="BC793" s="18" t="s">
        <v>134</v>
      </c>
      <c r="BD793" s="18" t="s">
        <v>135</v>
      </c>
      <c r="BE793" s="18" t="s">
        <v>150</v>
      </c>
      <c r="BF793" s="18" t="s">
        <v>77</v>
      </c>
      <c r="BG793" s="18">
        <v>208</v>
      </c>
      <c r="BH793" s="18">
        <v>11</v>
      </c>
      <c r="BI793" s="18">
        <v>0.9498</v>
      </c>
      <c r="BJ793" s="18">
        <v>0</v>
      </c>
      <c r="BK793" s="18">
        <v>140</v>
      </c>
      <c r="BL793" s="18">
        <v>61.6</v>
      </c>
      <c r="BM793" s="13">
        <f t="shared" si="0"/>
        <v>37513.3</v>
      </c>
    </row>
    <row r="794" customHeight="1" spans="1:65">
      <c r="A794" s="18" t="s">
        <v>129</v>
      </c>
      <c r="B794" s="18" t="s">
        <v>65</v>
      </c>
      <c r="C794" s="18" t="s">
        <v>130</v>
      </c>
      <c r="D794" s="13"/>
      <c r="E794" s="18" t="s">
        <v>131</v>
      </c>
      <c r="F794" s="18" t="s">
        <v>132</v>
      </c>
      <c r="G794" s="18" t="s">
        <v>83</v>
      </c>
      <c r="H794" s="18" t="s">
        <v>69</v>
      </c>
      <c r="I794" s="18" t="s">
        <v>85</v>
      </c>
      <c r="J794" s="18">
        <v>5</v>
      </c>
      <c r="K794" s="16">
        <v>10.59</v>
      </c>
      <c r="L794" s="10"/>
      <c r="M794" s="16">
        <v>0</v>
      </c>
      <c r="N794" s="16">
        <v>0</v>
      </c>
      <c r="O794" s="18">
        <v>0</v>
      </c>
      <c r="P794" s="18" t="s">
        <v>133</v>
      </c>
      <c r="Q794" s="18">
        <v>2.450143</v>
      </c>
      <c r="R794" s="10"/>
      <c r="S794" s="16">
        <v>4006</v>
      </c>
      <c r="T794" s="16">
        <v>10</v>
      </c>
      <c r="U794" s="18" t="s">
        <v>129</v>
      </c>
      <c r="V794" s="18" t="s">
        <v>65</v>
      </c>
      <c r="W794" s="19" t="s">
        <v>2734</v>
      </c>
      <c r="X794" s="13"/>
      <c r="Y794" s="18" t="s">
        <v>131</v>
      </c>
      <c r="Z794" s="18" t="s">
        <v>132</v>
      </c>
      <c r="AA794" s="18" t="s">
        <v>83</v>
      </c>
      <c r="AB794" s="18" t="s">
        <v>69</v>
      </c>
      <c r="AC794" s="18" t="s">
        <v>85</v>
      </c>
      <c r="AD794" s="18">
        <v>16.18</v>
      </c>
      <c r="AE794" s="18">
        <v>0</v>
      </c>
      <c r="AF794" s="18">
        <v>0</v>
      </c>
      <c r="AG794" s="18">
        <v>0</v>
      </c>
      <c r="AH794" s="18">
        <v>0</v>
      </c>
      <c r="AI794" s="18">
        <v>0</v>
      </c>
      <c r="AJ794" s="18">
        <v>0</v>
      </c>
      <c r="AK794" s="18">
        <v>0</v>
      </c>
      <c r="AL794" s="18">
        <v>0</v>
      </c>
      <c r="AM794" s="18">
        <v>0</v>
      </c>
      <c r="AN794" s="18">
        <v>0</v>
      </c>
      <c r="AO794" s="18">
        <v>0</v>
      </c>
      <c r="AP794" s="18">
        <v>0</v>
      </c>
      <c r="AQ794" s="18">
        <v>1</v>
      </c>
      <c r="AR794" s="18">
        <v>0</v>
      </c>
      <c r="AS794" s="18">
        <v>0</v>
      </c>
      <c r="AT794" s="18">
        <v>0</v>
      </c>
      <c r="AU794" s="18">
        <v>0</v>
      </c>
      <c r="AV794" s="18">
        <v>1</v>
      </c>
      <c r="AW794" s="18">
        <v>0</v>
      </c>
      <c r="AX794" s="18">
        <v>0</v>
      </c>
      <c r="AY794" s="13"/>
      <c r="AZ794" s="18">
        <v>1</v>
      </c>
      <c r="BA794" s="18">
        <v>1</v>
      </c>
      <c r="BB794" s="18">
        <v>55.11</v>
      </c>
      <c r="BC794" s="18" t="s">
        <v>134</v>
      </c>
      <c r="BD794" s="18" t="s">
        <v>135</v>
      </c>
      <c r="BE794" s="18" t="s">
        <v>136</v>
      </c>
      <c r="BF794" s="18" t="s">
        <v>77</v>
      </c>
      <c r="BG794" s="18">
        <v>168</v>
      </c>
      <c r="BH794" s="18">
        <v>11</v>
      </c>
      <c r="BI794" s="18">
        <v>0.9385</v>
      </c>
      <c r="BJ794" s="18">
        <v>0</v>
      </c>
      <c r="BK794" s="18">
        <v>180</v>
      </c>
      <c r="BL794" s="18">
        <v>50.7</v>
      </c>
      <c r="BM794" s="13">
        <f t="shared" si="0"/>
        <v>42423.54</v>
      </c>
    </row>
    <row r="795" customHeight="1" spans="1:65">
      <c r="A795" s="18" t="s">
        <v>644</v>
      </c>
      <c r="B795" s="18" t="s">
        <v>280</v>
      </c>
      <c r="C795" s="13"/>
      <c r="D795" s="13"/>
      <c r="E795" s="18" t="s">
        <v>645</v>
      </c>
      <c r="F795" s="18" t="s">
        <v>132</v>
      </c>
      <c r="G795" s="18" t="s">
        <v>83</v>
      </c>
      <c r="H795" s="18" t="s">
        <v>84</v>
      </c>
      <c r="I795" s="18" t="s">
        <v>85</v>
      </c>
      <c r="J795" s="18">
        <v>5</v>
      </c>
      <c r="K795" s="16">
        <v>6.99</v>
      </c>
      <c r="L795" s="10"/>
      <c r="M795" s="16">
        <v>0</v>
      </c>
      <c r="N795" s="16">
        <v>0</v>
      </c>
      <c r="O795" s="18">
        <v>0</v>
      </c>
      <c r="P795" s="18" t="s">
        <v>133</v>
      </c>
      <c r="Q795" s="18">
        <v>2.078191</v>
      </c>
      <c r="R795" s="10"/>
      <c r="S795" s="16">
        <v>923</v>
      </c>
      <c r="T795" s="16">
        <v>10</v>
      </c>
      <c r="U795" s="18" t="s">
        <v>644</v>
      </c>
      <c r="V795" s="18" t="s">
        <v>280</v>
      </c>
      <c r="W795" s="13"/>
      <c r="X795" s="13"/>
      <c r="Y795" s="18" t="s">
        <v>645</v>
      </c>
      <c r="Z795" s="18" t="s">
        <v>132</v>
      </c>
      <c r="AA795" s="18" t="s">
        <v>83</v>
      </c>
      <c r="AB795" s="18" t="s">
        <v>84</v>
      </c>
      <c r="AC795" s="18" t="s">
        <v>85</v>
      </c>
      <c r="AD795" s="18">
        <v>8.98</v>
      </c>
      <c r="AE795" s="18">
        <v>0</v>
      </c>
      <c r="AF795" s="18">
        <v>0</v>
      </c>
      <c r="AG795" s="18">
        <v>0</v>
      </c>
      <c r="AH795" s="18">
        <v>0</v>
      </c>
      <c r="AI795" s="18">
        <v>0</v>
      </c>
      <c r="AJ795" s="18">
        <v>0</v>
      </c>
      <c r="AK795" s="18">
        <v>0</v>
      </c>
      <c r="AL795" s="18">
        <v>0</v>
      </c>
      <c r="AM795" s="18">
        <v>0</v>
      </c>
      <c r="AN795" s="18">
        <v>0</v>
      </c>
      <c r="AO795" s="18">
        <v>0</v>
      </c>
      <c r="AP795" s="18">
        <v>0</v>
      </c>
      <c r="AQ795" s="18">
        <v>0</v>
      </c>
      <c r="AR795" s="18">
        <v>0</v>
      </c>
      <c r="AS795" s="18">
        <v>0</v>
      </c>
      <c r="AT795" s="18">
        <v>0</v>
      </c>
      <c r="AU795" s="18">
        <v>0</v>
      </c>
      <c r="AV795" s="18">
        <v>0</v>
      </c>
      <c r="AW795" s="18">
        <v>0</v>
      </c>
      <c r="AX795" s="18">
        <v>0</v>
      </c>
      <c r="AY795" s="13"/>
      <c r="AZ795" s="18">
        <v>1</v>
      </c>
      <c r="BA795" s="18">
        <v>0</v>
      </c>
      <c r="BB795" s="18">
        <v>54.27</v>
      </c>
      <c r="BC795" s="18" t="s">
        <v>134</v>
      </c>
      <c r="BD795" s="18" t="s">
        <v>135</v>
      </c>
      <c r="BE795" s="18" t="s">
        <v>136</v>
      </c>
      <c r="BF795" s="18" t="s">
        <v>77</v>
      </c>
      <c r="BG795" s="18">
        <v>168</v>
      </c>
      <c r="BH795" s="18">
        <v>11</v>
      </c>
      <c r="BI795" s="18">
        <v>0.9385</v>
      </c>
      <c r="BJ795" s="18">
        <v>0</v>
      </c>
      <c r="BK795" s="18">
        <v>186</v>
      </c>
      <c r="BL795" s="18">
        <v>49</v>
      </c>
      <c r="BM795" s="13">
        <f t="shared" si="0"/>
        <v>6451.77</v>
      </c>
    </row>
    <row r="796" customHeight="1" spans="1:65">
      <c r="A796" s="18" t="s">
        <v>1674</v>
      </c>
      <c r="B796" s="18" t="s">
        <v>280</v>
      </c>
      <c r="C796" s="13"/>
      <c r="D796" s="13"/>
      <c r="E796" s="18" t="s">
        <v>1675</v>
      </c>
      <c r="F796" s="18" t="s">
        <v>132</v>
      </c>
      <c r="G796" s="18" t="s">
        <v>83</v>
      </c>
      <c r="H796" s="18" t="s">
        <v>84</v>
      </c>
      <c r="I796" s="18" t="s">
        <v>85</v>
      </c>
      <c r="J796" s="18">
        <v>5</v>
      </c>
      <c r="K796" s="16">
        <v>40.19</v>
      </c>
      <c r="L796" s="10"/>
      <c r="M796" s="16">
        <v>0</v>
      </c>
      <c r="N796" s="16">
        <v>0</v>
      </c>
      <c r="O796" s="18">
        <v>0</v>
      </c>
      <c r="P796" s="18" t="s">
        <v>86</v>
      </c>
      <c r="Q796" s="18">
        <v>3.718196</v>
      </c>
      <c r="R796" s="10"/>
      <c r="S796" s="16">
        <v>860</v>
      </c>
      <c r="T796" s="16">
        <v>10</v>
      </c>
      <c r="U796" s="18" t="s">
        <v>1674</v>
      </c>
      <c r="V796" s="18" t="s">
        <v>280</v>
      </c>
      <c r="W796" s="13"/>
      <c r="X796" s="13"/>
      <c r="Y796" s="18" t="s">
        <v>1675</v>
      </c>
      <c r="Z796" s="18" t="s">
        <v>132</v>
      </c>
      <c r="AA796" s="18" t="s">
        <v>83</v>
      </c>
      <c r="AB796" s="18" t="s">
        <v>84</v>
      </c>
      <c r="AC796" s="18" t="s">
        <v>85</v>
      </c>
      <c r="AD796" s="18">
        <v>75.38</v>
      </c>
      <c r="AE796" s="18">
        <v>0</v>
      </c>
      <c r="AF796" s="18">
        <v>0</v>
      </c>
      <c r="AG796" s="18">
        <v>0</v>
      </c>
      <c r="AH796" s="18">
        <v>0</v>
      </c>
      <c r="AI796" s="18">
        <v>0</v>
      </c>
      <c r="AJ796" s="18">
        <v>0</v>
      </c>
      <c r="AK796" s="18">
        <v>0</v>
      </c>
      <c r="AL796" s="18">
        <v>0</v>
      </c>
      <c r="AM796" s="18">
        <v>0</v>
      </c>
      <c r="AN796" s="18">
        <v>0</v>
      </c>
      <c r="AO796" s="18">
        <v>0</v>
      </c>
      <c r="AP796" s="18">
        <v>0</v>
      </c>
      <c r="AQ796" s="18">
        <v>0</v>
      </c>
      <c r="AR796" s="18">
        <v>0</v>
      </c>
      <c r="AS796" s="18">
        <v>0</v>
      </c>
      <c r="AT796" s="18">
        <v>0</v>
      </c>
      <c r="AU796" s="18">
        <v>0</v>
      </c>
      <c r="AV796" s="18">
        <v>0</v>
      </c>
      <c r="AW796" s="18">
        <v>0</v>
      </c>
      <c r="AX796" s="18">
        <v>0</v>
      </c>
      <c r="AY796" s="13"/>
      <c r="AZ796" s="18">
        <v>1</v>
      </c>
      <c r="BA796" s="18">
        <v>0</v>
      </c>
      <c r="BB796" s="18">
        <v>57.06</v>
      </c>
      <c r="BC796" s="18" t="s">
        <v>134</v>
      </c>
      <c r="BD796" s="18" t="s">
        <v>135</v>
      </c>
      <c r="BE796" s="18" t="s">
        <v>136</v>
      </c>
      <c r="BF796" s="18" t="s">
        <v>77</v>
      </c>
      <c r="BG796" s="18">
        <v>162</v>
      </c>
      <c r="BH796" s="18">
        <v>60</v>
      </c>
      <c r="BI796" s="18">
        <v>0.7297</v>
      </c>
      <c r="BJ796" s="18">
        <v>0</v>
      </c>
      <c r="BK796" s="18">
        <v>152</v>
      </c>
      <c r="BL796" s="18">
        <v>58.4</v>
      </c>
      <c r="BM796" s="13">
        <f t="shared" si="0"/>
        <v>34563.4</v>
      </c>
    </row>
    <row r="797" customHeight="1" spans="1:65">
      <c r="A797" s="18" t="s">
        <v>475</v>
      </c>
      <c r="B797" s="18" t="s">
        <v>476</v>
      </c>
      <c r="C797" s="13"/>
      <c r="D797" s="13"/>
      <c r="E797" s="18" t="s">
        <v>477</v>
      </c>
      <c r="F797" s="18" t="s">
        <v>82</v>
      </c>
      <c r="G797" s="18" t="s">
        <v>83</v>
      </c>
      <c r="H797" s="18" t="s">
        <v>84</v>
      </c>
      <c r="I797" s="18" t="s">
        <v>85</v>
      </c>
      <c r="J797" s="18">
        <v>5</v>
      </c>
      <c r="K797" s="16">
        <v>89.99</v>
      </c>
      <c r="L797" s="10"/>
      <c r="M797" s="16">
        <v>0</v>
      </c>
      <c r="N797" s="16">
        <v>0</v>
      </c>
      <c r="O797" s="18">
        <v>0</v>
      </c>
      <c r="P797" s="18" t="s">
        <v>95</v>
      </c>
      <c r="Q797" s="18">
        <v>4.51075</v>
      </c>
      <c r="R797" s="10"/>
      <c r="S797" s="16">
        <v>40</v>
      </c>
      <c r="T797" s="16">
        <v>8</v>
      </c>
      <c r="U797" s="18" t="s">
        <v>475</v>
      </c>
      <c r="V797" s="18" t="s">
        <v>476</v>
      </c>
      <c r="W797" s="13"/>
      <c r="X797" s="13"/>
      <c r="Y797" s="18" t="s">
        <v>477</v>
      </c>
      <c r="Z797" s="18" t="s">
        <v>82</v>
      </c>
      <c r="AA797" s="18" t="s">
        <v>83</v>
      </c>
      <c r="AB797" s="18" t="s">
        <v>84</v>
      </c>
      <c r="AC797" s="18" t="s">
        <v>85</v>
      </c>
      <c r="AD797" s="18">
        <v>174.98</v>
      </c>
      <c r="AE797" s="18">
        <v>0</v>
      </c>
      <c r="AF797" s="18">
        <v>0</v>
      </c>
      <c r="AG797" s="18">
        <v>0</v>
      </c>
      <c r="AH797" s="18">
        <v>1</v>
      </c>
      <c r="AI797" s="18">
        <v>0</v>
      </c>
      <c r="AJ797" s="18">
        <v>0</v>
      </c>
      <c r="AK797" s="18">
        <v>0</v>
      </c>
      <c r="AL797" s="18">
        <v>0</v>
      </c>
      <c r="AM797" s="18">
        <v>0</v>
      </c>
      <c r="AN797" s="18">
        <v>0</v>
      </c>
      <c r="AO797" s="18">
        <v>0</v>
      </c>
      <c r="AP797" s="18">
        <v>0</v>
      </c>
      <c r="AQ797" s="18">
        <v>0</v>
      </c>
      <c r="AR797" s="18">
        <v>0</v>
      </c>
      <c r="AS797" s="18">
        <v>0</v>
      </c>
      <c r="AT797" s="18">
        <v>1</v>
      </c>
      <c r="AU797" s="18">
        <v>0</v>
      </c>
      <c r="AV797" s="18">
        <v>0</v>
      </c>
      <c r="AW797" s="18">
        <v>0</v>
      </c>
      <c r="AX797" s="18">
        <v>0</v>
      </c>
      <c r="AY797" s="13"/>
      <c r="AZ797" s="18">
        <v>1</v>
      </c>
      <c r="BA797" s="18">
        <v>1</v>
      </c>
      <c r="BB797" s="18">
        <v>61.53</v>
      </c>
      <c r="BC797" s="18" t="s">
        <v>478</v>
      </c>
      <c r="BD797" s="18" t="s">
        <v>469</v>
      </c>
      <c r="BE797" s="18" t="s">
        <v>243</v>
      </c>
      <c r="BF797" s="18" t="s">
        <v>77</v>
      </c>
      <c r="BG797" s="18">
        <v>208</v>
      </c>
      <c r="BH797" s="18">
        <v>11</v>
      </c>
      <c r="BI797" s="18">
        <v>0.9498</v>
      </c>
      <c r="BJ797" s="18">
        <v>0</v>
      </c>
      <c r="BK797" s="18">
        <v>22</v>
      </c>
      <c r="BL797" s="18">
        <v>94</v>
      </c>
      <c r="BM797" s="13">
        <f t="shared" si="0"/>
        <v>3599.6</v>
      </c>
    </row>
    <row r="798" customHeight="1" spans="1:65">
      <c r="A798" s="18" t="s">
        <v>479</v>
      </c>
      <c r="B798" s="18" t="s">
        <v>480</v>
      </c>
      <c r="C798" s="19" t="s">
        <v>481</v>
      </c>
      <c r="D798" s="13"/>
      <c r="E798" s="19" t="s">
        <v>482</v>
      </c>
      <c r="F798" s="18" t="s">
        <v>132</v>
      </c>
      <c r="G798" s="18" t="s">
        <v>83</v>
      </c>
      <c r="H798" s="18" t="s">
        <v>84</v>
      </c>
      <c r="I798" s="18" t="s">
        <v>85</v>
      </c>
      <c r="J798" s="18">
        <v>5</v>
      </c>
      <c r="K798" s="16">
        <v>24.99</v>
      </c>
      <c r="L798" s="10"/>
      <c r="M798" s="16">
        <v>0</v>
      </c>
      <c r="N798" s="16">
        <v>0</v>
      </c>
      <c r="O798" s="18">
        <v>0</v>
      </c>
      <c r="P798" s="18" t="s">
        <v>133</v>
      </c>
      <c r="Q798" s="18">
        <v>3.257712</v>
      </c>
      <c r="R798" s="10"/>
      <c r="S798" s="16">
        <v>10872</v>
      </c>
      <c r="T798" s="16">
        <v>10</v>
      </c>
      <c r="U798" s="18" t="s">
        <v>479</v>
      </c>
      <c r="V798" s="18" t="s">
        <v>480</v>
      </c>
      <c r="W798" s="19" t="s">
        <v>481</v>
      </c>
      <c r="X798" s="13"/>
      <c r="Y798" s="19" t="s">
        <v>482</v>
      </c>
      <c r="Z798" s="18" t="s">
        <v>132</v>
      </c>
      <c r="AA798" s="18" t="s">
        <v>83</v>
      </c>
      <c r="AB798" s="18" t="s">
        <v>84</v>
      </c>
      <c r="AC798" s="18" t="s">
        <v>85</v>
      </c>
      <c r="AD798" s="18">
        <v>44.98</v>
      </c>
      <c r="AE798" s="18">
        <v>0</v>
      </c>
      <c r="AF798" s="18">
        <v>0</v>
      </c>
      <c r="AG798" s="18">
        <v>0</v>
      </c>
      <c r="AH798" s="18">
        <v>0</v>
      </c>
      <c r="AI798" s="18">
        <v>0</v>
      </c>
      <c r="AJ798" s="18">
        <v>0</v>
      </c>
      <c r="AK798" s="18">
        <v>0</v>
      </c>
      <c r="AL798" s="18">
        <v>0</v>
      </c>
      <c r="AM798" s="18">
        <v>0</v>
      </c>
      <c r="AN798" s="18">
        <v>0</v>
      </c>
      <c r="AO798" s="18">
        <v>0</v>
      </c>
      <c r="AP798" s="18">
        <v>0</v>
      </c>
      <c r="AQ798" s="18">
        <v>1</v>
      </c>
      <c r="AR798" s="18">
        <v>0</v>
      </c>
      <c r="AS798" s="18">
        <v>0</v>
      </c>
      <c r="AT798" s="18">
        <v>0</v>
      </c>
      <c r="AU798" s="18">
        <v>0</v>
      </c>
      <c r="AV798" s="18">
        <v>1</v>
      </c>
      <c r="AW798" s="18">
        <v>1</v>
      </c>
      <c r="AX798" s="18">
        <v>0</v>
      </c>
      <c r="AY798" s="13"/>
      <c r="AZ798" s="18">
        <v>1</v>
      </c>
      <c r="BA798" s="18">
        <v>1</v>
      </c>
      <c r="BB798" s="18">
        <v>69.63</v>
      </c>
      <c r="BC798" s="18" t="s">
        <v>484</v>
      </c>
      <c r="BD798" s="18" t="s">
        <v>485</v>
      </c>
      <c r="BE798" s="18" t="s">
        <v>166</v>
      </c>
      <c r="BF798" s="18" t="s">
        <v>77</v>
      </c>
      <c r="BG798" s="18">
        <v>168</v>
      </c>
      <c r="BH798" s="18">
        <v>11</v>
      </c>
      <c r="BI798" s="18">
        <v>0.9385</v>
      </c>
      <c r="BJ798" s="18">
        <v>0</v>
      </c>
      <c r="BK798" s="18">
        <v>4</v>
      </c>
      <c r="BL798" s="18">
        <v>98.9</v>
      </c>
      <c r="BM798" s="13">
        <f t="shared" si="0"/>
        <v>271691.28</v>
      </c>
    </row>
    <row r="799" customHeight="1" spans="1:65">
      <c r="A799" s="18" t="s">
        <v>486</v>
      </c>
      <c r="B799" s="18" t="s">
        <v>487</v>
      </c>
      <c r="C799" s="13"/>
      <c r="D799" s="13"/>
      <c r="E799" s="18" t="s">
        <v>488</v>
      </c>
      <c r="F799" s="18" t="s">
        <v>160</v>
      </c>
      <c r="G799" s="18" t="s">
        <v>83</v>
      </c>
      <c r="H799" s="18" t="s">
        <v>84</v>
      </c>
      <c r="I799" s="18" t="s">
        <v>85</v>
      </c>
      <c r="J799" s="18">
        <v>5</v>
      </c>
      <c r="K799" s="16">
        <v>13.96</v>
      </c>
      <c r="L799" s="10"/>
      <c r="M799" s="16">
        <v>0</v>
      </c>
      <c r="N799" s="16">
        <v>0</v>
      </c>
      <c r="O799" s="18">
        <v>0</v>
      </c>
      <c r="P799" s="18" t="s">
        <v>133</v>
      </c>
      <c r="Q799" s="18">
        <v>2.70538</v>
      </c>
      <c r="R799" s="10"/>
      <c r="S799" s="16">
        <v>3314</v>
      </c>
      <c r="T799" s="16">
        <v>10</v>
      </c>
      <c r="U799" s="18" t="s">
        <v>486</v>
      </c>
      <c r="V799" s="18" t="s">
        <v>487</v>
      </c>
      <c r="W799" s="13"/>
      <c r="X799" s="13"/>
      <c r="Y799" s="18" t="s">
        <v>488</v>
      </c>
      <c r="Z799" s="18" t="s">
        <v>160</v>
      </c>
      <c r="AA799" s="18" t="s">
        <v>83</v>
      </c>
      <c r="AB799" s="18" t="s">
        <v>84</v>
      </c>
      <c r="AC799" s="18" t="s">
        <v>85</v>
      </c>
      <c r="AD799" s="18">
        <v>22.92</v>
      </c>
      <c r="AE799" s="18">
        <v>1</v>
      </c>
      <c r="AF799" s="18">
        <v>0</v>
      </c>
      <c r="AG799" s="18">
        <v>0</v>
      </c>
      <c r="AH799" s="18">
        <v>1</v>
      </c>
      <c r="AI799" s="18">
        <v>0</v>
      </c>
      <c r="AJ799" s="18">
        <v>0</v>
      </c>
      <c r="AK799" s="18">
        <v>0</v>
      </c>
      <c r="AL799" s="18">
        <v>0</v>
      </c>
      <c r="AM799" s="18">
        <v>0</v>
      </c>
      <c r="AN799" s="18">
        <v>0</v>
      </c>
      <c r="AO799" s="18">
        <v>0</v>
      </c>
      <c r="AP799" s="18">
        <v>0</v>
      </c>
      <c r="AQ799" s="18">
        <v>0</v>
      </c>
      <c r="AR799" s="18">
        <v>0</v>
      </c>
      <c r="AS799" s="18">
        <v>0</v>
      </c>
      <c r="AT799" s="18">
        <v>1</v>
      </c>
      <c r="AU799" s="18">
        <v>0</v>
      </c>
      <c r="AV799" s="18">
        <v>0</v>
      </c>
      <c r="AW799" s="18">
        <v>0</v>
      </c>
      <c r="AX799" s="18">
        <v>0</v>
      </c>
      <c r="AY799" s="13"/>
      <c r="AZ799" s="18">
        <v>1</v>
      </c>
      <c r="BA799" s="18">
        <v>2</v>
      </c>
      <c r="BB799" s="18">
        <v>69.64</v>
      </c>
      <c r="BC799" s="18" t="s">
        <v>489</v>
      </c>
      <c r="BD799" s="18" t="s">
        <v>420</v>
      </c>
      <c r="BE799" s="18" t="s">
        <v>113</v>
      </c>
      <c r="BF799" s="18" t="s">
        <v>77</v>
      </c>
      <c r="BG799" s="18">
        <v>168</v>
      </c>
      <c r="BH799" s="18">
        <v>11</v>
      </c>
      <c r="BI799" s="18">
        <v>0.9385</v>
      </c>
      <c r="BJ799" s="18">
        <v>0</v>
      </c>
      <c r="BK799" s="18">
        <v>3</v>
      </c>
      <c r="BL799" s="18">
        <v>99.2</v>
      </c>
      <c r="BM799" s="13">
        <f t="shared" si="0"/>
        <v>46263.44</v>
      </c>
    </row>
    <row r="800" customHeight="1" spans="1:65">
      <c r="A800" s="18" t="s">
        <v>2278</v>
      </c>
      <c r="B800" s="18" t="s">
        <v>487</v>
      </c>
      <c r="C800" s="18" t="s">
        <v>2279</v>
      </c>
      <c r="D800" s="13"/>
      <c r="E800" s="18" t="s">
        <v>2280</v>
      </c>
      <c r="F800" s="18" t="s">
        <v>82</v>
      </c>
      <c r="G800" s="18" t="s">
        <v>346</v>
      </c>
      <c r="H800" s="18" t="s">
        <v>84</v>
      </c>
      <c r="I800" s="18" t="s">
        <v>85</v>
      </c>
      <c r="J800" s="18">
        <v>5</v>
      </c>
      <c r="K800" s="16">
        <v>9.98</v>
      </c>
      <c r="L800" s="10"/>
      <c r="M800" s="16">
        <v>0</v>
      </c>
      <c r="N800" s="16">
        <v>0</v>
      </c>
      <c r="O800" s="18">
        <v>0</v>
      </c>
      <c r="P800" s="18" t="s">
        <v>133</v>
      </c>
      <c r="Q800" s="18">
        <v>2.396075</v>
      </c>
      <c r="R800" s="10"/>
      <c r="S800" s="16">
        <v>2107</v>
      </c>
      <c r="T800" s="16">
        <v>10</v>
      </c>
      <c r="U800" s="18" t="s">
        <v>2278</v>
      </c>
      <c r="V800" s="18" t="s">
        <v>487</v>
      </c>
      <c r="W800" s="18" t="s">
        <v>2279</v>
      </c>
      <c r="X800" s="13"/>
      <c r="Y800" s="18" t="s">
        <v>2280</v>
      </c>
      <c r="Z800" s="18" t="s">
        <v>82</v>
      </c>
      <c r="AA800" s="18" t="s">
        <v>346</v>
      </c>
      <c r="AB800" s="18" t="s">
        <v>84</v>
      </c>
      <c r="AC800" s="18" t="s">
        <v>85</v>
      </c>
      <c r="AD800" s="18">
        <v>14.96</v>
      </c>
      <c r="AE800" s="18">
        <v>0</v>
      </c>
      <c r="AF800" s="18">
        <v>0</v>
      </c>
      <c r="AG800" s="18">
        <v>0</v>
      </c>
      <c r="AH800" s="18">
        <v>0</v>
      </c>
      <c r="AI800" s="18">
        <v>0</v>
      </c>
      <c r="AJ800" s="18">
        <v>0</v>
      </c>
      <c r="AK800" s="18">
        <v>0</v>
      </c>
      <c r="AL800" s="18">
        <v>0</v>
      </c>
      <c r="AM800" s="18">
        <v>0</v>
      </c>
      <c r="AN800" s="18">
        <v>0</v>
      </c>
      <c r="AO800" s="18">
        <v>0</v>
      </c>
      <c r="AP800" s="18">
        <v>0</v>
      </c>
      <c r="AQ800" s="18">
        <v>0</v>
      </c>
      <c r="AR800" s="18">
        <v>0</v>
      </c>
      <c r="AS800" s="18">
        <v>0</v>
      </c>
      <c r="AT800" s="18">
        <v>1</v>
      </c>
      <c r="AU800" s="18">
        <v>0</v>
      </c>
      <c r="AV800" s="18">
        <v>0</v>
      </c>
      <c r="AW800" s="18">
        <v>0</v>
      </c>
      <c r="AX800" s="18">
        <v>0</v>
      </c>
      <c r="AY800" s="13"/>
      <c r="AZ800" s="18">
        <v>1</v>
      </c>
      <c r="BA800" s="18">
        <v>0</v>
      </c>
      <c r="BB800" s="18">
        <v>68.91</v>
      </c>
      <c r="BC800" s="18" t="s">
        <v>489</v>
      </c>
      <c r="BD800" s="18" t="s">
        <v>420</v>
      </c>
      <c r="BE800" s="18" t="s">
        <v>128</v>
      </c>
      <c r="BF800" s="18" t="s">
        <v>77</v>
      </c>
      <c r="BG800" s="18">
        <v>169</v>
      </c>
      <c r="BH800" s="18">
        <v>11</v>
      </c>
      <c r="BI800" s="18">
        <v>0.9389</v>
      </c>
      <c r="BJ800" s="18">
        <v>0</v>
      </c>
      <c r="BK800" s="18">
        <v>11</v>
      </c>
      <c r="BL800" s="18">
        <v>97</v>
      </c>
      <c r="BM800" s="13">
        <f t="shared" si="0"/>
        <v>21027.86</v>
      </c>
    </row>
    <row r="801" customHeight="1" spans="1:65">
      <c r="A801" s="18" t="s">
        <v>2022</v>
      </c>
      <c r="B801" s="18" t="s">
        <v>344</v>
      </c>
      <c r="C801" s="13"/>
      <c r="D801" s="13"/>
      <c r="E801" s="18" t="s">
        <v>122</v>
      </c>
      <c r="F801" s="19" t="s">
        <v>276</v>
      </c>
      <c r="G801" s="18" t="s">
        <v>346</v>
      </c>
      <c r="H801" s="18" t="s">
        <v>107</v>
      </c>
      <c r="I801" s="18" t="s">
        <v>85</v>
      </c>
      <c r="J801" s="18">
        <v>5</v>
      </c>
      <c r="K801" s="16">
        <v>12</v>
      </c>
      <c r="L801" s="10"/>
      <c r="M801" s="16">
        <v>0</v>
      </c>
      <c r="N801" s="16">
        <v>0</v>
      </c>
      <c r="O801" s="18">
        <v>0</v>
      </c>
      <c r="P801" s="18" t="s">
        <v>133</v>
      </c>
      <c r="Q801" s="18">
        <v>2.564949</v>
      </c>
      <c r="R801" s="10"/>
      <c r="S801" s="16">
        <v>3</v>
      </c>
      <c r="T801" s="16">
        <v>10</v>
      </c>
      <c r="U801" s="18" t="s">
        <v>2022</v>
      </c>
      <c r="V801" s="18" t="s">
        <v>344</v>
      </c>
      <c r="W801" s="13"/>
      <c r="X801" s="13"/>
      <c r="Y801" s="18" t="s">
        <v>122</v>
      </c>
      <c r="Z801" s="18" t="s">
        <v>276</v>
      </c>
      <c r="AA801" s="18" t="s">
        <v>346</v>
      </c>
      <c r="AB801" s="18" t="s">
        <v>107</v>
      </c>
      <c r="AC801" s="18" t="s">
        <v>85</v>
      </c>
      <c r="AD801" s="18">
        <v>19</v>
      </c>
      <c r="AE801" s="18">
        <v>0</v>
      </c>
      <c r="AF801" s="18">
        <v>0</v>
      </c>
      <c r="AG801" s="18">
        <v>0</v>
      </c>
      <c r="AH801" s="18">
        <v>0</v>
      </c>
      <c r="AI801" s="18">
        <v>0</v>
      </c>
      <c r="AJ801" s="18">
        <v>0</v>
      </c>
      <c r="AK801" s="18">
        <v>0</v>
      </c>
      <c r="AL801" s="18">
        <v>0</v>
      </c>
      <c r="AM801" s="18">
        <v>0</v>
      </c>
      <c r="AN801" s="18">
        <v>0</v>
      </c>
      <c r="AO801" s="18">
        <v>0</v>
      </c>
      <c r="AP801" s="18">
        <v>0</v>
      </c>
      <c r="AQ801" s="18">
        <v>0</v>
      </c>
      <c r="AR801" s="18">
        <v>0</v>
      </c>
      <c r="AS801" s="18">
        <v>1</v>
      </c>
      <c r="AT801" s="18">
        <v>0</v>
      </c>
      <c r="AU801" s="18">
        <v>0</v>
      </c>
      <c r="AV801" s="18">
        <v>0</v>
      </c>
      <c r="AW801" s="18">
        <v>0</v>
      </c>
      <c r="AX801" s="18">
        <v>0</v>
      </c>
      <c r="AY801" s="13"/>
      <c r="AZ801" s="18">
        <v>1</v>
      </c>
      <c r="BA801" s="18">
        <v>0</v>
      </c>
      <c r="BB801" s="18">
        <v>29.69</v>
      </c>
      <c r="BC801" s="18" t="s">
        <v>492</v>
      </c>
      <c r="BD801" s="18" t="s">
        <v>97</v>
      </c>
      <c r="BE801" s="18" t="s">
        <v>76</v>
      </c>
      <c r="BF801" s="18" t="s">
        <v>77</v>
      </c>
      <c r="BG801" s="18">
        <v>169</v>
      </c>
      <c r="BH801" s="18">
        <v>11</v>
      </c>
      <c r="BI801" s="18">
        <v>0.9389</v>
      </c>
      <c r="BJ801" s="18">
        <v>0</v>
      </c>
      <c r="BK801" s="18">
        <v>116</v>
      </c>
      <c r="BL801" s="18">
        <v>68.2</v>
      </c>
      <c r="BM801" s="13">
        <f t="shared" si="0"/>
        <v>36</v>
      </c>
    </row>
    <row r="802" customHeight="1" spans="1:65">
      <c r="A802" s="18" t="s">
        <v>1462</v>
      </c>
      <c r="B802" s="18" t="s">
        <v>901</v>
      </c>
      <c r="C802" s="13"/>
      <c r="D802" s="13"/>
      <c r="E802" s="18" t="s">
        <v>122</v>
      </c>
      <c r="F802" s="19" t="s">
        <v>276</v>
      </c>
      <c r="G802" s="18" t="s">
        <v>901</v>
      </c>
      <c r="H802" s="18" t="s">
        <v>107</v>
      </c>
      <c r="I802" s="18" t="s">
        <v>85</v>
      </c>
      <c r="J802" s="18">
        <v>5</v>
      </c>
      <c r="K802" s="16">
        <v>9</v>
      </c>
      <c r="L802" s="10"/>
      <c r="M802" s="16">
        <v>0</v>
      </c>
      <c r="N802" s="16">
        <v>0</v>
      </c>
      <c r="O802" s="18">
        <v>0</v>
      </c>
      <c r="P802" s="18" t="s">
        <v>133</v>
      </c>
      <c r="Q802" s="18">
        <v>2.302585</v>
      </c>
      <c r="R802" s="10"/>
      <c r="S802" s="16">
        <v>67</v>
      </c>
      <c r="T802" s="16">
        <v>10</v>
      </c>
      <c r="U802" s="18" t="s">
        <v>1462</v>
      </c>
      <c r="V802" s="18" t="s">
        <v>901</v>
      </c>
      <c r="W802" s="13"/>
      <c r="X802" s="13"/>
      <c r="Y802" s="18" t="s">
        <v>122</v>
      </c>
      <c r="Z802" s="18" t="s">
        <v>276</v>
      </c>
      <c r="AA802" s="18" t="s">
        <v>901</v>
      </c>
      <c r="AB802" s="18" t="s">
        <v>107</v>
      </c>
      <c r="AC802" s="18" t="s">
        <v>85</v>
      </c>
      <c r="AD802" s="18">
        <v>13</v>
      </c>
      <c r="AE802" s="18">
        <v>0</v>
      </c>
      <c r="AF802" s="18">
        <v>1</v>
      </c>
      <c r="AG802" s="18">
        <v>0</v>
      </c>
      <c r="AH802" s="18">
        <v>0</v>
      </c>
      <c r="AI802" s="18">
        <v>0</v>
      </c>
      <c r="AJ802" s="18">
        <v>0</v>
      </c>
      <c r="AK802" s="18">
        <v>0</v>
      </c>
      <c r="AL802" s="18">
        <v>0</v>
      </c>
      <c r="AM802" s="18">
        <v>0</v>
      </c>
      <c r="AN802" s="18">
        <v>0</v>
      </c>
      <c r="AO802" s="18">
        <v>0</v>
      </c>
      <c r="AP802" s="18">
        <v>0</v>
      </c>
      <c r="AQ802" s="18">
        <v>0</v>
      </c>
      <c r="AR802" s="18">
        <v>0</v>
      </c>
      <c r="AS802" s="18">
        <v>1</v>
      </c>
      <c r="AT802" s="18">
        <v>0</v>
      </c>
      <c r="AU802" s="18">
        <v>0</v>
      </c>
      <c r="AV802" s="18">
        <v>0</v>
      </c>
      <c r="AW802" s="18">
        <v>0</v>
      </c>
      <c r="AX802" s="18">
        <v>0</v>
      </c>
      <c r="AY802" s="13"/>
      <c r="AZ802" s="18">
        <v>1</v>
      </c>
      <c r="BA802" s="18">
        <v>0</v>
      </c>
      <c r="BB802" s="18">
        <v>64.14</v>
      </c>
      <c r="BC802" s="18" t="s">
        <v>492</v>
      </c>
      <c r="BD802" s="18" t="s">
        <v>97</v>
      </c>
      <c r="BE802" s="18" t="s">
        <v>76</v>
      </c>
      <c r="BF802" s="18" t="s">
        <v>77</v>
      </c>
      <c r="BG802" s="18">
        <v>169</v>
      </c>
      <c r="BH802" s="18">
        <v>11</v>
      </c>
      <c r="BI802" s="18">
        <v>0.9389</v>
      </c>
      <c r="BJ802" s="18">
        <v>0</v>
      </c>
      <c r="BK802" s="18">
        <v>8</v>
      </c>
      <c r="BL802" s="18">
        <v>97.8</v>
      </c>
      <c r="BM802" s="13">
        <f t="shared" si="0"/>
        <v>603</v>
      </c>
    </row>
    <row r="803" customHeight="1" spans="1:65">
      <c r="A803" s="18" t="s">
        <v>490</v>
      </c>
      <c r="B803" s="18" t="s">
        <v>365</v>
      </c>
      <c r="C803" s="13"/>
      <c r="D803" s="13"/>
      <c r="E803" s="18" t="s">
        <v>491</v>
      </c>
      <c r="F803" s="19" t="s">
        <v>276</v>
      </c>
      <c r="G803" s="18" t="s">
        <v>83</v>
      </c>
      <c r="H803" s="18" t="s">
        <v>84</v>
      </c>
      <c r="I803" s="18" t="s">
        <v>85</v>
      </c>
      <c r="J803" s="18">
        <v>5</v>
      </c>
      <c r="K803" s="16">
        <v>18</v>
      </c>
      <c r="L803" s="10"/>
      <c r="M803" s="16">
        <v>0</v>
      </c>
      <c r="N803" s="16">
        <v>0</v>
      </c>
      <c r="O803" s="18">
        <v>0</v>
      </c>
      <c r="P803" s="18" t="s">
        <v>133</v>
      </c>
      <c r="Q803" s="18">
        <v>2.944439</v>
      </c>
      <c r="R803" s="10"/>
      <c r="S803" s="16">
        <v>26</v>
      </c>
      <c r="T803" s="16">
        <v>10</v>
      </c>
      <c r="U803" s="18" t="s">
        <v>490</v>
      </c>
      <c r="V803" s="18" t="s">
        <v>365</v>
      </c>
      <c r="W803" s="13"/>
      <c r="X803" s="13"/>
      <c r="Y803" s="18" t="s">
        <v>491</v>
      </c>
      <c r="Z803" s="18" t="s">
        <v>276</v>
      </c>
      <c r="AA803" s="18" t="s">
        <v>83</v>
      </c>
      <c r="AB803" s="18" t="s">
        <v>84</v>
      </c>
      <c r="AC803" s="18" t="s">
        <v>85</v>
      </c>
      <c r="AD803" s="18">
        <v>31</v>
      </c>
      <c r="AE803" s="18">
        <v>0</v>
      </c>
      <c r="AF803" s="18">
        <v>0</v>
      </c>
      <c r="AG803" s="18">
        <v>0</v>
      </c>
      <c r="AH803" s="18">
        <v>0</v>
      </c>
      <c r="AI803" s="18">
        <v>0</v>
      </c>
      <c r="AJ803" s="18">
        <v>0</v>
      </c>
      <c r="AK803" s="18">
        <v>1</v>
      </c>
      <c r="AL803" s="18">
        <v>0</v>
      </c>
      <c r="AM803" s="18">
        <v>0</v>
      </c>
      <c r="AN803" s="18">
        <v>0</v>
      </c>
      <c r="AO803" s="18">
        <v>0</v>
      </c>
      <c r="AP803" s="18">
        <v>0</v>
      </c>
      <c r="AQ803" s="18">
        <v>0</v>
      </c>
      <c r="AR803" s="18">
        <v>0</v>
      </c>
      <c r="AS803" s="18">
        <v>0</v>
      </c>
      <c r="AT803" s="18">
        <v>0</v>
      </c>
      <c r="AU803" s="18">
        <v>0</v>
      </c>
      <c r="AV803" s="18">
        <v>0</v>
      </c>
      <c r="AW803" s="18">
        <v>0</v>
      </c>
      <c r="AX803" s="18">
        <v>0</v>
      </c>
      <c r="AY803" s="13"/>
      <c r="AZ803" s="18">
        <v>1</v>
      </c>
      <c r="BA803" s="18">
        <v>1</v>
      </c>
      <c r="BB803" s="18">
        <v>58.74</v>
      </c>
      <c r="BC803" s="18" t="s">
        <v>492</v>
      </c>
      <c r="BD803" s="18" t="s">
        <v>97</v>
      </c>
      <c r="BE803" s="18" t="s">
        <v>76</v>
      </c>
      <c r="BF803" s="18" t="s">
        <v>77</v>
      </c>
      <c r="BG803" s="18">
        <v>170</v>
      </c>
      <c r="BH803" s="18">
        <v>11</v>
      </c>
      <c r="BI803" s="18">
        <v>0.9392</v>
      </c>
      <c r="BJ803" s="18">
        <v>0</v>
      </c>
      <c r="BK803" s="18">
        <v>2</v>
      </c>
      <c r="BL803" s="18">
        <v>99.5</v>
      </c>
      <c r="BM803" s="13">
        <f t="shared" si="0"/>
        <v>468</v>
      </c>
    </row>
    <row r="804" customHeight="1" spans="1:65">
      <c r="A804" s="18" t="s">
        <v>2051</v>
      </c>
      <c r="B804" s="18" t="s">
        <v>365</v>
      </c>
      <c r="C804" s="13"/>
      <c r="D804" s="13"/>
      <c r="E804" s="18" t="s">
        <v>491</v>
      </c>
      <c r="F804" s="19" t="s">
        <v>276</v>
      </c>
      <c r="G804" s="18" t="s">
        <v>83</v>
      </c>
      <c r="H804" s="18" t="s">
        <v>84</v>
      </c>
      <c r="I804" s="18" t="s">
        <v>85</v>
      </c>
      <c r="J804" s="18">
        <v>5</v>
      </c>
      <c r="K804" s="16">
        <v>17</v>
      </c>
      <c r="L804" s="10"/>
      <c r="M804" s="16">
        <v>0</v>
      </c>
      <c r="N804" s="16">
        <v>0</v>
      </c>
      <c r="O804" s="18">
        <v>0</v>
      </c>
      <c r="P804" s="18" t="s">
        <v>133</v>
      </c>
      <c r="Q804" s="18">
        <v>2.890372</v>
      </c>
      <c r="R804" s="10"/>
      <c r="S804" s="16">
        <v>11</v>
      </c>
      <c r="T804" s="16">
        <v>10</v>
      </c>
      <c r="U804" s="18" t="s">
        <v>2051</v>
      </c>
      <c r="V804" s="18" t="s">
        <v>365</v>
      </c>
      <c r="W804" s="13"/>
      <c r="X804" s="13"/>
      <c r="Y804" s="18" t="s">
        <v>491</v>
      </c>
      <c r="Z804" s="18" t="s">
        <v>276</v>
      </c>
      <c r="AA804" s="18" t="s">
        <v>83</v>
      </c>
      <c r="AB804" s="18" t="s">
        <v>84</v>
      </c>
      <c r="AC804" s="18" t="s">
        <v>85</v>
      </c>
      <c r="AD804" s="18">
        <v>29</v>
      </c>
      <c r="AE804" s="18">
        <v>0</v>
      </c>
      <c r="AF804" s="18">
        <v>0</v>
      </c>
      <c r="AG804" s="18">
        <v>0</v>
      </c>
      <c r="AH804" s="18">
        <v>0</v>
      </c>
      <c r="AI804" s="18">
        <v>0</v>
      </c>
      <c r="AJ804" s="18">
        <v>0</v>
      </c>
      <c r="AK804" s="18">
        <v>0</v>
      </c>
      <c r="AL804" s="18">
        <v>0</v>
      </c>
      <c r="AM804" s="18">
        <v>0</v>
      </c>
      <c r="AN804" s="18">
        <v>0</v>
      </c>
      <c r="AO804" s="18">
        <v>0</v>
      </c>
      <c r="AP804" s="18">
        <v>0</v>
      </c>
      <c r="AQ804" s="18">
        <v>0</v>
      </c>
      <c r="AR804" s="18">
        <v>0</v>
      </c>
      <c r="AS804" s="18">
        <v>0</v>
      </c>
      <c r="AT804" s="18">
        <v>0</v>
      </c>
      <c r="AU804" s="18">
        <v>0</v>
      </c>
      <c r="AV804" s="18">
        <v>0</v>
      </c>
      <c r="AW804" s="18">
        <v>0</v>
      </c>
      <c r="AX804" s="18">
        <v>0</v>
      </c>
      <c r="AY804" s="13"/>
      <c r="AZ804" s="18">
        <v>1</v>
      </c>
      <c r="BA804" s="18">
        <v>0</v>
      </c>
      <c r="BB804" s="18">
        <v>50.38</v>
      </c>
      <c r="BC804" s="18" t="s">
        <v>492</v>
      </c>
      <c r="BD804" s="18" t="s">
        <v>97</v>
      </c>
      <c r="BE804" s="18" t="s">
        <v>76</v>
      </c>
      <c r="BF804" s="18" t="s">
        <v>77</v>
      </c>
      <c r="BG804" s="18">
        <v>170</v>
      </c>
      <c r="BH804" s="18">
        <v>11</v>
      </c>
      <c r="BI804" s="18">
        <v>0.9392</v>
      </c>
      <c r="BJ804" s="18">
        <v>0</v>
      </c>
      <c r="BK804" s="18">
        <v>7</v>
      </c>
      <c r="BL804" s="18">
        <v>98.1</v>
      </c>
      <c r="BM804" s="13">
        <f t="shared" si="0"/>
        <v>187</v>
      </c>
    </row>
    <row r="805" customHeight="1" spans="1:65">
      <c r="A805" s="18" t="s">
        <v>2130</v>
      </c>
      <c r="B805" s="18" t="s">
        <v>171</v>
      </c>
      <c r="C805" s="18" t="s">
        <v>2131</v>
      </c>
      <c r="D805" s="13"/>
      <c r="E805" s="18" t="s">
        <v>2132</v>
      </c>
      <c r="F805" s="18" t="s">
        <v>160</v>
      </c>
      <c r="G805" s="18" t="s">
        <v>83</v>
      </c>
      <c r="H805" s="18" t="s">
        <v>84</v>
      </c>
      <c r="I805" s="18" t="s">
        <v>85</v>
      </c>
      <c r="J805" s="18">
        <v>5</v>
      </c>
      <c r="K805" s="16">
        <v>109.49</v>
      </c>
      <c r="L805" s="10"/>
      <c r="M805" s="16">
        <v>0</v>
      </c>
      <c r="N805" s="16">
        <v>0</v>
      </c>
      <c r="O805" s="18">
        <v>0</v>
      </c>
      <c r="P805" s="18" t="s">
        <v>95</v>
      </c>
      <c r="Q805" s="18">
        <v>4.704925</v>
      </c>
      <c r="R805" s="16">
        <v>13.69</v>
      </c>
      <c r="S805" s="16">
        <v>31</v>
      </c>
      <c r="T805" s="16">
        <v>10</v>
      </c>
      <c r="U805" s="18" t="s">
        <v>2130</v>
      </c>
      <c r="V805" s="18" t="s">
        <v>171</v>
      </c>
      <c r="W805" s="19" t="s">
        <v>2131</v>
      </c>
      <c r="X805" s="13"/>
      <c r="Y805" s="18" t="s">
        <v>2132</v>
      </c>
      <c r="Z805" s="18" t="s">
        <v>160</v>
      </c>
      <c r="AA805" s="18" t="s">
        <v>83</v>
      </c>
      <c r="AB805" s="18" t="s">
        <v>84</v>
      </c>
      <c r="AC805" s="18" t="s">
        <v>85</v>
      </c>
      <c r="AD805" s="18">
        <v>213.98</v>
      </c>
      <c r="AE805" s="18">
        <v>0</v>
      </c>
      <c r="AF805" s="18">
        <v>0</v>
      </c>
      <c r="AG805" s="18">
        <v>0</v>
      </c>
      <c r="AH805" s="18">
        <v>0</v>
      </c>
      <c r="AI805" s="18">
        <v>0</v>
      </c>
      <c r="AJ805" s="18">
        <v>0</v>
      </c>
      <c r="AK805" s="18">
        <v>0</v>
      </c>
      <c r="AL805" s="18">
        <v>0</v>
      </c>
      <c r="AM805" s="18">
        <v>0</v>
      </c>
      <c r="AN805" s="18">
        <v>0</v>
      </c>
      <c r="AO805" s="18">
        <v>0</v>
      </c>
      <c r="AP805" s="18">
        <v>0</v>
      </c>
      <c r="AQ805" s="18">
        <v>1</v>
      </c>
      <c r="AR805" s="18">
        <v>0</v>
      </c>
      <c r="AS805" s="18">
        <v>0</v>
      </c>
      <c r="AT805" s="18">
        <v>1</v>
      </c>
      <c r="AU805" s="18">
        <v>0</v>
      </c>
      <c r="AV805" s="18">
        <v>1</v>
      </c>
      <c r="AW805" s="18">
        <v>1</v>
      </c>
      <c r="AX805" s="18">
        <v>0</v>
      </c>
      <c r="AY805" s="18">
        <v>8</v>
      </c>
      <c r="AZ805" s="18">
        <v>1</v>
      </c>
      <c r="BA805" s="18">
        <v>3</v>
      </c>
      <c r="BB805" s="18">
        <v>59.91</v>
      </c>
      <c r="BC805" s="18" t="s">
        <v>506</v>
      </c>
      <c r="BD805" s="18" t="s">
        <v>175</v>
      </c>
      <c r="BE805" s="18" t="s">
        <v>91</v>
      </c>
      <c r="BF805" s="18" t="s">
        <v>77</v>
      </c>
      <c r="BG805" s="18">
        <v>161</v>
      </c>
      <c r="BH805" s="18">
        <v>61</v>
      </c>
      <c r="BI805" s="18">
        <v>0.7252</v>
      </c>
      <c r="BJ805" s="18">
        <v>0</v>
      </c>
      <c r="BK805" s="18">
        <v>4</v>
      </c>
      <c r="BL805" s="18">
        <v>98.9</v>
      </c>
      <c r="BM805" s="13">
        <f t="shared" si="0"/>
        <v>3394.19</v>
      </c>
    </row>
    <row r="806" customHeight="1" spans="1:65">
      <c r="A806" s="18" t="s">
        <v>1301</v>
      </c>
      <c r="B806" s="18" t="s">
        <v>171</v>
      </c>
      <c r="C806" s="18" t="s">
        <v>1302</v>
      </c>
      <c r="D806" s="13"/>
      <c r="E806" s="18" t="s">
        <v>255</v>
      </c>
      <c r="F806" s="18" t="s">
        <v>160</v>
      </c>
      <c r="G806" s="18" t="s">
        <v>83</v>
      </c>
      <c r="H806" s="18" t="s">
        <v>84</v>
      </c>
      <c r="I806" s="18" t="s">
        <v>85</v>
      </c>
      <c r="J806" s="18">
        <v>5</v>
      </c>
      <c r="K806" s="16">
        <v>127.49</v>
      </c>
      <c r="L806" s="10"/>
      <c r="M806" s="16">
        <v>0</v>
      </c>
      <c r="N806" s="16">
        <v>0</v>
      </c>
      <c r="O806" s="18">
        <v>0</v>
      </c>
      <c r="P806" s="18" t="s">
        <v>95</v>
      </c>
      <c r="Q806" s="18">
        <v>4.855851</v>
      </c>
      <c r="R806" s="16">
        <v>7.97</v>
      </c>
      <c r="S806" s="16">
        <v>84</v>
      </c>
      <c r="T806" s="16">
        <v>10</v>
      </c>
      <c r="U806" s="18" t="s">
        <v>1301</v>
      </c>
      <c r="V806" s="18" t="s">
        <v>171</v>
      </c>
      <c r="W806" s="18" t="s">
        <v>1302</v>
      </c>
      <c r="X806" s="13"/>
      <c r="Y806" s="18" t="s">
        <v>255</v>
      </c>
      <c r="Z806" s="18" t="s">
        <v>160</v>
      </c>
      <c r="AA806" s="18" t="s">
        <v>83</v>
      </c>
      <c r="AB806" s="18" t="s">
        <v>84</v>
      </c>
      <c r="AC806" s="18" t="s">
        <v>85</v>
      </c>
      <c r="AD806" s="18">
        <v>249.98</v>
      </c>
      <c r="AE806" s="18">
        <v>0</v>
      </c>
      <c r="AF806" s="18">
        <v>0</v>
      </c>
      <c r="AG806" s="18">
        <v>0</v>
      </c>
      <c r="AH806" s="18">
        <v>0</v>
      </c>
      <c r="AI806" s="18">
        <v>0</v>
      </c>
      <c r="AJ806" s="18">
        <v>0</v>
      </c>
      <c r="AK806" s="18">
        <v>0</v>
      </c>
      <c r="AL806" s="18">
        <v>0</v>
      </c>
      <c r="AM806" s="18">
        <v>0</v>
      </c>
      <c r="AN806" s="18">
        <v>0</v>
      </c>
      <c r="AO806" s="18">
        <v>0</v>
      </c>
      <c r="AP806" s="18">
        <v>0</v>
      </c>
      <c r="AQ806" s="18">
        <v>1</v>
      </c>
      <c r="AR806" s="18">
        <v>0</v>
      </c>
      <c r="AS806" s="18">
        <v>0</v>
      </c>
      <c r="AT806" s="18">
        <v>0</v>
      </c>
      <c r="AU806" s="18">
        <v>0</v>
      </c>
      <c r="AV806" s="18">
        <v>1</v>
      </c>
      <c r="AW806" s="18">
        <v>1</v>
      </c>
      <c r="AX806" s="18">
        <v>0</v>
      </c>
      <c r="AY806" s="18">
        <v>16</v>
      </c>
      <c r="AZ806" s="18">
        <v>1</v>
      </c>
      <c r="BA806" s="18">
        <v>3</v>
      </c>
      <c r="BB806" s="18">
        <v>64.99</v>
      </c>
      <c r="BC806" s="18" t="s">
        <v>506</v>
      </c>
      <c r="BD806" s="18" t="s">
        <v>175</v>
      </c>
      <c r="BE806" s="18" t="s">
        <v>91</v>
      </c>
      <c r="BF806" s="18" t="s">
        <v>77</v>
      </c>
      <c r="BG806" s="18">
        <v>161</v>
      </c>
      <c r="BH806" s="18">
        <v>61</v>
      </c>
      <c r="BI806" s="18">
        <v>0.7252</v>
      </c>
      <c r="BJ806" s="18">
        <v>0</v>
      </c>
      <c r="BK806" s="18">
        <v>9</v>
      </c>
      <c r="BL806" s="18">
        <v>97.5</v>
      </c>
      <c r="BM806" s="13">
        <f t="shared" si="0"/>
        <v>10709.16</v>
      </c>
    </row>
    <row r="807" customHeight="1" spans="1:65">
      <c r="A807" s="18" t="s">
        <v>1497</v>
      </c>
      <c r="B807" s="18" t="s">
        <v>171</v>
      </c>
      <c r="C807" s="18" t="s">
        <v>1498</v>
      </c>
      <c r="D807" s="13"/>
      <c r="E807" s="18" t="s">
        <v>1883</v>
      </c>
      <c r="F807" s="18" t="s">
        <v>82</v>
      </c>
      <c r="G807" s="18" t="s">
        <v>83</v>
      </c>
      <c r="H807" s="18" t="s">
        <v>84</v>
      </c>
      <c r="I807" s="18" t="s">
        <v>85</v>
      </c>
      <c r="J807" s="18">
        <v>5</v>
      </c>
      <c r="K807" s="16">
        <v>125.79</v>
      </c>
      <c r="L807" s="10"/>
      <c r="M807" s="16">
        <v>0</v>
      </c>
      <c r="N807" s="16">
        <v>0</v>
      </c>
      <c r="O807" s="18">
        <v>0</v>
      </c>
      <c r="P807" s="18" t="s">
        <v>95</v>
      </c>
      <c r="Q807" s="18">
        <v>4.842532</v>
      </c>
      <c r="R807" s="10"/>
      <c r="S807" s="16">
        <v>40</v>
      </c>
      <c r="T807" s="16">
        <v>10</v>
      </c>
      <c r="U807" s="18" t="s">
        <v>1497</v>
      </c>
      <c r="V807" s="18" t="s">
        <v>171</v>
      </c>
      <c r="W807" s="18" t="s">
        <v>1498</v>
      </c>
      <c r="X807" s="13"/>
      <c r="Y807" s="18" t="s">
        <v>1499</v>
      </c>
      <c r="Z807" s="18" t="s">
        <v>82</v>
      </c>
      <c r="AA807" s="18" t="s">
        <v>83</v>
      </c>
      <c r="AB807" s="18" t="s">
        <v>84</v>
      </c>
      <c r="AC807" s="18" t="s">
        <v>85</v>
      </c>
      <c r="AD807" s="18">
        <v>246.58</v>
      </c>
      <c r="AE807" s="18">
        <v>0</v>
      </c>
      <c r="AF807" s="18">
        <v>0</v>
      </c>
      <c r="AG807" s="18">
        <v>0</v>
      </c>
      <c r="AH807" s="18">
        <v>0</v>
      </c>
      <c r="AI807" s="18">
        <v>0</v>
      </c>
      <c r="AJ807" s="18">
        <v>0</v>
      </c>
      <c r="AK807" s="18">
        <v>0</v>
      </c>
      <c r="AL807" s="18">
        <v>0</v>
      </c>
      <c r="AM807" s="18">
        <v>0</v>
      </c>
      <c r="AN807" s="18">
        <v>0</v>
      </c>
      <c r="AO807" s="18">
        <v>0</v>
      </c>
      <c r="AP807" s="18">
        <v>0</v>
      </c>
      <c r="AQ807" s="18">
        <v>1</v>
      </c>
      <c r="AR807" s="18">
        <v>0</v>
      </c>
      <c r="AS807" s="18">
        <v>0</v>
      </c>
      <c r="AT807" s="18">
        <v>1</v>
      </c>
      <c r="AU807" s="18">
        <v>0</v>
      </c>
      <c r="AV807" s="18">
        <v>1</v>
      </c>
      <c r="AW807" s="18">
        <v>1</v>
      </c>
      <c r="AX807" s="18">
        <v>0</v>
      </c>
      <c r="AY807" s="13"/>
      <c r="AZ807" s="18">
        <v>1</v>
      </c>
      <c r="BA807" s="18">
        <v>2</v>
      </c>
      <c r="BB807" s="18">
        <v>58.97</v>
      </c>
      <c r="BC807" s="18" t="s">
        <v>506</v>
      </c>
      <c r="BD807" s="18" t="s">
        <v>356</v>
      </c>
      <c r="BE807" s="18" t="s">
        <v>287</v>
      </c>
      <c r="BF807" s="18" t="s">
        <v>77</v>
      </c>
      <c r="BG807" s="18">
        <v>162</v>
      </c>
      <c r="BH807" s="18">
        <v>60</v>
      </c>
      <c r="BI807" s="18">
        <v>0.7297</v>
      </c>
      <c r="BJ807" s="18">
        <v>0</v>
      </c>
      <c r="BK807" s="18">
        <v>37</v>
      </c>
      <c r="BL807" s="18">
        <v>89.9</v>
      </c>
      <c r="BM807" s="13">
        <f t="shared" si="0"/>
        <v>5031.6</v>
      </c>
    </row>
    <row r="808" customHeight="1" spans="1:65">
      <c r="A808" s="18" t="s">
        <v>2172</v>
      </c>
      <c r="B808" s="18" t="s">
        <v>171</v>
      </c>
      <c r="C808" s="19" t="s">
        <v>2173</v>
      </c>
      <c r="D808" s="13"/>
      <c r="E808" s="18" t="s">
        <v>250</v>
      </c>
      <c r="F808" s="18" t="s">
        <v>160</v>
      </c>
      <c r="G808" s="18" t="s">
        <v>83</v>
      </c>
      <c r="H808" s="18" t="s">
        <v>84</v>
      </c>
      <c r="I808" s="18" t="s">
        <v>85</v>
      </c>
      <c r="J808" s="18">
        <v>5</v>
      </c>
      <c r="K808" s="16">
        <v>231.69</v>
      </c>
      <c r="L808" s="10"/>
      <c r="M808" s="16">
        <v>0</v>
      </c>
      <c r="N808" s="16">
        <v>0</v>
      </c>
      <c r="O808" s="18">
        <v>0</v>
      </c>
      <c r="P808" s="18" t="s">
        <v>71</v>
      </c>
      <c r="Q808" s="18">
        <v>5.449707</v>
      </c>
      <c r="R808" s="16">
        <v>28.96</v>
      </c>
      <c r="S808" s="16">
        <v>235</v>
      </c>
      <c r="T808" s="16">
        <v>10</v>
      </c>
      <c r="U808" s="18" t="s">
        <v>2172</v>
      </c>
      <c r="V808" s="18" t="s">
        <v>171</v>
      </c>
      <c r="W808" s="19" t="s">
        <v>2173</v>
      </c>
      <c r="X808" s="13"/>
      <c r="Y808" s="18" t="s">
        <v>250</v>
      </c>
      <c r="Z808" s="18" t="s">
        <v>160</v>
      </c>
      <c r="AA808" s="18" t="s">
        <v>83</v>
      </c>
      <c r="AB808" s="18" t="s">
        <v>84</v>
      </c>
      <c r="AC808" s="18" t="s">
        <v>85</v>
      </c>
      <c r="AD808" s="18">
        <v>458.38</v>
      </c>
      <c r="AE808" s="18">
        <v>0</v>
      </c>
      <c r="AF808" s="18">
        <v>0</v>
      </c>
      <c r="AG808" s="18">
        <v>1</v>
      </c>
      <c r="AH808" s="18">
        <v>0</v>
      </c>
      <c r="AI808" s="18">
        <v>1</v>
      </c>
      <c r="AJ808" s="18">
        <v>0</v>
      </c>
      <c r="AK808" s="18">
        <v>0</v>
      </c>
      <c r="AL808" s="18">
        <v>0</v>
      </c>
      <c r="AM808" s="18">
        <v>0</v>
      </c>
      <c r="AN808" s="18">
        <v>0</v>
      </c>
      <c r="AO808" s="18">
        <v>0</v>
      </c>
      <c r="AP808" s="18">
        <v>0</v>
      </c>
      <c r="AQ808" s="18">
        <v>1</v>
      </c>
      <c r="AR808" s="18">
        <v>0</v>
      </c>
      <c r="AS808" s="18">
        <v>0</v>
      </c>
      <c r="AT808" s="18">
        <v>1</v>
      </c>
      <c r="AU808" s="18">
        <v>0</v>
      </c>
      <c r="AV808" s="18">
        <v>1</v>
      </c>
      <c r="AW808" s="18">
        <v>1</v>
      </c>
      <c r="AX808" s="18">
        <v>0</v>
      </c>
      <c r="AY808" s="18">
        <v>8</v>
      </c>
      <c r="AZ808" s="18">
        <v>1</v>
      </c>
      <c r="BA808" s="18">
        <v>3</v>
      </c>
      <c r="BB808" s="18">
        <v>68.04</v>
      </c>
      <c r="BC808" s="18" t="s">
        <v>506</v>
      </c>
      <c r="BD808" s="18" t="s">
        <v>356</v>
      </c>
      <c r="BE808" s="18" t="s">
        <v>287</v>
      </c>
      <c r="BF808" s="18" t="s">
        <v>77</v>
      </c>
      <c r="BG808" s="18">
        <v>161</v>
      </c>
      <c r="BH808" s="18">
        <v>61</v>
      </c>
      <c r="BI808" s="18">
        <v>0.7252</v>
      </c>
      <c r="BJ808" s="18">
        <v>0</v>
      </c>
      <c r="BK808" s="18">
        <v>4</v>
      </c>
      <c r="BL808" s="18">
        <v>98.9</v>
      </c>
      <c r="BM808" s="13">
        <f t="shared" si="0"/>
        <v>54447.15</v>
      </c>
    </row>
    <row r="809" customHeight="1" spans="1:65">
      <c r="A809" s="18" t="s">
        <v>503</v>
      </c>
      <c r="B809" s="18" t="s">
        <v>171</v>
      </c>
      <c r="C809" s="18" t="s">
        <v>504</v>
      </c>
      <c r="D809" s="13"/>
      <c r="E809" s="18" t="s">
        <v>505</v>
      </c>
      <c r="F809" s="18" t="s">
        <v>240</v>
      </c>
      <c r="G809" s="18" t="s">
        <v>83</v>
      </c>
      <c r="H809" s="18" t="s">
        <v>84</v>
      </c>
      <c r="I809" s="18" t="s">
        <v>85</v>
      </c>
      <c r="J809" s="18">
        <v>5</v>
      </c>
      <c r="K809" s="16">
        <v>56.24</v>
      </c>
      <c r="L809" s="10"/>
      <c r="M809" s="16">
        <v>0</v>
      </c>
      <c r="N809" s="16">
        <v>0</v>
      </c>
      <c r="O809" s="18">
        <v>0</v>
      </c>
      <c r="P809" s="18" t="s">
        <v>86</v>
      </c>
      <c r="Q809" s="18">
        <v>4.047253</v>
      </c>
      <c r="R809" s="16">
        <v>3.52</v>
      </c>
      <c r="S809" s="16">
        <v>104</v>
      </c>
      <c r="T809" s="16">
        <v>10</v>
      </c>
      <c r="U809" s="18" t="s">
        <v>503</v>
      </c>
      <c r="V809" s="18" t="s">
        <v>171</v>
      </c>
      <c r="W809" s="18" t="s">
        <v>504</v>
      </c>
      <c r="X809" s="13"/>
      <c r="Y809" s="18" t="s">
        <v>505</v>
      </c>
      <c r="Z809" s="18" t="s">
        <v>240</v>
      </c>
      <c r="AA809" s="18" t="s">
        <v>83</v>
      </c>
      <c r="AB809" s="18" t="s">
        <v>84</v>
      </c>
      <c r="AC809" s="18" t="s">
        <v>85</v>
      </c>
      <c r="AD809" s="18">
        <v>107.48</v>
      </c>
      <c r="AE809" s="18">
        <v>0</v>
      </c>
      <c r="AF809" s="18">
        <v>0</v>
      </c>
      <c r="AG809" s="18">
        <v>0</v>
      </c>
      <c r="AH809" s="18">
        <v>0</v>
      </c>
      <c r="AI809" s="18">
        <v>0</v>
      </c>
      <c r="AJ809" s="18">
        <v>0</v>
      </c>
      <c r="AK809" s="18">
        <v>0</v>
      </c>
      <c r="AL809" s="18">
        <v>0</v>
      </c>
      <c r="AM809" s="18">
        <v>0</v>
      </c>
      <c r="AN809" s="18">
        <v>0</v>
      </c>
      <c r="AO809" s="18">
        <v>0</v>
      </c>
      <c r="AP809" s="18">
        <v>0</v>
      </c>
      <c r="AQ809" s="18">
        <v>1</v>
      </c>
      <c r="AR809" s="18">
        <v>0</v>
      </c>
      <c r="AS809" s="18">
        <v>0</v>
      </c>
      <c r="AT809" s="18">
        <v>0</v>
      </c>
      <c r="AU809" s="18">
        <v>0</v>
      </c>
      <c r="AV809" s="18">
        <v>1</v>
      </c>
      <c r="AW809" s="18">
        <v>0</v>
      </c>
      <c r="AX809" s="18">
        <v>0</v>
      </c>
      <c r="AY809" s="18">
        <v>16</v>
      </c>
      <c r="AZ809" s="18">
        <v>1</v>
      </c>
      <c r="BA809" s="18">
        <v>1</v>
      </c>
      <c r="BB809" s="18">
        <v>66.25</v>
      </c>
      <c r="BC809" s="18" t="s">
        <v>506</v>
      </c>
      <c r="BD809" s="18" t="s">
        <v>356</v>
      </c>
      <c r="BE809" s="18" t="s">
        <v>423</v>
      </c>
      <c r="BF809" s="18" t="s">
        <v>77</v>
      </c>
      <c r="BG809" s="18">
        <v>162</v>
      </c>
      <c r="BH809" s="18">
        <v>60</v>
      </c>
      <c r="BI809" s="18">
        <v>0.7297</v>
      </c>
      <c r="BJ809" s="18">
        <v>0</v>
      </c>
      <c r="BK809" s="18">
        <v>3</v>
      </c>
      <c r="BL809" s="18">
        <v>99.2</v>
      </c>
      <c r="BM809" s="13">
        <f t="shared" si="0"/>
        <v>5848.96</v>
      </c>
    </row>
    <row r="810" customHeight="1" spans="1:65">
      <c r="A810" s="18" t="s">
        <v>2387</v>
      </c>
      <c r="B810" s="18" t="s">
        <v>171</v>
      </c>
      <c r="C810" s="18" t="s">
        <v>2388</v>
      </c>
      <c r="D810" s="13"/>
      <c r="E810" s="18" t="s">
        <v>250</v>
      </c>
      <c r="F810" s="18" t="s">
        <v>160</v>
      </c>
      <c r="G810" s="18" t="s">
        <v>83</v>
      </c>
      <c r="H810" s="18" t="s">
        <v>84</v>
      </c>
      <c r="I810" s="18" t="s">
        <v>85</v>
      </c>
      <c r="J810" s="18">
        <v>5</v>
      </c>
      <c r="K810" s="16">
        <v>21.74</v>
      </c>
      <c r="L810" s="10"/>
      <c r="M810" s="16">
        <v>0</v>
      </c>
      <c r="N810" s="16">
        <v>0</v>
      </c>
      <c r="O810" s="18">
        <v>0</v>
      </c>
      <c r="P810" s="18" t="s">
        <v>133</v>
      </c>
      <c r="Q810" s="18">
        <v>3.124125</v>
      </c>
      <c r="R810" s="10"/>
      <c r="S810" s="16">
        <v>327</v>
      </c>
      <c r="T810" s="16">
        <v>10</v>
      </c>
      <c r="U810" s="18" t="s">
        <v>2387</v>
      </c>
      <c r="V810" s="18" t="s">
        <v>171</v>
      </c>
      <c r="W810" s="18" t="s">
        <v>2388</v>
      </c>
      <c r="X810" s="13"/>
      <c r="Y810" s="18" t="s">
        <v>250</v>
      </c>
      <c r="Z810" s="18" t="s">
        <v>160</v>
      </c>
      <c r="AA810" s="18" t="s">
        <v>83</v>
      </c>
      <c r="AB810" s="18" t="s">
        <v>84</v>
      </c>
      <c r="AC810" s="18" t="s">
        <v>85</v>
      </c>
      <c r="AD810" s="18">
        <v>38.48</v>
      </c>
      <c r="AE810" s="18">
        <v>0</v>
      </c>
      <c r="AF810" s="18">
        <v>0</v>
      </c>
      <c r="AG810" s="18">
        <v>0</v>
      </c>
      <c r="AH810" s="18">
        <v>0</v>
      </c>
      <c r="AI810" s="18">
        <v>0</v>
      </c>
      <c r="AJ810" s="18">
        <v>0</v>
      </c>
      <c r="AK810" s="18">
        <v>0</v>
      </c>
      <c r="AL810" s="18">
        <v>0</v>
      </c>
      <c r="AM810" s="18">
        <v>1</v>
      </c>
      <c r="AN810" s="18">
        <v>0</v>
      </c>
      <c r="AO810" s="18">
        <v>0</v>
      </c>
      <c r="AP810" s="18">
        <v>0</v>
      </c>
      <c r="AQ810" s="18">
        <v>0</v>
      </c>
      <c r="AR810" s="18">
        <v>0</v>
      </c>
      <c r="AS810" s="18">
        <v>0</v>
      </c>
      <c r="AT810" s="18">
        <v>1</v>
      </c>
      <c r="AU810" s="18">
        <v>0</v>
      </c>
      <c r="AV810" s="18">
        <v>0</v>
      </c>
      <c r="AW810" s="18">
        <v>0</v>
      </c>
      <c r="AX810" s="18">
        <v>0</v>
      </c>
      <c r="AY810" s="13"/>
      <c r="AZ810" s="18">
        <v>1</v>
      </c>
      <c r="BA810" s="18">
        <v>3</v>
      </c>
      <c r="BB810" s="18">
        <v>68.15</v>
      </c>
      <c r="BC810" s="18" t="s">
        <v>506</v>
      </c>
      <c r="BD810" s="18" t="s">
        <v>356</v>
      </c>
      <c r="BE810" s="18" t="s">
        <v>423</v>
      </c>
      <c r="BF810" s="18" t="s">
        <v>77</v>
      </c>
      <c r="BG810" s="18">
        <v>162</v>
      </c>
      <c r="BH810" s="18">
        <v>60</v>
      </c>
      <c r="BI810" s="18">
        <v>0.7297</v>
      </c>
      <c r="BJ810" s="18">
        <v>0</v>
      </c>
      <c r="BK810" s="18">
        <v>8</v>
      </c>
      <c r="BL810" s="18">
        <v>97.8</v>
      </c>
      <c r="BM810" s="13">
        <f t="shared" si="0"/>
        <v>7108.98</v>
      </c>
    </row>
    <row r="811" customHeight="1" spans="1:65">
      <c r="A811" s="18" t="s">
        <v>1862</v>
      </c>
      <c r="B811" s="18" t="s">
        <v>171</v>
      </c>
      <c r="C811" s="18" t="s">
        <v>1863</v>
      </c>
      <c r="D811" s="13"/>
      <c r="E811" s="18" t="s">
        <v>250</v>
      </c>
      <c r="F811" s="18" t="s">
        <v>160</v>
      </c>
      <c r="G811" s="18" t="s">
        <v>83</v>
      </c>
      <c r="H811" s="18" t="s">
        <v>84</v>
      </c>
      <c r="I811" s="18" t="s">
        <v>85</v>
      </c>
      <c r="J811" s="18">
        <v>5</v>
      </c>
      <c r="K811" s="16">
        <v>149.99</v>
      </c>
      <c r="L811" s="10"/>
      <c r="M811" s="16">
        <v>0</v>
      </c>
      <c r="N811" s="16">
        <v>0</v>
      </c>
      <c r="O811" s="18">
        <v>0</v>
      </c>
      <c r="P811" s="18" t="s">
        <v>95</v>
      </c>
      <c r="Q811" s="18">
        <v>5.017214</v>
      </c>
      <c r="R811" s="16">
        <v>18.75</v>
      </c>
      <c r="S811" s="16">
        <v>53</v>
      </c>
      <c r="T811" s="16">
        <v>10</v>
      </c>
      <c r="U811" s="18" t="s">
        <v>1862</v>
      </c>
      <c r="V811" s="18" t="s">
        <v>171</v>
      </c>
      <c r="W811" s="18" t="s">
        <v>1863</v>
      </c>
      <c r="X811" s="13"/>
      <c r="Y811" s="18" t="s">
        <v>250</v>
      </c>
      <c r="Z811" s="18" t="s">
        <v>160</v>
      </c>
      <c r="AA811" s="18" t="s">
        <v>83</v>
      </c>
      <c r="AB811" s="18" t="s">
        <v>84</v>
      </c>
      <c r="AC811" s="18" t="s">
        <v>85</v>
      </c>
      <c r="AD811" s="18">
        <v>294.98</v>
      </c>
      <c r="AE811" s="18">
        <v>0</v>
      </c>
      <c r="AF811" s="18">
        <v>0</v>
      </c>
      <c r="AG811" s="18">
        <v>0</v>
      </c>
      <c r="AH811" s="18">
        <v>0</v>
      </c>
      <c r="AI811" s="18">
        <v>0</v>
      </c>
      <c r="AJ811" s="18">
        <v>0</v>
      </c>
      <c r="AK811" s="18">
        <v>0</v>
      </c>
      <c r="AL811" s="18">
        <v>0</v>
      </c>
      <c r="AM811" s="18">
        <v>1</v>
      </c>
      <c r="AN811" s="18">
        <v>0</v>
      </c>
      <c r="AO811" s="18">
        <v>0</v>
      </c>
      <c r="AP811" s="18">
        <v>0</v>
      </c>
      <c r="AQ811" s="18">
        <v>1</v>
      </c>
      <c r="AR811" s="18">
        <v>0</v>
      </c>
      <c r="AS811" s="18">
        <v>0</v>
      </c>
      <c r="AT811" s="18">
        <v>1</v>
      </c>
      <c r="AU811" s="18">
        <v>0</v>
      </c>
      <c r="AV811" s="18">
        <v>1</v>
      </c>
      <c r="AW811" s="18">
        <v>1</v>
      </c>
      <c r="AX811" s="18">
        <v>0</v>
      </c>
      <c r="AY811" s="18">
        <v>8</v>
      </c>
      <c r="AZ811" s="18">
        <v>1</v>
      </c>
      <c r="BA811" s="18">
        <v>2</v>
      </c>
      <c r="BB811" s="18">
        <v>62.75</v>
      </c>
      <c r="BC811" s="18" t="s">
        <v>506</v>
      </c>
      <c r="BD811" s="13"/>
      <c r="BE811" s="13"/>
      <c r="BF811" s="13"/>
      <c r="BG811" s="18">
        <v>0</v>
      </c>
      <c r="BH811" s="18">
        <v>0</v>
      </c>
      <c r="BI811" s="13"/>
      <c r="BJ811" s="18">
        <v>0</v>
      </c>
      <c r="BK811" s="18">
        <v>11</v>
      </c>
      <c r="BL811" s="18">
        <v>97</v>
      </c>
      <c r="BM811" s="13">
        <f t="shared" si="0"/>
        <v>7949.47</v>
      </c>
    </row>
    <row r="812" customHeight="1" spans="1:65">
      <c r="A812" s="18" t="s">
        <v>1044</v>
      </c>
      <c r="B812" s="18" t="s">
        <v>171</v>
      </c>
      <c r="C812" s="18" t="s">
        <v>1045</v>
      </c>
      <c r="D812" s="13"/>
      <c r="E812" s="18" t="s">
        <v>312</v>
      </c>
      <c r="F812" s="18" t="s">
        <v>160</v>
      </c>
      <c r="G812" s="18" t="s">
        <v>83</v>
      </c>
      <c r="H812" s="18" t="s">
        <v>84</v>
      </c>
      <c r="I812" s="18" t="s">
        <v>85</v>
      </c>
      <c r="J812" s="18">
        <v>5</v>
      </c>
      <c r="K812" s="16">
        <v>49.49</v>
      </c>
      <c r="L812" s="16">
        <v>65.99</v>
      </c>
      <c r="M812" s="16">
        <v>25</v>
      </c>
      <c r="N812" s="16">
        <v>16.5</v>
      </c>
      <c r="O812" s="18">
        <v>1</v>
      </c>
      <c r="P812" s="18" t="s">
        <v>86</v>
      </c>
      <c r="Q812" s="18">
        <v>3.921775</v>
      </c>
      <c r="R812" s="16">
        <v>6.19</v>
      </c>
      <c r="S812" s="16">
        <v>16</v>
      </c>
      <c r="T812" s="16">
        <v>10</v>
      </c>
      <c r="U812" s="18" t="s">
        <v>1044</v>
      </c>
      <c r="V812" s="18" t="s">
        <v>171</v>
      </c>
      <c r="W812" s="18" t="s">
        <v>2735</v>
      </c>
      <c r="X812" s="13"/>
      <c r="Y812" s="18" t="s">
        <v>312</v>
      </c>
      <c r="Z812" s="18" t="s">
        <v>160</v>
      </c>
      <c r="AA812" s="18" t="s">
        <v>83</v>
      </c>
      <c r="AB812" s="18" t="s">
        <v>84</v>
      </c>
      <c r="AC812" s="18" t="s">
        <v>85</v>
      </c>
      <c r="AD812" s="18">
        <v>11.1673333333333</v>
      </c>
      <c r="AE812" s="18">
        <v>0</v>
      </c>
      <c r="AF812" s="18">
        <v>0</v>
      </c>
      <c r="AG812" s="18">
        <v>0</v>
      </c>
      <c r="AH812" s="18">
        <v>0</v>
      </c>
      <c r="AI812" s="18">
        <v>0</v>
      </c>
      <c r="AJ812" s="18">
        <v>0</v>
      </c>
      <c r="AK812" s="18">
        <v>0</v>
      </c>
      <c r="AL812" s="18">
        <v>0</v>
      </c>
      <c r="AM812" s="18">
        <v>0</v>
      </c>
      <c r="AN812" s="18">
        <v>0</v>
      </c>
      <c r="AO812" s="18">
        <v>0</v>
      </c>
      <c r="AP812" s="18">
        <v>0</v>
      </c>
      <c r="AQ812" s="18">
        <v>1</v>
      </c>
      <c r="AR812" s="18">
        <v>0</v>
      </c>
      <c r="AS812" s="18">
        <v>0</v>
      </c>
      <c r="AT812" s="18">
        <v>0</v>
      </c>
      <c r="AU812" s="18">
        <v>0</v>
      </c>
      <c r="AV812" s="18">
        <v>1</v>
      </c>
      <c r="AW812" s="18">
        <v>1</v>
      </c>
      <c r="AX812" s="18">
        <v>0</v>
      </c>
      <c r="AY812" s="18">
        <v>8</v>
      </c>
      <c r="AZ812" s="18">
        <v>1</v>
      </c>
      <c r="BA812" s="18">
        <v>1</v>
      </c>
      <c r="BB812" s="18">
        <v>61.22</v>
      </c>
      <c r="BC812" s="18" t="s">
        <v>506</v>
      </c>
      <c r="BD812" s="13"/>
      <c r="BE812" s="13"/>
      <c r="BF812" s="13"/>
      <c r="BG812" s="18">
        <v>0</v>
      </c>
      <c r="BH812" s="18">
        <v>0</v>
      </c>
      <c r="BI812" s="13"/>
      <c r="BJ812" s="18">
        <v>0</v>
      </c>
      <c r="BK812" s="18">
        <v>11</v>
      </c>
      <c r="BL812" s="18">
        <v>97</v>
      </c>
      <c r="BM812" s="13">
        <f t="shared" si="0"/>
        <v>791.84</v>
      </c>
    </row>
    <row r="813" customHeight="1" spans="1:65">
      <c r="A813" s="18" t="s">
        <v>2485</v>
      </c>
      <c r="B813" s="18" t="s">
        <v>171</v>
      </c>
      <c r="C813" s="18" t="s">
        <v>2486</v>
      </c>
      <c r="D813" s="13"/>
      <c r="E813" s="18" t="s">
        <v>173</v>
      </c>
      <c r="F813" s="18" t="s">
        <v>82</v>
      </c>
      <c r="G813" s="18" t="s">
        <v>83</v>
      </c>
      <c r="H813" s="18" t="s">
        <v>84</v>
      </c>
      <c r="I813" s="18" t="s">
        <v>85</v>
      </c>
      <c r="J813" s="18">
        <v>5</v>
      </c>
      <c r="K813" s="16">
        <v>84.79</v>
      </c>
      <c r="L813" s="10"/>
      <c r="M813" s="16">
        <v>0</v>
      </c>
      <c r="N813" s="16">
        <v>0</v>
      </c>
      <c r="O813" s="18">
        <v>0</v>
      </c>
      <c r="P813" s="18" t="s">
        <v>95</v>
      </c>
      <c r="Q813" s="18">
        <v>4.451902</v>
      </c>
      <c r="R813" s="16">
        <v>10.6</v>
      </c>
      <c r="S813" s="16">
        <v>46</v>
      </c>
      <c r="T813" s="16">
        <v>10</v>
      </c>
      <c r="U813" s="18" t="s">
        <v>2485</v>
      </c>
      <c r="V813" s="18" t="s">
        <v>171</v>
      </c>
      <c r="W813" s="18" t="s">
        <v>2486</v>
      </c>
      <c r="X813" s="13"/>
      <c r="Y813" s="18" t="s">
        <v>173</v>
      </c>
      <c r="Z813" s="18" t="s">
        <v>82</v>
      </c>
      <c r="AA813" s="18" t="s">
        <v>83</v>
      </c>
      <c r="AB813" s="18" t="s">
        <v>84</v>
      </c>
      <c r="AC813" s="18" t="s">
        <v>85</v>
      </c>
      <c r="AD813" s="18">
        <v>164.58</v>
      </c>
      <c r="AE813" s="18">
        <v>0</v>
      </c>
      <c r="AF813" s="18">
        <v>0</v>
      </c>
      <c r="AG813" s="18">
        <v>1</v>
      </c>
      <c r="AH813" s="18">
        <v>0</v>
      </c>
      <c r="AI813" s="18">
        <v>1</v>
      </c>
      <c r="AJ813" s="18">
        <v>0</v>
      </c>
      <c r="AK813" s="18">
        <v>0</v>
      </c>
      <c r="AL813" s="18">
        <v>0</v>
      </c>
      <c r="AM813" s="18">
        <v>0</v>
      </c>
      <c r="AN813" s="18">
        <v>0</v>
      </c>
      <c r="AO813" s="18">
        <v>0</v>
      </c>
      <c r="AP813" s="18">
        <v>0</v>
      </c>
      <c r="AQ813" s="18">
        <v>1</v>
      </c>
      <c r="AR813" s="18">
        <v>0</v>
      </c>
      <c r="AS813" s="18">
        <v>0</v>
      </c>
      <c r="AT813" s="18">
        <v>1</v>
      </c>
      <c r="AU813" s="18">
        <v>0</v>
      </c>
      <c r="AV813" s="18">
        <v>1</v>
      </c>
      <c r="AW813" s="18">
        <v>1</v>
      </c>
      <c r="AX813" s="18">
        <v>0</v>
      </c>
      <c r="AY813" s="18">
        <v>8</v>
      </c>
      <c r="AZ813" s="18">
        <v>1</v>
      </c>
      <c r="BA813" s="18">
        <v>3</v>
      </c>
      <c r="BB813" s="18">
        <v>62.29</v>
      </c>
      <c r="BC813" s="18" t="s">
        <v>506</v>
      </c>
      <c r="BD813" s="13"/>
      <c r="BE813" s="13"/>
      <c r="BF813" s="13"/>
      <c r="BG813" s="18">
        <v>0</v>
      </c>
      <c r="BH813" s="18">
        <v>0</v>
      </c>
      <c r="BI813" s="13"/>
      <c r="BJ813" s="18">
        <v>0</v>
      </c>
      <c r="BK813" s="18">
        <v>7</v>
      </c>
      <c r="BL813" s="18">
        <v>98.1</v>
      </c>
      <c r="BM813" s="13">
        <f t="shared" si="0"/>
        <v>3900.34</v>
      </c>
    </row>
    <row r="814" customHeight="1" spans="1:65">
      <c r="A814" s="18" t="s">
        <v>507</v>
      </c>
      <c r="B814" s="18" t="s">
        <v>115</v>
      </c>
      <c r="C814" s="13"/>
      <c r="D814" s="13"/>
      <c r="E814" s="18" t="s">
        <v>116</v>
      </c>
      <c r="F814" s="18" t="s">
        <v>82</v>
      </c>
      <c r="G814" s="18" t="s">
        <v>117</v>
      </c>
      <c r="H814" s="18" t="s">
        <v>107</v>
      </c>
      <c r="I814" s="18" t="s">
        <v>508</v>
      </c>
      <c r="J814" s="18">
        <v>1</v>
      </c>
      <c r="K814" s="16">
        <v>152.5</v>
      </c>
      <c r="L814" s="10"/>
      <c r="M814" s="16">
        <v>0</v>
      </c>
      <c r="N814" s="16">
        <v>0</v>
      </c>
      <c r="O814" s="18">
        <v>0</v>
      </c>
      <c r="P814" s="18" t="s">
        <v>95</v>
      </c>
      <c r="Q814" s="18">
        <v>5.033701</v>
      </c>
      <c r="R814" s="10"/>
      <c r="S814" s="10"/>
      <c r="T814" s="10"/>
      <c r="U814" s="18" t="s">
        <v>507</v>
      </c>
      <c r="V814" s="18" t="s">
        <v>115</v>
      </c>
      <c r="W814" s="13"/>
      <c r="X814" s="13"/>
      <c r="Y814" s="18" t="s">
        <v>116</v>
      </c>
      <c r="Z814" s="18" t="s">
        <v>82</v>
      </c>
      <c r="AA814" s="18" t="s">
        <v>117</v>
      </c>
      <c r="AB814" s="18" t="s">
        <v>107</v>
      </c>
      <c r="AC814" s="18" t="s">
        <v>508</v>
      </c>
      <c r="AD814" s="18">
        <v>304</v>
      </c>
      <c r="AE814" s="18">
        <v>0</v>
      </c>
      <c r="AF814" s="18">
        <v>0</v>
      </c>
      <c r="AG814" s="18">
        <v>1</v>
      </c>
      <c r="AH814" s="18">
        <v>0</v>
      </c>
      <c r="AI814" s="18">
        <v>0</v>
      </c>
      <c r="AJ814" s="18">
        <v>0</v>
      </c>
      <c r="AK814" s="18">
        <v>0</v>
      </c>
      <c r="AL814" s="18">
        <v>0</v>
      </c>
      <c r="AM814" s="18">
        <v>0</v>
      </c>
      <c r="AN814" s="18">
        <v>0</v>
      </c>
      <c r="AO814" s="18">
        <v>0</v>
      </c>
      <c r="AP814" s="18">
        <v>1</v>
      </c>
      <c r="AQ814" s="18">
        <v>0</v>
      </c>
      <c r="AR814" s="18">
        <v>0</v>
      </c>
      <c r="AS814" s="18">
        <v>0</v>
      </c>
      <c r="AT814" s="18">
        <v>1</v>
      </c>
      <c r="AU814" s="18">
        <v>0</v>
      </c>
      <c r="AV814" s="18">
        <v>0</v>
      </c>
      <c r="AW814" s="18">
        <v>0</v>
      </c>
      <c r="AX814" s="18">
        <v>0</v>
      </c>
      <c r="AY814" s="13"/>
      <c r="AZ814" s="18">
        <v>1</v>
      </c>
      <c r="BA814" s="18">
        <v>0</v>
      </c>
      <c r="BB814" s="18">
        <v>0</v>
      </c>
      <c r="BC814" s="18" t="s">
        <v>509</v>
      </c>
      <c r="BD814" s="18" t="s">
        <v>510</v>
      </c>
      <c r="BE814" s="18" t="s">
        <v>243</v>
      </c>
      <c r="BF814" s="18" t="s">
        <v>77</v>
      </c>
      <c r="BG814" s="18">
        <v>170</v>
      </c>
      <c r="BH814" s="18">
        <v>19</v>
      </c>
      <c r="BI814" s="18">
        <v>0.8995</v>
      </c>
      <c r="BJ814" s="18">
        <v>0</v>
      </c>
      <c r="BK814" s="13"/>
      <c r="BL814" s="13"/>
      <c r="BM814" s="13">
        <f t="shared" si="0"/>
        <v>0</v>
      </c>
    </row>
    <row r="815" customHeight="1" spans="1:65">
      <c r="A815" s="18" t="s">
        <v>511</v>
      </c>
      <c r="B815" s="18" t="s">
        <v>125</v>
      </c>
      <c r="C815" s="13"/>
      <c r="D815" s="13"/>
      <c r="E815" s="18" t="s">
        <v>163</v>
      </c>
      <c r="F815" s="19" t="s">
        <v>276</v>
      </c>
      <c r="G815" s="18" t="s">
        <v>117</v>
      </c>
      <c r="H815" s="18" t="s">
        <v>138</v>
      </c>
      <c r="I815" s="18" t="s">
        <v>85</v>
      </c>
      <c r="J815" s="18">
        <v>5</v>
      </c>
      <c r="K815" s="16">
        <v>26.09</v>
      </c>
      <c r="L815" s="10"/>
      <c r="M815" s="16">
        <v>0</v>
      </c>
      <c r="N815" s="16">
        <v>0</v>
      </c>
      <c r="O815" s="18">
        <v>0</v>
      </c>
      <c r="P815" s="18" t="s">
        <v>86</v>
      </c>
      <c r="Q815" s="18">
        <v>3.299165</v>
      </c>
      <c r="R815" s="10"/>
      <c r="S815" s="16">
        <v>96</v>
      </c>
      <c r="T815" s="16">
        <v>18</v>
      </c>
      <c r="U815" s="18" t="s">
        <v>511</v>
      </c>
      <c r="V815" s="18" t="s">
        <v>125</v>
      </c>
      <c r="W815" s="13"/>
      <c r="X815" s="13"/>
      <c r="Y815" s="18" t="s">
        <v>163</v>
      </c>
      <c r="Z815" s="18" t="s">
        <v>276</v>
      </c>
      <c r="AA815" s="18" t="s">
        <v>117</v>
      </c>
      <c r="AB815" s="18" t="s">
        <v>138</v>
      </c>
      <c r="AC815" s="18" t="s">
        <v>85</v>
      </c>
      <c r="AD815" s="18">
        <v>47.18</v>
      </c>
      <c r="AE815" s="18">
        <v>1</v>
      </c>
      <c r="AF815" s="18">
        <v>0</v>
      </c>
      <c r="AG815" s="18">
        <v>0</v>
      </c>
      <c r="AH815" s="18">
        <v>0</v>
      </c>
      <c r="AI815" s="18">
        <v>0</v>
      </c>
      <c r="AJ815" s="18">
        <v>0</v>
      </c>
      <c r="AK815" s="18">
        <v>0</v>
      </c>
      <c r="AL815" s="18">
        <v>0</v>
      </c>
      <c r="AM815" s="18">
        <v>0</v>
      </c>
      <c r="AN815" s="18">
        <v>0</v>
      </c>
      <c r="AO815" s="18">
        <v>0</v>
      </c>
      <c r="AP815" s="18">
        <v>0</v>
      </c>
      <c r="AQ815" s="18">
        <v>0</v>
      </c>
      <c r="AR815" s="18">
        <v>0</v>
      </c>
      <c r="AS815" s="18">
        <v>0</v>
      </c>
      <c r="AT815" s="18">
        <v>0</v>
      </c>
      <c r="AU815" s="18">
        <v>0</v>
      </c>
      <c r="AV815" s="18">
        <v>0</v>
      </c>
      <c r="AW815" s="18">
        <v>0</v>
      </c>
      <c r="AX815" s="18">
        <v>0</v>
      </c>
      <c r="AY815" s="13"/>
      <c r="AZ815" s="18">
        <v>1</v>
      </c>
      <c r="BA815" s="18">
        <v>1</v>
      </c>
      <c r="BB815" s="18">
        <v>63.26</v>
      </c>
      <c r="BC815" s="18" t="s">
        <v>512</v>
      </c>
      <c r="BD815" s="18" t="s">
        <v>150</v>
      </c>
      <c r="BE815" s="18" t="s">
        <v>150</v>
      </c>
      <c r="BF815" s="18" t="s">
        <v>77</v>
      </c>
      <c r="BG815" s="18">
        <v>1</v>
      </c>
      <c r="BH815" s="18">
        <v>14</v>
      </c>
      <c r="BI815" s="18">
        <v>0.0667</v>
      </c>
      <c r="BJ815" s="18">
        <v>1</v>
      </c>
      <c r="BK815" s="18">
        <v>5</v>
      </c>
      <c r="BL815" s="18">
        <v>98.6</v>
      </c>
      <c r="BM815" s="13">
        <f t="shared" si="0"/>
        <v>2504.64</v>
      </c>
    </row>
    <row r="816" customHeight="1" spans="1:65">
      <c r="A816" s="18" t="s">
        <v>514</v>
      </c>
      <c r="B816" s="18" t="s">
        <v>115</v>
      </c>
      <c r="C816" s="18" t="s">
        <v>515</v>
      </c>
      <c r="D816" s="18">
        <v>840268949747</v>
      </c>
      <c r="E816" s="18" t="s">
        <v>81</v>
      </c>
      <c r="F816" s="18" t="s">
        <v>82</v>
      </c>
      <c r="G816" s="18" t="s">
        <v>117</v>
      </c>
      <c r="H816" s="18" t="s">
        <v>107</v>
      </c>
      <c r="I816" s="18" t="s">
        <v>85</v>
      </c>
      <c r="J816" s="18">
        <v>5</v>
      </c>
      <c r="K816" s="16">
        <v>147.25</v>
      </c>
      <c r="L816" s="16">
        <v>155</v>
      </c>
      <c r="M816" s="16">
        <v>5</v>
      </c>
      <c r="N816" s="16">
        <v>7.75</v>
      </c>
      <c r="O816" s="18">
        <v>1</v>
      </c>
      <c r="P816" s="18" t="s">
        <v>95</v>
      </c>
      <c r="Q816" s="18">
        <v>4.9989</v>
      </c>
      <c r="R816" s="10"/>
      <c r="S816" s="16">
        <v>30</v>
      </c>
      <c r="T816" s="16">
        <v>10</v>
      </c>
      <c r="U816" s="18" t="s">
        <v>514</v>
      </c>
      <c r="V816" s="18" t="s">
        <v>115</v>
      </c>
      <c r="W816" s="19" t="s">
        <v>515</v>
      </c>
      <c r="X816" s="18">
        <v>840268949748</v>
      </c>
      <c r="Y816" s="18" t="s">
        <v>81</v>
      </c>
      <c r="Z816" s="18" t="s">
        <v>82</v>
      </c>
      <c r="AA816" s="18" t="s">
        <v>117</v>
      </c>
      <c r="AB816" s="18" t="s">
        <v>107</v>
      </c>
      <c r="AC816" s="18" t="s">
        <v>85</v>
      </c>
      <c r="AD816" s="18">
        <v>-5.34999999999988</v>
      </c>
      <c r="AE816" s="18">
        <v>0</v>
      </c>
      <c r="AF816" s="18">
        <v>0</v>
      </c>
      <c r="AG816" s="18">
        <v>0</v>
      </c>
      <c r="AH816" s="18">
        <v>1</v>
      </c>
      <c r="AI816" s="18">
        <v>0</v>
      </c>
      <c r="AJ816" s="18">
        <v>0</v>
      </c>
      <c r="AK816" s="18">
        <v>0</v>
      </c>
      <c r="AL816" s="18">
        <v>0</v>
      </c>
      <c r="AM816" s="18">
        <v>0</v>
      </c>
      <c r="AN816" s="18">
        <v>0</v>
      </c>
      <c r="AO816" s="18">
        <v>0</v>
      </c>
      <c r="AP816" s="18">
        <v>1</v>
      </c>
      <c r="AQ816" s="18">
        <v>0</v>
      </c>
      <c r="AR816" s="18">
        <v>0</v>
      </c>
      <c r="AS816" s="18">
        <v>0</v>
      </c>
      <c r="AT816" s="18">
        <v>0</v>
      </c>
      <c r="AU816" s="18">
        <v>0</v>
      </c>
      <c r="AV816" s="18">
        <v>0</v>
      </c>
      <c r="AW816" s="18">
        <v>0</v>
      </c>
      <c r="AX816" s="18">
        <v>0</v>
      </c>
      <c r="AY816" s="13"/>
      <c r="AZ816" s="18">
        <v>1</v>
      </c>
      <c r="BA816" s="18">
        <v>1</v>
      </c>
      <c r="BB816" s="18">
        <v>60.69</v>
      </c>
      <c r="BC816" s="18" t="s">
        <v>516</v>
      </c>
      <c r="BD816" s="18" t="s">
        <v>180</v>
      </c>
      <c r="BE816" s="18" t="s">
        <v>113</v>
      </c>
      <c r="BF816" s="18" t="s">
        <v>77</v>
      </c>
      <c r="BG816" s="18">
        <v>162</v>
      </c>
      <c r="BH816" s="18">
        <v>60</v>
      </c>
      <c r="BI816" s="18">
        <v>0.7297</v>
      </c>
      <c r="BJ816" s="18">
        <v>0</v>
      </c>
      <c r="BK816" s="18">
        <v>10</v>
      </c>
      <c r="BL816" s="18">
        <v>97.3</v>
      </c>
      <c r="BM816" s="13">
        <f t="shared" si="0"/>
        <v>4417.5</v>
      </c>
    </row>
    <row r="817" customHeight="1" spans="1:65">
      <c r="A817" s="18" t="s">
        <v>1684</v>
      </c>
      <c r="B817" s="18" t="s">
        <v>115</v>
      </c>
      <c r="C817" s="18" t="s">
        <v>1685</v>
      </c>
      <c r="D817" s="18">
        <v>840268985202</v>
      </c>
      <c r="E817" s="18" t="s">
        <v>163</v>
      </c>
      <c r="F817" s="18" t="s">
        <v>82</v>
      </c>
      <c r="G817" s="18" t="s">
        <v>117</v>
      </c>
      <c r="H817" s="18" t="s">
        <v>107</v>
      </c>
      <c r="I817" s="18" t="s">
        <v>85</v>
      </c>
      <c r="J817" s="18">
        <v>5</v>
      </c>
      <c r="K817" s="16">
        <v>75</v>
      </c>
      <c r="L817" s="10"/>
      <c r="M817" s="16">
        <v>0</v>
      </c>
      <c r="N817" s="16">
        <v>0</v>
      </c>
      <c r="O817" s="18">
        <v>0</v>
      </c>
      <c r="P817" s="18" t="s">
        <v>95</v>
      </c>
      <c r="Q817" s="18">
        <v>4.330733</v>
      </c>
      <c r="R817" s="10"/>
      <c r="S817" s="16">
        <v>449</v>
      </c>
      <c r="T817" s="16">
        <v>10</v>
      </c>
      <c r="U817" s="18" t="s">
        <v>1684</v>
      </c>
      <c r="V817" s="18" t="s">
        <v>115</v>
      </c>
      <c r="W817" s="18" t="s">
        <v>1685</v>
      </c>
      <c r="X817" s="18">
        <v>840268985203</v>
      </c>
      <c r="Y817" s="18" t="s">
        <v>163</v>
      </c>
      <c r="Z817" s="18" t="s">
        <v>82</v>
      </c>
      <c r="AA817" s="18" t="s">
        <v>117</v>
      </c>
      <c r="AB817" s="18" t="s">
        <v>107</v>
      </c>
      <c r="AC817" s="18" t="s">
        <v>85</v>
      </c>
      <c r="AD817" s="18">
        <v>145</v>
      </c>
      <c r="AE817" s="18">
        <v>0</v>
      </c>
      <c r="AF817" s="18">
        <v>0</v>
      </c>
      <c r="AG817" s="18">
        <v>1</v>
      </c>
      <c r="AH817" s="18">
        <v>0</v>
      </c>
      <c r="AI817" s="18">
        <v>0</v>
      </c>
      <c r="AJ817" s="18">
        <v>0</v>
      </c>
      <c r="AK817" s="18">
        <v>0</v>
      </c>
      <c r="AL817" s="18">
        <v>0</v>
      </c>
      <c r="AM817" s="18">
        <v>0</v>
      </c>
      <c r="AN817" s="18">
        <v>0</v>
      </c>
      <c r="AO817" s="18">
        <v>0</v>
      </c>
      <c r="AP817" s="18">
        <v>0</v>
      </c>
      <c r="AQ817" s="18">
        <v>0</v>
      </c>
      <c r="AR817" s="18">
        <v>0</v>
      </c>
      <c r="AS817" s="18">
        <v>0</v>
      </c>
      <c r="AT817" s="18">
        <v>1</v>
      </c>
      <c r="AU817" s="18">
        <v>1</v>
      </c>
      <c r="AV817" s="18">
        <v>0</v>
      </c>
      <c r="AW817" s="18">
        <v>0</v>
      </c>
      <c r="AX817" s="18">
        <v>0</v>
      </c>
      <c r="AY817" s="13"/>
      <c r="AZ817" s="18">
        <v>1</v>
      </c>
      <c r="BA817" s="18">
        <v>0</v>
      </c>
      <c r="BB817" s="18">
        <v>68.32</v>
      </c>
      <c r="BC817" s="18" t="s">
        <v>516</v>
      </c>
      <c r="BD817" s="18" t="s">
        <v>180</v>
      </c>
      <c r="BE817" s="18" t="s">
        <v>113</v>
      </c>
      <c r="BF817" s="18" t="s">
        <v>77</v>
      </c>
      <c r="BG817" s="18">
        <v>162</v>
      </c>
      <c r="BH817" s="18">
        <v>60</v>
      </c>
      <c r="BI817" s="18">
        <v>0.7297</v>
      </c>
      <c r="BJ817" s="18">
        <v>0</v>
      </c>
      <c r="BK817" s="18">
        <v>10</v>
      </c>
      <c r="BL817" s="18">
        <v>97.3</v>
      </c>
      <c r="BM817" s="13">
        <f t="shared" si="0"/>
        <v>33675</v>
      </c>
    </row>
    <row r="818" customHeight="1" spans="1:65">
      <c r="A818" s="18" t="s">
        <v>520</v>
      </c>
      <c r="B818" s="18" t="s">
        <v>125</v>
      </c>
      <c r="C818" s="13"/>
      <c r="D818" s="13"/>
      <c r="E818" s="18" t="s">
        <v>325</v>
      </c>
      <c r="F818" s="18" t="s">
        <v>240</v>
      </c>
      <c r="G818" s="18" t="s">
        <v>83</v>
      </c>
      <c r="H818" s="18" t="s">
        <v>138</v>
      </c>
      <c r="I818" s="18" t="s">
        <v>85</v>
      </c>
      <c r="J818" s="18">
        <v>5</v>
      </c>
      <c r="K818" s="16">
        <v>175.99</v>
      </c>
      <c r="L818" s="16">
        <v>219.99</v>
      </c>
      <c r="M818" s="16">
        <v>20</v>
      </c>
      <c r="N818" s="16">
        <v>44</v>
      </c>
      <c r="O818" s="18">
        <v>1</v>
      </c>
      <c r="P818" s="18" t="s">
        <v>95</v>
      </c>
      <c r="Q818" s="18">
        <v>5.176093</v>
      </c>
      <c r="R818" s="16">
        <v>11</v>
      </c>
      <c r="S818" s="10"/>
      <c r="T818" s="10"/>
      <c r="U818" s="18" t="s">
        <v>520</v>
      </c>
      <c r="V818" s="18" t="s">
        <v>125</v>
      </c>
      <c r="W818" s="13"/>
      <c r="X818" s="13"/>
      <c r="Y818" s="18" t="s">
        <v>325</v>
      </c>
      <c r="Z818" s="18" t="s">
        <v>240</v>
      </c>
      <c r="AA818" s="18" t="s">
        <v>83</v>
      </c>
      <c r="AB818" s="18" t="s">
        <v>138</v>
      </c>
      <c r="AC818" s="18" t="s">
        <v>85</v>
      </c>
      <c r="AD818" s="18">
        <v>16.0673333333328</v>
      </c>
      <c r="AE818" s="18">
        <v>0</v>
      </c>
      <c r="AF818" s="18">
        <v>0</v>
      </c>
      <c r="AG818" s="18">
        <v>0</v>
      </c>
      <c r="AH818" s="18">
        <v>0</v>
      </c>
      <c r="AI818" s="18">
        <v>0</v>
      </c>
      <c r="AJ818" s="18">
        <v>0</v>
      </c>
      <c r="AK818" s="18">
        <v>0</v>
      </c>
      <c r="AL818" s="18">
        <v>0</v>
      </c>
      <c r="AM818" s="18">
        <v>0</v>
      </c>
      <c r="AN818" s="18">
        <v>0</v>
      </c>
      <c r="AO818" s="18">
        <v>0</v>
      </c>
      <c r="AP818" s="18">
        <v>0</v>
      </c>
      <c r="AQ818" s="18">
        <v>1</v>
      </c>
      <c r="AR818" s="18">
        <v>0</v>
      </c>
      <c r="AS818" s="18">
        <v>0</v>
      </c>
      <c r="AT818" s="18">
        <v>0</v>
      </c>
      <c r="AU818" s="18">
        <v>0</v>
      </c>
      <c r="AV818" s="18">
        <v>1</v>
      </c>
      <c r="AW818" s="18">
        <v>0</v>
      </c>
      <c r="AX818" s="18">
        <v>0</v>
      </c>
      <c r="AY818" s="18">
        <v>16</v>
      </c>
      <c r="AZ818" s="18">
        <v>1</v>
      </c>
      <c r="BA818" s="18">
        <v>1</v>
      </c>
      <c r="BB818" s="18">
        <v>35.43</v>
      </c>
      <c r="BC818" s="18" t="s">
        <v>521</v>
      </c>
      <c r="BD818" s="18" t="s">
        <v>522</v>
      </c>
      <c r="BE818" s="18" t="s">
        <v>91</v>
      </c>
      <c r="BF818" s="18" t="s">
        <v>77</v>
      </c>
      <c r="BG818" s="18">
        <v>162</v>
      </c>
      <c r="BH818" s="18">
        <v>20</v>
      </c>
      <c r="BI818" s="18">
        <v>0.8901</v>
      </c>
      <c r="BJ818" s="18">
        <v>0</v>
      </c>
      <c r="BK818" s="18">
        <v>7</v>
      </c>
      <c r="BL818" s="18">
        <v>98.1</v>
      </c>
      <c r="BM818" s="13">
        <f t="shared" si="0"/>
        <v>0</v>
      </c>
    </row>
    <row r="819" customHeight="1" spans="1:65">
      <c r="A819" s="18" t="s">
        <v>523</v>
      </c>
      <c r="B819" s="18" t="s">
        <v>524</v>
      </c>
      <c r="C819" s="13"/>
      <c r="D819" s="13"/>
      <c r="E819" s="18" t="s">
        <v>81</v>
      </c>
      <c r="F819" s="18" t="s">
        <v>82</v>
      </c>
      <c r="G819" s="18" t="s">
        <v>83</v>
      </c>
      <c r="H819" s="18" t="s">
        <v>84</v>
      </c>
      <c r="I819" s="18" t="s">
        <v>85</v>
      </c>
      <c r="J819" s="18">
        <v>5</v>
      </c>
      <c r="K819" s="16">
        <v>169</v>
      </c>
      <c r="L819" s="10"/>
      <c r="M819" s="16">
        <v>0</v>
      </c>
      <c r="N819" s="16">
        <v>0</v>
      </c>
      <c r="O819" s="18">
        <v>0</v>
      </c>
      <c r="P819" s="18" t="s">
        <v>95</v>
      </c>
      <c r="Q819" s="18">
        <v>5.135798</v>
      </c>
      <c r="R819" s="10"/>
      <c r="S819" s="16">
        <v>1</v>
      </c>
      <c r="T819" s="16">
        <v>50</v>
      </c>
      <c r="U819" s="18" t="s">
        <v>523</v>
      </c>
      <c r="V819" s="18" t="s">
        <v>524</v>
      </c>
      <c r="W819" s="13"/>
      <c r="X819" s="13"/>
      <c r="Y819" s="18" t="s">
        <v>81</v>
      </c>
      <c r="Z819" s="18" t="s">
        <v>82</v>
      </c>
      <c r="AA819" s="18" t="s">
        <v>83</v>
      </c>
      <c r="AB819" s="18" t="s">
        <v>84</v>
      </c>
      <c r="AC819" s="18" t="s">
        <v>85</v>
      </c>
      <c r="AD819" s="18">
        <v>333</v>
      </c>
      <c r="AE819" s="18">
        <v>0</v>
      </c>
      <c r="AF819" s="18">
        <v>0</v>
      </c>
      <c r="AG819" s="18">
        <v>0</v>
      </c>
      <c r="AH819" s="18">
        <v>0</v>
      </c>
      <c r="AI819" s="18">
        <v>0</v>
      </c>
      <c r="AJ819" s="18">
        <v>0</v>
      </c>
      <c r="AK819" s="18">
        <v>0</v>
      </c>
      <c r="AL819" s="18">
        <v>0</v>
      </c>
      <c r="AM819" s="18">
        <v>0</v>
      </c>
      <c r="AN819" s="18">
        <v>0</v>
      </c>
      <c r="AO819" s="18">
        <v>0</v>
      </c>
      <c r="AP819" s="18">
        <v>0</v>
      </c>
      <c r="AQ819" s="18">
        <v>0</v>
      </c>
      <c r="AR819" s="18">
        <v>0</v>
      </c>
      <c r="AS819" s="18">
        <v>0</v>
      </c>
      <c r="AT819" s="18">
        <v>0</v>
      </c>
      <c r="AU819" s="18">
        <v>0</v>
      </c>
      <c r="AV819" s="18">
        <v>0</v>
      </c>
      <c r="AW819" s="18">
        <v>0</v>
      </c>
      <c r="AX819" s="18">
        <v>0</v>
      </c>
      <c r="AY819" s="13"/>
      <c r="AZ819" s="18">
        <v>1</v>
      </c>
      <c r="BA819" s="18">
        <v>0</v>
      </c>
      <c r="BB819" s="18">
        <v>28.74</v>
      </c>
      <c r="BC819" s="18" t="s">
        <v>525</v>
      </c>
      <c r="BD819" s="18" t="s">
        <v>526</v>
      </c>
      <c r="BE819" s="18" t="s">
        <v>262</v>
      </c>
      <c r="BF819" s="18" t="s">
        <v>77</v>
      </c>
      <c r="BG819" s="18">
        <v>43</v>
      </c>
      <c r="BH819" s="18">
        <v>173</v>
      </c>
      <c r="BI819" s="18">
        <v>0.1991</v>
      </c>
      <c r="BJ819" s="18">
        <v>0</v>
      </c>
      <c r="BK819" s="18">
        <v>25</v>
      </c>
      <c r="BL819" s="18">
        <v>93.2</v>
      </c>
      <c r="BM819" s="13">
        <f t="shared" si="0"/>
        <v>169</v>
      </c>
    </row>
    <row r="820" customHeight="1" spans="1:65">
      <c r="A820" s="18" t="s">
        <v>137</v>
      </c>
      <c r="B820" s="18" t="s">
        <v>125</v>
      </c>
      <c r="C820" s="13"/>
      <c r="D820" s="13"/>
      <c r="E820" s="18" t="s">
        <v>81</v>
      </c>
      <c r="F820" s="18" t="s">
        <v>82</v>
      </c>
      <c r="G820" s="18" t="s">
        <v>83</v>
      </c>
      <c r="H820" s="18" t="s">
        <v>138</v>
      </c>
      <c r="I820" s="18" t="s">
        <v>85</v>
      </c>
      <c r="J820" s="18">
        <v>5</v>
      </c>
      <c r="K820" s="16">
        <v>29.99</v>
      </c>
      <c r="L820" s="10"/>
      <c r="M820" s="16">
        <v>0</v>
      </c>
      <c r="N820" s="16">
        <v>0</v>
      </c>
      <c r="O820" s="18">
        <v>0</v>
      </c>
      <c r="P820" s="18" t="s">
        <v>86</v>
      </c>
      <c r="Q820" s="18">
        <v>3.433665</v>
      </c>
      <c r="R820" s="10"/>
      <c r="S820" s="16">
        <v>117</v>
      </c>
      <c r="T820" s="16">
        <v>3</v>
      </c>
      <c r="U820" s="18" t="s">
        <v>2736</v>
      </c>
      <c r="V820" s="18" t="s">
        <v>125</v>
      </c>
      <c r="W820" s="13"/>
      <c r="X820" s="13"/>
      <c r="Y820" s="18" t="s">
        <v>81</v>
      </c>
      <c r="Z820" s="18" t="s">
        <v>82</v>
      </c>
      <c r="AA820" s="18" t="s">
        <v>83</v>
      </c>
      <c r="AB820" s="18" t="s">
        <v>138</v>
      </c>
      <c r="AC820" s="18" t="s">
        <v>85</v>
      </c>
      <c r="AD820" s="18">
        <v>54.98</v>
      </c>
      <c r="AE820" s="18">
        <v>0</v>
      </c>
      <c r="AF820" s="18">
        <v>0</v>
      </c>
      <c r="AG820" s="18">
        <v>0</v>
      </c>
      <c r="AH820" s="18">
        <v>1</v>
      </c>
      <c r="AI820" s="18">
        <v>0</v>
      </c>
      <c r="AJ820" s="18">
        <v>1</v>
      </c>
      <c r="AK820" s="18">
        <v>0</v>
      </c>
      <c r="AL820" s="18">
        <v>0</v>
      </c>
      <c r="AM820" s="18">
        <v>0</v>
      </c>
      <c r="AN820" s="18">
        <v>0</v>
      </c>
      <c r="AO820" s="18">
        <v>0</v>
      </c>
      <c r="AP820" s="18">
        <v>0</v>
      </c>
      <c r="AQ820" s="18">
        <v>0</v>
      </c>
      <c r="AR820" s="18">
        <v>0</v>
      </c>
      <c r="AS820" s="18">
        <v>0</v>
      </c>
      <c r="AT820" s="18">
        <v>1</v>
      </c>
      <c r="AU820" s="18">
        <v>0</v>
      </c>
      <c r="AV820" s="18">
        <v>0</v>
      </c>
      <c r="AW820" s="18">
        <v>1</v>
      </c>
      <c r="AX820" s="18">
        <v>0</v>
      </c>
      <c r="AY820" s="13"/>
      <c r="AZ820" s="18">
        <v>2</v>
      </c>
      <c r="BA820" s="18">
        <v>2</v>
      </c>
      <c r="BB820" s="18">
        <v>68.85</v>
      </c>
      <c r="BC820" s="18" t="s">
        <v>140</v>
      </c>
      <c r="BD820" s="18" t="s">
        <v>141</v>
      </c>
      <c r="BE820" s="18" t="s">
        <v>142</v>
      </c>
      <c r="BF820" s="18" t="s">
        <v>77</v>
      </c>
      <c r="BG820" s="18">
        <v>1</v>
      </c>
      <c r="BH820" s="18">
        <v>27</v>
      </c>
      <c r="BI820" s="18">
        <v>0.0357</v>
      </c>
      <c r="BJ820" s="18">
        <v>1</v>
      </c>
      <c r="BK820" s="18">
        <v>2</v>
      </c>
      <c r="BL820" s="18">
        <v>99.5</v>
      </c>
      <c r="BM820" s="13">
        <f t="shared" si="0"/>
        <v>3508.83</v>
      </c>
    </row>
    <row r="821" customHeight="1" spans="1:65">
      <c r="A821" s="18" t="s">
        <v>200</v>
      </c>
      <c r="B821" s="18" t="s">
        <v>125</v>
      </c>
      <c r="C821" s="13"/>
      <c r="D821" s="13"/>
      <c r="E821" s="18" t="s">
        <v>81</v>
      </c>
      <c r="F821" s="18" t="s">
        <v>82</v>
      </c>
      <c r="G821" s="18" t="s">
        <v>83</v>
      </c>
      <c r="H821" s="18" t="s">
        <v>138</v>
      </c>
      <c r="I821" s="18" t="s">
        <v>85</v>
      </c>
      <c r="J821" s="18">
        <v>5</v>
      </c>
      <c r="K821" s="16">
        <v>59.97</v>
      </c>
      <c r="L821" s="10"/>
      <c r="M821" s="16">
        <v>0</v>
      </c>
      <c r="N821" s="16">
        <v>0</v>
      </c>
      <c r="O821" s="18">
        <v>0</v>
      </c>
      <c r="P821" s="18" t="s">
        <v>86</v>
      </c>
      <c r="Q821" s="18">
        <v>4.110382</v>
      </c>
      <c r="R821" s="10"/>
      <c r="S821" s="16">
        <v>56</v>
      </c>
      <c r="T821" s="16">
        <v>4</v>
      </c>
      <c r="U821" s="18" t="s">
        <v>200</v>
      </c>
      <c r="V821" s="18" t="s">
        <v>125</v>
      </c>
      <c r="W821" s="13"/>
      <c r="X821" s="13"/>
      <c r="Y821" s="18" t="s">
        <v>81</v>
      </c>
      <c r="Z821" s="18" t="s">
        <v>82</v>
      </c>
      <c r="AA821" s="18" t="s">
        <v>83</v>
      </c>
      <c r="AB821" s="18" t="s">
        <v>138</v>
      </c>
      <c r="AC821" s="18" t="s">
        <v>85</v>
      </c>
      <c r="AD821" s="18">
        <v>114.94</v>
      </c>
      <c r="AE821" s="18">
        <v>0</v>
      </c>
      <c r="AF821" s="18">
        <v>0</v>
      </c>
      <c r="AG821" s="18">
        <v>0</v>
      </c>
      <c r="AH821" s="18">
        <v>1</v>
      </c>
      <c r="AI821" s="18">
        <v>0</v>
      </c>
      <c r="AJ821" s="18">
        <v>1</v>
      </c>
      <c r="AK821" s="18">
        <v>0</v>
      </c>
      <c r="AL821" s="18">
        <v>0</v>
      </c>
      <c r="AM821" s="18">
        <v>0</v>
      </c>
      <c r="AN821" s="18">
        <v>0</v>
      </c>
      <c r="AO821" s="18">
        <v>0</v>
      </c>
      <c r="AP821" s="18">
        <v>0</v>
      </c>
      <c r="AQ821" s="18">
        <v>0</v>
      </c>
      <c r="AR821" s="18">
        <v>0</v>
      </c>
      <c r="AS821" s="18">
        <v>0</v>
      </c>
      <c r="AT821" s="18">
        <v>1</v>
      </c>
      <c r="AU821" s="18">
        <v>0</v>
      </c>
      <c r="AV821" s="18">
        <v>0</v>
      </c>
      <c r="AW821" s="18">
        <v>1</v>
      </c>
      <c r="AX821" s="18">
        <v>0</v>
      </c>
      <c r="AY821" s="13"/>
      <c r="AZ821" s="18">
        <v>1</v>
      </c>
      <c r="BA821" s="18">
        <v>2</v>
      </c>
      <c r="BB821" s="18">
        <v>67.18</v>
      </c>
      <c r="BC821" s="18" t="s">
        <v>140</v>
      </c>
      <c r="BD821" s="18" t="s">
        <v>141</v>
      </c>
      <c r="BE821" s="18" t="s">
        <v>142</v>
      </c>
      <c r="BF821" s="18" t="s">
        <v>77</v>
      </c>
      <c r="BG821" s="18">
        <v>1</v>
      </c>
      <c r="BH821" s="18">
        <v>27</v>
      </c>
      <c r="BI821" s="18">
        <v>0.0357</v>
      </c>
      <c r="BJ821" s="18">
        <v>1</v>
      </c>
      <c r="BK821" s="18">
        <v>2</v>
      </c>
      <c r="BL821" s="18">
        <v>99.5</v>
      </c>
      <c r="BM821" s="13">
        <f t="shared" si="0"/>
        <v>3358.32</v>
      </c>
    </row>
    <row r="822" customHeight="1" spans="1:65">
      <c r="A822" s="18" t="s">
        <v>2184</v>
      </c>
      <c r="B822" s="18" t="s">
        <v>530</v>
      </c>
      <c r="C822" s="13"/>
      <c r="D822" s="13"/>
      <c r="E822" s="18" t="s">
        <v>531</v>
      </c>
      <c r="F822" s="18" t="s">
        <v>198</v>
      </c>
      <c r="G822" s="18" t="s">
        <v>83</v>
      </c>
      <c r="H822" s="18" t="s">
        <v>84</v>
      </c>
      <c r="I822" s="18" t="s">
        <v>203</v>
      </c>
      <c r="J822" s="18">
        <v>4</v>
      </c>
      <c r="K822" s="16">
        <v>14.99</v>
      </c>
      <c r="L822" s="10"/>
      <c r="M822" s="16">
        <v>0</v>
      </c>
      <c r="N822" s="16">
        <v>0</v>
      </c>
      <c r="O822" s="18">
        <v>0</v>
      </c>
      <c r="P822" s="18" t="s">
        <v>133</v>
      </c>
      <c r="Q822" s="18">
        <v>2.771964</v>
      </c>
      <c r="R822" s="10"/>
      <c r="S822" s="16">
        <v>103</v>
      </c>
      <c r="T822" s="16">
        <v>10</v>
      </c>
      <c r="U822" s="18" t="s">
        <v>2184</v>
      </c>
      <c r="V822" s="18" t="s">
        <v>530</v>
      </c>
      <c r="W822" s="13"/>
      <c r="X822" s="13"/>
      <c r="Y822" s="18" t="s">
        <v>531</v>
      </c>
      <c r="Z822" s="18" t="s">
        <v>198</v>
      </c>
      <c r="AA822" s="18" t="s">
        <v>83</v>
      </c>
      <c r="AB822" s="18" t="s">
        <v>84</v>
      </c>
      <c r="AC822" s="18" t="s">
        <v>203</v>
      </c>
      <c r="AD822" s="18">
        <v>25.98</v>
      </c>
      <c r="AE822" s="18">
        <v>0</v>
      </c>
      <c r="AF822" s="18">
        <v>0</v>
      </c>
      <c r="AG822" s="18">
        <v>0</v>
      </c>
      <c r="AH822" s="18">
        <v>0</v>
      </c>
      <c r="AI822" s="18">
        <v>0</v>
      </c>
      <c r="AJ822" s="18">
        <v>0</v>
      </c>
      <c r="AK822" s="18">
        <v>0</v>
      </c>
      <c r="AL822" s="18">
        <v>0</v>
      </c>
      <c r="AM822" s="18">
        <v>0</v>
      </c>
      <c r="AN822" s="18">
        <v>0</v>
      </c>
      <c r="AO822" s="18">
        <v>0</v>
      </c>
      <c r="AP822" s="18">
        <v>1</v>
      </c>
      <c r="AQ822" s="18">
        <v>0</v>
      </c>
      <c r="AR822" s="18">
        <v>0</v>
      </c>
      <c r="AS822" s="18">
        <v>0</v>
      </c>
      <c r="AT822" s="18">
        <v>0</v>
      </c>
      <c r="AU822" s="18">
        <v>0</v>
      </c>
      <c r="AV822" s="18">
        <v>0</v>
      </c>
      <c r="AW822" s="18">
        <v>0</v>
      </c>
      <c r="AX822" s="18">
        <v>0</v>
      </c>
      <c r="AY822" s="13"/>
      <c r="AZ822" s="18">
        <v>1</v>
      </c>
      <c r="BA822" s="18">
        <v>0</v>
      </c>
      <c r="BB822" s="18">
        <v>66.22</v>
      </c>
      <c r="BC822" s="18" t="s">
        <v>532</v>
      </c>
      <c r="BD822" s="18" t="s">
        <v>2185</v>
      </c>
      <c r="BE822" s="18" t="s">
        <v>226</v>
      </c>
      <c r="BF822" s="18" t="s">
        <v>77</v>
      </c>
      <c r="BG822" s="18">
        <v>1</v>
      </c>
      <c r="BH822" s="18">
        <v>28</v>
      </c>
      <c r="BI822" s="18">
        <v>0.0345</v>
      </c>
      <c r="BJ822" s="18">
        <v>1</v>
      </c>
      <c r="BK822" s="18">
        <v>3</v>
      </c>
      <c r="BL822" s="18">
        <v>99.2</v>
      </c>
      <c r="BM822" s="13">
        <f t="shared" si="0"/>
        <v>1543.97</v>
      </c>
    </row>
    <row r="823" customHeight="1" spans="1:65">
      <c r="A823" s="18" t="s">
        <v>529</v>
      </c>
      <c r="B823" s="18" t="s">
        <v>530</v>
      </c>
      <c r="C823" s="13"/>
      <c r="D823" s="13"/>
      <c r="E823" s="18" t="s">
        <v>531</v>
      </c>
      <c r="F823" s="18" t="s">
        <v>198</v>
      </c>
      <c r="G823" s="18" t="s">
        <v>83</v>
      </c>
      <c r="H823" s="18" t="s">
        <v>84</v>
      </c>
      <c r="I823" s="18" t="s">
        <v>85</v>
      </c>
      <c r="J823" s="18">
        <v>5</v>
      </c>
      <c r="K823" s="16">
        <v>13.99</v>
      </c>
      <c r="L823" s="10"/>
      <c r="M823" s="16">
        <v>0</v>
      </c>
      <c r="N823" s="16">
        <v>0</v>
      </c>
      <c r="O823" s="18">
        <v>0</v>
      </c>
      <c r="P823" s="18" t="s">
        <v>133</v>
      </c>
      <c r="Q823" s="18">
        <v>2.707383</v>
      </c>
      <c r="R823" s="10"/>
      <c r="S823" s="16">
        <v>107</v>
      </c>
      <c r="T823" s="16">
        <v>10</v>
      </c>
      <c r="U823" s="18" t="s">
        <v>529</v>
      </c>
      <c r="V823" s="18" t="s">
        <v>530</v>
      </c>
      <c r="W823" s="13"/>
      <c r="X823" s="13"/>
      <c r="Y823" s="18" t="s">
        <v>531</v>
      </c>
      <c r="Z823" s="18" t="s">
        <v>198</v>
      </c>
      <c r="AA823" s="18" t="s">
        <v>83</v>
      </c>
      <c r="AB823" s="18" t="s">
        <v>84</v>
      </c>
      <c r="AC823" s="18" t="s">
        <v>85</v>
      </c>
      <c r="AD823" s="18">
        <v>22.98</v>
      </c>
      <c r="AE823" s="18">
        <v>0</v>
      </c>
      <c r="AF823" s="18">
        <v>0</v>
      </c>
      <c r="AG823" s="18">
        <v>0</v>
      </c>
      <c r="AH823" s="18">
        <v>0</v>
      </c>
      <c r="AI823" s="18">
        <v>0</v>
      </c>
      <c r="AJ823" s="18">
        <v>0</v>
      </c>
      <c r="AK823" s="18">
        <v>0</v>
      </c>
      <c r="AL823" s="18">
        <v>0</v>
      </c>
      <c r="AM823" s="18">
        <v>0</v>
      </c>
      <c r="AN823" s="18">
        <v>0</v>
      </c>
      <c r="AO823" s="18">
        <v>0</v>
      </c>
      <c r="AP823" s="18">
        <v>0</v>
      </c>
      <c r="AQ823" s="18">
        <v>0</v>
      </c>
      <c r="AR823" s="18">
        <v>0</v>
      </c>
      <c r="AS823" s="18">
        <v>0</v>
      </c>
      <c r="AT823" s="18">
        <v>0</v>
      </c>
      <c r="AU823" s="18">
        <v>0</v>
      </c>
      <c r="AV823" s="18">
        <v>0</v>
      </c>
      <c r="AW823" s="18">
        <v>0</v>
      </c>
      <c r="AX823" s="18">
        <v>0</v>
      </c>
      <c r="AY823" s="13"/>
      <c r="AZ823" s="18">
        <v>1</v>
      </c>
      <c r="BA823" s="18">
        <v>0</v>
      </c>
      <c r="BB823" s="18">
        <v>65.11</v>
      </c>
      <c r="BC823" s="18" t="s">
        <v>532</v>
      </c>
      <c r="BD823" s="18" t="s">
        <v>2065</v>
      </c>
      <c r="BE823" s="18" t="s">
        <v>77</v>
      </c>
      <c r="BF823" s="18" t="s">
        <v>77</v>
      </c>
      <c r="BG823" s="18">
        <v>1</v>
      </c>
      <c r="BH823" s="18">
        <v>28</v>
      </c>
      <c r="BI823" s="18">
        <v>0.0345</v>
      </c>
      <c r="BJ823" s="18">
        <v>1</v>
      </c>
      <c r="BK823" s="18">
        <v>18</v>
      </c>
      <c r="BL823" s="18">
        <v>95.1</v>
      </c>
      <c r="BM823" s="13">
        <f t="shared" si="0"/>
        <v>1496.93</v>
      </c>
    </row>
    <row r="824" customHeight="1" spans="1:65">
      <c r="A824" s="18" t="s">
        <v>1610</v>
      </c>
      <c r="B824" s="18" t="s">
        <v>125</v>
      </c>
      <c r="C824" s="13"/>
      <c r="D824" s="13"/>
      <c r="E824" s="18" t="s">
        <v>1611</v>
      </c>
      <c r="F824" s="18" t="s">
        <v>82</v>
      </c>
      <c r="G824" s="18" t="s">
        <v>83</v>
      </c>
      <c r="H824" s="18" t="s">
        <v>138</v>
      </c>
      <c r="I824" s="18" t="s">
        <v>85</v>
      </c>
      <c r="J824" s="18">
        <v>5</v>
      </c>
      <c r="K824" s="16">
        <v>7.5</v>
      </c>
      <c r="L824" s="10"/>
      <c r="M824" s="16">
        <v>0</v>
      </c>
      <c r="N824" s="16">
        <v>0</v>
      </c>
      <c r="O824" s="18">
        <v>0</v>
      </c>
      <c r="P824" s="18" t="s">
        <v>133</v>
      </c>
      <c r="Q824" s="18">
        <v>2.140066</v>
      </c>
      <c r="R824" s="10"/>
      <c r="S824" s="16">
        <v>23</v>
      </c>
      <c r="T824" s="16">
        <v>1</v>
      </c>
      <c r="U824" s="18" t="s">
        <v>2737</v>
      </c>
      <c r="V824" s="18" t="s">
        <v>125</v>
      </c>
      <c r="W824" s="13"/>
      <c r="X824" s="13"/>
      <c r="Y824" s="18" t="s">
        <v>1611</v>
      </c>
      <c r="Z824" s="18" t="s">
        <v>82</v>
      </c>
      <c r="AA824" s="18" t="s">
        <v>83</v>
      </c>
      <c r="AB824" s="18" t="s">
        <v>138</v>
      </c>
      <c r="AC824" s="18" t="s">
        <v>85</v>
      </c>
      <c r="AD824" s="18">
        <v>10</v>
      </c>
      <c r="AE824" s="18">
        <v>0</v>
      </c>
      <c r="AF824" s="18">
        <v>0</v>
      </c>
      <c r="AG824" s="18">
        <v>0</v>
      </c>
      <c r="AH824" s="18">
        <v>0</v>
      </c>
      <c r="AI824" s="18">
        <v>0</v>
      </c>
      <c r="AJ824" s="18">
        <v>0</v>
      </c>
      <c r="AK824" s="18">
        <v>0</v>
      </c>
      <c r="AL824" s="18">
        <v>0</v>
      </c>
      <c r="AM824" s="18">
        <v>0</v>
      </c>
      <c r="AN824" s="18">
        <v>0</v>
      </c>
      <c r="AO824" s="18">
        <v>0</v>
      </c>
      <c r="AP824" s="18">
        <v>0</v>
      </c>
      <c r="AQ824" s="18">
        <v>0</v>
      </c>
      <c r="AR824" s="18">
        <v>0</v>
      </c>
      <c r="AS824" s="18">
        <v>0</v>
      </c>
      <c r="AT824" s="18">
        <v>0</v>
      </c>
      <c r="AU824" s="18">
        <v>0</v>
      </c>
      <c r="AV824" s="18">
        <v>0</v>
      </c>
      <c r="AW824" s="18">
        <v>0</v>
      </c>
      <c r="AX824" s="18">
        <v>0</v>
      </c>
      <c r="AY824" s="13"/>
      <c r="AZ824" s="18">
        <v>1</v>
      </c>
      <c r="BA824" s="18">
        <v>0</v>
      </c>
      <c r="BB824" s="18">
        <v>68.09</v>
      </c>
      <c r="BC824" s="18" t="s">
        <v>536</v>
      </c>
      <c r="BD824" s="18" t="s">
        <v>537</v>
      </c>
      <c r="BE824" s="18" t="s">
        <v>226</v>
      </c>
      <c r="BF824" s="18" t="s">
        <v>77</v>
      </c>
      <c r="BG824" s="18">
        <v>1</v>
      </c>
      <c r="BH824" s="18">
        <v>13</v>
      </c>
      <c r="BI824" s="18">
        <v>0.0714</v>
      </c>
      <c r="BJ824" s="18">
        <v>1</v>
      </c>
      <c r="BK824" s="18">
        <v>3</v>
      </c>
      <c r="BL824" s="18">
        <v>99.2</v>
      </c>
      <c r="BM824" s="13">
        <f t="shared" si="0"/>
        <v>172.5</v>
      </c>
    </row>
    <row r="825" customHeight="1" spans="1:65">
      <c r="A825" s="18" t="s">
        <v>534</v>
      </c>
      <c r="B825" s="18" t="s">
        <v>535</v>
      </c>
      <c r="C825" s="13"/>
      <c r="D825" s="13"/>
      <c r="E825" s="18" t="s">
        <v>81</v>
      </c>
      <c r="F825" s="18" t="s">
        <v>82</v>
      </c>
      <c r="G825" s="18" t="s">
        <v>83</v>
      </c>
      <c r="H825" s="18" t="s">
        <v>84</v>
      </c>
      <c r="I825" s="18" t="s">
        <v>85</v>
      </c>
      <c r="J825" s="18">
        <v>5</v>
      </c>
      <c r="K825" s="16">
        <v>150.22</v>
      </c>
      <c r="L825" s="16">
        <v>214.6</v>
      </c>
      <c r="M825" s="16">
        <v>30</v>
      </c>
      <c r="N825" s="16">
        <v>64.38</v>
      </c>
      <c r="O825" s="18">
        <v>1</v>
      </c>
      <c r="P825" s="18" t="s">
        <v>95</v>
      </c>
      <c r="Q825" s="18">
        <v>5.018736</v>
      </c>
      <c r="R825" s="10"/>
      <c r="S825" s="16">
        <v>23</v>
      </c>
      <c r="T825" s="16">
        <v>12</v>
      </c>
      <c r="U825" s="18" t="s">
        <v>534</v>
      </c>
      <c r="V825" s="18" t="s">
        <v>535</v>
      </c>
      <c r="W825" s="13"/>
      <c r="X825" s="13"/>
      <c r="Y825" s="18" t="s">
        <v>81</v>
      </c>
      <c r="Z825" s="18" t="s">
        <v>82</v>
      </c>
      <c r="AA825" s="18" t="s">
        <v>83</v>
      </c>
      <c r="AB825" s="18" t="s">
        <v>84</v>
      </c>
      <c r="AC825" s="18" t="s">
        <v>85</v>
      </c>
      <c r="AD825" s="18">
        <v>31.3213333333334</v>
      </c>
      <c r="AE825" s="18">
        <v>0</v>
      </c>
      <c r="AF825" s="18">
        <v>0</v>
      </c>
      <c r="AG825" s="18">
        <v>1</v>
      </c>
      <c r="AH825" s="18">
        <v>0</v>
      </c>
      <c r="AI825" s="18">
        <v>1</v>
      </c>
      <c r="AJ825" s="18">
        <v>0</v>
      </c>
      <c r="AK825" s="18">
        <v>1</v>
      </c>
      <c r="AL825" s="18">
        <v>0</v>
      </c>
      <c r="AM825" s="18">
        <v>0</v>
      </c>
      <c r="AN825" s="18">
        <v>0</v>
      </c>
      <c r="AO825" s="18">
        <v>0</v>
      </c>
      <c r="AP825" s="18">
        <v>0</v>
      </c>
      <c r="AQ825" s="18">
        <v>0</v>
      </c>
      <c r="AR825" s="18">
        <v>0</v>
      </c>
      <c r="AS825" s="18">
        <v>0</v>
      </c>
      <c r="AT825" s="18">
        <v>1</v>
      </c>
      <c r="AU825" s="18">
        <v>0</v>
      </c>
      <c r="AV825" s="18">
        <v>0</v>
      </c>
      <c r="AW825" s="18">
        <v>0</v>
      </c>
      <c r="AX825" s="18">
        <v>0</v>
      </c>
      <c r="AY825" s="13"/>
      <c r="AZ825" s="18">
        <v>1</v>
      </c>
      <c r="BA825" s="18">
        <v>2</v>
      </c>
      <c r="BB825" s="18">
        <v>64.86</v>
      </c>
      <c r="BC825" s="18" t="s">
        <v>536</v>
      </c>
      <c r="BD825" s="18" t="s">
        <v>537</v>
      </c>
      <c r="BE825" s="18" t="s">
        <v>226</v>
      </c>
      <c r="BF825" s="18" t="s">
        <v>77</v>
      </c>
      <c r="BG825" s="18">
        <v>1</v>
      </c>
      <c r="BH825" s="18">
        <v>13</v>
      </c>
      <c r="BI825" s="18">
        <v>0.0714</v>
      </c>
      <c r="BJ825" s="18">
        <v>1</v>
      </c>
      <c r="BK825" s="18">
        <v>5</v>
      </c>
      <c r="BL825" s="18">
        <v>98.6</v>
      </c>
      <c r="BM825" s="13">
        <f t="shared" si="0"/>
        <v>3455.06</v>
      </c>
    </row>
    <row r="826" customHeight="1" spans="1:65">
      <c r="A826" s="18" t="s">
        <v>1663</v>
      </c>
      <c r="B826" s="18" t="s">
        <v>535</v>
      </c>
      <c r="C826" s="13"/>
      <c r="D826" s="13"/>
      <c r="E826" s="18" t="s">
        <v>81</v>
      </c>
      <c r="F826" s="18" t="s">
        <v>82</v>
      </c>
      <c r="G826" s="18" t="s">
        <v>83</v>
      </c>
      <c r="H826" s="18" t="s">
        <v>84</v>
      </c>
      <c r="I826" s="18" t="s">
        <v>85</v>
      </c>
      <c r="J826" s="18">
        <v>5</v>
      </c>
      <c r="K826" s="16">
        <v>151.05</v>
      </c>
      <c r="L826" s="16">
        <v>159</v>
      </c>
      <c r="M826" s="16">
        <v>5</v>
      </c>
      <c r="N826" s="16">
        <v>7.95</v>
      </c>
      <c r="O826" s="18">
        <v>1</v>
      </c>
      <c r="P826" s="18" t="s">
        <v>95</v>
      </c>
      <c r="Q826" s="18">
        <v>5.024209</v>
      </c>
      <c r="R826" s="10"/>
      <c r="S826" s="16">
        <v>11</v>
      </c>
      <c r="T826" s="16">
        <v>23</v>
      </c>
      <c r="U826" s="18" t="s">
        <v>1663</v>
      </c>
      <c r="V826" s="18" t="s">
        <v>535</v>
      </c>
      <c r="W826" s="13"/>
      <c r="X826" s="13"/>
      <c r="Y826" s="18" t="s">
        <v>81</v>
      </c>
      <c r="Z826" s="18" t="s">
        <v>82</v>
      </c>
      <c r="AA826" s="18" t="s">
        <v>83</v>
      </c>
      <c r="AB826" s="18" t="s">
        <v>84</v>
      </c>
      <c r="AC826" s="18" t="s">
        <v>85</v>
      </c>
      <c r="AD826" s="18">
        <v>-5.4966666666668</v>
      </c>
      <c r="AE826" s="18">
        <v>0</v>
      </c>
      <c r="AF826" s="18">
        <v>0</v>
      </c>
      <c r="AG826" s="18">
        <v>1</v>
      </c>
      <c r="AH826" s="18">
        <v>0</v>
      </c>
      <c r="AI826" s="18">
        <v>1</v>
      </c>
      <c r="AJ826" s="18">
        <v>0</v>
      </c>
      <c r="AK826" s="18">
        <v>1</v>
      </c>
      <c r="AL826" s="18">
        <v>0</v>
      </c>
      <c r="AM826" s="18">
        <v>0</v>
      </c>
      <c r="AN826" s="18">
        <v>0</v>
      </c>
      <c r="AO826" s="18">
        <v>0</v>
      </c>
      <c r="AP826" s="18">
        <v>0</v>
      </c>
      <c r="AQ826" s="18">
        <v>0</v>
      </c>
      <c r="AR826" s="18">
        <v>0</v>
      </c>
      <c r="AS826" s="18">
        <v>0</v>
      </c>
      <c r="AT826" s="18">
        <v>1</v>
      </c>
      <c r="AU826" s="18">
        <v>0</v>
      </c>
      <c r="AV826" s="18">
        <v>0</v>
      </c>
      <c r="AW826" s="18">
        <v>0</v>
      </c>
      <c r="AX826" s="18">
        <v>0</v>
      </c>
      <c r="AY826" s="13"/>
      <c r="AZ826" s="18">
        <v>1</v>
      </c>
      <c r="BA826" s="18">
        <v>1</v>
      </c>
      <c r="BB826" s="18">
        <v>44.29</v>
      </c>
      <c r="BC826" s="18" t="s">
        <v>536</v>
      </c>
      <c r="BD826" s="18" t="s">
        <v>537</v>
      </c>
      <c r="BE826" s="18" t="s">
        <v>226</v>
      </c>
      <c r="BF826" s="18" t="s">
        <v>77</v>
      </c>
      <c r="BG826" s="18">
        <v>1</v>
      </c>
      <c r="BH826" s="18">
        <v>13</v>
      </c>
      <c r="BI826" s="18">
        <v>0.0714</v>
      </c>
      <c r="BJ826" s="18">
        <v>1</v>
      </c>
      <c r="BK826" s="18">
        <v>2</v>
      </c>
      <c r="BL826" s="18">
        <v>99.5</v>
      </c>
      <c r="BM826" s="13">
        <f t="shared" si="0"/>
        <v>1661.55</v>
      </c>
    </row>
    <row r="827" customHeight="1" spans="1:65">
      <c r="A827" s="18" t="s">
        <v>2008</v>
      </c>
      <c r="B827" s="18" t="s">
        <v>535</v>
      </c>
      <c r="C827" s="13"/>
      <c r="D827" s="13"/>
      <c r="E827" s="18" t="s">
        <v>81</v>
      </c>
      <c r="F827" s="18" t="s">
        <v>82</v>
      </c>
      <c r="G827" s="18" t="s">
        <v>83</v>
      </c>
      <c r="H827" s="18" t="s">
        <v>84</v>
      </c>
      <c r="I827" s="18" t="s">
        <v>85</v>
      </c>
      <c r="J827" s="18">
        <v>5</v>
      </c>
      <c r="K827" s="16">
        <v>150.22</v>
      </c>
      <c r="L827" s="16">
        <v>214.6</v>
      </c>
      <c r="M827" s="16">
        <v>30</v>
      </c>
      <c r="N827" s="16">
        <v>64.38</v>
      </c>
      <c r="O827" s="18">
        <v>1</v>
      </c>
      <c r="P827" s="18" t="s">
        <v>95</v>
      </c>
      <c r="Q827" s="18">
        <v>5.018736</v>
      </c>
      <c r="R827" s="10"/>
      <c r="S827" s="16">
        <v>3</v>
      </c>
      <c r="T827" s="16">
        <v>57</v>
      </c>
      <c r="U827" s="18" t="s">
        <v>2008</v>
      </c>
      <c r="V827" s="18" t="s">
        <v>535</v>
      </c>
      <c r="W827" s="13"/>
      <c r="X827" s="13"/>
      <c r="Y827" s="18" t="s">
        <v>81</v>
      </c>
      <c r="Z827" s="18" t="s">
        <v>82</v>
      </c>
      <c r="AA827" s="18" t="s">
        <v>83</v>
      </c>
      <c r="AB827" s="18" t="s">
        <v>84</v>
      </c>
      <c r="AC827" s="18" t="s">
        <v>85</v>
      </c>
      <c r="AD827" s="18">
        <v>31.3213333333334</v>
      </c>
      <c r="AE827" s="18">
        <v>0</v>
      </c>
      <c r="AF827" s="18">
        <v>0</v>
      </c>
      <c r="AG827" s="18">
        <v>1</v>
      </c>
      <c r="AH827" s="18">
        <v>0</v>
      </c>
      <c r="AI827" s="18">
        <v>1</v>
      </c>
      <c r="AJ827" s="18">
        <v>0</v>
      </c>
      <c r="AK827" s="18">
        <v>1</v>
      </c>
      <c r="AL827" s="18">
        <v>0</v>
      </c>
      <c r="AM827" s="18">
        <v>0</v>
      </c>
      <c r="AN827" s="18">
        <v>0</v>
      </c>
      <c r="AO827" s="18">
        <v>0</v>
      </c>
      <c r="AP827" s="18">
        <v>0</v>
      </c>
      <c r="AQ827" s="18">
        <v>0</v>
      </c>
      <c r="AR827" s="18">
        <v>0</v>
      </c>
      <c r="AS827" s="18">
        <v>0</v>
      </c>
      <c r="AT827" s="18">
        <v>1</v>
      </c>
      <c r="AU827" s="18">
        <v>0</v>
      </c>
      <c r="AV827" s="18">
        <v>0</v>
      </c>
      <c r="AW827" s="18">
        <v>0</v>
      </c>
      <c r="AX827" s="18">
        <v>0</v>
      </c>
      <c r="AY827" s="13"/>
      <c r="AZ827" s="18">
        <v>1</v>
      </c>
      <c r="BA827" s="18">
        <v>2</v>
      </c>
      <c r="BB827" s="18">
        <v>40.43</v>
      </c>
      <c r="BC827" s="18" t="s">
        <v>536</v>
      </c>
      <c r="BD827" s="18" t="s">
        <v>537</v>
      </c>
      <c r="BE827" s="18" t="s">
        <v>226</v>
      </c>
      <c r="BF827" s="18" t="s">
        <v>77</v>
      </c>
      <c r="BG827" s="18">
        <v>1</v>
      </c>
      <c r="BH827" s="18">
        <v>13</v>
      </c>
      <c r="BI827" s="18">
        <v>0.0714</v>
      </c>
      <c r="BJ827" s="18">
        <v>1</v>
      </c>
      <c r="BK827" s="18">
        <v>7</v>
      </c>
      <c r="BL827" s="18">
        <v>98.1</v>
      </c>
      <c r="BM827" s="13">
        <f t="shared" si="0"/>
        <v>450.66</v>
      </c>
    </row>
    <row r="828" customHeight="1" spans="1:65">
      <c r="A828" s="18" t="s">
        <v>538</v>
      </c>
      <c r="B828" s="18" t="s">
        <v>115</v>
      </c>
      <c r="C828" s="13"/>
      <c r="D828" s="18">
        <v>840268985332</v>
      </c>
      <c r="E828" s="18" t="s">
        <v>81</v>
      </c>
      <c r="F828" s="18" t="s">
        <v>82</v>
      </c>
      <c r="G828" s="18" t="s">
        <v>117</v>
      </c>
      <c r="H828" s="18" t="s">
        <v>107</v>
      </c>
      <c r="I828" s="18" t="s">
        <v>85</v>
      </c>
      <c r="J828" s="18">
        <v>5</v>
      </c>
      <c r="K828" s="16">
        <v>64</v>
      </c>
      <c r="L828" s="10"/>
      <c r="M828" s="16">
        <v>0</v>
      </c>
      <c r="N828" s="16">
        <v>0</v>
      </c>
      <c r="O828" s="18">
        <v>0</v>
      </c>
      <c r="P828" s="18" t="s">
        <v>86</v>
      </c>
      <c r="Q828" s="18">
        <v>4.174387</v>
      </c>
      <c r="R828" s="10"/>
      <c r="S828" s="16">
        <v>36</v>
      </c>
      <c r="T828" s="16">
        <v>10</v>
      </c>
      <c r="U828" s="18" t="s">
        <v>538</v>
      </c>
      <c r="V828" s="18" t="s">
        <v>115</v>
      </c>
      <c r="W828" s="13"/>
      <c r="X828" s="18">
        <v>840268985333</v>
      </c>
      <c r="Y828" s="18" t="s">
        <v>81</v>
      </c>
      <c r="Z828" s="18" t="s">
        <v>82</v>
      </c>
      <c r="AA828" s="18" t="s">
        <v>117</v>
      </c>
      <c r="AB828" s="18" t="s">
        <v>107</v>
      </c>
      <c r="AC828" s="18" t="s">
        <v>85</v>
      </c>
      <c r="AD828" s="18">
        <v>123</v>
      </c>
      <c r="AE828" s="18">
        <v>0</v>
      </c>
      <c r="AF828" s="18">
        <v>1</v>
      </c>
      <c r="AG828" s="18">
        <v>0</v>
      </c>
      <c r="AH828" s="18">
        <v>0</v>
      </c>
      <c r="AI828" s="18">
        <v>0</v>
      </c>
      <c r="AJ828" s="18">
        <v>0</v>
      </c>
      <c r="AK828" s="18">
        <v>0</v>
      </c>
      <c r="AL828" s="18">
        <v>0</v>
      </c>
      <c r="AM828" s="18">
        <v>0</v>
      </c>
      <c r="AN828" s="18">
        <v>0</v>
      </c>
      <c r="AO828" s="18">
        <v>0</v>
      </c>
      <c r="AP828" s="18">
        <v>0</v>
      </c>
      <c r="AQ828" s="18">
        <v>0</v>
      </c>
      <c r="AR828" s="18">
        <v>0</v>
      </c>
      <c r="AS828" s="18">
        <v>0</v>
      </c>
      <c r="AT828" s="18">
        <v>1</v>
      </c>
      <c r="AU828" s="18">
        <v>1</v>
      </c>
      <c r="AV828" s="18">
        <v>0</v>
      </c>
      <c r="AW828" s="18">
        <v>0</v>
      </c>
      <c r="AX828" s="18">
        <v>0</v>
      </c>
      <c r="AY828" s="13"/>
      <c r="AZ828" s="18">
        <v>1</v>
      </c>
      <c r="BA828" s="18">
        <v>0</v>
      </c>
      <c r="BB828" s="18">
        <v>60.31</v>
      </c>
      <c r="BC828" s="18" t="s">
        <v>539</v>
      </c>
      <c r="BD828" s="18" t="s">
        <v>540</v>
      </c>
      <c r="BE828" s="18" t="s">
        <v>113</v>
      </c>
      <c r="BF828" s="18" t="s">
        <v>77</v>
      </c>
      <c r="BG828" s="18">
        <v>168</v>
      </c>
      <c r="BH828" s="18">
        <v>11</v>
      </c>
      <c r="BI828" s="18">
        <v>0.9385</v>
      </c>
      <c r="BJ828" s="18">
        <v>0</v>
      </c>
      <c r="BK828" s="18">
        <v>12</v>
      </c>
      <c r="BL828" s="18">
        <v>96.7</v>
      </c>
      <c r="BM828" s="13">
        <f t="shared" si="0"/>
        <v>2304</v>
      </c>
    </row>
    <row r="829" customHeight="1" spans="1:65">
      <c r="A829" s="18" t="s">
        <v>541</v>
      </c>
      <c r="B829" s="18" t="s">
        <v>542</v>
      </c>
      <c r="C829" s="13"/>
      <c r="D829" s="13"/>
      <c r="E829" s="18" t="s">
        <v>543</v>
      </c>
      <c r="F829" s="18" t="s">
        <v>198</v>
      </c>
      <c r="G829" s="18" t="s">
        <v>83</v>
      </c>
      <c r="H829" s="18" t="s">
        <v>84</v>
      </c>
      <c r="I829" s="18" t="s">
        <v>85</v>
      </c>
      <c r="J829" s="18">
        <v>5</v>
      </c>
      <c r="K829" s="16">
        <v>104.99</v>
      </c>
      <c r="L829" s="10"/>
      <c r="M829" s="16">
        <v>0</v>
      </c>
      <c r="N829" s="16">
        <v>0</v>
      </c>
      <c r="O829" s="18">
        <v>0</v>
      </c>
      <c r="P829" s="18" t="s">
        <v>95</v>
      </c>
      <c r="Q829" s="18">
        <v>4.663345</v>
      </c>
      <c r="R829" s="10"/>
      <c r="S829" s="16">
        <v>3</v>
      </c>
      <c r="T829" s="16">
        <v>10</v>
      </c>
      <c r="U829" s="18" t="s">
        <v>541</v>
      </c>
      <c r="V829" s="18" t="s">
        <v>542</v>
      </c>
      <c r="W829" s="13"/>
      <c r="X829" s="13"/>
      <c r="Y829" s="18" t="s">
        <v>543</v>
      </c>
      <c r="Z829" s="18" t="s">
        <v>198</v>
      </c>
      <c r="AA829" s="18" t="s">
        <v>83</v>
      </c>
      <c r="AB829" s="18" t="s">
        <v>84</v>
      </c>
      <c r="AC829" s="18" t="s">
        <v>85</v>
      </c>
      <c r="AD829" s="18">
        <v>204.98</v>
      </c>
      <c r="AE829" s="18">
        <v>0</v>
      </c>
      <c r="AF829" s="18">
        <v>0</v>
      </c>
      <c r="AG829" s="18">
        <v>0</v>
      </c>
      <c r="AH829" s="18">
        <v>1</v>
      </c>
      <c r="AI829" s="18">
        <v>0</v>
      </c>
      <c r="AJ829" s="18">
        <v>0</v>
      </c>
      <c r="AK829" s="18">
        <v>0</v>
      </c>
      <c r="AL829" s="18">
        <v>0</v>
      </c>
      <c r="AM829" s="18">
        <v>0</v>
      </c>
      <c r="AN829" s="18">
        <v>0</v>
      </c>
      <c r="AO829" s="18">
        <v>0</v>
      </c>
      <c r="AP829" s="18">
        <v>0</v>
      </c>
      <c r="AQ829" s="18">
        <v>0</v>
      </c>
      <c r="AR829" s="18">
        <v>0</v>
      </c>
      <c r="AS829" s="18">
        <v>0</v>
      </c>
      <c r="AT829" s="18">
        <v>0</v>
      </c>
      <c r="AU829" s="18">
        <v>0</v>
      </c>
      <c r="AV829" s="18">
        <v>0</v>
      </c>
      <c r="AW829" s="18">
        <v>1</v>
      </c>
      <c r="AX829" s="18">
        <v>0</v>
      </c>
      <c r="AY829" s="13"/>
      <c r="AZ829" s="18">
        <v>1</v>
      </c>
      <c r="BA829" s="18">
        <v>1</v>
      </c>
      <c r="BB829" s="18">
        <v>38.81</v>
      </c>
      <c r="BC829" s="18" t="s">
        <v>544</v>
      </c>
      <c r="BD829" s="18" t="s">
        <v>180</v>
      </c>
      <c r="BE829" s="18" t="s">
        <v>113</v>
      </c>
      <c r="BF829" s="18" t="s">
        <v>77</v>
      </c>
      <c r="BG829" s="18">
        <v>168</v>
      </c>
      <c r="BH829" s="18">
        <v>11</v>
      </c>
      <c r="BI829" s="18">
        <v>0.9385</v>
      </c>
      <c r="BJ829" s="18">
        <v>0</v>
      </c>
      <c r="BK829" s="18">
        <v>5</v>
      </c>
      <c r="BL829" s="18">
        <v>98.6</v>
      </c>
      <c r="BM829" s="13">
        <f t="shared" si="0"/>
        <v>314.97</v>
      </c>
    </row>
    <row r="830" customHeight="1" spans="1:65">
      <c r="A830" s="18" t="s">
        <v>2445</v>
      </c>
      <c r="B830" s="18" t="s">
        <v>553</v>
      </c>
      <c r="C830" s="18" t="s">
        <v>2446</v>
      </c>
      <c r="D830" s="32" t="s">
        <v>2447</v>
      </c>
      <c r="E830" s="18" t="s">
        <v>250</v>
      </c>
      <c r="F830" s="18" t="s">
        <v>82</v>
      </c>
      <c r="G830" s="18" t="s">
        <v>553</v>
      </c>
      <c r="H830" s="18" t="s">
        <v>69</v>
      </c>
      <c r="I830" s="18" t="s">
        <v>85</v>
      </c>
      <c r="J830" s="18">
        <v>5</v>
      </c>
      <c r="K830" s="16">
        <v>109.1</v>
      </c>
      <c r="L830" s="10"/>
      <c r="M830" s="16">
        <v>0</v>
      </c>
      <c r="N830" s="16">
        <v>0</v>
      </c>
      <c r="O830" s="18">
        <v>0</v>
      </c>
      <c r="P830" s="18" t="s">
        <v>95</v>
      </c>
      <c r="Q830" s="18">
        <v>4.701389</v>
      </c>
      <c r="R830" s="16">
        <v>27.28</v>
      </c>
      <c r="S830" s="16">
        <v>1</v>
      </c>
      <c r="T830" s="16">
        <v>10</v>
      </c>
      <c r="U830" s="18" t="s">
        <v>2445</v>
      </c>
      <c r="V830" s="18" t="s">
        <v>553</v>
      </c>
      <c r="W830" s="18" t="s">
        <v>2446</v>
      </c>
      <c r="X830" s="18" t="s">
        <v>2738</v>
      </c>
      <c r="Y830" s="18" t="s">
        <v>250</v>
      </c>
      <c r="Z830" s="18" t="s">
        <v>82</v>
      </c>
      <c r="AA830" s="18" t="s">
        <v>553</v>
      </c>
      <c r="AB830" s="18" t="s">
        <v>69</v>
      </c>
      <c r="AC830" s="18" t="s">
        <v>85</v>
      </c>
      <c r="AD830" s="18">
        <v>213.2</v>
      </c>
      <c r="AE830" s="18">
        <v>0</v>
      </c>
      <c r="AF830" s="18">
        <v>0</v>
      </c>
      <c r="AG830" s="18">
        <v>1</v>
      </c>
      <c r="AH830" s="18">
        <v>0</v>
      </c>
      <c r="AI830" s="18">
        <v>1</v>
      </c>
      <c r="AJ830" s="18">
        <v>0</v>
      </c>
      <c r="AK830" s="18">
        <v>0</v>
      </c>
      <c r="AL830" s="18">
        <v>0</v>
      </c>
      <c r="AM830" s="18">
        <v>0</v>
      </c>
      <c r="AN830" s="18">
        <v>0</v>
      </c>
      <c r="AO830" s="18">
        <v>0</v>
      </c>
      <c r="AP830" s="18">
        <v>0</v>
      </c>
      <c r="AQ830" s="18">
        <v>0</v>
      </c>
      <c r="AR830" s="18">
        <v>0</v>
      </c>
      <c r="AS830" s="18">
        <v>0</v>
      </c>
      <c r="AT830" s="18">
        <v>0</v>
      </c>
      <c r="AU830" s="18">
        <v>0</v>
      </c>
      <c r="AV830" s="18">
        <v>0</v>
      </c>
      <c r="AW830" s="18">
        <v>1</v>
      </c>
      <c r="AX830" s="18">
        <v>0</v>
      </c>
      <c r="AY830" s="18">
        <v>4</v>
      </c>
      <c r="AZ830" s="18">
        <v>1</v>
      </c>
      <c r="BA830" s="18">
        <v>0</v>
      </c>
      <c r="BB830" s="18">
        <v>32.83</v>
      </c>
      <c r="BC830" s="18" t="s">
        <v>555</v>
      </c>
      <c r="BD830" s="18" t="s">
        <v>556</v>
      </c>
      <c r="BE830" s="18" t="s">
        <v>557</v>
      </c>
      <c r="BF830" s="18" t="s">
        <v>77</v>
      </c>
      <c r="BG830" s="18">
        <v>1</v>
      </c>
      <c r="BH830" s="18">
        <v>28</v>
      </c>
      <c r="BI830" s="18">
        <v>0.0345</v>
      </c>
      <c r="BJ830" s="18">
        <v>1</v>
      </c>
      <c r="BK830" s="18">
        <v>10</v>
      </c>
      <c r="BL830" s="18">
        <v>97.3</v>
      </c>
      <c r="BM830" s="13">
        <f t="shared" si="0"/>
        <v>109.1</v>
      </c>
    </row>
    <row r="831" customHeight="1" spans="1:65">
      <c r="A831" s="18" t="s">
        <v>1945</v>
      </c>
      <c r="B831" s="18" t="s">
        <v>553</v>
      </c>
      <c r="C831" s="18" t="s">
        <v>1946</v>
      </c>
      <c r="D831" s="18">
        <v>854088008430</v>
      </c>
      <c r="E831" s="18" t="s">
        <v>1164</v>
      </c>
      <c r="F831" s="18" t="s">
        <v>240</v>
      </c>
      <c r="G831" s="18" t="s">
        <v>553</v>
      </c>
      <c r="H831" s="18" t="s">
        <v>69</v>
      </c>
      <c r="I831" s="18" t="s">
        <v>203</v>
      </c>
      <c r="J831" s="18">
        <v>4</v>
      </c>
      <c r="K831" s="16">
        <v>89.9</v>
      </c>
      <c r="L831" s="10"/>
      <c r="M831" s="16">
        <v>0</v>
      </c>
      <c r="N831" s="16">
        <v>0</v>
      </c>
      <c r="O831" s="18">
        <v>0</v>
      </c>
      <c r="P831" s="18" t="s">
        <v>95</v>
      </c>
      <c r="Q831" s="18">
        <v>4.50976</v>
      </c>
      <c r="R831" s="16">
        <v>11.24</v>
      </c>
      <c r="S831" s="16">
        <v>15</v>
      </c>
      <c r="T831" s="16">
        <v>5</v>
      </c>
      <c r="U831" s="18" t="s">
        <v>1945</v>
      </c>
      <c r="V831" s="18" t="s">
        <v>553</v>
      </c>
      <c r="W831" s="18" t="s">
        <v>1946</v>
      </c>
      <c r="X831" s="18">
        <v>854088008431</v>
      </c>
      <c r="Y831" s="18" t="s">
        <v>1164</v>
      </c>
      <c r="Z831" s="18" t="s">
        <v>240</v>
      </c>
      <c r="AA831" s="18" t="s">
        <v>553</v>
      </c>
      <c r="AB831" s="18" t="s">
        <v>69</v>
      </c>
      <c r="AC831" s="18" t="s">
        <v>203</v>
      </c>
      <c r="AD831" s="18">
        <v>175.8</v>
      </c>
      <c r="AE831" s="18">
        <v>0</v>
      </c>
      <c r="AF831" s="18">
        <v>0</v>
      </c>
      <c r="AG831" s="18">
        <v>1</v>
      </c>
      <c r="AH831" s="18">
        <v>0</v>
      </c>
      <c r="AI831" s="18">
        <v>1</v>
      </c>
      <c r="AJ831" s="18">
        <v>0</v>
      </c>
      <c r="AK831" s="18">
        <v>0</v>
      </c>
      <c r="AL831" s="18">
        <v>0</v>
      </c>
      <c r="AM831" s="18">
        <v>0</v>
      </c>
      <c r="AN831" s="18">
        <v>0</v>
      </c>
      <c r="AO831" s="18">
        <v>0</v>
      </c>
      <c r="AP831" s="18">
        <v>0</v>
      </c>
      <c r="AQ831" s="18">
        <v>1</v>
      </c>
      <c r="AR831" s="18">
        <v>0</v>
      </c>
      <c r="AS831" s="18">
        <v>0</v>
      </c>
      <c r="AT831" s="18">
        <v>0</v>
      </c>
      <c r="AU831" s="18">
        <v>0</v>
      </c>
      <c r="AV831" s="18">
        <v>1</v>
      </c>
      <c r="AW831" s="18">
        <v>1</v>
      </c>
      <c r="AX831" s="18">
        <v>0</v>
      </c>
      <c r="AY831" s="18">
        <v>8</v>
      </c>
      <c r="AZ831" s="18">
        <v>1</v>
      </c>
      <c r="BA831" s="18">
        <v>1</v>
      </c>
      <c r="BB831" s="18">
        <v>30</v>
      </c>
      <c r="BC831" s="18" t="s">
        <v>555</v>
      </c>
      <c r="BD831" s="18" t="s">
        <v>556</v>
      </c>
      <c r="BE831" s="18" t="s">
        <v>557</v>
      </c>
      <c r="BF831" s="18" t="s">
        <v>77</v>
      </c>
      <c r="BG831" s="18">
        <v>1</v>
      </c>
      <c r="BH831" s="18">
        <v>28</v>
      </c>
      <c r="BI831" s="18">
        <v>0.0345</v>
      </c>
      <c r="BJ831" s="18">
        <v>1</v>
      </c>
      <c r="BK831" s="13"/>
      <c r="BL831" s="13"/>
      <c r="BM831" s="13">
        <f t="shared" si="0"/>
        <v>1348.5</v>
      </c>
    </row>
    <row r="832" customHeight="1" spans="1:65">
      <c r="A832" s="19" t="s">
        <v>552</v>
      </c>
      <c r="B832" s="18" t="s">
        <v>553</v>
      </c>
      <c r="C832" s="13"/>
      <c r="D832" s="18">
        <v>854088008492</v>
      </c>
      <c r="E832" s="18" t="s">
        <v>554</v>
      </c>
      <c r="F832" s="18" t="s">
        <v>82</v>
      </c>
      <c r="G832" s="18" t="s">
        <v>553</v>
      </c>
      <c r="H832" s="18" t="s">
        <v>69</v>
      </c>
      <c r="I832" s="18" t="s">
        <v>203</v>
      </c>
      <c r="J832" s="18">
        <v>4</v>
      </c>
      <c r="K832" s="16">
        <v>59.6</v>
      </c>
      <c r="L832" s="10"/>
      <c r="M832" s="16">
        <v>0</v>
      </c>
      <c r="N832" s="16">
        <v>0</v>
      </c>
      <c r="O832" s="18">
        <v>0</v>
      </c>
      <c r="P832" s="18" t="s">
        <v>86</v>
      </c>
      <c r="Q832" s="18">
        <v>4.104295</v>
      </c>
      <c r="R832" s="16">
        <v>7.45</v>
      </c>
      <c r="S832" s="16">
        <v>5</v>
      </c>
      <c r="T832" s="16">
        <v>10</v>
      </c>
      <c r="U832" s="19" t="s">
        <v>2739</v>
      </c>
      <c r="V832" s="18" t="s">
        <v>553</v>
      </c>
      <c r="W832" s="13"/>
      <c r="X832" s="18">
        <v>854088008493</v>
      </c>
      <c r="Y832" s="18" t="s">
        <v>554</v>
      </c>
      <c r="Z832" s="18" t="s">
        <v>82</v>
      </c>
      <c r="AA832" s="18" t="s">
        <v>553</v>
      </c>
      <c r="AB832" s="18" t="s">
        <v>69</v>
      </c>
      <c r="AC832" s="18" t="s">
        <v>203</v>
      </c>
      <c r="AD832" s="18">
        <v>115.2</v>
      </c>
      <c r="AE832" s="18">
        <v>0</v>
      </c>
      <c r="AF832" s="18">
        <v>0</v>
      </c>
      <c r="AG832" s="18">
        <v>0</v>
      </c>
      <c r="AH832" s="18">
        <v>0</v>
      </c>
      <c r="AI832" s="18">
        <v>0</v>
      </c>
      <c r="AJ832" s="18">
        <v>0</v>
      </c>
      <c r="AK832" s="18">
        <v>0</v>
      </c>
      <c r="AL832" s="18">
        <v>0</v>
      </c>
      <c r="AM832" s="18">
        <v>0</v>
      </c>
      <c r="AN832" s="18">
        <v>0</v>
      </c>
      <c r="AO832" s="18">
        <v>0</v>
      </c>
      <c r="AP832" s="18">
        <v>0</v>
      </c>
      <c r="AQ832" s="18">
        <v>0</v>
      </c>
      <c r="AR832" s="18">
        <v>0</v>
      </c>
      <c r="AS832" s="18">
        <v>0</v>
      </c>
      <c r="AT832" s="18">
        <v>0</v>
      </c>
      <c r="AU832" s="18">
        <v>0</v>
      </c>
      <c r="AV832" s="18">
        <v>0</v>
      </c>
      <c r="AW832" s="18">
        <v>1</v>
      </c>
      <c r="AX832" s="18">
        <v>0</v>
      </c>
      <c r="AY832" s="18">
        <v>8</v>
      </c>
      <c r="AZ832" s="18">
        <v>1</v>
      </c>
      <c r="BA832" s="18">
        <v>0</v>
      </c>
      <c r="BB832" s="18">
        <v>13.33</v>
      </c>
      <c r="BC832" s="18" t="s">
        <v>555</v>
      </c>
      <c r="BD832" s="18" t="s">
        <v>556</v>
      </c>
      <c r="BE832" s="18" t="s">
        <v>557</v>
      </c>
      <c r="BF832" s="18" t="s">
        <v>77</v>
      </c>
      <c r="BG832" s="18">
        <v>1</v>
      </c>
      <c r="BH832" s="18">
        <v>28</v>
      </c>
      <c r="BI832" s="18">
        <v>0.0345</v>
      </c>
      <c r="BJ832" s="18">
        <v>1</v>
      </c>
      <c r="BK832" s="13"/>
      <c r="BL832" s="13"/>
      <c r="BM832" s="13">
        <f t="shared" si="0"/>
        <v>298</v>
      </c>
    </row>
    <row r="833" customHeight="1" spans="1:65">
      <c r="A833" s="18" t="s">
        <v>558</v>
      </c>
      <c r="B833" s="18" t="s">
        <v>202</v>
      </c>
      <c r="C833" s="13"/>
      <c r="D833" s="13"/>
      <c r="E833" s="18" t="s">
        <v>559</v>
      </c>
      <c r="F833" s="18" t="s">
        <v>462</v>
      </c>
      <c r="G833" s="18" t="s">
        <v>83</v>
      </c>
      <c r="H833" s="18" t="s">
        <v>84</v>
      </c>
      <c r="I833" s="18" t="s">
        <v>203</v>
      </c>
      <c r="J833" s="18">
        <v>4</v>
      </c>
      <c r="K833" s="16">
        <v>140</v>
      </c>
      <c r="L833" s="10"/>
      <c r="M833" s="16">
        <v>0</v>
      </c>
      <c r="N833" s="16">
        <v>0</v>
      </c>
      <c r="O833" s="18">
        <v>0</v>
      </c>
      <c r="P833" s="18" t="s">
        <v>95</v>
      </c>
      <c r="Q833" s="18">
        <v>4.94876</v>
      </c>
      <c r="R833" s="16">
        <v>14</v>
      </c>
      <c r="S833" s="16">
        <v>1</v>
      </c>
      <c r="T833" s="16">
        <v>1</v>
      </c>
      <c r="U833" s="18" t="s">
        <v>558</v>
      </c>
      <c r="V833" s="18" t="s">
        <v>202</v>
      </c>
      <c r="W833" s="13"/>
      <c r="X833" s="13"/>
      <c r="Y833" s="18" t="s">
        <v>559</v>
      </c>
      <c r="Z833" s="18" t="s">
        <v>462</v>
      </c>
      <c r="AA833" s="18" t="s">
        <v>83</v>
      </c>
      <c r="AB833" s="18" t="s">
        <v>84</v>
      </c>
      <c r="AC833" s="18" t="s">
        <v>203</v>
      </c>
      <c r="AD833" s="18">
        <v>276</v>
      </c>
      <c r="AE833" s="18">
        <v>0</v>
      </c>
      <c r="AF833" s="18">
        <v>0</v>
      </c>
      <c r="AG833" s="18">
        <v>0</v>
      </c>
      <c r="AH833" s="18">
        <v>1</v>
      </c>
      <c r="AI833" s="18">
        <v>0</v>
      </c>
      <c r="AJ833" s="18">
        <v>0</v>
      </c>
      <c r="AK833" s="18">
        <v>0</v>
      </c>
      <c r="AL833" s="18">
        <v>0</v>
      </c>
      <c r="AM833" s="18">
        <v>0</v>
      </c>
      <c r="AN833" s="18">
        <v>0</v>
      </c>
      <c r="AO833" s="18">
        <v>0</v>
      </c>
      <c r="AP833" s="18">
        <v>0</v>
      </c>
      <c r="AQ833" s="18">
        <v>1</v>
      </c>
      <c r="AR833" s="18">
        <v>0</v>
      </c>
      <c r="AS833" s="18">
        <v>0</v>
      </c>
      <c r="AT833" s="18">
        <v>0</v>
      </c>
      <c r="AU833" s="18">
        <v>0</v>
      </c>
      <c r="AV833" s="18">
        <v>1</v>
      </c>
      <c r="AW833" s="18">
        <v>1</v>
      </c>
      <c r="AX833" s="18">
        <v>1</v>
      </c>
      <c r="AY833" s="18">
        <v>10</v>
      </c>
      <c r="AZ833" s="18">
        <v>1</v>
      </c>
      <c r="BA833" s="18">
        <v>2</v>
      </c>
      <c r="BB833" s="18">
        <v>48.59</v>
      </c>
      <c r="BC833" s="18" t="s">
        <v>560</v>
      </c>
      <c r="BD833" s="18" t="s">
        <v>561</v>
      </c>
      <c r="BE833" s="18" t="s">
        <v>166</v>
      </c>
      <c r="BF833" s="18" t="s">
        <v>77</v>
      </c>
      <c r="BG833" s="18">
        <v>168</v>
      </c>
      <c r="BH833" s="18">
        <v>11</v>
      </c>
      <c r="BI833" s="18">
        <v>0.9385</v>
      </c>
      <c r="BJ833" s="18">
        <v>0</v>
      </c>
      <c r="BK833" s="18">
        <v>17</v>
      </c>
      <c r="BL833" s="18">
        <v>95.3</v>
      </c>
      <c r="BM833" s="13">
        <f t="shared" si="0"/>
        <v>140</v>
      </c>
    </row>
    <row r="834" customHeight="1" spans="1:65">
      <c r="A834" s="18" t="s">
        <v>562</v>
      </c>
      <c r="B834" s="18" t="s">
        <v>125</v>
      </c>
      <c r="C834" s="13"/>
      <c r="D834" s="13"/>
      <c r="E834" s="18" t="s">
        <v>563</v>
      </c>
      <c r="F834" s="18" t="s">
        <v>82</v>
      </c>
      <c r="G834" s="18" t="s">
        <v>83</v>
      </c>
      <c r="H834" s="18" t="s">
        <v>138</v>
      </c>
      <c r="I834" s="18" t="s">
        <v>85</v>
      </c>
      <c r="J834" s="18">
        <v>5</v>
      </c>
      <c r="K834" s="16">
        <v>59.95</v>
      </c>
      <c r="L834" s="10"/>
      <c r="M834" s="16">
        <v>0</v>
      </c>
      <c r="N834" s="16">
        <v>0</v>
      </c>
      <c r="O834" s="18">
        <v>0</v>
      </c>
      <c r="P834" s="18" t="s">
        <v>86</v>
      </c>
      <c r="Q834" s="18">
        <v>4.110054</v>
      </c>
      <c r="R834" s="10"/>
      <c r="S834" s="16">
        <v>52</v>
      </c>
      <c r="T834" s="16">
        <v>10</v>
      </c>
      <c r="U834" s="18" t="s">
        <v>562</v>
      </c>
      <c r="V834" s="18" t="s">
        <v>125</v>
      </c>
      <c r="W834" s="13"/>
      <c r="X834" s="13"/>
      <c r="Y834" s="18" t="s">
        <v>563</v>
      </c>
      <c r="Z834" s="18" t="s">
        <v>82</v>
      </c>
      <c r="AA834" s="18" t="s">
        <v>83</v>
      </c>
      <c r="AB834" s="18" t="s">
        <v>138</v>
      </c>
      <c r="AC834" s="18" t="s">
        <v>85</v>
      </c>
      <c r="AD834" s="18">
        <v>114.9</v>
      </c>
      <c r="AE834" s="18">
        <v>0</v>
      </c>
      <c r="AF834" s="18">
        <v>0</v>
      </c>
      <c r="AG834" s="18">
        <v>0</v>
      </c>
      <c r="AH834" s="18">
        <v>0</v>
      </c>
      <c r="AI834" s="18">
        <v>0</v>
      </c>
      <c r="AJ834" s="18">
        <v>0</v>
      </c>
      <c r="AK834" s="18">
        <v>0</v>
      </c>
      <c r="AL834" s="18">
        <v>0</v>
      </c>
      <c r="AM834" s="18">
        <v>0</v>
      </c>
      <c r="AN834" s="18">
        <v>0</v>
      </c>
      <c r="AO834" s="18">
        <v>0</v>
      </c>
      <c r="AP834" s="18">
        <v>0</v>
      </c>
      <c r="AQ834" s="18">
        <v>0</v>
      </c>
      <c r="AR834" s="18">
        <v>0</v>
      </c>
      <c r="AS834" s="18">
        <v>0</v>
      </c>
      <c r="AT834" s="18">
        <v>0</v>
      </c>
      <c r="AU834" s="18">
        <v>0</v>
      </c>
      <c r="AV834" s="18">
        <v>0</v>
      </c>
      <c r="AW834" s="18">
        <v>0</v>
      </c>
      <c r="AX834" s="18">
        <v>0</v>
      </c>
      <c r="AY834" s="13"/>
      <c r="AZ834" s="18">
        <v>1</v>
      </c>
      <c r="BA834" s="18">
        <v>0</v>
      </c>
      <c r="BB834" s="18">
        <v>62.14</v>
      </c>
      <c r="BC834" s="18" t="s">
        <v>564</v>
      </c>
      <c r="BD834" s="18" t="s">
        <v>337</v>
      </c>
      <c r="BE834" s="18" t="s">
        <v>76</v>
      </c>
      <c r="BF834" s="18" t="s">
        <v>77</v>
      </c>
      <c r="BG834" s="18">
        <v>162</v>
      </c>
      <c r="BH834" s="18">
        <v>53</v>
      </c>
      <c r="BI834" s="18">
        <v>0.7535</v>
      </c>
      <c r="BJ834" s="18">
        <v>0</v>
      </c>
      <c r="BK834" s="18">
        <v>17</v>
      </c>
      <c r="BL834" s="18">
        <v>95.3</v>
      </c>
      <c r="BM834" s="13">
        <f t="shared" si="0"/>
        <v>3117.4</v>
      </c>
    </row>
    <row r="835" customHeight="1" spans="1:65">
      <c r="A835" s="18" t="s">
        <v>742</v>
      </c>
      <c r="B835" s="18" t="s">
        <v>222</v>
      </c>
      <c r="C835" s="18" t="s">
        <v>566</v>
      </c>
      <c r="D835" s="13"/>
      <c r="E835" s="18" t="s">
        <v>209</v>
      </c>
      <c r="F835" s="18" t="s">
        <v>160</v>
      </c>
      <c r="G835" s="18" t="s">
        <v>83</v>
      </c>
      <c r="H835" s="18" t="s">
        <v>84</v>
      </c>
      <c r="I835" s="18" t="s">
        <v>85</v>
      </c>
      <c r="J835" s="18">
        <v>5</v>
      </c>
      <c r="K835" s="16">
        <v>279.99</v>
      </c>
      <c r="L835" s="10"/>
      <c r="M835" s="16">
        <v>0</v>
      </c>
      <c r="N835" s="16">
        <v>0</v>
      </c>
      <c r="O835" s="18">
        <v>0</v>
      </c>
      <c r="P835" s="18" t="s">
        <v>71</v>
      </c>
      <c r="Q835" s="18">
        <v>5.638319</v>
      </c>
      <c r="R835" s="16">
        <v>35</v>
      </c>
      <c r="S835" s="16">
        <v>15</v>
      </c>
      <c r="T835" s="16">
        <v>10</v>
      </c>
      <c r="U835" s="18" t="s">
        <v>742</v>
      </c>
      <c r="V835" s="18" t="s">
        <v>222</v>
      </c>
      <c r="W835" s="18" t="s">
        <v>2740</v>
      </c>
      <c r="X835" s="13"/>
      <c r="Y835" s="18" t="s">
        <v>209</v>
      </c>
      <c r="Z835" s="18" t="s">
        <v>160</v>
      </c>
      <c r="AA835" s="18" t="s">
        <v>83</v>
      </c>
      <c r="AB835" s="18" t="s">
        <v>84</v>
      </c>
      <c r="AC835" s="18" t="s">
        <v>85</v>
      </c>
      <c r="AD835" s="18">
        <v>554.98</v>
      </c>
      <c r="AE835" s="18">
        <v>0</v>
      </c>
      <c r="AF835" s="18">
        <v>0</v>
      </c>
      <c r="AG835" s="18">
        <v>0</v>
      </c>
      <c r="AH835" s="18">
        <v>1</v>
      </c>
      <c r="AI835" s="18">
        <v>0</v>
      </c>
      <c r="AJ835" s="18">
        <v>0</v>
      </c>
      <c r="AK835" s="18">
        <v>0</v>
      </c>
      <c r="AL835" s="18">
        <v>0</v>
      </c>
      <c r="AM835" s="18">
        <v>0</v>
      </c>
      <c r="AN835" s="18">
        <v>0</v>
      </c>
      <c r="AO835" s="18">
        <v>0</v>
      </c>
      <c r="AP835" s="18">
        <v>0</v>
      </c>
      <c r="AQ835" s="18">
        <v>1</v>
      </c>
      <c r="AR835" s="18">
        <v>0</v>
      </c>
      <c r="AS835" s="18">
        <v>0</v>
      </c>
      <c r="AT835" s="18">
        <v>1</v>
      </c>
      <c r="AU835" s="18">
        <v>0</v>
      </c>
      <c r="AV835" s="18">
        <v>1</v>
      </c>
      <c r="AW835" s="18">
        <v>1</v>
      </c>
      <c r="AX835" s="18">
        <v>0</v>
      </c>
      <c r="AY835" s="18">
        <v>8</v>
      </c>
      <c r="AZ835" s="18">
        <v>1</v>
      </c>
      <c r="BA835" s="18">
        <v>3</v>
      </c>
      <c r="BB835" s="18">
        <v>53.1</v>
      </c>
      <c r="BC835" s="18" t="s">
        <v>567</v>
      </c>
      <c r="BD835" s="18" t="s">
        <v>225</v>
      </c>
      <c r="BE835" s="18" t="s">
        <v>226</v>
      </c>
      <c r="BF835" s="18" t="s">
        <v>77</v>
      </c>
      <c r="BG835" s="18">
        <v>1</v>
      </c>
      <c r="BH835" s="18">
        <v>147</v>
      </c>
      <c r="BI835" s="18">
        <v>0.0068</v>
      </c>
      <c r="BJ835" s="18">
        <v>1</v>
      </c>
      <c r="BK835" s="18">
        <v>11</v>
      </c>
      <c r="BL835" s="18">
        <v>97</v>
      </c>
      <c r="BM835" s="13">
        <f t="shared" si="0"/>
        <v>4199.85</v>
      </c>
    </row>
    <row r="836" customHeight="1" spans="1:65">
      <c r="A836" s="18" t="s">
        <v>565</v>
      </c>
      <c r="B836" s="18" t="s">
        <v>222</v>
      </c>
      <c r="C836" s="18" t="s">
        <v>566</v>
      </c>
      <c r="D836" s="13"/>
      <c r="E836" s="18" t="s">
        <v>255</v>
      </c>
      <c r="F836" s="18" t="s">
        <v>160</v>
      </c>
      <c r="G836" s="18" t="s">
        <v>83</v>
      </c>
      <c r="H836" s="18" t="s">
        <v>84</v>
      </c>
      <c r="I836" s="18" t="s">
        <v>85</v>
      </c>
      <c r="J836" s="18">
        <v>5</v>
      </c>
      <c r="K836" s="16">
        <v>279.99</v>
      </c>
      <c r="L836" s="10"/>
      <c r="M836" s="16">
        <v>0</v>
      </c>
      <c r="N836" s="16">
        <v>0</v>
      </c>
      <c r="O836" s="18">
        <v>0</v>
      </c>
      <c r="P836" s="18" t="s">
        <v>71</v>
      </c>
      <c r="Q836" s="18">
        <v>5.638319</v>
      </c>
      <c r="R836" s="10"/>
      <c r="S836" s="16">
        <v>522</v>
      </c>
      <c r="T836" s="16">
        <v>10</v>
      </c>
      <c r="U836" s="18" t="s">
        <v>565</v>
      </c>
      <c r="V836" s="18" t="s">
        <v>222</v>
      </c>
      <c r="W836" s="18" t="s">
        <v>2740</v>
      </c>
      <c r="X836" s="13"/>
      <c r="Y836" s="18" t="s">
        <v>255</v>
      </c>
      <c r="Z836" s="18" t="s">
        <v>160</v>
      </c>
      <c r="AA836" s="18" t="s">
        <v>83</v>
      </c>
      <c r="AB836" s="18" t="s">
        <v>84</v>
      </c>
      <c r="AC836" s="18" t="s">
        <v>85</v>
      </c>
      <c r="AD836" s="18">
        <v>554.98</v>
      </c>
      <c r="AE836" s="18">
        <v>0</v>
      </c>
      <c r="AF836" s="18">
        <v>0</v>
      </c>
      <c r="AG836" s="18">
        <v>0</v>
      </c>
      <c r="AH836" s="18">
        <v>1</v>
      </c>
      <c r="AI836" s="18">
        <v>0</v>
      </c>
      <c r="AJ836" s="18">
        <v>0</v>
      </c>
      <c r="AK836" s="18">
        <v>0</v>
      </c>
      <c r="AL836" s="18">
        <v>0</v>
      </c>
      <c r="AM836" s="18">
        <v>0</v>
      </c>
      <c r="AN836" s="18">
        <v>0</v>
      </c>
      <c r="AO836" s="18">
        <v>0</v>
      </c>
      <c r="AP836" s="18">
        <v>0</v>
      </c>
      <c r="AQ836" s="18">
        <v>1</v>
      </c>
      <c r="AR836" s="18">
        <v>0</v>
      </c>
      <c r="AS836" s="18">
        <v>0</v>
      </c>
      <c r="AT836" s="18">
        <v>1</v>
      </c>
      <c r="AU836" s="18">
        <v>0</v>
      </c>
      <c r="AV836" s="18">
        <v>1</v>
      </c>
      <c r="AW836" s="18">
        <v>1</v>
      </c>
      <c r="AX836" s="18">
        <v>0</v>
      </c>
      <c r="AY836" s="13"/>
      <c r="AZ836" s="18">
        <v>1</v>
      </c>
      <c r="BA836" s="18">
        <v>2</v>
      </c>
      <c r="BB836" s="18">
        <v>68.83</v>
      </c>
      <c r="BC836" s="18" t="s">
        <v>567</v>
      </c>
      <c r="BD836" s="18" t="s">
        <v>225</v>
      </c>
      <c r="BE836" s="18" t="s">
        <v>226</v>
      </c>
      <c r="BF836" s="18" t="s">
        <v>77</v>
      </c>
      <c r="BG836" s="18">
        <v>1</v>
      </c>
      <c r="BH836" s="18">
        <v>147</v>
      </c>
      <c r="BI836" s="18">
        <v>0.0068</v>
      </c>
      <c r="BJ836" s="18">
        <v>1</v>
      </c>
      <c r="BK836" s="18">
        <v>5</v>
      </c>
      <c r="BL836" s="18">
        <v>98.6</v>
      </c>
      <c r="BM836" s="13">
        <f t="shared" si="0"/>
        <v>146154.78</v>
      </c>
    </row>
    <row r="837" customHeight="1" spans="1:65">
      <c r="A837" s="18" t="s">
        <v>2174</v>
      </c>
      <c r="B837" s="18" t="s">
        <v>222</v>
      </c>
      <c r="C837" s="18" t="s">
        <v>2175</v>
      </c>
      <c r="D837" s="13"/>
      <c r="E837" s="18" t="s">
        <v>255</v>
      </c>
      <c r="F837" s="18" t="s">
        <v>82</v>
      </c>
      <c r="G837" s="18" t="s">
        <v>83</v>
      </c>
      <c r="H837" s="18" t="s">
        <v>84</v>
      </c>
      <c r="I837" s="18" t="s">
        <v>85</v>
      </c>
      <c r="J837" s="18">
        <v>5</v>
      </c>
      <c r="K837" s="16">
        <v>39.99</v>
      </c>
      <c r="L837" s="10"/>
      <c r="M837" s="16">
        <v>0</v>
      </c>
      <c r="N837" s="16">
        <v>0</v>
      </c>
      <c r="O837" s="18">
        <v>0</v>
      </c>
      <c r="P837" s="18" t="s">
        <v>86</v>
      </c>
      <c r="Q837" s="18">
        <v>3.713328</v>
      </c>
      <c r="R837" s="10"/>
      <c r="S837" s="16">
        <v>15</v>
      </c>
      <c r="T837" s="16">
        <v>10</v>
      </c>
      <c r="U837" s="18" t="s">
        <v>2741</v>
      </c>
      <c r="V837" s="18" t="s">
        <v>222</v>
      </c>
      <c r="W837" s="18" t="s">
        <v>2742</v>
      </c>
      <c r="X837" s="13"/>
      <c r="Y837" s="18" t="s">
        <v>255</v>
      </c>
      <c r="Z837" s="18" t="s">
        <v>82</v>
      </c>
      <c r="AA837" s="18" t="s">
        <v>83</v>
      </c>
      <c r="AB837" s="18" t="s">
        <v>84</v>
      </c>
      <c r="AC837" s="18" t="s">
        <v>85</v>
      </c>
      <c r="AD837" s="18">
        <v>74.98</v>
      </c>
      <c r="AE837" s="18">
        <v>1</v>
      </c>
      <c r="AF837" s="18">
        <v>1</v>
      </c>
      <c r="AG837" s="18">
        <v>0</v>
      </c>
      <c r="AH837" s="18">
        <v>1</v>
      </c>
      <c r="AI837" s="18">
        <v>0</v>
      </c>
      <c r="AJ837" s="18">
        <v>1</v>
      </c>
      <c r="AK837" s="18">
        <v>0</v>
      </c>
      <c r="AL837" s="18">
        <v>0</v>
      </c>
      <c r="AM837" s="18">
        <v>0</v>
      </c>
      <c r="AN837" s="18">
        <v>0</v>
      </c>
      <c r="AO837" s="18">
        <v>0</v>
      </c>
      <c r="AP837" s="18">
        <v>0</v>
      </c>
      <c r="AQ837" s="18">
        <v>0</v>
      </c>
      <c r="AR837" s="18">
        <v>0</v>
      </c>
      <c r="AS837" s="18">
        <v>0</v>
      </c>
      <c r="AT837" s="18">
        <v>1</v>
      </c>
      <c r="AU837" s="18">
        <v>0</v>
      </c>
      <c r="AV837" s="18">
        <v>0</v>
      </c>
      <c r="AW837" s="18">
        <v>0</v>
      </c>
      <c r="AX837" s="18">
        <v>0</v>
      </c>
      <c r="AY837" s="13"/>
      <c r="AZ837" s="18">
        <v>1</v>
      </c>
      <c r="BA837" s="18">
        <v>2</v>
      </c>
      <c r="BB837" s="18">
        <v>53.43</v>
      </c>
      <c r="BC837" s="18" t="s">
        <v>567</v>
      </c>
      <c r="BD837" s="18" t="s">
        <v>225</v>
      </c>
      <c r="BE837" s="18" t="s">
        <v>226</v>
      </c>
      <c r="BF837" s="18" t="s">
        <v>77</v>
      </c>
      <c r="BG837" s="18">
        <v>1</v>
      </c>
      <c r="BH837" s="18">
        <v>147</v>
      </c>
      <c r="BI837" s="18">
        <v>0.0068</v>
      </c>
      <c r="BJ837" s="18">
        <v>1</v>
      </c>
      <c r="BK837" s="18">
        <v>7</v>
      </c>
      <c r="BL837" s="18">
        <v>98.1</v>
      </c>
      <c r="BM837" s="13">
        <f t="shared" si="0"/>
        <v>599.85</v>
      </c>
    </row>
    <row r="838" customHeight="1" spans="1:65">
      <c r="A838" s="18" t="s">
        <v>1548</v>
      </c>
      <c r="B838" s="18" t="s">
        <v>1135</v>
      </c>
      <c r="C838" s="18" t="s">
        <v>1549</v>
      </c>
      <c r="D838" s="13"/>
      <c r="E838" s="18" t="s">
        <v>81</v>
      </c>
      <c r="F838" s="18" t="s">
        <v>160</v>
      </c>
      <c r="G838" s="18" t="s">
        <v>83</v>
      </c>
      <c r="H838" s="18" t="s">
        <v>84</v>
      </c>
      <c r="I838" s="18" t="s">
        <v>85</v>
      </c>
      <c r="J838" s="18">
        <v>5</v>
      </c>
      <c r="K838" s="16">
        <v>209.99</v>
      </c>
      <c r="L838" s="16">
        <v>329.99</v>
      </c>
      <c r="M838" s="16">
        <v>36.36</v>
      </c>
      <c r="N838" s="16">
        <v>120</v>
      </c>
      <c r="O838" s="18">
        <v>1</v>
      </c>
      <c r="P838" s="18" t="s">
        <v>71</v>
      </c>
      <c r="Q838" s="18">
        <v>5.351811</v>
      </c>
      <c r="R838" s="10"/>
      <c r="S838" s="16">
        <v>1387</v>
      </c>
      <c r="T838" s="16">
        <v>10</v>
      </c>
      <c r="U838" s="18" t="s">
        <v>1548</v>
      </c>
      <c r="V838" s="18" t="s">
        <v>1135</v>
      </c>
      <c r="W838" s="18" t="s">
        <v>2743</v>
      </c>
      <c r="X838" s="13"/>
      <c r="Y838" s="18" t="s">
        <v>81</v>
      </c>
      <c r="Z838" s="18" t="s">
        <v>160</v>
      </c>
      <c r="AA838" s="18" t="s">
        <v>83</v>
      </c>
      <c r="AB838" s="18" t="s">
        <v>84</v>
      </c>
      <c r="AC838" s="18" t="s">
        <v>85</v>
      </c>
      <c r="AD838" s="18">
        <v>58.6966666666668</v>
      </c>
      <c r="AE838" s="18">
        <v>1</v>
      </c>
      <c r="AF838" s="18">
        <v>1</v>
      </c>
      <c r="AG838" s="18">
        <v>0</v>
      </c>
      <c r="AH838" s="18">
        <v>1</v>
      </c>
      <c r="AI838" s="18">
        <v>0</v>
      </c>
      <c r="AJ838" s="18">
        <v>0</v>
      </c>
      <c r="AK838" s="18">
        <v>0</v>
      </c>
      <c r="AL838" s="18">
        <v>0</v>
      </c>
      <c r="AM838" s="18">
        <v>0</v>
      </c>
      <c r="AN838" s="18">
        <v>0</v>
      </c>
      <c r="AO838" s="18">
        <v>0</v>
      </c>
      <c r="AP838" s="18">
        <v>0</v>
      </c>
      <c r="AQ838" s="18">
        <v>0</v>
      </c>
      <c r="AR838" s="18">
        <v>0</v>
      </c>
      <c r="AS838" s="18">
        <v>0</v>
      </c>
      <c r="AT838" s="18">
        <v>1</v>
      </c>
      <c r="AU838" s="18">
        <v>0</v>
      </c>
      <c r="AV838" s="18">
        <v>0</v>
      </c>
      <c r="AW838" s="18">
        <v>1</v>
      </c>
      <c r="AX838" s="18">
        <v>0</v>
      </c>
      <c r="AY838" s="13"/>
      <c r="AZ838" s="18">
        <v>1</v>
      </c>
      <c r="BA838" s="18">
        <v>2</v>
      </c>
      <c r="BB838" s="18">
        <v>80.14</v>
      </c>
      <c r="BC838" s="18" t="s">
        <v>567</v>
      </c>
      <c r="BD838" s="18" t="s">
        <v>225</v>
      </c>
      <c r="BE838" s="18" t="s">
        <v>226</v>
      </c>
      <c r="BF838" s="18" t="s">
        <v>77</v>
      </c>
      <c r="BG838" s="18">
        <v>1</v>
      </c>
      <c r="BH838" s="18">
        <v>151</v>
      </c>
      <c r="BI838" s="18">
        <v>0.0066</v>
      </c>
      <c r="BJ838" s="18">
        <v>1</v>
      </c>
      <c r="BK838" s="18">
        <v>6</v>
      </c>
      <c r="BL838" s="18">
        <v>98.4</v>
      </c>
      <c r="BM838" s="13">
        <f t="shared" si="0"/>
        <v>291256.13</v>
      </c>
    </row>
    <row r="839" customHeight="1" spans="1:65">
      <c r="A839" s="18" t="s">
        <v>573</v>
      </c>
      <c r="B839" s="18" t="s">
        <v>125</v>
      </c>
      <c r="C839" s="19" t="s">
        <v>497</v>
      </c>
      <c r="D839" s="13"/>
      <c r="E839" s="18" t="s">
        <v>426</v>
      </c>
      <c r="F839" s="18" t="s">
        <v>132</v>
      </c>
      <c r="G839" s="18" t="s">
        <v>427</v>
      </c>
      <c r="H839" s="18" t="s">
        <v>138</v>
      </c>
      <c r="I839" s="18" t="s">
        <v>85</v>
      </c>
      <c r="J839" s="18">
        <v>5</v>
      </c>
      <c r="K839" s="16">
        <v>25</v>
      </c>
      <c r="L839" s="10"/>
      <c r="M839" s="16">
        <v>0</v>
      </c>
      <c r="N839" s="16">
        <v>0</v>
      </c>
      <c r="O839" s="18">
        <v>0</v>
      </c>
      <c r="P839" s="18" t="s">
        <v>86</v>
      </c>
      <c r="Q839" s="18">
        <v>3.258097</v>
      </c>
      <c r="R839" s="10"/>
      <c r="S839" s="16">
        <v>5</v>
      </c>
      <c r="T839" s="16">
        <v>8</v>
      </c>
      <c r="U839" s="18" t="s">
        <v>573</v>
      </c>
      <c r="V839" s="18" t="s">
        <v>125</v>
      </c>
      <c r="W839" s="19" t="s">
        <v>497</v>
      </c>
      <c r="X839" s="13"/>
      <c r="Y839" s="18" t="s">
        <v>426</v>
      </c>
      <c r="Z839" s="18" t="s">
        <v>132</v>
      </c>
      <c r="AA839" s="18" t="s">
        <v>427</v>
      </c>
      <c r="AB839" s="18" t="s">
        <v>138</v>
      </c>
      <c r="AC839" s="18" t="s">
        <v>85</v>
      </c>
      <c r="AD839" s="18">
        <v>45</v>
      </c>
      <c r="AE839" s="18">
        <v>0</v>
      </c>
      <c r="AF839" s="18">
        <v>1</v>
      </c>
      <c r="AG839" s="18">
        <v>0</v>
      </c>
      <c r="AH839" s="18">
        <v>0</v>
      </c>
      <c r="AI839" s="18">
        <v>0</v>
      </c>
      <c r="AJ839" s="18">
        <v>0</v>
      </c>
      <c r="AK839" s="18">
        <v>0</v>
      </c>
      <c r="AL839" s="18">
        <v>0</v>
      </c>
      <c r="AM839" s="18">
        <v>0</v>
      </c>
      <c r="AN839" s="18">
        <v>0</v>
      </c>
      <c r="AO839" s="18">
        <v>0</v>
      </c>
      <c r="AP839" s="18">
        <v>0</v>
      </c>
      <c r="AQ839" s="18">
        <v>0</v>
      </c>
      <c r="AR839" s="18">
        <v>0</v>
      </c>
      <c r="AS839" s="18">
        <v>0</v>
      </c>
      <c r="AT839" s="18">
        <v>0</v>
      </c>
      <c r="AU839" s="18">
        <v>0</v>
      </c>
      <c r="AV839" s="18">
        <v>0</v>
      </c>
      <c r="AW839" s="18">
        <v>0</v>
      </c>
      <c r="AX839" s="18">
        <v>0</v>
      </c>
      <c r="AY839" s="13"/>
      <c r="AZ839" s="18">
        <v>1</v>
      </c>
      <c r="BA839" s="18">
        <v>0</v>
      </c>
      <c r="BB839" s="18">
        <v>15.38</v>
      </c>
      <c r="BC839" s="18" t="s">
        <v>574</v>
      </c>
      <c r="BD839" s="18" t="s">
        <v>575</v>
      </c>
      <c r="BE839" s="18" t="s">
        <v>576</v>
      </c>
      <c r="BF839" s="18" t="s">
        <v>77</v>
      </c>
      <c r="BG839" s="18">
        <v>1</v>
      </c>
      <c r="BH839" s="18">
        <v>11</v>
      </c>
      <c r="BI839" s="18">
        <v>0.0833</v>
      </c>
      <c r="BJ839" s="18">
        <v>1</v>
      </c>
      <c r="BK839" s="13"/>
      <c r="BL839" s="13"/>
      <c r="BM839" s="13">
        <f t="shared" si="0"/>
        <v>125</v>
      </c>
    </row>
    <row r="840" customHeight="1" spans="1:65">
      <c r="A840" s="18" t="s">
        <v>580</v>
      </c>
      <c r="B840" s="18" t="s">
        <v>125</v>
      </c>
      <c r="C840" s="13"/>
      <c r="D840" s="13"/>
      <c r="E840" s="18" t="s">
        <v>163</v>
      </c>
      <c r="F840" s="18" t="s">
        <v>82</v>
      </c>
      <c r="G840" s="18" t="s">
        <v>83</v>
      </c>
      <c r="H840" s="18" t="s">
        <v>138</v>
      </c>
      <c r="I840" s="18" t="s">
        <v>85</v>
      </c>
      <c r="J840" s="18">
        <v>5</v>
      </c>
      <c r="K840" s="16">
        <v>91.9</v>
      </c>
      <c r="L840" s="10"/>
      <c r="M840" s="16">
        <v>0</v>
      </c>
      <c r="N840" s="16">
        <v>0</v>
      </c>
      <c r="O840" s="18">
        <v>0</v>
      </c>
      <c r="P840" s="18" t="s">
        <v>95</v>
      </c>
      <c r="Q840" s="18">
        <v>4.531524</v>
      </c>
      <c r="R840" s="10"/>
      <c r="S840" s="16">
        <v>12</v>
      </c>
      <c r="T840" s="16">
        <v>2</v>
      </c>
      <c r="U840" s="18" t="s">
        <v>580</v>
      </c>
      <c r="V840" s="18" t="s">
        <v>125</v>
      </c>
      <c r="W840" s="13"/>
      <c r="X840" s="13"/>
      <c r="Y840" s="18" t="s">
        <v>163</v>
      </c>
      <c r="Z840" s="18" t="s">
        <v>82</v>
      </c>
      <c r="AA840" s="18" t="s">
        <v>83</v>
      </c>
      <c r="AB840" s="18" t="s">
        <v>138</v>
      </c>
      <c r="AC840" s="18" t="s">
        <v>85</v>
      </c>
      <c r="AD840" s="18">
        <v>178.8</v>
      </c>
      <c r="AE840" s="18">
        <v>0</v>
      </c>
      <c r="AF840" s="18">
        <v>0</v>
      </c>
      <c r="AG840" s="18">
        <v>0</v>
      </c>
      <c r="AH840" s="18">
        <v>0</v>
      </c>
      <c r="AI840" s="18">
        <v>0</v>
      </c>
      <c r="AJ840" s="18">
        <v>0</v>
      </c>
      <c r="AK840" s="18">
        <v>0</v>
      </c>
      <c r="AL840" s="18">
        <v>0</v>
      </c>
      <c r="AM840" s="18">
        <v>0</v>
      </c>
      <c r="AN840" s="18">
        <v>0</v>
      </c>
      <c r="AO840" s="18">
        <v>0</v>
      </c>
      <c r="AP840" s="18">
        <v>0</v>
      </c>
      <c r="AQ840" s="18">
        <v>0</v>
      </c>
      <c r="AR840" s="18">
        <v>0</v>
      </c>
      <c r="AS840" s="18">
        <v>0</v>
      </c>
      <c r="AT840" s="18">
        <v>0</v>
      </c>
      <c r="AU840" s="18">
        <v>0</v>
      </c>
      <c r="AV840" s="18">
        <v>0</v>
      </c>
      <c r="AW840" s="18">
        <v>0</v>
      </c>
      <c r="AX840" s="18">
        <v>0</v>
      </c>
      <c r="AY840" s="13"/>
      <c r="AZ840" s="18">
        <v>1</v>
      </c>
      <c r="BA840" s="18">
        <v>0</v>
      </c>
      <c r="BB840" s="18">
        <v>64.13</v>
      </c>
      <c r="BC840" s="18" t="s">
        <v>581</v>
      </c>
      <c r="BD840" s="18" t="s">
        <v>582</v>
      </c>
      <c r="BE840" s="18" t="s">
        <v>583</v>
      </c>
      <c r="BF840" s="18" t="s">
        <v>584</v>
      </c>
      <c r="BG840" s="18">
        <v>1</v>
      </c>
      <c r="BH840" s="18">
        <v>1</v>
      </c>
      <c r="BI840" s="18">
        <v>0.5</v>
      </c>
      <c r="BJ840" s="18">
        <v>1</v>
      </c>
      <c r="BK840" s="18">
        <v>2</v>
      </c>
      <c r="BL840" s="18">
        <v>99.5</v>
      </c>
      <c r="BM840" s="13">
        <f t="shared" si="0"/>
        <v>1102.8</v>
      </c>
    </row>
    <row r="841" customHeight="1" spans="1:65">
      <c r="A841" s="18" t="s">
        <v>143</v>
      </c>
      <c r="B841" s="18" t="s">
        <v>144</v>
      </c>
      <c r="C841" s="18" t="s">
        <v>145</v>
      </c>
      <c r="D841" s="13"/>
      <c r="E841" s="19" t="s">
        <v>146</v>
      </c>
      <c r="F841" s="18" t="s">
        <v>132</v>
      </c>
      <c r="G841" s="18" t="s">
        <v>83</v>
      </c>
      <c r="H841" s="18" t="s">
        <v>84</v>
      </c>
      <c r="I841" s="18" t="s">
        <v>85</v>
      </c>
      <c r="J841" s="18">
        <v>5</v>
      </c>
      <c r="K841" s="16">
        <v>549</v>
      </c>
      <c r="L841" s="10"/>
      <c r="M841" s="16">
        <v>0</v>
      </c>
      <c r="N841" s="16">
        <v>0</v>
      </c>
      <c r="O841" s="18">
        <v>0</v>
      </c>
      <c r="P841" s="18" t="s">
        <v>147</v>
      </c>
      <c r="Q841" s="18">
        <v>6.309918</v>
      </c>
      <c r="R841" s="10"/>
      <c r="S841" s="16">
        <v>6</v>
      </c>
      <c r="T841" s="16">
        <v>10</v>
      </c>
      <c r="U841" s="18" t="s">
        <v>143</v>
      </c>
      <c r="V841" s="18" t="s">
        <v>144</v>
      </c>
      <c r="W841" s="18" t="s">
        <v>145</v>
      </c>
      <c r="X841" s="13"/>
      <c r="Y841" s="19" t="s">
        <v>146</v>
      </c>
      <c r="Z841" s="18" t="s">
        <v>132</v>
      </c>
      <c r="AA841" s="18" t="s">
        <v>83</v>
      </c>
      <c r="AB841" s="18" t="s">
        <v>84</v>
      </c>
      <c r="AC841" s="18" t="s">
        <v>85</v>
      </c>
      <c r="AD841" s="18">
        <v>1093</v>
      </c>
      <c r="AE841" s="18">
        <v>0</v>
      </c>
      <c r="AF841" s="18">
        <v>0</v>
      </c>
      <c r="AG841" s="18">
        <v>0</v>
      </c>
      <c r="AH841" s="18">
        <v>1</v>
      </c>
      <c r="AI841" s="18">
        <v>0</v>
      </c>
      <c r="AJ841" s="18">
        <v>0</v>
      </c>
      <c r="AK841" s="18">
        <v>0</v>
      </c>
      <c r="AL841" s="18">
        <v>0</v>
      </c>
      <c r="AM841" s="18">
        <v>0</v>
      </c>
      <c r="AN841" s="18">
        <v>0</v>
      </c>
      <c r="AO841" s="18">
        <v>0</v>
      </c>
      <c r="AP841" s="18">
        <v>0</v>
      </c>
      <c r="AQ841" s="18">
        <v>0</v>
      </c>
      <c r="AR841" s="18">
        <v>0</v>
      </c>
      <c r="AS841" s="18">
        <v>0</v>
      </c>
      <c r="AT841" s="18">
        <v>0</v>
      </c>
      <c r="AU841" s="18">
        <v>0</v>
      </c>
      <c r="AV841" s="18">
        <v>0</v>
      </c>
      <c r="AW841" s="18">
        <v>0</v>
      </c>
      <c r="AX841" s="18">
        <v>0</v>
      </c>
      <c r="AY841" s="13"/>
      <c r="AZ841" s="18">
        <v>1</v>
      </c>
      <c r="BA841" s="18">
        <v>1</v>
      </c>
      <c r="BB841" s="18">
        <v>33.24</v>
      </c>
      <c r="BC841" s="18" t="s">
        <v>148</v>
      </c>
      <c r="BD841" s="18" t="s">
        <v>149</v>
      </c>
      <c r="BE841" s="18" t="s">
        <v>150</v>
      </c>
      <c r="BF841" s="18" t="s">
        <v>77</v>
      </c>
      <c r="BG841" s="18">
        <v>208</v>
      </c>
      <c r="BH841" s="18">
        <v>11</v>
      </c>
      <c r="BI841" s="18">
        <v>0.9498</v>
      </c>
      <c r="BJ841" s="18">
        <v>0</v>
      </c>
      <c r="BK841" s="18">
        <v>143</v>
      </c>
      <c r="BL841" s="18">
        <v>60.8</v>
      </c>
      <c r="BM841" s="13">
        <f t="shared" si="0"/>
        <v>3294</v>
      </c>
    </row>
    <row r="842" customHeight="1" spans="1:65">
      <c r="A842" s="18" t="s">
        <v>587</v>
      </c>
      <c r="B842" s="18" t="s">
        <v>427</v>
      </c>
      <c r="C842" s="13"/>
      <c r="D842" s="13"/>
      <c r="E842" s="18" t="s">
        <v>275</v>
      </c>
      <c r="F842" s="19" t="s">
        <v>276</v>
      </c>
      <c r="G842" s="18" t="s">
        <v>427</v>
      </c>
      <c r="H842" s="18" t="s">
        <v>107</v>
      </c>
      <c r="I842" s="18" t="s">
        <v>85</v>
      </c>
      <c r="J842" s="18">
        <v>5</v>
      </c>
      <c r="K842" s="16">
        <v>19.99</v>
      </c>
      <c r="L842" s="10"/>
      <c r="M842" s="16">
        <v>0</v>
      </c>
      <c r="N842" s="16">
        <v>0</v>
      </c>
      <c r="O842" s="18">
        <v>0</v>
      </c>
      <c r="P842" s="18" t="s">
        <v>133</v>
      </c>
      <c r="Q842" s="18">
        <v>3.044046</v>
      </c>
      <c r="R842" s="10"/>
      <c r="S842" s="16">
        <v>144</v>
      </c>
      <c r="T842" s="16">
        <v>10</v>
      </c>
      <c r="U842" s="18" t="s">
        <v>587</v>
      </c>
      <c r="V842" s="18" t="s">
        <v>427</v>
      </c>
      <c r="W842" s="13"/>
      <c r="X842" s="13"/>
      <c r="Y842" s="18" t="s">
        <v>275</v>
      </c>
      <c r="Z842" s="18" t="s">
        <v>276</v>
      </c>
      <c r="AA842" s="18" t="s">
        <v>427</v>
      </c>
      <c r="AB842" s="18" t="s">
        <v>107</v>
      </c>
      <c r="AC842" s="18" t="s">
        <v>85</v>
      </c>
      <c r="AD842" s="18">
        <v>34.98</v>
      </c>
      <c r="AE842" s="18">
        <v>0</v>
      </c>
      <c r="AF842" s="18">
        <v>0</v>
      </c>
      <c r="AG842" s="18">
        <v>0</v>
      </c>
      <c r="AH842" s="18">
        <v>0</v>
      </c>
      <c r="AI842" s="18">
        <v>0</v>
      </c>
      <c r="AJ842" s="18">
        <v>0</v>
      </c>
      <c r="AK842" s="18">
        <v>0</v>
      </c>
      <c r="AL842" s="18">
        <v>0</v>
      </c>
      <c r="AM842" s="18">
        <v>0</v>
      </c>
      <c r="AN842" s="18">
        <v>0</v>
      </c>
      <c r="AO842" s="18">
        <v>0</v>
      </c>
      <c r="AP842" s="18">
        <v>0</v>
      </c>
      <c r="AQ842" s="18">
        <v>0</v>
      </c>
      <c r="AR842" s="18">
        <v>0</v>
      </c>
      <c r="AS842" s="18">
        <v>0</v>
      </c>
      <c r="AT842" s="18">
        <v>0</v>
      </c>
      <c r="AU842" s="18">
        <v>0</v>
      </c>
      <c r="AV842" s="18">
        <v>0</v>
      </c>
      <c r="AW842" s="18">
        <v>1</v>
      </c>
      <c r="AX842" s="18">
        <v>0</v>
      </c>
      <c r="AY842" s="13"/>
      <c r="AZ842" s="18">
        <v>1</v>
      </c>
      <c r="BA842" s="18">
        <v>0</v>
      </c>
      <c r="BB842" s="18">
        <v>66.98</v>
      </c>
      <c r="BC842" s="18" t="s">
        <v>588</v>
      </c>
      <c r="BD842" s="18" t="s">
        <v>589</v>
      </c>
      <c r="BE842" s="18" t="s">
        <v>590</v>
      </c>
      <c r="BF842" s="18" t="s">
        <v>77</v>
      </c>
      <c r="BG842" s="18">
        <v>170</v>
      </c>
      <c r="BH842" s="18">
        <v>11</v>
      </c>
      <c r="BI842" s="18">
        <v>0.9392</v>
      </c>
      <c r="BJ842" s="18">
        <v>0</v>
      </c>
      <c r="BK842" s="18">
        <v>5</v>
      </c>
      <c r="BL842" s="18">
        <v>98.6</v>
      </c>
      <c r="BM842" s="13">
        <f t="shared" si="0"/>
        <v>2878.56</v>
      </c>
    </row>
    <row r="843" customHeight="1" spans="1:65">
      <c r="A843" s="18" t="s">
        <v>1055</v>
      </c>
      <c r="B843" s="18" t="s">
        <v>427</v>
      </c>
      <c r="C843" s="18" t="s">
        <v>1056</v>
      </c>
      <c r="D843" s="13"/>
      <c r="E843" s="18" t="s">
        <v>438</v>
      </c>
      <c r="F843" s="18" t="s">
        <v>82</v>
      </c>
      <c r="G843" s="18" t="s">
        <v>427</v>
      </c>
      <c r="H843" s="18" t="s">
        <v>107</v>
      </c>
      <c r="I843" s="18" t="s">
        <v>153</v>
      </c>
      <c r="J843" s="18">
        <v>2</v>
      </c>
      <c r="K843" s="16">
        <v>89.99</v>
      </c>
      <c r="L843" s="10"/>
      <c r="M843" s="16">
        <v>0</v>
      </c>
      <c r="N843" s="16">
        <v>0</v>
      </c>
      <c r="O843" s="18">
        <v>0</v>
      </c>
      <c r="P843" s="18" t="s">
        <v>95</v>
      </c>
      <c r="Q843" s="18">
        <v>4.51075</v>
      </c>
      <c r="R843" s="10"/>
      <c r="S843" s="16">
        <v>2</v>
      </c>
      <c r="T843" s="16">
        <v>2</v>
      </c>
      <c r="U843" s="18" t="s">
        <v>1055</v>
      </c>
      <c r="V843" s="18" t="s">
        <v>427</v>
      </c>
      <c r="W843" s="18" t="s">
        <v>1056</v>
      </c>
      <c r="X843" s="13"/>
      <c r="Y843" s="18" t="s">
        <v>438</v>
      </c>
      <c r="Z843" s="18" t="s">
        <v>82</v>
      </c>
      <c r="AA843" s="18" t="s">
        <v>427</v>
      </c>
      <c r="AB843" s="18" t="s">
        <v>107</v>
      </c>
      <c r="AC843" s="18" t="s">
        <v>153</v>
      </c>
      <c r="AD843" s="18">
        <v>177.98</v>
      </c>
      <c r="AE843" s="18">
        <v>0</v>
      </c>
      <c r="AF843" s="18">
        <v>0</v>
      </c>
      <c r="AG843" s="18">
        <v>0</v>
      </c>
      <c r="AH843" s="18">
        <v>0</v>
      </c>
      <c r="AI843" s="18">
        <v>0</v>
      </c>
      <c r="AJ843" s="18">
        <v>0</v>
      </c>
      <c r="AK843" s="18">
        <v>0</v>
      </c>
      <c r="AL843" s="18">
        <v>0</v>
      </c>
      <c r="AM843" s="18">
        <v>0</v>
      </c>
      <c r="AN843" s="18">
        <v>0</v>
      </c>
      <c r="AO843" s="18">
        <v>0</v>
      </c>
      <c r="AP843" s="18">
        <v>1</v>
      </c>
      <c r="AQ843" s="18">
        <v>0</v>
      </c>
      <c r="AR843" s="18">
        <v>0</v>
      </c>
      <c r="AS843" s="18">
        <v>0</v>
      </c>
      <c r="AT843" s="18">
        <v>1</v>
      </c>
      <c r="AU843" s="18">
        <v>1</v>
      </c>
      <c r="AV843" s="18">
        <v>0</v>
      </c>
      <c r="AW843" s="18">
        <v>0</v>
      </c>
      <c r="AX843" s="18">
        <v>0</v>
      </c>
      <c r="AY843" s="13"/>
      <c r="AZ843" s="18">
        <v>1</v>
      </c>
      <c r="BA843" s="18">
        <v>0</v>
      </c>
      <c r="BB843" s="18">
        <v>49.85</v>
      </c>
      <c r="BC843" s="18" t="s">
        <v>597</v>
      </c>
      <c r="BD843" s="18" t="s">
        <v>598</v>
      </c>
      <c r="BE843" s="18" t="s">
        <v>113</v>
      </c>
      <c r="BF843" s="18" t="s">
        <v>77</v>
      </c>
      <c r="BG843" s="18">
        <v>162</v>
      </c>
      <c r="BH843" s="18">
        <v>19</v>
      </c>
      <c r="BI843" s="18">
        <v>0.895</v>
      </c>
      <c r="BJ843" s="18">
        <v>0</v>
      </c>
      <c r="BK843" s="18">
        <v>2</v>
      </c>
      <c r="BL843" s="18">
        <v>99.5</v>
      </c>
      <c r="BM843" s="13">
        <f t="shared" si="0"/>
        <v>179.98</v>
      </c>
    </row>
    <row r="844" customHeight="1" spans="1:65">
      <c r="A844" s="18" t="s">
        <v>1368</v>
      </c>
      <c r="B844" s="18" t="s">
        <v>427</v>
      </c>
      <c r="C844" s="18" t="s">
        <v>1056</v>
      </c>
      <c r="D844" s="13"/>
      <c r="E844" s="18" t="s">
        <v>438</v>
      </c>
      <c r="F844" s="18" t="s">
        <v>82</v>
      </c>
      <c r="G844" s="18" t="s">
        <v>427</v>
      </c>
      <c r="H844" s="18" t="s">
        <v>107</v>
      </c>
      <c r="I844" s="18" t="s">
        <v>153</v>
      </c>
      <c r="J844" s="18">
        <v>2</v>
      </c>
      <c r="K844" s="16">
        <v>89.99</v>
      </c>
      <c r="L844" s="10"/>
      <c r="M844" s="16">
        <v>0</v>
      </c>
      <c r="N844" s="16">
        <v>0</v>
      </c>
      <c r="O844" s="18">
        <v>0</v>
      </c>
      <c r="P844" s="18" t="s">
        <v>95</v>
      </c>
      <c r="Q844" s="18">
        <v>4.51075</v>
      </c>
      <c r="R844" s="10"/>
      <c r="S844" s="16">
        <v>6</v>
      </c>
      <c r="T844" s="16">
        <v>4</v>
      </c>
      <c r="U844" s="18" t="s">
        <v>1368</v>
      </c>
      <c r="V844" s="18" t="s">
        <v>427</v>
      </c>
      <c r="W844" s="18" t="s">
        <v>1056</v>
      </c>
      <c r="X844" s="13"/>
      <c r="Y844" s="18" t="s">
        <v>438</v>
      </c>
      <c r="Z844" s="18" t="s">
        <v>82</v>
      </c>
      <c r="AA844" s="18" t="s">
        <v>427</v>
      </c>
      <c r="AB844" s="18" t="s">
        <v>107</v>
      </c>
      <c r="AC844" s="18" t="s">
        <v>153</v>
      </c>
      <c r="AD844" s="18">
        <v>177.98</v>
      </c>
      <c r="AE844" s="18">
        <v>0</v>
      </c>
      <c r="AF844" s="18">
        <v>0</v>
      </c>
      <c r="AG844" s="18">
        <v>0</v>
      </c>
      <c r="AH844" s="18">
        <v>0</v>
      </c>
      <c r="AI844" s="18">
        <v>0</v>
      </c>
      <c r="AJ844" s="18">
        <v>0</v>
      </c>
      <c r="AK844" s="18">
        <v>0</v>
      </c>
      <c r="AL844" s="18">
        <v>0</v>
      </c>
      <c r="AM844" s="18">
        <v>0</v>
      </c>
      <c r="AN844" s="18">
        <v>0</v>
      </c>
      <c r="AO844" s="18">
        <v>0</v>
      </c>
      <c r="AP844" s="18">
        <v>1</v>
      </c>
      <c r="AQ844" s="18">
        <v>0</v>
      </c>
      <c r="AR844" s="18">
        <v>0</v>
      </c>
      <c r="AS844" s="18">
        <v>0</v>
      </c>
      <c r="AT844" s="18">
        <v>1</v>
      </c>
      <c r="AU844" s="18">
        <v>1</v>
      </c>
      <c r="AV844" s="18">
        <v>0</v>
      </c>
      <c r="AW844" s="18">
        <v>0</v>
      </c>
      <c r="AX844" s="18">
        <v>0</v>
      </c>
      <c r="AY844" s="13"/>
      <c r="AZ844" s="18">
        <v>1</v>
      </c>
      <c r="BA844" s="18">
        <v>0</v>
      </c>
      <c r="BB844" s="18">
        <v>53.85</v>
      </c>
      <c r="BC844" s="18" t="s">
        <v>597</v>
      </c>
      <c r="BD844" s="18" t="s">
        <v>598</v>
      </c>
      <c r="BE844" s="18" t="s">
        <v>113</v>
      </c>
      <c r="BF844" s="18" t="s">
        <v>77</v>
      </c>
      <c r="BG844" s="18">
        <v>162</v>
      </c>
      <c r="BH844" s="18">
        <v>19</v>
      </c>
      <c r="BI844" s="18">
        <v>0.895</v>
      </c>
      <c r="BJ844" s="18">
        <v>0</v>
      </c>
      <c r="BK844" s="18">
        <v>2</v>
      </c>
      <c r="BL844" s="18">
        <v>99.5</v>
      </c>
      <c r="BM844" s="13">
        <f t="shared" si="0"/>
        <v>539.94</v>
      </c>
    </row>
    <row r="845" customHeight="1" spans="1:65">
      <c r="A845" s="18" t="s">
        <v>2007</v>
      </c>
      <c r="B845" s="18" t="s">
        <v>427</v>
      </c>
      <c r="C845" s="18" t="s">
        <v>1056</v>
      </c>
      <c r="D845" s="13"/>
      <c r="E845" s="18" t="s">
        <v>438</v>
      </c>
      <c r="F845" s="18" t="s">
        <v>82</v>
      </c>
      <c r="G845" s="18" t="s">
        <v>427</v>
      </c>
      <c r="H845" s="18" t="s">
        <v>107</v>
      </c>
      <c r="I845" s="18" t="s">
        <v>153</v>
      </c>
      <c r="J845" s="18">
        <v>2</v>
      </c>
      <c r="K845" s="16">
        <v>29.99</v>
      </c>
      <c r="L845" s="10"/>
      <c r="M845" s="16">
        <v>0</v>
      </c>
      <c r="N845" s="16">
        <v>0</v>
      </c>
      <c r="O845" s="18">
        <v>0</v>
      </c>
      <c r="P845" s="18" t="s">
        <v>86</v>
      </c>
      <c r="Q845" s="18">
        <v>3.433665</v>
      </c>
      <c r="R845" s="10"/>
      <c r="S845" s="16">
        <v>55</v>
      </c>
      <c r="T845" s="16">
        <v>10</v>
      </c>
      <c r="U845" s="18" t="s">
        <v>2007</v>
      </c>
      <c r="V845" s="18" t="s">
        <v>427</v>
      </c>
      <c r="W845" s="18" t="s">
        <v>1056</v>
      </c>
      <c r="X845" s="13"/>
      <c r="Y845" s="18" t="s">
        <v>438</v>
      </c>
      <c r="Z845" s="18" t="s">
        <v>82</v>
      </c>
      <c r="AA845" s="18" t="s">
        <v>427</v>
      </c>
      <c r="AB845" s="18" t="s">
        <v>107</v>
      </c>
      <c r="AC845" s="18" t="s">
        <v>153</v>
      </c>
      <c r="AD845" s="18">
        <v>57.98</v>
      </c>
      <c r="AE845" s="18">
        <v>0</v>
      </c>
      <c r="AF845" s="18">
        <v>1</v>
      </c>
      <c r="AG845" s="18">
        <v>0</v>
      </c>
      <c r="AH845" s="18">
        <v>0</v>
      </c>
      <c r="AI845" s="18">
        <v>0</v>
      </c>
      <c r="AJ845" s="18">
        <v>0</v>
      </c>
      <c r="AK845" s="18">
        <v>0</v>
      </c>
      <c r="AL845" s="18">
        <v>0</v>
      </c>
      <c r="AM845" s="18">
        <v>0</v>
      </c>
      <c r="AN845" s="18">
        <v>0</v>
      </c>
      <c r="AO845" s="18">
        <v>0</v>
      </c>
      <c r="AP845" s="18">
        <v>1</v>
      </c>
      <c r="AQ845" s="18">
        <v>0</v>
      </c>
      <c r="AR845" s="18">
        <v>0</v>
      </c>
      <c r="AS845" s="18">
        <v>0</v>
      </c>
      <c r="AT845" s="18">
        <v>0</v>
      </c>
      <c r="AU845" s="18">
        <v>0</v>
      </c>
      <c r="AV845" s="18">
        <v>0</v>
      </c>
      <c r="AW845" s="18">
        <v>1</v>
      </c>
      <c r="AX845" s="18">
        <v>0</v>
      </c>
      <c r="AY845" s="13"/>
      <c r="AZ845" s="18">
        <v>1</v>
      </c>
      <c r="BA845" s="18">
        <v>0</v>
      </c>
      <c r="BB845" s="18">
        <v>63.7</v>
      </c>
      <c r="BC845" s="18" t="s">
        <v>597</v>
      </c>
      <c r="BD845" s="18" t="s">
        <v>598</v>
      </c>
      <c r="BE845" s="18" t="s">
        <v>113</v>
      </c>
      <c r="BF845" s="18" t="s">
        <v>77</v>
      </c>
      <c r="BG845" s="18">
        <v>162</v>
      </c>
      <c r="BH845" s="18">
        <v>19</v>
      </c>
      <c r="BI845" s="18">
        <v>0.895</v>
      </c>
      <c r="BJ845" s="18">
        <v>0</v>
      </c>
      <c r="BK845" s="18">
        <v>2</v>
      </c>
      <c r="BL845" s="18">
        <v>99.5</v>
      </c>
      <c r="BM845" s="13">
        <f t="shared" si="0"/>
        <v>1649.45</v>
      </c>
    </row>
    <row r="846" customHeight="1" spans="1:65">
      <c r="A846" s="18" t="s">
        <v>838</v>
      </c>
      <c r="B846" s="18" t="s">
        <v>427</v>
      </c>
      <c r="C846" s="13"/>
      <c r="D846" s="13"/>
      <c r="E846" s="18" t="s">
        <v>839</v>
      </c>
      <c r="F846" s="18" t="s">
        <v>160</v>
      </c>
      <c r="G846" s="18" t="s">
        <v>427</v>
      </c>
      <c r="H846" s="18" t="s">
        <v>107</v>
      </c>
      <c r="I846" s="18" t="s">
        <v>85</v>
      </c>
      <c r="J846" s="18">
        <v>5</v>
      </c>
      <c r="K846" s="16">
        <v>19.99</v>
      </c>
      <c r="L846" s="10"/>
      <c r="M846" s="16">
        <v>0</v>
      </c>
      <c r="N846" s="16">
        <v>0</v>
      </c>
      <c r="O846" s="18">
        <v>0</v>
      </c>
      <c r="P846" s="18" t="s">
        <v>133</v>
      </c>
      <c r="Q846" s="18">
        <v>3.044046</v>
      </c>
      <c r="R846" s="10"/>
      <c r="S846" s="16">
        <v>41</v>
      </c>
      <c r="T846" s="16">
        <v>2</v>
      </c>
      <c r="U846" s="18" t="s">
        <v>838</v>
      </c>
      <c r="V846" s="18" t="s">
        <v>427</v>
      </c>
      <c r="W846" s="13"/>
      <c r="X846" s="13"/>
      <c r="Y846" s="18" t="s">
        <v>839</v>
      </c>
      <c r="Z846" s="18" t="s">
        <v>160</v>
      </c>
      <c r="AA846" s="18" t="s">
        <v>427</v>
      </c>
      <c r="AB846" s="18" t="s">
        <v>107</v>
      </c>
      <c r="AC846" s="18" t="s">
        <v>85</v>
      </c>
      <c r="AD846" s="18">
        <v>34.98</v>
      </c>
      <c r="AE846" s="18">
        <v>0</v>
      </c>
      <c r="AF846" s="18">
        <v>0</v>
      </c>
      <c r="AG846" s="18">
        <v>0</v>
      </c>
      <c r="AH846" s="18">
        <v>0</v>
      </c>
      <c r="AI846" s="18">
        <v>0</v>
      </c>
      <c r="AJ846" s="18">
        <v>0</v>
      </c>
      <c r="AK846" s="18">
        <v>0</v>
      </c>
      <c r="AL846" s="18">
        <v>0</v>
      </c>
      <c r="AM846" s="18">
        <v>0</v>
      </c>
      <c r="AN846" s="18">
        <v>0</v>
      </c>
      <c r="AO846" s="18">
        <v>0</v>
      </c>
      <c r="AP846" s="18">
        <v>0</v>
      </c>
      <c r="AQ846" s="18">
        <v>0</v>
      </c>
      <c r="AR846" s="18">
        <v>0</v>
      </c>
      <c r="AS846" s="18">
        <v>0</v>
      </c>
      <c r="AT846" s="18">
        <v>0</v>
      </c>
      <c r="AU846" s="18">
        <v>0</v>
      </c>
      <c r="AV846" s="18">
        <v>0</v>
      </c>
      <c r="AW846" s="18">
        <v>0</v>
      </c>
      <c r="AX846" s="18">
        <v>0</v>
      </c>
      <c r="AY846" s="13"/>
      <c r="AZ846" s="18">
        <v>1</v>
      </c>
      <c r="BA846" s="18">
        <v>0</v>
      </c>
      <c r="BB846" s="18">
        <v>67.99</v>
      </c>
      <c r="BC846" s="18" t="s">
        <v>597</v>
      </c>
      <c r="BD846" s="18" t="s">
        <v>598</v>
      </c>
      <c r="BE846" s="18" t="s">
        <v>113</v>
      </c>
      <c r="BF846" s="18" t="s">
        <v>77</v>
      </c>
      <c r="BG846" s="18">
        <v>162</v>
      </c>
      <c r="BH846" s="18">
        <v>19</v>
      </c>
      <c r="BI846" s="18">
        <v>0.895</v>
      </c>
      <c r="BJ846" s="18">
        <v>0</v>
      </c>
      <c r="BK846" s="18">
        <v>2</v>
      </c>
      <c r="BL846" s="18">
        <v>99.5</v>
      </c>
      <c r="BM846" s="13">
        <f t="shared" si="0"/>
        <v>819.59</v>
      </c>
    </row>
    <row r="847" customHeight="1" spans="1:65">
      <c r="A847" s="18" t="s">
        <v>2016</v>
      </c>
      <c r="B847" s="18" t="s">
        <v>344</v>
      </c>
      <c r="C847" s="13"/>
      <c r="D847" s="18">
        <v>840268997335</v>
      </c>
      <c r="E847" s="18" t="s">
        <v>2017</v>
      </c>
      <c r="F847" s="18" t="s">
        <v>82</v>
      </c>
      <c r="G847" s="18" t="s">
        <v>346</v>
      </c>
      <c r="H847" s="18" t="s">
        <v>107</v>
      </c>
      <c r="I847" s="18" t="s">
        <v>153</v>
      </c>
      <c r="J847" s="18">
        <v>2</v>
      </c>
      <c r="K847" s="16">
        <v>44.99</v>
      </c>
      <c r="L847" s="10"/>
      <c r="M847" s="16">
        <v>0</v>
      </c>
      <c r="N847" s="16">
        <v>0</v>
      </c>
      <c r="O847" s="18">
        <v>0</v>
      </c>
      <c r="P847" s="18" t="s">
        <v>86</v>
      </c>
      <c r="Q847" s="18">
        <v>3.828424</v>
      </c>
      <c r="R847" s="10"/>
      <c r="S847" s="16">
        <v>33</v>
      </c>
      <c r="T847" s="16">
        <v>1</v>
      </c>
      <c r="U847" s="18" t="s">
        <v>2016</v>
      </c>
      <c r="V847" s="18" t="s">
        <v>344</v>
      </c>
      <c r="W847" s="13"/>
      <c r="X847" s="18">
        <v>840268997336</v>
      </c>
      <c r="Y847" s="18" t="s">
        <v>2017</v>
      </c>
      <c r="Z847" s="18" t="s">
        <v>82</v>
      </c>
      <c r="AA847" s="18" t="s">
        <v>346</v>
      </c>
      <c r="AB847" s="18" t="s">
        <v>107</v>
      </c>
      <c r="AC847" s="18" t="s">
        <v>153</v>
      </c>
      <c r="AD847" s="18">
        <v>87.98</v>
      </c>
      <c r="AE847" s="18">
        <v>0</v>
      </c>
      <c r="AF847" s="18">
        <v>0</v>
      </c>
      <c r="AG847" s="18">
        <v>0</v>
      </c>
      <c r="AH847" s="18">
        <v>1</v>
      </c>
      <c r="AI847" s="18">
        <v>0</v>
      </c>
      <c r="AJ847" s="18">
        <v>0</v>
      </c>
      <c r="AK847" s="18">
        <v>0</v>
      </c>
      <c r="AL847" s="18">
        <v>0</v>
      </c>
      <c r="AM847" s="18">
        <v>0</v>
      </c>
      <c r="AN847" s="18">
        <v>0</v>
      </c>
      <c r="AO847" s="18">
        <v>0</v>
      </c>
      <c r="AP847" s="18">
        <v>1</v>
      </c>
      <c r="AQ847" s="18">
        <v>0</v>
      </c>
      <c r="AR847" s="18">
        <v>0</v>
      </c>
      <c r="AS847" s="18">
        <v>0</v>
      </c>
      <c r="AT847" s="18">
        <v>1</v>
      </c>
      <c r="AU847" s="18">
        <v>0</v>
      </c>
      <c r="AV847" s="18">
        <v>0</v>
      </c>
      <c r="AW847" s="18">
        <v>0</v>
      </c>
      <c r="AX847" s="18">
        <v>0</v>
      </c>
      <c r="AY847" s="13"/>
      <c r="AZ847" s="18">
        <v>1</v>
      </c>
      <c r="BA847" s="18">
        <v>1</v>
      </c>
      <c r="BB847" s="18">
        <v>68.67</v>
      </c>
      <c r="BC847" s="18" t="s">
        <v>597</v>
      </c>
      <c r="BD847" s="18" t="s">
        <v>598</v>
      </c>
      <c r="BE847" s="18" t="s">
        <v>113</v>
      </c>
      <c r="BF847" s="18" t="s">
        <v>77</v>
      </c>
      <c r="BG847" s="18">
        <v>162</v>
      </c>
      <c r="BH847" s="18">
        <v>19</v>
      </c>
      <c r="BI847" s="18">
        <v>0.895</v>
      </c>
      <c r="BJ847" s="18">
        <v>0</v>
      </c>
      <c r="BK847" s="18">
        <v>2</v>
      </c>
      <c r="BL847" s="18">
        <v>99.5</v>
      </c>
      <c r="BM847" s="13">
        <f t="shared" si="0"/>
        <v>1484.67</v>
      </c>
    </row>
    <row r="848" customHeight="1" spans="1:65">
      <c r="A848" s="18" t="s">
        <v>595</v>
      </c>
      <c r="B848" s="18" t="s">
        <v>104</v>
      </c>
      <c r="C848" s="18" t="s">
        <v>596</v>
      </c>
      <c r="D848" s="18">
        <v>194644096915</v>
      </c>
      <c r="E848" s="18" t="s">
        <v>81</v>
      </c>
      <c r="F848" s="18" t="s">
        <v>82</v>
      </c>
      <c r="G848" s="18" t="s">
        <v>106</v>
      </c>
      <c r="H848" s="18" t="s">
        <v>107</v>
      </c>
      <c r="I848" s="18" t="s">
        <v>153</v>
      </c>
      <c r="J848" s="18">
        <v>2</v>
      </c>
      <c r="K848" s="16">
        <v>39.99</v>
      </c>
      <c r="L848" s="10"/>
      <c r="M848" s="16">
        <v>0</v>
      </c>
      <c r="N848" s="16">
        <v>0</v>
      </c>
      <c r="O848" s="18">
        <v>0</v>
      </c>
      <c r="P848" s="18" t="s">
        <v>86</v>
      </c>
      <c r="Q848" s="18">
        <v>3.713328</v>
      </c>
      <c r="R848" s="10"/>
      <c r="S848" s="16">
        <v>15</v>
      </c>
      <c r="T848" s="16">
        <v>10</v>
      </c>
      <c r="U848" s="18" t="s">
        <v>595</v>
      </c>
      <c r="V848" s="18" t="s">
        <v>104</v>
      </c>
      <c r="W848" s="18" t="s">
        <v>2744</v>
      </c>
      <c r="X848" s="18">
        <v>194644096916</v>
      </c>
      <c r="Y848" s="18" t="s">
        <v>81</v>
      </c>
      <c r="Z848" s="18" t="s">
        <v>82</v>
      </c>
      <c r="AA848" s="18" t="s">
        <v>106</v>
      </c>
      <c r="AB848" s="18" t="s">
        <v>107</v>
      </c>
      <c r="AC848" s="18" t="s">
        <v>153</v>
      </c>
      <c r="AD848" s="18">
        <v>77.98</v>
      </c>
      <c r="AE848" s="18">
        <v>1</v>
      </c>
      <c r="AF848" s="18">
        <v>1</v>
      </c>
      <c r="AG848" s="18">
        <v>0</v>
      </c>
      <c r="AH848" s="18">
        <v>0</v>
      </c>
      <c r="AI848" s="18">
        <v>0</v>
      </c>
      <c r="AJ848" s="18">
        <v>0</v>
      </c>
      <c r="AK848" s="18">
        <v>0</v>
      </c>
      <c r="AL848" s="18">
        <v>0</v>
      </c>
      <c r="AM848" s="18">
        <v>0</v>
      </c>
      <c r="AN848" s="18">
        <v>0</v>
      </c>
      <c r="AO848" s="18">
        <v>0</v>
      </c>
      <c r="AP848" s="18">
        <v>0</v>
      </c>
      <c r="AQ848" s="18">
        <v>0</v>
      </c>
      <c r="AR848" s="18">
        <v>0</v>
      </c>
      <c r="AS848" s="18">
        <v>0</v>
      </c>
      <c r="AT848" s="18">
        <v>0</v>
      </c>
      <c r="AU848" s="18">
        <v>0</v>
      </c>
      <c r="AV848" s="18">
        <v>0</v>
      </c>
      <c r="AW848" s="18">
        <v>0</v>
      </c>
      <c r="AX848" s="18">
        <v>0</v>
      </c>
      <c r="AY848" s="13"/>
      <c r="AZ848" s="18">
        <v>1</v>
      </c>
      <c r="BA848" s="18">
        <v>1</v>
      </c>
      <c r="BB848" s="18">
        <v>53.58</v>
      </c>
      <c r="BC848" s="18" t="s">
        <v>597</v>
      </c>
      <c r="BD848" s="18" t="s">
        <v>598</v>
      </c>
      <c r="BE848" s="18" t="s">
        <v>113</v>
      </c>
      <c r="BF848" s="18" t="s">
        <v>77</v>
      </c>
      <c r="BG848" s="18">
        <v>162</v>
      </c>
      <c r="BH848" s="18">
        <v>19</v>
      </c>
      <c r="BI848" s="18">
        <v>0.895</v>
      </c>
      <c r="BJ848" s="18">
        <v>0</v>
      </c>
      <c r="BK848" s="18">
        <v>5</v>
      </c>
      <c r="BL848" s="18">
        <v>98.6</v>
      </c>
      <c r="BM848" s="13">
        <f t="shared" si="0"/>
        <v>599.85</v>
      </c>
    </row>
    <row r="849" customHeight="1" spans="1:65">
      <c r="A849" s="18" t="s">
        <v>1847</v>
      </c>
      <c r="B849" s="18" t="s">
        <v>104</v>
      </c>
      <c r="C849" s="18" t="s">
        <v>1848</v>
      </c>
      <c r="D849" s="18">
        <v>194644104160</v>
      </c>
      <c r="E849" s="18" t="s">
        <v>1849</v>
      </c>
      <c r="F849" s="18" t="s">
        <v>160</v>
      </c>
      <c r="G849" s="18" t="s">
        <v>106</v>
      </c>
      <c r="H849" s="18" t="s">
        <v>107</v>
      </c>
      <c r="I849" s="18" t="s">
        <v>153</v>
      </c>
      <c r="J849" s="18">
        <v>2</v>
      </c>
      <c r="K849" s="16">
        <v>99.99</v>
      </c>
      <c r="L849" s="10"/>
      <c r="M849" s="16">
        <v>0</v>
      </c>
      <c r="N849" s="16">
        <v>0</v>
      </c>
      <c r="O849" s="18">
        <v>0</v>
      </c>
      <c r="P849" s="18" t="s">
        <v>95</v>
      </c>
      <c r="Q849" s="18">
        <v>4.615022</v>
      </c>
      <c r="R849" s="10"/>
      <c r="S849" s="16">
        <v>68</v>
      </c>
      <c r="T849" s="16">
        <v>2</v>
      </c>
      <c r="U849" s="18" t="s">
        <v>1847</v>
      </c>
      <c r="V849" s="18" t="s">
        <v>104</v>
      </c>
      <c r="W849" s="18" t="s">
        <v>2745</v>
      </c>
      <c r="X849" s="18">
        <v>194644104161</v>
      </c>
      <c r="Y849" s="18" t="s">
        <v>1849</v>
      </c>
      <c r="Z849" s="18" t="s">
        <v>160</v>
      </c>
      <c r="AA849" s="18" t="s">
        <v>106</v>
      </c>
      <c r="AB849" s="18" t="s">
        <v>107</v>
      </c>
      <c r="AC849" s="18" t="s">
        <v>153</v>
      </c>
      <c r="AD849" s="18">
        <v>197.98</v>
      </c>
      <c r="AE849" s="18">
        <v>0</v>
      </c>
      <c r="AF849" s="18">
        <v>0</v>
      </c>
      <c r="AG849" s="18">
        <v>0</v>
      </c>
      <c r="AH849" s="18">
        <v>0</v>
      </c>
      <c r="AI849" s="18">
        <v>0</v>
      </c>
      <c r="AJ849" s="18">
        <v>0</v>
      </c>
      <c r="AK849" s="18">
        <v>0</v>
      </c>
      <c r="AL849" s="18">
        <v>0</v>
      </c>
      <c r="AM849" s="18">
        <v>0</v>
      </c>
      <c r="AN849" s="18">
        <v>0</v>
      </c>
      <c r="AO849" s="18">
        <v>0</v>
      </c>
      <c r="AP849" s="18">
        <v>0</v>
      </c>
      <c r="AQ849" s="18">
        <v>0</v>
      </c>
      <c r="AR849" s="18">
        <v>0</v>
      </c>
      <c r="AS849" s="18">
        <v>0</v>
      </c>
      <c r="AT849" s="18">
        <v>0</v>
      </c>
      <c r="AU849" s="18">
        <v>0</v>
      </c>
      <c r="AV849" s="18">
        <v>0</v>
      </c>
      <c r="AW849" s="18">
        <v>0</v>
      </c>
      <c r="AX849" s="18">
        <v>0</v>
      </c>
      <c r="AY849" s="13"/>
      <c r="AZ849" s="18">
        <v>1</v>
      </c>
      <c r="BA849" s="18">
        <v>0</v>
      </c>
      <c r="BB849" s="18">
        <v>68.71</v>
      </c>
      <c r="BC849" s="18" t="s">
        <v>597</v>
      </c>
      <c r="BD849" s="18" t="s">
        <v>598</v>
      </c>
      <c r="BE849" s="18" t="s">
        <v>113</v>
      </c>
      <c r="BF849" s="18" t="s">
        <v>77</v>
      </c>
      <c r="BG849" s="18">
        <v>162</v>
      </c>
      <c r="BH849" s="18">
        <v>19</v>
      </c>
      <c r="BI849" s="18">
        <v>0.895</v>
      </c>
      <c r="BJ849" s="18">
        <v>0</v>
      </c>
      <c r="BK849" s="18">
        <v>2</v>
      </c>
      <c r="BL849" s="18">
        <v>99.5</v>
      </c>
      <c r="BM849" s="13">
        <f t="shared" si="0"/>
        <v>6799.32</v>
      </c>
    </row>
    <row r="850" customHeight="1" spans="1:65">
      <c r="A850" s="18" t="s">
        <v>1845</v>
      </c>
      <c r="B850" s="18" t="s">
        <v>115</v>
      </c>
      <c r="C850" s="18" t="s">
        <v>1846</v>
      </c>
      <c r="D850" s="13"/>
      <c r="E850" s="18" t="s">
        <v>81</v>
      </c>
      <c r="F850" s="18" t="s">
        <v>68</v>
      </c>
      <c r="G850" s="18" t="s">
        <v>117</v>
      </c>
      <c r="H850" s="18" t="s">
        <v>107</v>
      </c>
      <c r="I850" s="18" t="s">
        <v>153</v>
      </c>
      <c r="J850" s="18">
        <v>2</v>
      </c>
      <c r="K850" s="16">
        <v>29.99</v>
      </c>
      <c r="L850" s="10"/>
      <c r="M850" s="16">
        <v>0</v>
      </c>
      <c r="N850" s="16">
        <v>0</v>
      </c>
      <c r="O850" s="18">
        <v>0</v>
      </c>
      <c r="P850" s="18" t="s">
        <v>86</v>
      </c>
      <c r="Q850" s="18">
        <v>3.433665</v>
      </c>
      <c r="R850" s="10"/>
      <c r="S850" s="16">
        <v>6</v>
      </c>
      <c r="T850" s="16">
        <v>10</v>
      </c>
      <c r="U850" s="18" t="s">
        <v>1845</v>
      </c>
      <c r="V850" s="18" t="s">
        <v>115</v>
      </c>
      <c r="W850" s="18" t="s">
        <v>2746</v>
      </c>
      <c r="X850" s="13"/>
      <c r="Y850" s="18" t="s">
        <v>81</v>
      </c>
      <c r="Z850" s="18" t="s">
        <v>68</v>
      </c>
      <c r="AA850" s="18" t="s">
        <v>117</v>
      </c>
      <c r="AB850" s="18" t="s">
        <v>107</v>
      </c>
      <c r="AC850" s="18" t="s">
        <v>153</v>
      </c>
      <c r="AD850" s="18">
        <v>57.98</v>
      </c>
      <c r="AE850" s="18">
        <v>0</v>
      </c>
      <c r="AF850" s="18">
        <v>1</v>
      </c>
      <c r="AG850" s="18">
        <v>0</v>
      </c>
      <c r="AH850" s="18">
        <v>0</v>
      </c>
      <c r="AI850" s="18">
        <v>0</v>
      </c>
      <c r="AJ850" s="18">
        <v>0</v>
      </c>
      <c r="AK850" s="18">
        <v>0</v>
      </c>
      <c r="AL850" s="18">
        <v>0</v>
      </c>
      <c r="AM850" s="18">
        <v>0</v>
      </c>
      <c r="AN850" s="18">
        <v>0</v>
      </c>
      <c r="AO850" s="18">
        <v>0</v>
      </c>
      <c r="AP850" s="18">
        <v>0</v>
      </c>
      <c r="AQ850" s="18">
        <v>0</v>
      </c>
      <c r="AR850" s="18">
        <v>0</v>
      </c>
      <c r="AS850" s="18">
        <v>0</v>
      </c>
      <c r="AT850" s="18">
        <v>0</v>
      </c>
      <c r="AU850" s="18">
        <v>0</v>
      </c>
      <c r="AV850" s="18">
        <v>0</v>
      </c>
      <c r="AW850" s="18">
        <v>0</v>
      </c>
      <c r="AX850" s="18">
        <v>0</v>
      </c>
      <c r="AY850" s="13"/>
      <c r="AZ850" s="18">
        <v>1</v>
      </c>
      <c r="BA850" s="18">
        <v>0</v>
      </c>
      <c r="BB850" s="18">
        <v>44.34</v>
      </c>
      <c r="BC850" s="18" t="s">
        <v>597</v>
      </c>
      <c r="BD850" s="18" t="s">
        <v>598</v>
      </c>
      <c r="BE850" s="18" t="s">
        <v>113</v>
      </c>
      <c r="BF850" s="18" t="s">
        <v>77</v>
      </c>
      <c r="BG850" s="18">
        <v>162</v>
      </c>
      <c r="BH850" s="18">
        <v>19</v>
      </c>
      <c r="BI850" s="18">
        <v>0.895</v>
      </c>
      <c r="BJ850" s="18">
        <v>0</v>
      </c>
      <c r="BK850" s="18">
        <v>8</v>
      </c>
      <c r="BL850" s="18">
        <v>97.8</v>
      </c>
      <c r="BM850" s="13">
        <f t="shared" si="0"/>
        <v>179.94</v>
      </c>
    </row>
    <row r="851" customHeight="1" spans="1:65">
      <c r="A851" s="18" t="s">
        <v>2114</v>
      </c>
      <c r="B851" s="18" t="s">
        <v>427</v>
      </c>
      <c r="C851" s="18" t="s">
        <v>1643</v>
      </c>
      <c r="D851" s="13"/>
      <c r="E851" s="18" t="s">
        <v>131</v>
      </c>
      <c r="F851" s="18" t="s">
        <v>132</v>
      </c>
      <c r="G851" s="18" t="s">
        <v>427</v>
      </c>
      <c r="H851" s="18" t="s">
        <v>107</v>
      </c>
      <c r="I851" s="18" t="s">
        <v>153</v>
      </c>
      <c r="J851" s="18">
        <v>2</v>
      </c>
      <c r="K851" s="16">
        <v>24.99</v>
      </c>
      <c r="L851" s="10"/>
      <c r="M851" s="16">
        <v>0</v>
      </c>
      <c r="N851" s="16">
        <v>0</v>
      </c>
      <c r="O851" s="18">
        <v>0</v>
      </c>
      <c r="P851" s="18" t="s">
        <v>133</v>
      </c>
      <c r="Q851" s="18">
        <v>3.257712</v>
      </c>
      <c r="R851" s="10"/>
      <c r="S851" s="16">
        <v>58</v>
      </c>
      <c r="T851" s="16">
        <v>10</v>
      </c>
      <c r="U851" s="18" t="s">
        <v>2747</v>
      </c>
      <c r="V851" s="18" t="s">
        <v>427</v>
      </c>
      <c r="W851" s="18" t="s">
        <v>1643</v>
      </c>
      <c r="X851" s="13"/>
      <c r="Y851" s="18" t="s">
        <v>131</v>
      </c>
      <c r="Z851" s="18" t="s">
        <v>132</v>
      </c>
      <c r="AA851" s="18" t="s">
        <v>427</v>
      </c>
      <c r="AB851" s="18" t="s">
        <v>107</v>
      </c>
      <c r="AC851" s="18" t="s">
        <v>153</v>
      </c>
      <c r="AD851" s="18">
        <v>47.98</v>
      </c>
      <c r="AE851" s="18">
        <v>0</v>
      </c>
      <c r="AF851" s="18">
        <v>0</v>
      </c>
      <c r="AG851" s="18">
        <v>0</v>
      </c>
      <c r="AH851" s="18">
        <v>0</v>
      </c>
      <c r="AI851" s="18">
        <v>0</v>
      </c>
      <c r="AJ851" s="18">
        <v>0</v>
      </c>
      <c r="AK851" s="18">
        <v>0</v>
      </c>
      <c r="AL851" s="18">
        <v>0</v>
      </c>
      <c r="AM851" s="18">
        <v>0</v>
      </c>
      <c r="AN851" s="18">
        <v>0</v>
      </c>
      <c r="AO851" s="18">
        <v>0</v>
      </c>
      <c r="AP851" s="18">
        <v>0</v>
      </c>
      <c r="AQ851" s="18">
        <v>0</v>
      </c>
      <c r="AR851" s="18">
        <v>0</v>
      </c>
      <c r="AS851" s="18">
        <v>0</v>
      </c>
      <c r="AT851" s="18">
        <v>0</v>
      </c>
      <c r="AU851" s="18">
        <v>0</v>
      </c>
      <c r="AV851" s="18">
        <v>0</v>
      </c>
      <c r="AW851" s="18">
        <v>1</v>
      </c>
      <c r="AX851" s="18">
        <v>0</v>
      </c>
      <c r="AY851" s="13"/>
      <c r="AZ851" s="18">
        <v>1</v>
      </c>
      <c r="BA851" s="18">
        <v>0</v>
      </c>
      <c r="BB851" s="18">
        <v>63.97</v>
      </c>
      <c r="BC851" s="18" t="s">
        <v>597</v>
      </c>
      <c r="BD851" s="18" t="s">
        <v>598</v>
      </c>
      <c r="BE851" s="18" t="s">
        <v>128</v>
      </c>
      <c r="BF851" s="18" t="s">
        <v>77</v>
      </c>
      <c r="BG851" s="18">
        <v>1</v>
      </c>
      <c r="BH851" s="18">
        <v>14</v>
      </c>
      <c r="BI851" s="18">
        <v>0.0667</v>
      </c>
      <c r="BJ851" s="18">
        <v>1</v>
      </c>
      <c r="BK851" s="18">
        <v>2</v>
      </c>
      <c r="BL851" s="18">
        <v>99.5</v>
      </c>
      <c r="BM851" s="13">
        <f t="shared" si="0"/>
        <v>1449.42</v>
      </c>
    </row>
    <row r="852" customHeight="1" spans="1:65">
      <c r="A852" s="18" t="s">
        <v>1187</v>
      </c>
      <c r="B852" s="34" t="s">
        <v>1984</v>
      </c>
      <c r="C852" s="18" t="s">
        <v>1189</v>
      </c>
      <c r="D852" s="13"/>
      <c r="E852" s="18" t="s">
        <v>81</v>
      </c>
      <c r="F852" s="18" t="s">
        <v>82</v>
      </c>
      <c r="G852" s="18" t="s">
        <v>83</v>
      </c>
      <c r="H852" s="18" t="s">
        <v>84</v>
      </c>
      <c r="I852" s="18" t="s">
        <v>85</v>
      </c>
      <c r="J852" s="18">
        <v>5</v>
      </c>
      <c r="K852" s="16">
        <v>144.99</v>
      </c>
      <c r="L852" s="10"/>
      <c r="M852" s="16">
        <v>0</v>
      </c>
      <c r="N852" s="16">
        <v>0</v>
      </c>
      <c r="O852" s="18">
        <v>0</v>
      </c>
      <c r="P852" s="18" t="s">
        <v>95</v>
      </c>
      <c r="Q852" s="18">
        <v>4.983538</v>
      </c>
      <c r="R852" s="10"/>
      <c r="S852" s="16">
        <v>358</v>
      </c>
      <c r="T852" s="16">
        <v>5</v>
      </c>
      <c r="U852" s="18" t="s">
        <v>1187</v>
      </c>
      <c r="V852" s="18" t="s">
        <v>1188</v>
      </c>
      <c r="W852" s="18" t="s">
        <v>1189</v>
      </c>
      <c r="X852" s="13"/>
      <c r="Y852" s="18" t="s">
        <v>81</v>
      </c>
      <c r="Z852" s="18" t="s">
        <v>82</v>
      </c>
      <c r="AA852" s="18" t="s">
        <v>83</v>
      </c>
      <c r="AB852" s="18" t="s">
        <v>84</v>
      </c>
      <c r="AC852" s="18" t="s">
        <v>85</v>
      </c>
      <c r="AD852" s="18">
        <v>284.98</v>
      </c>
      <c r="AE852" s="18">
        <v>0</v>
      </c>
      <c r="AF852" s="18">
        <v>0</v>
      </c>
      <c r="AG852" s="18">
        <v>1</v>
      </c>
      <c r="AH852" s="18">
        <v>0</v>
      </c>
      <c r="AI852" s="18">
        <v>1</v>
      </c>
      <c r="AJ852" s="18">
        <v>0</v>
      </c>
      <c r="AK852" s="18">
        <v>0</v>
      </c>
      <c r="AL852" s="18">
        <v>0</v>
      </c>
      <c r="AM852" s="18">
        <v>0</v>
      </c>
      <c r="AN852" s="18">
        <v>0</v>
      </c>
      <c r="AO852" s="18">
        <v>0</v>
      </c>
      <c r="AP852" s="18">
        <v>0</v>
      </c>
      <c r="AQ852" s="18">
        <v>0</v>
      </c>
      <c r="AR852" s="18">
        <v>0</v>
      </c>
      <c r="AS852" s="18">
        <v>0</v>
      </c>
      <c r="AT852" s="18">
        <v>1</v>
      </c>
      <c r="AU852" s="18">
        <v>0</v>
      </c>
      <c r="AV852" s="18">
        <v>0</v>
      </c>
      <c r="AW852" s="18">
        <v>0</v>
      </c>
      <c r="AX852" s="18">
        <v>0</v>
      </c>
      <c r="AY852" s="13"/>
      <c r="AZ852" s="18">
        <v>1</v>
      </c>
      <c r="BA852" s="18">
        <v>0</v>
      </c>
      <c r="BB852" s="18">
        <v>68.31</v>
      </c>
      <c r="BC852" s="18" t="s">
        <v>602</v>
      </c>
      <c r="BD852" s="18" t="s">
        <v>169</v>
      </c>
      <c r="BE852" s="18" t="s">
        <v>113</v>
      </c>
      <c r="BF852" s="18" t="s">
        <v>77</v>
      </c>
      <c r="BG852" s="18">
        <v>162</v>
      </c>
      <c r="BH852" s="18">
        <v>18</v>
      </c>
      <c r="BI852" s="18">
        <v>0.9</v>
      </c>
      <c r="BJ852" s="18">
        <v>0</v>
      </c>
      <c r="BK852" s="18">
        <v>14</v>
      </c>
      <c r="BL852" s="18">
        <v>96.2</v>
      </c>
      <c r="BM852" s="13">
        <f t="shared" si="0"/>
        <v>51906.42</v>
      </c>
    </row>
    <row r="853" customHeight="1" spans="1:65">
      <c r="A853" s="18" t="s">
        <v>599</v>
      </c>
      <c r="B853" s="18" t="s">
        <v>600</v>
      </c>
      <c r="C853" s="13"/>
      <c r="D853" s="18">
        <v>756395040137</v>
      </c>
      <c r="E853" s="18" t="s">
        <v>601</v>
      </c>
      <c r="F853" s="18" t="s">
        <v>82</v>
      </c>
      <c r="G853" s="18" t="s">
        <v>83</v>
      </c>
      <c r="H853" s="18" t="s">
        <v>84</v>
      </c>
      <c r="I853" s="18" t="s">
        <v>203</v>
      </c>
      <c r="J853" s="18">
        <v>4</v>
      </c>
      <c r="K853" s="16">
        <v>58.99</v>
      </c>
      <c r="L853" s="10"/>
      <c r="M853" s="16">
        <v>0</v>
      </c>
      <c r="N853" s="16">
        <v>0</v>
      </c>
      <c r="O853" s="18">
        <v>0</v>
      </c>
      <c r="P853" s="18" t="s">
        <v>86</v>
      </c>
      <c r="Q853" s="18">
        <v>4.094178</v>
      </c>
      <c r="R853" s="10"/>
      <c r="S853" s="16">
        <v>554</v>
      </c>
      <c r="T853" s="16">
        <v>10</v>
      </c>
      <c r="U853" s="18" t="s">
        <v>599</v>
      </c>
      <c r="V853" s="18" t="s">
        <v>600</v>
      </c>
      <c r="W853" s="13"/>
      <c r="X853" s="18">
        <v>756395040138</v>
      </c>
      <c r="Y853" s="18" t="s">
        <v>601</v>
      </c>
      <c r="Z853" s="18" t="s">
        <v>82</v>
      </c>
      <c r="AA853" s="18" t="s">
        <v>83</v>
      </c>
      <c r="AB853" s="18" t="s">
        <v>84</v>
      </c>
      <c r="AC853" s="18" t="s">
        <v>203</v>
      </c>
      <c r="AD853" s="18">
        <v>113.98</v>
      </c>
      <c r="AE853" s="18">
        <v>0</v>
      </c>
      <c r="AF853" s="18">
        <v>0</v>
      </c>
      <c r="AG853" s="18">
        <v>0</v>
      </c>
      <c r="AH853" s="18">
        <v>1</v>
      </c>
      <c r="AI853" s="18">
        <v>0</v>
      </c>
      <c r="AJ853" s="18">
        <v>0</v>
      </c>
      <c r="AK853" s="18">
        <v>0</v>
      </c>
      <c r="AL853" s="18">
        <v>1</v>
      </c>
      <c r="AM853" s="18">
        <v>0</v>
      </c>
      <c r="AN853" s="18">
        <v>0</v>
      </c>
      <c r="AO853" s="18">
        <v>0</v>
      </c>
      <c r="AP853" s="18">
        <v>0</v>
      </c>
      <c r="AQ853" s="18">
        <v>0</v>
      </c>
      <c r="AR853" s="18">
        <v>0</v>
      </c>
      <c r="AS853" s="18">
        <v>0</v>
      </c>
      <c r="AT853" s="18">
        <v>0</v>
      </c>
      <c r="AU853" s="18">
        <v>0</v>
      </c>
      <c r="AV853" s="18">
        <v>0</v>
      </c>
      <c r="AW853" s="18">
        <v>0</v>
      </c>
      <c r="AX853" s="18">
        <v>0</v>
      </c>
      <c r="AY853" s="13"/>
      <c r="AZ853" s="18">
        <v>1</v>
      </c>
      <c r="BA853" s="18">
        <v>1</v>
      </c>
      <c r="BB853" s="18">
        <v>57.77</v>
      </c>
      <c r="BC853" s="18" t="s">
        <v>602</v>
      </c>
      <c r="BD853" s="18" t="s">
        <v>169</v>
      </c>
      <c r="BE853" s="18" t="s">
        <v>113</v>
      </c>
      <c r="BF853" s="18" t="s">
        <v>77</v>
      </c>
      <c r="BG853" s="18">
        <v>162</v>
      </c>
      <c r="BH853" s="18">
        <v>18</v>
      </c>
      <c r="BI853" s="18">
        <v>0.9</v>
      </c>
      <c r="BJ853" s="18">
        <v>0</v>
      </c>
      <c r="BK853" s="18">
        <v>140</v>
      </c>
      <c r="BL853" s="18">
        <v>61.6</v>
      </c>
      <c r="BM853" s="13">
        <f t="shared" si="0"/>
        <v>32680.46</v>
      </c>
    </row>
    <row r="854" customHeight="1" spans="1:65">
      <c r="A854" s="18" t="s">
        <v>1475</v>
      </c>
      <c r="B854" s="18" t="s">
        <v>1476</v>
      </c>
      <c r="C854" s="13"/>
      <c r="D854" s="18">
        <v>780245006813</v>
      </c>
      <c r="E854" s="18" t="s">
        <v>1477</v>
      </c>
      <c r="F854" s="18" t="s">
        <v>198</v>
      </c>
      <c r="G854" s="18" t="s">
        <v>83</v>
      </c>
      <c r="H854" s="18" t="s">
        <v>84</v>
      </c>
      <c r="I854" s="18" t="s">
        <v>85</v>
      </c>
      <c r="J854" s="18">
        <v>5</v>
      </c>
      <c r="K854" s="16">
        <v>13.49</v>
      </c>
      <c r="L854" s="10"/>
      <c r="M854" s="16">
        <v>0</v>
      </c>
      <c r="N854" s="16">
        <v>0</v>
      </c>
      <c r="O854" s="18">
        <v>0</v>
      </c>
      <c r="P854" s="18" t="s">
        <v>133</v>
      </c>
      <c r="Q854" s="18">
        <v>2.673459</v>
      </c>
      <c r="R854" s="10"/>
      <c r="S854" s="16">
        <v>195</v>
      </c>
      <c r="T854" s="16">
        <v>10</v>
      </c>
      <c r="U854" s="18" t="s">
        <v>1475</v>
      </c>
      <c r="V854" s="18" t="s">
        <v>1476</v>
      </c>
      <c r="W854" s="13"/>
      <c r="X854" s="18">
        <v>780245006814</v>
      </c>
      <c r="Y854" s="18" t="s">
        <v>1477</v>
      </c>
      <c r="Z854" s="18" t="s">
        <v>198</v>
      </c>
      <c r="AA854" s="18" t="s">
        <v>83</v>
      </c>
      <c r="AB854" s="18" t="s">
        <v>84</v>
      </c>
      <c r="AC854" s="18" t="s">
        <v>85</v>
      </c>
      <c r="AD854" s="18">
        <v>21.98</v>
      </c>
      <c r="AE854" s="18">
        <v>0</v>
      </c>
      <c r="AF854" s="18">
        <v>0</v>
      </c>
      <c r="AG854" s="18">
        <v>0</v>
      </c>
      <c r="AH854" s="18">
        <v>1</v>
      </c>
      <c r="AI854" s="18">
        <v>0</v>
      </c>
      <c r="AJ854" s="18">
        <v>0</v>
      </c>
      <c r="AK854" s="18">
        <v>0</v>
      </c>
      <c r="AL854" s="18">
        <v>0</v>
      </c>
      <c r="AM854" s="18">
        <v>0</v>
      </c>
      <c r="AN854" s="18">
        <v>0</v>
      </c>
      <c r="AO854" s="18">
        <v>0</v>
      </c>
      <c r="AP854" s="18">
        <v>0</v>
      </c>
      <c r="AQ854" s="18">
        <v>0</v>
      </c>
      <c r="AR854" s="18">
        <v>0</v>
      </c>
      <c r="AS854" s="18">
        <v>0</v>
      </c>
      <c r="AT854" s="18">
        <v>0</v>
      </c>
      <c r="AU854" s="18">
        <v>0</v>
      </c>
      <c r="AV854" s="18">
        <v>0</v>
      </c>
      <c r="AW854" s="18">
        <v>0</v>
      </c>
      <c r="AX854" s="18">
        <v>0</v>
      </c>
      <c r="AY854" s="13"/>
      <c r="AZ854" s="18">
        <v>1</v>
      </c>
      <c r="BA854" s="18">
        <v>1</v>
      </c>
      <c r="BB854" s="18">
        <v>66.82</v>
      </c>
      <c r="BC854" s="18" t="s">
        <v>602</v>
      </c>
      <c r="BD854" s="18" t="s">
        <v>169</v>
      </c>
      <c r="BE854" s="18" t="s">
        <v>113</v>
      </c>
      <c r="BF854" s="18" t="s">
        <v>77</v>
      </c>
      <c r="BG854" s="18">
        <v>162</v>
      </c>
      <c r="BH854" s="18">
        <v>18</v>
      </c>
      <c r="BI854" s="18">
        <v>0.9</v>
      </c>
      <c r="BJ854" s="18">
        <v>0</v>
      </c>
      <c r="BK854" s="18">
        <v>15</v>
      </c>
      <c r="BL854" s="18">
        <v>95.9</v>
      </c>
      <c r="BM854" s="13">
        <f t="shared" si="0"/>
        <v>2630.55</v>
      </c>
    </row>
    <row r="855" customHeight="1" spans="1:65">
      <c r="A855" s="18" t="s">
        <v>604</v>
      </c>
      <c r="B855" s="18" t="s">
        <v>605</v>
      </c>
      <c r="C855" s="13"/>
      <c r="D855" s="13"/>
      <c r="E855" s="18" t="s">
        <v>606</v>
      </c>
      <c r="F855" s="18" t="s">
        <v>82</v>
      </c>
      <c r="G855" s="18" t="s">
        <v>83</v>
      </c>
      <c r="H855" s="18" t="s">
        <v>84</v>
      </c>
      <c r="I855" s="18" t="s">
        <v>85</v>
      </c>
      <c r="J855" s="18">
        <v>5</v>
      </c>
      <c r="K855" s="16">
        <v>600</v>
      </c>
      <c r="L855" s="10"/>
      <c r="M855" s="16">
        <v>0</v>
      </c>
      <c r="N855" s="16">
        <v>0</v>
      </c>
      <c r="O855" s="18">
        <v>0</v>
      </c>
      <c r="P855" s="18" t="s">
        <v>147</v>
      </c>
      <c r="Q855" s="18">
        <v>6.398595</v>
      </c>
      <c r="R855" s="10"/>
      <c r="S855" s="16">
        <v>4</v>
      </c>
      <c r="T855" s="16">
        <v>1</v>
      </c>
      <c r="U855" s="18" t="s">
        <v>604</v>
      </c>
      <c r="V855" s="18" t="s">
        <v>605</v>
      </c>
      <c r="W855" s="13"/>
      <c r="X855" s="13"/>
      <c r="Y855" s="18" t="s">
        <v>606</v>
      </c>
      <c r="Z855" s="18" t="s">
        <v>82</v>
      </c>
      <c r="AA855" s="18" t="s">
        <v>83</v>
      </c>
      <c r="AB855" s="18" t="s">
        <v>84</v>
      </c>
      <c r="AC855" s="18" t="s">
        <v>85</v>
      </c>
      <c r="AD855" s="18">
        <v>1195</v>
      </c>
      <c r="AE855" s="18">
        <v>0</v>
      </c>
      <c r="AF855" s="18">
        <v>0</v>
      </c>
      <c r="AG855" s="18">
        <v>0</v>
      </c>
      <c r="AH855" s="18">
        <v>0</v>
      </c>
      <c r="AI855" s="18">
        <v>0</v>
      </c>
      <c r="AJ855" s="18">
        <v>0</v>
      </c>
      <c r="AK855" s="18">
        <v>0</v>
      </c>
      <c r="AL855" s="18">
        <v>0</v>
      </c>
      <c r="AM855" s="18">
        <v>0</v>
      </c>
      <c r="AN855" s="18">
        <v>0</v>
      </c>
      <c r="AO855" s="18">
        <v>0</v>
      </c>
      <c r="AP855" s="18">
        <v>0</v>
      </c>
      <c r="AQ855" s="18">
        <v>0</v>
      </c>
      <c r="AR855" s="18">
        <v>0</v>
      </c>
      <c r="AS855" s="18">
        <v>0</v>
      </c>
      <c r="AT855" s="18">
        <v>0</v>
      </c>
      <c r="AU855" s="18">
        <v>0</v>
      </c>
      <c r="AV855" s="18">
        <v>0</v>
      </c>
      <c r="AW855" s="18">
        <v>0</v>
      </c>
      <c r="AX855" s="18">
        <v>0</v>
      </c>
      <c r="AY855" s="13"/>
      <c r="AZ855" s="18">
        <v>1</v>
      </c>
      <c r="BA855" s="18">
        <v>0</v>
      </c>
      <c r="BB855" s="18">
        <v>61.52</v>
      </c>
      <c r="BC855" s="18" t="s">
        <v>607</v>
      </c>
      <c r="BD855" s="18" t="s">
        <v>608</v>
      </c>
      <c r="BE855" s="18" t="s">
        <v>76</v>
      </c>
      <c r="BF855" s="18" t="s">
        <v>77</v>
      </c>
      <c r="BG855" s="18">
        <v>168</v>
      </c>
      <c r="BH855" s="18">
        <v>11</v>
      </c>
      <c r="BI855" s="18">
        <v>0.9385</v>
      </c>
      <c r="BJ855" s="18">
        <v>0</v>
      </c>
      <c r="BK855" s="18">
        <v>6</v>
      </c>
      <c r="BL855" s="18">
        <v>98.4</v>
      </c>
      <c r="BM855" s="13">
        <f t="shared" si="0"/>
        <v>2400</v>
      </c>
    </row>
    <row r="856" customHeight="1" spans="1:65">
      <c r="A856" s="18" t="s">
        <v>612</v>
      </c>
      <c r="B856" s="18" t="s">
        <v>613</v>
      </c>
      <c r="C856" s="13"/>
      <c r="D856" s="13"/>
      <c r="E856" s="18" t="s">
        <v>275</v>
      </c>
      <c r="F856" s="18" t="s">
        <v>240</v>
      </c>
      <c r="G856" s="18" t="s">
        <v>83</v>
      </c>
      <c r="H856" s="18" t="s">
        <v>84</v>
      </c>
      <c r="I856" s="18" t="s">
        <v>153</v>
      </c>
      <c r="J856" s="18">
        <v>2</v>
      </c>
      <c r="K856" s="16">
        <v>210</v>
      </c>
      <c r="L856" s="10"/>
      <c r="M856" s="16">
        <v>0</v>
      </c>
      <c r="N856" s="16">
        <v>0</v>
      </c>
      <c r="O856" s="18">
        <v>0</v>
      </c>
      <c r="P856" s="18" t="s">
        <v>71</v>
      </c>
      <c r="Q856" s="18">
        <v>5.351858</v>
      </c>
      <c r="R856" s="16">
        <v>13.12</v>
      </c>
      <c r="S856" s="10"/>
      <c r="T856" s="10"/>
      <c r="U856" s="18" t="s">
        <v>612</v>
      </c>
      <c r="V856" s="18" t="s">
        <v>613</v>
      </c>
      <c r="W856" s="13"/>
      <c r="X856" s="13"/>
      <c r="Y856" s="18" t="s">
        <v>275</v>
      </c>
      <c r="Z856" s="18" t="s">
        <v>240</v>
      </c>
      <c r="AA856" s="18" t="s">
        <v>83</v>
      </c>
      <c r="AB856" s="18" t="s">
        <v>84</v>
      </c>
      <c r="AC856" s="18" t="s">
        <v>153</v>
      </c>
      <c r="AD856" s="18">
        <v>418</v>
      </c>
      <c r="AE856" s="18">
        <v>0</v>
      </c>
      <c r="AF856" s="18">
        <v>0</v>
      </c>
      <c r="AG856" s="18">
        <v>0</v>
      </c>
      <c r="AH856" s="18">
        <v>0</v>
      </c>
      <c r="AI856" s="18">
        <v>0</v>
      </c>
      <c r="AJ856" s="18">
        <v>0</v>
      </c>
      <c r="AK856" s="18">
        <v>0</v>
      </c>
      <c r="AL856" s="18">
        <v>0</v>
      </c>
      <c r="AM856" s="18">
        <v>0</v>
      </c>
      <c r="AN856" s="18">
        <v>0</v>
      </c>
      <c r="AO856" s="18">
        <v>0</v>
      </c>
      <c r="AP856" s="18">
        <v>0</v>
      </c>
      <c r="AQ856" s="18">
        <v>1</v>
      </c>
      <c r="AR856" s="18">
        <v>0</v>
      </c>
      <c r="AS856" s="18">
        <v>0</v>
      </c>
      <c r="AT856" s="18">
        <v>0</v>
      </c>
      <c r="AU856" s="18">
        <v>0</v>
      </c>
      <c r="AV856" s="18">
        <v>1</v>
      </c>
      <c r="AW856" s="18">
        <v>1</v>
      </c>
      <c r="AX856" s="18">
        <v>0</v>
      </c>
      <c r="AY856" s="18">
        <v>16</v>
      </c>
      <c r="AZ856" s="18">
        <v>1</v>
      </c>
      <c r="BA856" s="18">
        <v>1</v>
      </c>
      <c r="BB856" s="18">
        <v>27.96</v>
      </c>
      <c r="BC856" s="18" t="s">
        <v>614</v>
      </c>
      <c r="BD856" s="13"/>
      <c r="BE856" s="13"/>
      <c r="BF856" s="13"/>
      <c r="BG856" s="18">
        <v>0</v>
      </c>
      <c r="BH856" s="18">
        <v>0</v>
      </c>
      <c r="BI856" s="13"/>
      <c r="BJ856" s="18">
        <v>0</v>
      </c>
      <c r="BK856" s="18">
        <v>25</v>
      </c>
      <c r="BL856" s="18">
        <v>93.2</v>
      </c>
      <c r="BM856" s="13">
        <f t="shared" si="0"/>
        <v>0</v>
      </c>
    </row>
    <row r="857" customHeight="1" spans="1:65">
      <c r="A857" s="18" t="s">
        <v>615</v>
      </c>
      <c r="B857" s="18" t="s">
        <v>616</v>
      </c>
      <c r="C857" s="13"/>
      <c r="D857" s="13"/>
      <c r="E857" s="18" t="s">
        <v>617</v>
      </c>
      <c r="F857" s="18" t="s">
        <v>240</v>
      </c>
      <c r="G857" s="18" t="s">
        <v>83</v>
      </c>
      <c r="H857" s="18" t="s">
        <v>84</v>
      </c>
      <c r="I857" s="18" t="s">
        <v>153</v>
      </c>
      <c r="J857" s="18">
        <v>2</v>
      </c>
      <c r="K857" s="16">
        <v>58.95</v>
      </c>
      <c r="L857" s="10"/>
      <c r="M857" s="16">
        <v>0</v>
      </c>
      <c r="N857" s="16">
        <v>0</v>
      </c>
      <c r="O857" s="18">
        <v>0</v>
      </c>
      <c r="P857" s="18" t="s">
        <v>86</v>
      </c>
      <c r="Q857" s="18">
        <v>4.093511</v>
      </c>
      <c r="R857" s="10"/>
      <c r="S857" s="16">
        <v>2</v>
      </c>
      <c r="T857" s="16">
        <v>1</v>
      </c>
      <c r="U857" s="18" t="s">
        <v>615</v>
      </c>
      <c r="V857" s="18" t="s">
        <v>616</v>
      </c>
      <c r="W857" s="13"/>
      <c r="X857" s="13"/>
      <c r="Y857" s="18" t="s">
        <v>617</v>
      </c>
      <c r="Z857" s="18" t="s">
        <v>240</v>
      </c>
      <c r="AA857" s="18" t="s">
        <v>83</v>
      </c>
      <c r="AB857" s="18" t="s">
        <v>84</v>
      </c>
      <c r="AC857" s="18" t="s">
        <v>153</v>
      </c>
      <c r="AD857" s="18">
        <v>115.9</v>
      </c>
      <c r="AE857" s="18">
        <v>0</v>
      </c>
      <c r="AF857" s="18">
        <v>0</v>
      </c>
      <c r="AG857" s="18">
        <v>0</v>
      </c>
      <c r="AH857" s="18">
        <v>0</v>
      </c>
      <c r="AI857" s="18">
        <v>0</v>
      </c>
      <c r="AJ857" s="18">
        <v>0</v>
      </c>
      <c r="AK857" s="18">
        <v>0</v>
      </c>
      <c r="AL857" s="18">
        <v>0</v>
      </c>
      <c r="AM857" s="18">
        <v>0</v>
      </c>
      <c r="AN857" s="18">
        <v>0</v>
      </c>
      <c r="AO857" s="18">
        <v>0</v>
      </c>
      <c r="AP857" s="18">
        <v>0</v>
      </c>
      <c r="AQ857" s="18">
        <v>1</v>
      </c>
      <c r="AR857" s="18">
        <v>0</v>
      </c>
      <c r="AS857" s="18">
        <v>0</v>
      </c>
      <c r="AT857" s="18">
        <v>0</v>
      </c>
      <c r="AU857" s="18">
        <v>0</v>
      </c>
      <c r="AV857" s="18">
        <v>1</v>
      </c>
      <c r="AW857" s="18">
        <v>0</v>
      </c>
      <c r="AX857" s="18">
        <v>0</v>
      </c>
      <c r="AY857" s="13"/>
      <c r="AZ857" s="18">
        <v>1</v>
      </c>
      <c r="BA857" s="18">
        <v>1</v>
      </c>
      <c r="BB857" s="18">
        <v>55.44</v>
      </c>
      <c r="BC857" s="18" t="s">
        <v>618</v>
      </c>
      <c r="BD857" s="18" t="s">
        <v>619</v>
      </c>
      <c r="BE857" s="18" t="s">
        <v>620</v>
      </c>
      <c r="BF857" s="18" t="s">
        <v>77</v>
      </c>
      <c r="BG857" s="18">
        <v>1</v>
      </c>
      <c r="BH857" s="18">
        <v>11</v>
      </c>
      <c r="BI857" s="18">
        <v>0.0833</v>
      </c>
      <c r="BJ857" s="18">
        <v>1</v>
      </c>
      <c r="BK857" s="18">
        <v>15</v>
      </c>
      <c r="BL857" s="18">
        <v>95.9</v>
      </c>
      <c r="BM857" s="13">
        <f t="shared" si="0"/>
        <v>117.9</v>
      </c>
    </row>
    <row r="858" customHeight="1" spans="1:65">
      <c r="A858" s="18" t="s">
        <v>748</v>
      </c>
      <c r="B858" s="18" t="s">
        <v>616</v>
      </c>
      <c r="C858" s="18" t="s">
        <v>749</v>
      </c>
      <c r="D858" s="13"/>
      <c r="E858" s="18" t="s">
        <v>239</v>
      </c>
      <c r="F858" s="18" t="s">
        <v>240</v>
      </c>
      <c r="G858" s="18" t="s">
        <v>83</v>
      </c>
      <c r="H858" s="18" t="s">
        <v>84</v>
      </c>
      <c r="I858" s="18" t="s">
        <v>153</v>
      </c>
      <c r="J858" s="18">
        <v>2</v>
      </c>
      <c r="K858" s="16">
        <v>374.95</v>
      </c>
      <c r="L858" s="10"/>
      <c r="M858" s="16">
        <v>0</v>
      </c>
      <c r="N858" s="16">
        <v>0</v>
      </c>
      <c r="O858" s="18">
        <v>0</v>
      </c>
      <c r="P858" s="18" t="s">
        <v>71</v>
      </c>
      <c r="Q858" s="18">
        <v>5.929456</v>
      </c>
      <c r="R858" s="10"/>
      <c r="S858" s="10"/>
      <c r="T858" s="10"/>
      <c r="U858" s="18" t="s">
        <v>748</v>
      </c>
      <c r="V858" s="18" t="s">
        <v>616</v>
      </c>
      <c r="W858" s="18" t="s">
        <v>2748</v>
      </c>
      <c r="X858" s="13"/>
      <c r="Y858" s="18" t="s">
        <v>239</v>
      </c>
      <c r="Z858" s="18" t="s">
        <v>240</v>
      </c>
      <c r="AA858" s="18" t="s">
        <v>83</v>
      </c>
      <c r="AB858" s="18" t="s">
        <v>84</v>
      </c>
      <c r="AC858" s="18" t="s">
        <v>153</v>
      </c>
      <c r="AD858" s="18">
        <v>747.9</v>
      </c>
      <c r="AE858" s="18">
        <v>0</v>
      </c>
      <c r="AF858" s="18">
        <v>0</v>
      </c>
      <c r="AG858" s="18">
        <v>0</v>
      </c>
      <c r="AH858" s="18">
        <v>0</v>
      </c>
      <c r="AI858" s="18">
        <v>0</v>
      </c>
      <c r="AJ858" s="18">
        <v>0</v>
      </c>
      <c r="AK858" s="18">
        <v>0</v>
      </c>
      <c r="AL858" s="18">
        <v>0</v>
      </c>
      <c r="AM858" s="18">
        <v>0</v>
      </c>
      <c r="AN858" s="18">
        <v>0</v>
      </c>
      <c r="AO858" s="18">
        <v>0</v>
      </c>
      <c r="AP858" s="18">
        <v>0</v>
      </c>
      <c r="AQ858" s="18">
        <v>1</v>
      </c>
      <c r="AR858" s="18">
        <v>0</v>
      </c>
      <c r="AS858" s="18">
        <v>0</v>
      </c>
      <c r="AT858" s="18">
        <v>0</v>
      </c>
      <c r="AU858" s="18">
        <v>0</v>
      </c>
      <c r="AV858" s="18">
        <v>1</v>
      </c>
      <c r="AW858" s="18">
        <v>1</v>
      </c>
      <c r="AX858" s="18">
        <v>0</v>
      </c>
      <c r="AY858" s="13"/>
      <c r="AZ858" s="18">
        <v>1</v>
      </c>
      <c r="BA858" s="18">
        <v>1</v>
      </c>
      <c r="BB858" s="18">
        <v>0</v>
      </c>
      <c r="BC858" s="18" t="s">
        <v>618</v>
      </c>
      <c r="BD858" s="13"/>
      <c r="BE858" s="13"/>
      <c r="BF858" s="13"/>
      <c r="BG858" s="18">
        <v>0</v>
      </c>
      <c r="BH858" s="18">
        <v>0</v>
      </c>
      <c r="BI858" s="13"/>
      <c r="BJ858" s="18">
        <v>0</v>
      </c>
      <c r="BK858" s="13"/>
      <c r="BL858" s="13"/>
      <c r="BM858" s="13">
        <f t="shared" si="0"/>
        <v>0</v>
      </c>
    </row>
    <row r="859" customHeight="1" spans="1:65">
      <c r="A859" s="18" t="s">
        <v>623</v>
      </c>
      <c r="B859" s="18" t="s">
        <v>624</v>
      </c>
      <c r="C859" s="13"/>
      <c r="D859" s="18">
        <v>698596310384</v>
      </c>
      <c r="E859" s="18" t="s">
        <v>505</v>
      </c>
      <c r="F859" s="18" t="s">
        <v>160</v>
      </c>
      <c r="G859" s="18" t="s">
        <v>83</v>
      </c>
      <c r="H859" s="18" t="s">
        <v>84</v>
      </c>
      <c r="I859" s="18" t="s">
        <v>85</v>
      </c>
      <c r="J859" s="18">
        <v>5</v>
      </c>
      <c r="K859" s="16">
        <v>9.98</v>
      </c>
      <c r="L859" s="10"/>
      <c r="M859" s="16">
        <v>0</v>
      </c>
      <c r="N859" s="16">
        <v>0</v>
      </c>
      <c r="O859" s="18">
        <v>0</v>
      </c>
      <c r="P859" s="18" t="s">
        <v>133</v>
      </c>
      <c r="Q859" s="18">
        <v>2.396075</v>
      </c>
      <c r="R859" s="10"/>
      <c r="S859" s="16">
        <v>83</v>
      </c>
      <c r="T859" s="16">
        <v>10</v>
      </c>
      <c r="U859" s="18" t="s">
        <v>2591</v>
      </c>
      <c r="V859" s="18" t="s">
        <v>624</v>
      </c>
      <c r="W859" s="13"/>
      <c r="X859" s="18">
        <v>698596310385</v>
      </c>
      <c r="Y859" s="18" t="s">
        <v>505</v>
      </c>
      <c r="Z859" s="18" t="s">
        <v>160</v>
      </c>
      <c r="AA859" s="18" t="s">
        <v>83</v>
      </c>
      <c r="AB859" s="18" t="s">
        <v>84</v>
      </c>
      <c r="AC859" s="18" t="s">
        <v>85</v>
      </c>
      <c r="AD859" s="18">
        <v>14.96</v>
      </c>
      <c r="AE859" s="18">
        <v>0</v>
      </c>
      <c r="AF859" s="18">
        <v>0</v>
      </c>
      <c r="AG859" s="18">
        <v>0</v>
      </c>
      <c r="AH859" s="18">
        <v>1</v>
      </c>
      <c r="AI859" s="18">
        <v>0</v>
      </c>
      <c r="AJ859" s="18">
        <v>0</v>
      </c>
      <c r="AK859" s="18">
        <v>0</v>
      </c>
      <c r="AL859" s="18">
        <v>0</v>
      </c>
      <c r="AM859" s="18">
        <v>0</v>
      </c>
      <c r="AN859" s="18">
        <v>0</v>
      </c>
      <c r="AO859" s="18">
        <v>0</v>
      </c>
      <c r="AP859" s="18">
        <v>0</v>
      </c>
      <c r="AQ859" s="18">
        <v>0</v>
      </c>
      <c r="AR859" s="18">
        <v>0</v>
      </c>
      <c r="AS859" s="18">
        <v>0</v>
      </c>
      <c r="AT859" s="18">
        <v>0</v>
      </c>
      <c r="AU859" s="18">
        <v>0</v>
      </c>
      <c r="AV859" s="18">
        <v>0</v>
      </c>
      <c r="AW859" s="18">
        <v>1</v>
      </c>
      <c r="AX859" s="18">
        <v>0</v>
      </c>
      <c r="AY859" s="13"/>
      <c r="AZ859" s="18">
        <v>6</v>
      </c>
      <c r="BA859" s="18">
        <v>1</v>
      </c>
      <c r="BB859" s="18">
        <v>65.46</v>
      </c>
      <c r="BC859" s="18" t="s">
        <v>625</v>
      </c>
      <c r="BD859" s="18" t="s">
        <v>626</v>
      </c>
      <c r="BE859" s="18" t="s">
        <v>627</v>
      </c>
      <c r="BF859" s="18" t="s">
        <v>77</v>
      </c>
      <c r="BG859" s="18">
        <v>1</v>
      </c>
      <c r="BH859" s="18">
        <v>107</v>
      </c>
      <c r="BI859" s="18">
        <v>0.0093</v>
      </c>
      <c r="BJ859" s="18">
        <v>1</v>
      </c>
      <c r="BK859" s="18">
        <v>3</v>
      </c>
      <c r="BL859" s="18">
        <v>99.2</v>
      </c>
      <c r="BM859" s="13">
        <f t="shared" si="0"/>
        <v>828.34</v>
      </c>
    </row>
    <row r="860" customHeight="1" spans="1:65">
      <c r="A860" s="18" t="s">
        <v>1483</v>
      </c>
      <c r="B860" s="18" t="s">
        <v>624</v>
      </c>
      <c r="C860" s="18" t="s">
        <v>1484</v>
      </c>
      <c r="D860" s="13"/>
      <c r="E860" s="18" t="s">
        <v>122</v>
      </c>
      <c r="F860" s="18" t="s">
        <v>82</v>
      </c>
      <c r="G860" s="18" t="s">
        <v>117</v>
      </c>
      <c r="H860" s="18" t="s">
        <v>84</v>
      </c>
      <c r="I860" s="18" t="s">
        <v>85</v>
      </c>
      <c r="J860" s="18">
        <v>5</v>
      </c>
      <c r="K860" s="16">
        <v>35.89</v>
      </c>
      <c r="L860" s="10"/>
      <c r="M860" s="16">
        <v>0</v>
      </c>
      <c r="N860" s="16">
        <v>0</v>
      </c>
      <c r="O860" s="18">
        <v>0</v>
      </c>
      <c r="P860" s="18" t="s">
        <v>86</v>
      </c>
      <c r="Q860" s="18">
        <v>3.607941</v>
      </c>
      <c r="R860" s="10"/>
      <c r="S860" s="16">
        <v>121</v>
      </c>
      <c r="T860" s="16">
        <v>10</v>
      </c>
      <c r="U860" s="18" t="s">
        <v>1483</v>
      </c>
      <c r="V860" s="18" t="s">
        <v>624</v>
      </c>
      <c r="W860" s="18" t="s">
        <v>1484</v>
      </c>
      <c r="X860" s="13"/>
      <c r="Y860" s="18" t="s">
        <v>122</v>
      </c>
      <c r="Z860" s="18" t="s">
        <v>82</v>
      </c>
      <c r="AA860" s="18" t="s">
        <v>117</v>
      </c>
      <c r="AB860" s="18" t="s">
        <v>84</v>
      </c>
      <c r="AC860" s="18" t="s">
        <v>85</v>
      </c>
      <c r="AD860" s="18">
        <v>66.78</v>
      </c>
      <c r="AE860" s="18">
        <v>0</v>
      </c>
      <c r="AF860" s="18">
        <v>0</v>
      </c>
      <c r="AG860" s="18">
        <v>0</v>
      </c>
      <c r="AH860" s="18">
        <v>1</v>
      </c>
      <c r="AI860" s="18">
        <v>0</v>
      </c>
      <c r="AJ860" s="18">
        <v>0</v>
      </c>
      <c r="AK860" s="18">
        <v>0</v>
      </c>
      <c r="AL860" s="18">
        <v>0</v>
      </c>
      <c r="AM860" s="18">
        <v>0</v>
      </c>
      <c r="AN860" s="18">
        <v>0</v>
      </c>
      <c r="AO860" s="18">
        <v>0</v>
      </c>
      <c r="AP860" s="18">
        <v>0</v>
      </c>
      <c r="AQ860" s="18">
        <v>0</v>
      </c>
      <c r="AR860" s="18">
        <v>0</v>
      </c>
      <c r="AS860" s="18">
        <v>1</v>
      </c>
      <c r="AT860" s="18">
        <v>0</v>
      </c>
      <c r="AU860" s="18">
        <v>0</v>
      </c>
      <c r="AV860" s="18">
        <v>0</v>
      </c>
      <c r="AW860" s="18">
        <v>0</v>
      </c>
      <c r="AX860" s="18">
        <v>0</v>
      </c>
      <c r="AY860" s="13"/>
      <c r="AZ860" s="18">
        <v>1</v>
      </c>
      <c r="BA860" s="18">
        <v>1</v>
      </c>
      <c r="BB860" s="18">
        <v>66.05</v>
      </c>
      <c r="BC860" s="18" t="s">
        <v>625</v>
      </c>
      <c r="BD860" s="13"/>
      <c r="BE860" s="13"/>
      <c r="BF860" s="13"/>
      <c r="BG860" s="18">
        <v>0</v>
      </c>
      <c r="BH860" s="18">
        <v>0</v>
      </c>
      <c r="BI860" s="13"/>
      <c r="BJ860" s="18">
        <v>0</v>
      </c>
      <c r="BK860" s="18">
        <v>11</v>
      </c>
      <c r="BL860" s="18">
        <v>97</v>
      </c>
      <c r="BM860" s="13">
        <f t="shared" si="0"/>
        <v>4342.69</v>
      </c>
    </row>
    <row r="861" customHeight="1" spans="1:65">
      <c r="A861" s="18" t="s">
        <v>628</v>
      </c>
      <c r="B861" s="18" t="s">
        <v>535</v>
      </c>
      <c r="C861" s="18" t="s">
        <v>629</v>
      </c>
      <c r="D861" s="13"/>
      <c r="E861" s="18" t="s">
        <v>449</v>
      </c>
      <c r="F861" s="18" t="s">
        <v>82</v>
      </c>
      <c r="G861" s="18" t="s">
        <v>83</v>
      </c>
      <c r="H861" s="18" t="s">
        <v>84</v>
      </c>
      <c r="I861" s="18" t="s">
        <v>85</v>
      </c>
      <c r="J861" s="18">
        <v>5</v>
      </c>
      <c r="K861" s="16">
        <v>118.75</v>
      </c>
      <c r="L861" s="16">
        <v>125</v>
      </c>
      <c r="M861" s="16">
        <v>5</v>
      </c>
      <c r="N861" s="16">
        <v>6.25</v>
      </c>
      <c r="O861" s="18">
        <v>1</v>
      </c>
      <c r="P861" s="18" t="s">
        <v>95</v>
      </c>
      <c r="Q861" s="18">
        <v>4.785406</v>
      </c>
      <c r="R861" s="10"/>
      <c r="S861" s="16">
        <v>6</v>
      </c>
      <c r="T861" s="16">
        <v>10</v>
      </c>
      <c r="U861" s="18" t="s">
        <v>628</v>
      </c>
      <c r="V861" s="18" t="s">
        <v>535</v>
      </c>
      <c r="W861" s="18" t="s">
        <v>2749</v>
      </c>
      <c r="X861" s="13"/>
      <c r="Y861" s="18" t="s">
        <v>449</v>
      </c>
      <c r="Z861" s="18" t="s">
        <v>82</v>
      </c>
      <c r="AA861" s="18" t="s">
        <v>83</v>
      </c>
      <c r="AB861" s="18" t="s">
        <v>84</v>
      </c>
      <c r="AC861" s="18" t="s">
        <v>85</v>
      </c>
      <c r="AD861" s="18">
        <v>-4.2499999999998</v>
      </c>
      <c r="AE861" s="18">
        <v>0</v>
      </c>
      <c r="AF861" s="18">
        <v>0</v>
      </c>
      <c r="AG861" s="18">
        <v>1</v>
      </c>
      <c r="AH861" s="18">
        <v>0</v>
      </c>
      <c r="AI861" s="18">
        <v>1</v>
      </c>
      <c r="AJ861" s="18">
        <v>0</v>
      </c>
      <c r="AK861" s="18">
        <v>1</v>
      </c>
      <c r="AL861" s="18">
        <v>0</v>
      </c>
      <c r="AM861" s="18">
        <v>0</v>
      </c>
      <c r="AN861" s="18">
        <v>1</v>
      </c>
      <c r="AO861" s="18">
        <v>0</v>
      </c>
      <c r="AP861" s="18">
        <v>0</v>
      </c>
      <c r="AQ861" s="18">
        <v>0</v>
      </c>
      <c r="AR861" s="18">
        <v>0</v>
      </c>
      <c r="AS861" s="18">
        <v>0</v>
      </c>
      <c r="AT861" s="18">
        <v>1</v>
      </c>
      <c r="AU861" s="18">
        <v>0</v>
      </c>
      <c r="AV861" s="18">
        <v>0</v>
      </c>
      <c r="AW861" s="18">
        <v>0</v>
      </c>
      <c r="AX861" s="18">
        <v>0</v>
      </c>
      <c r="AY861" s="13"/>
      <c r="AZ861" s="18">
        <v>1</v>
      </c>
      <c r="BA861" s="18">
        <v>3</v>
      </c>
      <c r="BB861" s="18">
        <v>46.17</v>
      </c>
      <c r="BC861" s="18" t="s">
        <v>630</v>
      </c>
      <c r="BD861" s="13"/>
      <c r="BE861" s="13"/>
      <c r="BF861" s="13"/>
      <c r="BG861" s="18">
        <v>0</v>
      </c>
      <c r="BH861" s="18">
        <v>0</v>
      </c>
      <c r="BI861" s="13"/>
      <c r="BJ861" s="18">
        <v>0</v>
      </c>
      <c r="BK861" s="18">
        <v>4</v>
      </c>
      <c r="BL861" s="18">
        <v>98.9</v>
      </c>
      <c r="BM861" s="13">
        <f t="shared" si="0"/>
        <v>712.5</v>
      </c>
    </row>
    <row r="862" customHeight="1" spans="1:65">
      <c r="A862" s="18" t="s">
        <v>631</v>
      </c>
      <c r="B862" s="18" t="s">
        <v>115</v>
      </c>
      <c r="C862" s="13"/>
      <c r="D862" s="13"/>
      <c r="E862" s="18" t="s">
        <v>632</v>
      </c>
      <c r="F862" s="18" t="s">
        <v>160</v>
      </c>
      <c r="G862" s="18" t="s">
        <v>117</v>
      </c>
      <c r="H862" s="18" t="s">
        <v>107</v>
      </c>
      <c r="I862" s="18" t="s">
        <v>85</v>
      </c>
      <c r="J862" s="18">
        <v>5</v>
      </c>
      <c r="K862" s="16">
        <v>49.99</v>
      </c>
      <c r="L862" s="10"/>
      <c r="M862" s="16">
        <v>0</v>
      </c>
      <c r="N862" s="16">
        <v>0</v>
      </c>
      <c r="O862" s="18">
        <v>0</v>
      </c>
      <c r="P862" s="18" t="s">
        <v>86</v>
      </c>
      <c r="Q862" s="18">
        <v>3.93163</v>
      </c>
      <c r="R862" s="10"/>
      <c r="S862" s="16">
        <v>3</v>
      </c>
      <c r="T862" s="16">
        <v>3</v>
      </c>
      <c r="U862" s="18" t="s">
        <v>631</v>
      </c>
      <c r="V862" s="18" t="s">
        <v>115</v>
      </c>
      <c r="W862" s="13"/>
      <c r="X862" s="13"/>
      <c r="Y862" s="18" t="s">
        <v>632</v>
      </c>
      <c r="Z862" s="18" t="s">
        <v>160</v>
      </c>
      <c r="AA862" s="18" t="s">
        <v>117</v>
      </c>
      <c r="AB862" s="18" t="s">
        <v>107</v>
      </c>
      <c r="AC862" s="18" t="s">
        <v>85</v>
      </c>
      <c r="AD862" s="18">
        <v>94.98</v>
      </c>
      <c r="AE862" s="18">
        <v>0</v>
      </c>
      <c r="AF862" s="18">
        <v>0</v>
      </c>
      <c r="AG862" s="18">
        <v>0</v>
      </c>
      <c r="AH862" s="18">
        <v>1</v>
      </c>
      <c r="AI862" s="18">
        <v>0</v>
      </c>
      <c r="AJ862" s="18">
        <v>0</v>
      </c>
      <c r="AK862" s="18">
        <v>0</v>
      </c>
      <c r="AL862" s="18">
        <v>0</v>
      </c>
      <c r="AM862" s="18">
        <v>0</v>
      </c>
      <c r="AN862" s="18">
        <v>0</v>
      </c>
      <c r="AO862" s="18">
        <v>0</v>
      </c>
      <c r="AP862" s="18">
        <v>0</v>
      </c>
      <c r="AQ862" s="18">
        <v>0</v>
      </c>
      <c r="AR862" s="18">
        <v>0</v>
      </c>
      <c r="AS862" s="18">
        <v>0</v>
      </c>
      <c r="AT862" s="18">
        <v>0</v>
      </c>
      <c r="AU862" s="18">
        <v>0</v>
      </c>
      <c r="AV862" s="18">
        <v>0</v>
      </c>
      <c r="AW862" s="18">
        <v>1</v>
      </c>
      <c r="AX862" s="18">
        <v>0</v>
      </c>
      <c r="AY862" s="13"/>
      <c r="AZ862" s="18">
        <v>1</v>
      </c>
      <c r="BA862" s="18">
        <v>1</v>
      </c>
      <c r="BB862" s="18">
        <v>20</v>
      </c>
      <c r="BC862" s="18" t="s">
        <v>633</v>
      </c>
      <c r="BD862" s="18" t="s">
        <v>406</v>
      </c>
      <c r="BE862" s="18" t="s">
        <v>557</v>
      </c>
      <c r="BF862" s="18" t="s">
        <v>77</v>
      </c>
      <c r="BG862" s="18">
        <v>3</v>
      </c>
      <c r="BH862" s="18">
        <v>218</v>
      </c>
      <c r="BI862" s="18">
        <v>0.0136</v>
      </c>
      <c r="BJ862" s="18">
        <v>0</v>
      </c>
      <c r="BK862" s="13"/>
      <c r="BL862" s="13"/>
      <c r="BM862" s="13">
        <f t="shared" si="0"/>
        <v>149.97</v>
      </c>
    </row>
    <row r="863" customHeight="1" spans="1:65">
      <c r="A863" s="18" t="s">
        <v>634</v>
      </c>
      <c r="B863" s="18" t="s">
        <v>365</v>
      </c>
      <c r="C863" s="13"/>
      <c r="D863" s="13"/>
      <c r="E863" s="18" t="s">
        <v>81</v>
      </c>
      <c r="F863" s="18" t="s">
        <v>82</v>
      </c>
      <c r="G863" s="18" t="s">
        <v>83</v>
      </c>
      <c r="H863" s="18" t="s">
        <v>84</v>
      </c>
      <c r="I863" s="18" t="s">
        <v>85</v>
      </c>
      <c r="J863" s="18">
        <v>5</v>
      </c>
      <c r="K863" s="16">
        <v>99.99</v>
      </c>
      <c r="L863" s="10"/>
      <c r="M863" s="16">
        <v>0</v>
      </c>
      <c r="N863" s="16">
        <v>0</v>
      </c>
      <c r="O863" s="18">
        <v>0</v>
      </c>
      <c r="P863" s="18" t="s">
        <v>95</v>
      </c>
      <c r="Q863" s="18">
        <v>4.615022</v>
      </c>
      <c r="R863" s="10"/>
      <c r="S863" s="16">
        <v>10</v>
      </c>
      <c r="T863" s="16">
        <v>3</v>
      </c>
      <c r="U863" s="18" t="s">
        <v>634</v>
      </c>
      <c r="V863" s="18" t="s">
        <v>365</v>
      </c>
      <c r="W863" s="13"/>
      <c r="X863" s="13"/>
      <c r="Y863" s="18" t="s">
        <v>81</v>
      </c>
      <c r="Z863" s="18" t="s">
        <v>82</v>
      </c>
      <c r="AA863" s="18" t="s">
        <v>83</v>
      </c>
      <c r="AB863" s="18" t="s">
        <v>84</v>
      </c>
      <c r="AC863" s="18" t="s">
        <v>85</v>
      </c>
      <c r="AD863" s="18">
        <v>194.98</v>
      </c>
      <c r="AE863" s="18">
        <v>0</v>
      </c>
      <c r="AF863" s="18">
        <v>0</v>
      </c>
      <c r="AG863" s="18">
        <v>0</v>
      </c>
      <c r="AH863" s="18">
        <v>0</v>
      </c>
      <c r="AI863" s="18">
        <v>0</v>
      </c>
      <c r="AJ863" s="18">
        <v>0</v>
      </c>
      <c r="AK863" s="18">
        <v>0</v>
      </c>
      <c r="AL863" s="18">
        <v>0</v>
      </c>
      <c r="AM863" s="18">
        <v>0</v>
      </c>
      <c r="AN863" s="18">
        <v>0</v>
      </c>
      <c r="AO863" s="18">
        <v>0</v>
      </c>
      <c r="AP863" s="18">
        <v>0</v>
      </c>
      <c r="AQ863" s="18">
        <v>0</v>
      </c>
      <c r="AR863" s="18">
        <v>0</v>
      </c>
      <c r="AS863" s="18">
        <v>0</v>
      </c>
      <c r="AT863" s="18">
        <v>0</v>
      </c>
      <c r="AU863" s="18">
        <v>0</v>
      </c>
      <c r="AV863" s="18">
        <v>0</v>
      </c>
      <c r="AW863" s="18">
        <v>0</v>
      </c>
      <c r="AX863" s="18">
        <v>0</v>
      </c>
      <c r="AY863" s="13"/>
      <c r="AZ863" s="18">
        <v>1</v>
      </c>
      <c r="BA863" s="18">
        <v>0</v>
      </c>
      <c r="BB863" s="18">
        <v>59.78</v>
      </c>
      <c r="BC863" s="18" t="s">
        <v>635</v>
      </c>
      <c r="BD863" s="18" t="s">
        <v>636</v>
      </c>
      <c r="BE863" s="18" t="s">
        <v>113</v>
      </c>
      <c r="BF863" s="18" t="s">
        <v>77</v>
      </c>
      <c r="BG863" s="18">
        <v>168</v>
      </c>
      <c r="BH863" s="18">
        <v>11</v>
      </c>
      <c r="BI863" s="18">
        <v>0.9385</v>
      </c>
      <c r="BJ863" s="18">
        <v>0</v>
      </c>
      <c r="BK863" s="18">
        <v>12</v>
      </c>
      <c r="BL863" s="18">
        <v>96.7</v>
      </c>
      <c r="BM863" s="13">
        <f t="shared" si="0"/>
        <v>999.9</v>
      </c>
    </row>
    <row r="864" customHeight="1" spans="1:65">
      <c r="U864" s="27"/>
      <c r="BM864" s="13"/>
    </row>
    <row r="865" customHeight="1" spans="1:65">
      <c r="A865" s="30" t="s">
        <v>2750</v>
      </c>
      <c r="U865" s="27"/>
      <c r="BM865" s="13"/>
    </row>
    <row r="866" customHeight="1" spans="1:65">
      <c r="A866" s="30"/>
      <c r="U866" s="27"/>
      <c r="BM866" s="13"/>
    </row>
    <row r="867" customHeight="1" spans="1:65">
      <c r="A867" s="18" t="s">
        <v>2751</v>
      </c>
      <c r="B867" s="18">
        <v>125</v>
      </c>
      <c r="U867" s="27"/>
      <c r="BM867" s="13"/>
    </row>
    <row r="868" customHeight="1" spans="1:65">
      <c r="A868" s="18" t="s">
        <v>2752</v>
      </c>
      <c r="B868" s="18">
        <v>17</v>
      </c>
      <c r="U868" s="27"/>
      <c r="BM868" s="13"/>
    </row>
    <row r="869" customHeight="1" spans="1:65">
      <c r="A869" s="18" t="s">
        <v>2753</v>
      </c>
      <c r="B869" s="18">
        <v>1</v>
      </c>
      <c r="U869" s="27"/>
      <c r="BM869" s="13"/>
    </row>
    <row r="870" customHeight="1" spans="1:65">
      <c r="A870" s="18" t="s">
        <v>2754</v>
      </c>
      <c r="B870" s="26">
        <v>1</v>
      </c>
      <c r="U870" s="27"/>
      <c r="BM870" s="13"/>
    </row>
    <row r="871" customHeight="1" spans="1:65">
      <c r="A871" s="18" t="s">
        <v>2755</v>
      </c>
      <c r="B871" s="26">
        <v>62</v>
      </c>
      <c r="U871" s="27"/>
      <c r="BM871" s="13"/>
    </row>
    <row r="872" customHeight="1" spans="1:65">
      <c r="A872" s="18" t="s">
        <v>2756</v>
      </c>
      <c r="B872" s="35">
        <f>COUNTIF(F2:F863,"Uncategorized")</f>
        <v>42</v>
      </c>
      <c r="U872" s="27"/>
      <c r="BM872" s="13"/>
    </row>
    <row r="873" customHeight="1" spans="1:65">
      <c r="A873" s="18" t="s">
        <v>2757</v>
      </c>
      <c r="B873" s="35">
        <f>COUNTIF(C:C,"Not Applicable")</f>
        <v>1</v>
      </c>
      <c r="U873" s="27"/>
      <c r="BM873" s="13"/>
    </row>
    <row r="874" customHeight="1" spans="1:65">
      <c r="A874" s="18" t="s">
        <v>2758</v>
      </c>
      <c r="B874" s="35">
        <f>COUNTIF(C:C,"Do Not Apply")</f>
        <v>1</v>
      </c>
      <c r="U874" s="27"/>
      <c r="BM874" s="13"/>
    </row>
    <row r="875" customHeight="1" spans="1:65">
      <c r="A875" s="18" t="s">
        <v>2759</v>
      </c>
      <c r="B875" s="18">
        <v>1</v>
      </c>
      <c r="U875" s="27"/>
      <c r="BM875" s="13"/>
    </row>
    <row r="876" customHeight="1" spans="1:65">
      <c r="A876" s="18" t="s">
        <v>2760</v>
      </c>
      <c r="B876" s="35">
        <f>COUNTIF(C:C,"Blink Outdoor Indoor Camera")</f>
        <v>2</v>
      </c>
      <c r="U876" s="27"/>
      <c r="BM876" s="13"/>
    </row>
    <row r="877" customHeight="1" spans="1:65">
      <c r="A877" s="18" t="s">
        <v>2761</v>
      </c>
      <c r="B877" s="35">
        <f t="shared" ref="B877:B878" si="1">COUNTIF(C:C,"Black")</f>
        <v>1</v>
      </c>
      <c r="U877" s="27"/>
      <c r="BM877" s="13"/>
    </row>
    <row r="878" customHeight="1" spans="1:65">
      <c r="A878" s="18" t="s">
        <v>2762</v>
      </c>
      <c r="B878" s="35">
        <f t="shared" si="1"/>
        <v>1</v>
      </c>
      <c r="U878" s="27"/>
      <c r="BM878" s="13"/>
    </row>
    <row r="879" customHeight="1" spans="1:65">
      <c r="A879" s="18" t="s">
        <v>2763</v>
      </c>
      <c r="B879" s="35">
        <f t="shared" ref="B879:B881" si="2">COUNTIF(C:C,"Orbitell")</f>
        <v>1</v>
      </c>
      <c r="U879" s="27"/>
      <c r="BM879" s="13"/>
    </row>
    <row r="880" customHeight="1" spans="1:65">
      <c r="A880" s="18" t="s">
        <v>2764</v>
      </c>
      <c r="B880" s="35">
        <f t="shared" si="2"/>
        <v>1</v>
      </c>
      <c r="U880" s="27"/>
      <c r="BM880" s="13"/>
    </row>
    <row r="881" customHeight="1" spans="1:65">
      <c r="A881" s="18" t="s">
        <v>2765</v>
      </c>
      <c r="B881" s="35">
        <f t="shared" si="2"/>
        <v>1</v>
      </c>
      <c r="U881" s="27"/>
      <c r="BM881" s="13"/>
    </row>
    <row r="882" customHeight="1" spans="1:65">
      <c r="A882" s="18" t="s">
        <v>2766</v>
      </c>
      <c r="B882" s="13">
        <f>COUNTIF(G:G,"Other/Generic")</f>
        <v>597</v>
      </c>
      <c r="U882" s="27"/>
      <c r="BM882" s="13"/>
    </row>
    <row r="883" customHeight="1" spans="1:65">
      <c r="A883" s="18" t="s">
        <v>2767</v>
      </c>
      <c r="B883" s="36">
        <f>COUNTIF(H2:H863,"Generic/Unknown")</f>
        <v>125</v>
      </c>
      <c r="U883" s="27"/>
      <c r="BM883" s="13"/>
    </row>
    <row r="884" customHeight="1" spans="1:65">
      <c r="A884" s="18" t="s">
        <v>2768</v>
      </c>
      <c r="B884" s="23">
        <v>458</v>
      </c>
      <c r="U884" s="27"/>
      <c r="BM884" s="13"/>
    </row>
    <row r="885" customHeight="1" spans="1:65">
      <c r="A885" s="18" t="s">
        <v>2769</v>
      </c>
      <c r="B885" s="18">
        <v>661</v>
      </c>
      <c r="U885" s="27"/>
      <c r="BM885" s="13"/>
    </row>
    <row r="886" customHeight="1" spans="1:65">
      <c r="A886" s="18" t="s">
        <v>2770</v>
      </c>
      <c r="B886" s="13">
        <f>COUNTBLANK(L2:L863)</f>
        <v>683</v>
      </c>
      <c r="U886" s="27"/>
      <c r="BM886" s="13"/>
    </row>
    <row r="887" customHeight="1" spans="1:65">
      <c r="A887" s="18" t="s">
        <v>2771</v>
      </c>
      <c r="B887" s="35">
        <f>COUNTBLANK(R2:R863)</f>
        <v>661</v>
      </c>
      <c r="U887" s="27"/>
      <c r="BM887" s="13"/>
    </row>
    <row r="888" customHeight="1" spans="1:65">
      <c r="A888" s="18" t="s">
        <v>2772</v>
      </c>
      <c r="B888" s="35">
        <f>COUNTBLANK(S2:S863)</f>
        <v>107</v>
      </c>
      <c r="U888" s="27"/>
      <c r="BM888" s="13"/>
    </row>
    <row r="889" customHeight="1" spans="1:65">
      <c r="A889" s="18" t="s">
        <v>2773</v>
      </c>
      <c r="B889" s="13">
        <f>COUNTBLANK(T2:T863)</f>
        <v>98</v>
      </c>
      <c r="U889" s="27"/>
      <c r="BM889" s="13"/>
    </row>
    <row r="890" customHeight="1" spans="1:65">
      <c r="A890" s="18" t="s">
        <v>2774</v>
      </c>
      <c r="B890" s="13">
        <f>COUNTBLANK(W2:W863)</f>
        <v>458</v>
      </c>
      <c r="U890" s="27"/>
      <c r="BM890" s="13"/>
    </row>
    <row r="891" customHeight="1" spans="1:65">
      <c r="A891" s="18" t="s">
        <v>2775</v>
      </c>
      <c r="B891" s="13">
        <f>COUNTBLANK(X2:X863)</f>
        <v>661</v>
      </c>
      <c r="U891" s="27"/>
      <c r="BM891" s="13"/>
    </row>
    <row r="892" customHeight="1" spans="1:65">
      <c r="A892" s="18" t="s">
        <v>2776</v>
      </c>
      <c r="B892" s="13">
        <f>COUNTBLANK(AY2:AY863)</f>
        <v>661</v>
      </c>
      <c r="U892" s="27"/>
      <c r="BM892" s="13"/>
    </row>
    <row r="893" customHeight="1" spans="1:65">
      <c r="A893" s="18" t="s">
        <v>2777</v>
      </c>
      <c r="B893" s="13">
        <f>COUNTBLANK(BD2:BD863)</f>
        <v>64</v>
      </c>
      <c r="U893" s="27"/>
      <c r="BM893" s="13"/>
    </row>
    <row r="894" customHeight="1" spans="1:65">
      <c r="A894" s="18" t="s">
        <v>2778</v>
      </c>
      <c r="B894" s="13">
        <f>COUNTBLANK(BE2:BE863)</f>
        <v>64</v>
      </c>
      <c r="U894" s="27"/>
      <c r="BM894" s="13"/>
    </row>
    <row r="895" customHeight="1" spans="1:65">
      <c r="A895" s="18" t="s">
        <v>2779</v>
      </c>
      <c r="B895" s="13">
        <f>COUNTBLANK(BF2:BF863)</f>
        <v>64</v>
      </c>
      <c r="U895" s="27"/>
      <c r="BM895" s="13"/>
    </row>
    <row r="896" customHeight="1" spans="1:65">
      <c r="A896" s="18" t="s">
        <v>2780</v>
      </c>
      <c r="B896" s="13">
        <f>COUNTBLANK(BK2:BK863)</f>
        <v>103</v>
      </c>
      <c r="U896" s="27"/>
      <c r="BM896" s="13"/>
    </row>
    <row r="897" customHeight="1" spans="1:65">
      <c r="A897" s="18" t="s">
        <v>2781</v>
      </c>
      <c r="B897" s="13">
        <f>COUNTBLANK(BL2:BL863)</f>
        <v>103</v>
      </c>
      <c r="U897" s="27"/>
      <c r="BM897" s="13"/>
    </row>
    <row r="898" customHeight="1" spans="1:65">
      <c r="A898" s="13"/>
      <c r="B898" s="13"/>
      <c r="U898" s="27"/>
      <c r="BM898" s="13"/>
    </row>
    <row r="899" customHeight="1" spans="1:65">
      <c r="A899" s="14" t="s">
        <v>2782</v>
      </c>
      <c r="C899" s="14" t="s">
        <v>2783</v>
      </c>
      <c r="U899" s="27"/>
      <c r="BM899" s="13"/>
    </row>
    <row r="900" customHeight="1" spans="1:65">
      <c r="U900" s="27"/>
      <c r="BM900" s="13"/>
    </row>
    <row r="901" customHeight="1" spans="1:65">
      <c r="A901" s="18" t="s">
        <v>2784</v>
      </c>
      <c r="B901" s="32" t="str">
        <f>IF(A2=U2,"Match","Different")</f>
        <v>Match</v>
      </c>
      <c r="C901" s="16" t="s">
        <v>2785</v>
      </c>
      <c r="D901" s="10">
        <f>MAX(K2:K863)</f>
        <v>1499.99</v>
      </c>
      <c r="U901" s="27"/>
      <c r="BM901" s="13"/>
    </row>
    <row r="902" customHeight="1" spans="1:65">
      <c r="A902" s="18" t="s">
        <v>2786</v>
      </c>
      <c r="B902" s="32" t="str">
        <f>IF(B2=V2,"Match","Different")</f>
        <v>Match</v>
      </c>
      <c r="C902" s="16" t="s">
        <v>2787</v>
      </c>
      <c r="D902" s="10">
        <f>MIN(K2:K863)</f>
        <v>3</v>
      </c>
      <c r="U902" s="27"/>
      <c r="BM902" s="13"/>
    </row>
    <row r="903" customHeight="1" spans="1:65">
      <c r="A903" s="18" t="s">
        <v>2788</v>
      </c>
      <c r="B903" s="32" t="str">
        <f>IF(C2=W2,"Match","Different")</f>
        <v>Match</v>
      </c>
      <c r="C903" s="18" t="s">
        <v>2789</v>
      </c>
      <c r="D903" s="10">
        <f>MAX(S2:S863)</f>
        <v>10872</v>
      </c>
      <c r="U903" s="27"/>
      <c r="BM903" s="13"/>
    </row>
    <row r="904" customHeight="1" spans="1:65">
      <c r="A904" s="18" t="s">
        <v>2790</v>
      </c>
      <c r="B904" s="32" t="str">
        <f>IF(D2=X2,"Match","Different")</f>
        <v>Different</v>
      </c>
      <c r="C904" s="18" t="s">
        <v>2791</v>
      </c>
      <c r="D904" s="10">
        <f>MIN(S2:S863)</f>
        <v>1</v>
      </c>
      <c r="U904" s="27"/>
      <c r="BM904" s="13"/>
    </row>
    <row r="905" customHeight="1" spans="1:65">
      <c r="A905" s="18" t="s">
        <v>2792</v>
      </c>
      <c r="B905" s="32" t="str">
        <f>IF(E2=Y2,"Match","Different")</f>
        <v>Match</v>
      </c>
      <c r="C905" s="18" t="s">
        <v>2793</v>
      </c>
      <c r="D905" s="10">
        <f>MAX(T2:T863)</f>
        <v>701</v>
      </c>
      <c r="U905" s="27"/>
      <c r="BM905" s="13"/>
    </row>
    <row r="906" customHeight="1" spans="1:65">
      <c r="A906" s="18" t="s">
        <v>2794</v>
      </c>
      <c r="B906" s="32" t="str">
        <f>IF(F2=Z2,"Match","Different")</f>
        <v>Match</v>
      </c>
      <c r="C906" s="18" t="s">
        <v>2795</v>
      </c>
      <c r="D906" s="10">
        <f>MIN(T2:T863)</f>
        <v>1</v>
      </c>
      <c r="U906" s="27"/>
      <c r="BM906" s="13"/>
    </row>
    <row r="907" customHeight="1" spans="1:65">
      <c r="A907" s="18" t="s">
        <v>2796</v>
      </c>
      <c r="B907" s="32" t="str">
        <f>IF(G2=AA2,"Match","Different")</f>
        <v>Match</v>
      </c>
      <c r="C907" s="18" t="s">
        <v>2797</v>
      </c>
      <c r="D907" s="10">
        <f>MAX(M2:M863)</f>
        <v>75</v>
      </c>
      <c r="U907" s="27"/>
      <c r="BM907" s="13"/>
    </row>
    <row r="908" customHeight="1" spans="1:65">
      <c r="A908" s="18" t="s">
        <v>2798</v>
      </c>
      <c r="B908" s="32" t="str">
        <f>IF(H2=AB2,"Match","Different")</f>
        <v>Match</v>
      </c>
      <c r="C908" s="18" t="s">
        <v>2799</v>
      </c>
      <c r="D908" s="10">
        <f>MIN(M2:M863)</f>
        <v>0</v>
      </c>
      <c r="U908" s="27"/>
      <c r="BM908" s="13"/>
    </row>
    <row r="909" customHeight="1" spans="1:65">
      <c r="A909" s="18" t="s">
        <v>2800</v>
      </c>
      <c r="B909" s="32" t="str">
        <f>IF(I2=AC2,"Match","Different")</f>
        <v>Match</v>
      </c>
      <c r="C909" s="18" t="s">
        <v>2801</v>
      </c>
      <c r="D909" s="10">
        <f>MAX(N2:N863)</f>
        <v>480</v>
      </c>
      <c r="U909" s="27"/>
      <c r="BM909" s="13"/>
    </row>
    <row r="910" customHeight="1" spans="1:65">
      <c r="A910" s="18" t="s">
        <v>2802</v>
      </c>
      <c r="B910" s="32" t="str">
        <f>IF(J2=AD2,"Match","Different")</f>
        <v>Different</v>
      </c>
      <c r="C910" s="18" t="s">
        <v>2803</v>
      </c>
      <c r="D910" s="10">
        <f>MIN(N2:N863)</f>
        <v>0</v>
      </c>
      <c r="U910" s="27"/>
      <c r="BM910" s="13"/>
    </row>
    <row r="911" customHeight="1" spans="1:65">
      <c r="A911" s="13"/>
      <c r="B911" s="13"/>
      <c r="U911" s="27"/>
    </row>
    <row r="912" customHeight="1" spans="1:65">
      <c r="U912" s="27"/>
    </row>
    <row r="913" customHeight="1" spans="3:21">
      <c r="U913" s="27"/>
    </row>
    <row r="914" customHeight="1" spans="3:21">
      <c r="U914" s="27"/>
    </row>
    <row r="915" customHeight="1" spans="3:21">
      <c r="U915" s="27"/>
    </row>
    <row r="916" customHeight="1" spans="3:21">
      <c r="E916" s="37"/>
      <c r="U916" s="27"/>
    </row>
    <row r="917" customHeight="1" spans="3:21">
      <c r="D917" s="37"/>
      <c r="U917" s="27"/>
    </row>
    <row r="918" customHeight="1" spans="3:21">
      <c r="U918" s="27"/>
    </row>
    <row r="919" customHeight="1" spans="3:21">
      <c r="U919" s="27"/>
    </row>
    <row r="920" customHeight="1" spans="3:21">
      <c r="C920" s="37"/>
      <c r="D920" s="37"/>
      <c r="U920" s="27"/>
    </row>
    <row r="921" customHeight="1" spans="3:21">
      <c r="C921" s="37"/>
      <c r="U921" s="27"/>
    </row>
    <row r="922" customHeight="1" spans="3:21">
      <c r="U922" s="27"/>
    </row>
    <row r="923" customHeight="1" spans="3:21">
      <c r="U923" s="27"/>
    </row>
    <row r="924" customHeight="1" spans="3:21">
      <c r="C924" s="37"/>
      <c r="U924" s="27"/>
    </row>
    <row r="925" customHeight="1" spans="3:21">
      <c r="U925" s="27"/>
    </row>
    <row r="926" customHeight="1" spans="3:21">
      <c r="U926" s="27"/>
    </row>
    <row r="927" customHeight="1" spans="3:21">
      <c r="U927" s="27"/>
    </row>
    <row r="928" customHeight="1" spans="3:21">
      <c r="U928" s="27"/>
    </row>
    <row r="929" customHeight="1" spans="21:21">
      <c r="U929" s="27"/>
    </row>
    <row r="930" customHeight="1" spans="21:21">
      <c r="U930" s="27"/>
    </row>
    <row r="931" customHeight="1" spans="21:21">
      <c r="U931" s="27"/>
    </row>
    <row r="932" customHeight="1" spans="21:21">
      <c r="U932" s="27"/>
    </row>
    <row r="933" customHeight="1" spans="21:21">
      <c r="U933" s="27"/>
    </row>
    <row r="934" customHeight="1" spans="21:21">
      <c r="U934" s="27"/>
    </row>
    <row r="935" customHeight="1" spans="21:21">
      <c r="U935" s="27"/>
    </row>
    <row r="936" customHeight="1" spans="21:21">
      <c r="U936" s="27"/>
    </row>
    <row r="937" customHeight="1" spans="21:21">
      <c r="U937" s="27"/>
    </row>
    <row r="938" customHeight="1" spans="21:21">
      <c r="U938" s="27"/>
    </row>
    <row r="939" customHeight="1" spans="21:21">
      <c r="U939" s="27"/>
    </row>
    <row r="940" customHeight="1" spans="21:21">
      <c r="U940" s="27"/>
    </row>
    <row r="941" customHeight="1" spans="21:21">
      <c r="U941" s="27"/>
    </row>
    <row r="942" customHeight="1" spans="21:21">
      <c r="U942" s="27"/>
    </row>
    <row r="943" customHeight="1" spans="21:21">
      <c r="U943" s="27"/>
    </row>
    <row r="944" customHeight="1" spans="21:21">
      <c r="U944" s="27"/>
    </row>
    <row r="945" customHeight="1" spans="21:21">
      <c r="U945" s="27"/>
    </row>
    <row r="946" customHeight="1" spans="21:21">
      <c r="U946" s="27"/>
    </row>
    <row r="947" customHeight="1" spans="21:21">
      <c r="U947" s="27"/>
    </row>
    <row r="948" customHeight="1" spans="21:21">
      <c r="U948" s="27"/>
    </row>
    <row r="949" customHeight="1" spans="21:21">
      <c r="U949" s="27"/>
    </row>
    <row r="950" customHeight="1" spans="21:21">
      <c r="U950" s="27"/>
    </row>
    <row r="951" customHeight="1" spans="21:21">
      <c r="U951" s="27"/>
    </row>
    <row r="952" customHeight="1" spans="21:21">
      <c r="U952" s="27"/>
    </row>
    <row r="953" customHeight="1" spans="21:21">
      <c r="U953" s="27"/>
    </row>
    <row r="954" customHeight="1" spans="21:21">
      <c r="U954" s="27"/>
    </row>
    <row r="955" customHeight="1" spans="21:21">
      <c r="U955" s="27"/>
    </row>
    <row r="956" customHeight="1" spans="21:21">
      <c r="U956" s="27"/>
    </row>
    <row r="957" customHeight="1" spans="21:21">
      <c r="U957" s="27"/>
    </row>
    <row r="958" customHeight="1" spans="21:21">
      <c r="U958" s="27"/>
    </row>
    <row r="959" customHeight="1" spans="21:21">
      <c r="U959" s="27"/>
    </row>
    <row r="960" customHeight="1" spans="21:21">
      <c r="U960" s="27"/>
    </row>
    <row r="961" customHeight="1" spans="21:21">
      <c r="U961" s="27"/>
    </row>
    <row r="962" customHeight="1" spans="21:21">
      <c r="U962" s="27"/>
    </row>
    <row r="963" customHeight="1" spans="21:21">
      <c r="U963" s="27"/>
    </row>
    <row r="964" customHeight="1" spans="21:21">
      <c r="U964" s="27"/>
    </row>
    <row r="965" customHeight="1" spans="21:21">
      <c r="U965" s="27"/>
    </row>
    <row r="966" customHeight="1" spans="21:21">
      <c r="U966" s="27"/>
    </row>
    <row r="967" customHeight="1" spans="21:21">
      <c r="U967" s="27"/>
    </row>
    <row r="968" customHeight="1" spans="21:21">
      <c r="U968" s="27"/>
    </row>
    <row r="969" customHeight="1" spans="21:21">
      <c r="U969" s="27"/>
    </row>
    <row r="970" customHeight="1" spans="21:21">
      <c r="U970" s="27"/>
    </row>
    <row r="971" customHeight="1" spans="21:21">
      <c r="U971" s="27"/>
    </row>
    <row r="972" customHeight="1" spans="21:21">
      <c r="U972" s="27"/>
    </row>
    <row r="973" customHeight="1" spans="21:21">
      <c r="U973" s="27"/>
    </row>
    <row r="974" customHeight="1" spans="21:21">
      <c r="U974" s="27"/>
    </row>
    <row r="975" customHeight="1" spans="21:21">
      <c r="U975" s="27"/>
    </row>
    <row r="976" customHeight="1" spans="21:21">
      <c r="U976" s="27"/>
    </row>
    <row r="977" customHeight="1" spans="21:21">
      <c r="U977" s="27"/>
    </row>
    <row r="978" customHeight="1" spans="21:21">
      <c r="U978" s="27"/>
    </row>
    <row r="979" customHeight="1" spans="21:21">
      <c r="U979" s="27"/>
    </row>
    <row r="980" customHeight="1" spans="21:21">
      <c r="U980" s="27"/>
    </row>
    <row r="981" customHeight="1" spans="21:21">
      <c r="U981" s="27"/>
    </row>
    <row r="982" customHeight="1" spans="21:21">
      <c r="U982" s="27"/>
    </row>
    <row r="983" customHeight="1" spans="21:21">
      <c r="U983" s="27"/>
    </row>
    <row r="984" customHeight="1" spans="21:21">
      <c r="U984" s="27"/>
    </row>
    <row r="985" customHeight="1" spans="21:21">
      <c r="U985" s="27"/>
    </row>
    <row r="986" customHeight="1" spans="21:21">
      <c r="U986" s="27"/>
    </row>
    <row r="987" customHeight="1" spans="21:21">
      <c r="U987" s="27"/>
    </row>
    <row r="988" customHeight="1" spans="21:21">
      <c r="U988" s="27"/>
    </row>
    <row r="989" customHeight="1" spans="21:21">
      <c r="U989" s="27"/>
    </row>
    <row r="990" customHeight="1" spans="21:21">
      <c r="U990" s="27"/>
    </row>
    <row r="991" customHeight="1" spans="21:21">
      <c r="U991" s="27"/>
    </row>
    <row r="992" customHeight="1" spans="21:21">
      <c r="U992" s="27"/>
    </row>
    <row r="993" customHeight="1" spans="21:21">
      <c r="U993" s="27"/>
    </row>
    <row r="994" customHeight="1" spans="21:21">
      <c r="U994" s="27"/>
    </row>
    <row r="995" customHeight="1" spans="21:21">
      <c r="U995" s="27"/>
    </row>
    <row r="996" customHeight="1" spans="21:21">
      <c r="U996" s="27"/>
    </row>
    <row r="997" customHeight="1" spans="21:21">
      <c r="U997" s="27"/>
    </row>
    <row r="998" customHeight="1" spans="21:21">
      <c r="U998" s="27"/>
    </row>
    <row r="999" customHeight="1" spans="21:21">
      <c r="U999" s="27"/>
    </row>
    <row r="1000" customHeight="1" spans="21:21">
      <c r="U1000" s="27"/>
    </row>
    <row r="1001" customHeight="1" spans="21:21">
      <c r="U1001" s="27"/>
    </row>
    <row r="1002" customHeight="1" spans="21:21">
      <c r="U1002" s="27"/>
    </row>
    <row r="1003" customHeight="1" spans="21:21">
      <c r="U1003" s="27"/>
    </row>
    <row r="1004" customHeight="1" spans="21:21">
      <c r="U1004" s="27"/>
    </row>
    <row r="1005" customHeight="1" spans="21:21">
      <c r="U1005" s="27"/>
    </row>
    <row r="1006" customHeight="1" spans="21:21">
      <c r="U1006" s="27"/>
    </row>
    <row r="1007" customHeight="1" spans="21:21">
      <c r="U1007" s="27"/>
    </row>
    <row r="1008" customHeight="1" spans="21:21">
      <c r="U1008" s="27"/>
    </row>
    <row r="1009" customHeight="1" spans="21:21">
      <c r="U1009" s="27"/>
    </row>
    <row r="1010" customHeight="1" spans="21:21">
      <c r="U1010" s="27"/>
    </row>
    <row r="1011" customHeight="1" spans="21:21">
      <c r="U1011" s="27"/>
    </row>
    <row r="1012" customHeight="1" spans="21:21">
      <c r="U1012" s="27"/>
    </row>
    <row r="1013" customHeight="1" spans="21:21">
      <c r="U1013" s="27"/>
    </row>
    <row r="1014" customHeight="1" spans="21:21">
      <c r="U1014" s="27"/>
    </row>
    <row r="1015" customHeight="1" spans="21:21">
      <c r="U1015" s="27"/>
    </row>
    <row r="1016" customHeight="1" spans="21:21">
      <c r="U1016" s="27"/>
    </row>
    <row r="1017" customHeight="1" spans="21:21">
      <c r="U1017" s="27"/>
    </row>
    <row r="1018" customHeight="1" spans="21:21">
      <c r="U1018" s="27"/>
    </row>
    <row r="1019" customHeight="1" spans="21:21">
      <c r="U1019" s="27"/>
    </row>
    <row r="1020" customHeight="1" spans="21:21">
      <c r="U1020" s="27"/>
    </row>
    <row r="1021" customHeight="1" spans="21:21">
      <c r="U1021" s="27"/>
    </row>
    <row r="1022" customHeight="1" spans="21:21">
      <c r="U1022" s="27"/>
    </row>
    <row r="1023" customHeight="1" spans="21:21">
      <c r="U1023" s="27"/>
    </row>
    <row r="1024" customHeight="1" spans="21:21">
      <c r="U1024" s="27"/>
    </row>
    <row r="1025" customHeight="1" spans="21:21">
      <c r="U1025" s="27"/>
    </row>
    <row r="1026" customHeight="1" spans="21:21">
      <c r="U1026" s="27"/>
    </row>
    <row r="1027" customHeight="1" spans="21:21">
      <c r="U1027" s="27"/>
    </row>
    <row r="1028" customHeight="1" spans="21:21">
      <c r="U1028" s="27"/>
    </row>
    <row r="1029" customHeight="1" spans="21:21">
      <c r="U1029" s="27"/>
    </row>
    <row r="1030" customHeight="1" spans="21:21">
      <c r="U1030" s="27"/>
    </row>
    <row r="1031" customHeight="1" spans="21:21">
      <c r="U1031" s="27"/>
    </row>
    <row r="1032" customHeight="1" spans="21:21">
      <c r="U1032" s="27"/>
    </row>
    <row r="1033" customHeight="1" spans="21:21">
      <c r="U1033" s="27"/>
    </row>
    <row r="1034" customHeight="1" spans="21:21">
      <c r="U1034" s="27"/>
    </row>
    <row r="1035" customHeight="1" spans="21:21">
      <c r="U1035" s="27"/>
    </row>
    <row r="1036" customHeight="1" spans="21:21">
      <c r="U1036" s="27"/>
    </row>
    <row r="1037" customHeight="1" spans="21:21">
      <c r="U1037" s="27"/>
    </row>
    <row r="1038" customHeight="1" spans="21:21">
      <c r="U1038" s="27"/>
    </row>
    <row r="1039" customHeight="1" spans="21:21">
      <c r="U1039" s="27"/>
    </row>
    <row r="1040" customHeight="1" spans="21:21">
      <c r="U1040" s="27"/>
    </row>
    <row r="1041" customHeight="1" spans="21:21">
      <c r="U1041" s="27"/>
    </row>
    <row r="1042" customHeight="1" spans="21:21">
      <c r="U1042" s="27"/>
    </row>
    <row r="1043" customHeight="1" spans="21:21">
      <c r="U1043" s="27"/>
    </row>
    <row r="1044" customHeight="1" spans="21:21">
      <c r="U1044" s="27"/>
    </row>
    <row r="1045" customHeight="1" spans="21:21">
      <c r="U1045" s="27"/>
    </row>
    <row r="1046" customHeight="1" spans="21:21">
      <c r="U1046" s="27"/>
    </row>
    <row r="1047" customHeight="1" spans="21:21">
      <c r="U1047" s="27"/>
    </row>
    <row r="1048" customHeight="1" spans="21:21">
      <c r="U1048" s="27"/>
    </row>
    <row r="1049" customHeight="1" spans="21:21">
      <c r="U1049" s="27"/>
    </row>
    <row r="1050" customHeight="1" spans="21:21">
      <c r="U1050" s="27"/>
    </row>
    <row r="1051" customHeight="1" spans="21:21">
      <c r="U1051" s="27"/>
    </row>
    <row r="1052" customHeight="1" spans="21:21">
      <c r="U1052" s="27"/>
    </row>
    <row r="1053" customHeight="1" spans="21:21">
      <c r="U1053" s="27"/>
    </row>
    <row r="1054" customHeight="1" spans="21:21">
      <c r="U1054" s="27"/>
    </row>
    <row r="1055" customHeight="1" spans="21:21">
      <c r="U1055" s="27"/>
    </row>
    <row r="1056" customHeight="1" spans="21:21">
      <c r="U1056" s="27"/>
    </row>
    <row r="1057" customHeight="1" spans="21:21">
      <c r="U1057" s="27"/>
    </row>
    <row r="1058" customHeight="1" spans="21:21">
      <c r="U1058" s="27"/>
    </row>
    <row r="1059" customHeight="1" spans="21:21">
      <c r="U1059" s="27"/>
    </row>
    <row r="1060" customHeight="1" spans="21:21">
      <c r="U1060" s="27"/>
    </row>
    <row r="1061" customHeight="1" spans="21:21">
      <c r="U1061" s="27"/>
    </row>
    <row r="1062" customHeight="1" spans="21:21">
      <c r="U1062" s="27"/>
    </row>
    <row r="1063" customHeight="1" spans="21:21">
      <c r="U1063" s="27"/>
    </row>
    <row r="1064" customHeight="1" spans="21:21">
      <c r="U1064" s="27"/>
    </row>
    <row r="1065" customHeight="1" spans="21:21">
      <c r="U1065" s="27"/>
    </row>
    <row r="1066" customHeight="1" spans="21:21">
      <c r="U1066" s="27"/>
    </row>
    <row r="1067" customHeight="1" spans="21:21">
      <c r="U1067" s="27"/>
    </row>
    <row r="1068" customHeight="1" spans="21:21">
      <c r="U1068" s="27"/>
    </row>
    <row r="1069" customHeight="1" spans="21:21">
      <c r="U1069" s="27"/>
    </row>
    <row r="1070" customHeight="1" spans="21:21">
      <c r="U1070" s="27"/>
    </row>
    <row r="1071" customHeight="1" spans="21:21">
      <c r="U1071" s="27"/>
    </row>
    <row r="1072" customHeight="1" spans="21:21">
      <c r="U1072" s="27"/>
    </row>
    <row r="1073" customHeight="1" spans="21:21">
      <c r="U1073" s="27"/>
    </row>
    <row r="1074" customHeight="1" spans="21:21">
      <c r="U1074" s="27"/>
    </row>
    <row r="1075" customHeight="1" spans="21:21">
      <c r="U1075" s="27"/>
    </row>
    <row r="1076" customHeight="1" spans="21:21">
      <c r="U1076" s="27"/>
    </row>
    <row r="1077" customHeight="1" spans="21:21">
      <c r="U1077" s="27"/>
    </row>
    <row r="1078" customHeight="1" spans="21:21">
      <c r="U1078" s="27"/>
    </row>
    <row r="1079" customHeight="1" spans="21:21">
      <c r="U1079" s="27"/>
    </row>
    <row r="1080" customHeight="1" spans="21:21">
      <c r="U1080" s="27"/>
    </row>
    <row r="1081" customHeight="1" spans="21:21">
      <c r="U1081" s="27"/>
    </row>
    <row r="1082" customHeight="1" spans="21:21">
      <c r="U1082" s="27"/>
    </row>
    <row r="1083" customHeight="1" spans="21:21">
      <c r="U1083" s="27"/>
    </row>
    <row r="1084" customHeight="1" spans="21:21">
      <c r="U1084" s="27"/>
    </row>
    <row r="1085" customHeight="1" spans="21:21">
      <c r="U1085" s="27"/>
    </row>
    <row r="1086" customHeight="1" spans="21:21">
      <c r="U1086" s="27"/>
    </row>
    <row r="1087" customHeight="1" spans="21:21">
      <c r="U1087" s="27"/>
    </row>
    <row r="1088" customHeight="1" spans="21:21">
      <c r="U1088" s="27"/>
    </row>
    <row r="1089" customHeight="1" spans="21:21">
      <c r="U1089" s="27"/>
    </row>
    <row r="1090" customHeight="1" spans="21:21">
      <c r="U1090" s="27"/>
    </row>
    <row r="1091" customHeight="1" spans="21:21">
      <c r="U1091" s="27"/>
    </row>
    <row r="1092" customHeight="1" spans="21:21">
      <c r="U1092" s="27"/>
    </row>
    <row r="1093" customHeight="1" spans="21:21">
      <c r="U1093" s="27"/>
    </row>
    <row r="1094" customHeight="1" spans="21:21">
      <c r="U1094" s="27"/>
    </row>
    <row r="1095" customHeight="1" spans="21:21">
      <c r="U1095" s="27"/>
    </row>
    <row r="1096" customHeight="1" spans="21:21">
      <c r="U1096" s="27"/>
    </row>
    <row r="1097" customHeight="1" spans="21:21">
      <c r="U1097" s="27"/>
    </row>
    <row r="1098" customHeight="1" spans="21:21">
      <c r="U1098" s="27"/>
    </row>
    <row r="1099" customHeight="1" spans="21:21">
      <c r="U1099" s="27"/>
    </row>
    <row r="1100" customHeight="1" spans="21:21">
      <c r="U1100" s="27"/>
    </row>
    <row r="1101" customHeight="1" spans="21:21">
      <c r="U1101" s="27"/>
    </row>
    <row r="1102" customHeight="1" spans="21:21">
      <c r="U1102" s="27"/>
    </row>
    <row r="1103" customHeight="1" spans="21:21">
      <c r="U1103" s="27"/>
    </row>
    <row r="1104" customHeight="1" spans="21:21">
      <c r="U1104" s="27"/>
    </row>
    <row r="1105" customHeight="1" spans="21:21">
      <c r="U1105" s="27"/>
    </row>
    <row r="1106" customHeight="1" spans="21:21">
      <c r="U1106" s="27"/>
    </row>
    <row r="1107" customHeight="1" spans="21:21">
      <c r="U1107" s="27"/>
    </row>
    <row r="1108" customHeight="1" spans="21:21">
      <c r="U1108" s="27"/>
    </row>
    <row r="1109" customHeight="1" spans="21:21">
      <c r="U1109" s="27"/>
    </row>
    <row r="1110" customHeight="1" spans="21:21">
      <c r="U1110" s="27"/>
    </row>
    <row r="1111" customHeight="1" spans="21:21">
      <c r="U1111" s="27"/>
    </row>
    <row r="1112" customHeight="1" spans="21:21">
      <c r="U1112" s="27"/>
    </row>
    <row r="1113" customHeight="1" spans="21:21">
      <c r="U1113" s="27"/>
    </row>
    <row r="1114" customHeight="1" spans="21:21">
      <c r="U1114" s="27"/>
    </row>
    <row r="1115" customHeight="1" spans="21:21">
      <c r="U1115" s="27"/>
    </row>
    <row r="1116" customHeight="1" spans="21:21">
      <c r="U1116" s="27"/>
    </row>
    <row r="1117" customHeight="1" spans="21:21">
      <c r="U1117" s="27"/>
    </row>
    <row r="1118" customHeight="1" spans="21:21">
      <c r="U1118" s="27"/>
    </row>
    <row r="1119" customHeight="1" spans="21:21">
      <c r="U1119" s="27"/>
    </row>
    <row r="1120" customHeight="1" spans="21:21">
      <c r="U1120" s="27"/>
    </row>
    <row r="1121" customHeight="1" spans="21:21">
      <c r="U1121" s="27"/>
    </row>
    <row r="1122" customHeight="1" spans="21:21">
      <c r="U1122" s="27"/>
    </row>
    <row r="1123" customHeight="1" spans="21:21">
      <c r="U1123" s="27"/>
    </row>
    <row r="1124" customHeight="1" spans="21:21">
      <c r="U1124" s="27"/>
    </row>
    <row r="1125" customHeight="1" spans="21:21">
      <c r="U1125" s="27"/>
    </row>
    <row r="1126" customHeight="1" spans="21:21">
      <c r="U1126" s="27"/>
    </row>
    <row r="1127" customHeight="1" spans="21:21">
      <c r="U1127" s="27"/>
    </row>
    <row r="1128" customHeight="1" spans="21:21">
      <c r="U1128" s="27"/>
    </row>
    <row r="1129" customHeight="1" spans="21:21">
      <c r="U1129" s="27"/>
    </row>
    <row r="1130" customHeight="1" spans="21:21">
      <c r="U1130" s="27"/>
    </row>
    <row r="1131" customHeight="1" spans="21:21">
      <c r="U1131" s="27"/>
    </row>
    <row r="1132" customHeight="1" spans="21:21">
      <c r="U1132" s="27"/>
    </row>
    <row r="1133" customHeight="1" spans="21:21">
      <c r="U1133" s="27"/>
    </row>
    <row r="1134" customHeight="1" spans="21:21">
      <c r="U1134" s="27"/>
    </row>
    <row r="1135" customHeight="1" spans="21:21">
      <c r="U1135" s="27"/>
    </row>
    <row r="1136" customHeight="1" spans="21:21">
      <c r="U1136" s="27"/>
    </row>
    <row r="1137" customHeight="1" spans="21:21">
      <c r="U1137" s="27"/>
    </row>
    <row r="1138" customHeight="1" spans="21:21">
      <c r="U1138" s="27"/>
    </row>
    <row r="1139" customHeight="1" spans="21:21">
      <c r="U1139" s="27"/>
    </row>
    <row r="1140" customHeight="1" spans="21:21">
      <c r="U1140" s="27"/>
    </row>
    <row r="1141" customHeight="1" spans="21:21">
      <c r="U1141" s="27"/>
    </row>
    <row r="1142" customHeight="1" spans="21:21">
      <c r="U1142" s="27"/>
    </row>
    <row r="1143" customHeight="1" spans="21:21">
      <c r="U1143" s="27"/>
    </row>
    <row r="1144" customHeight="1" spans="21:21">
      <c r="U1144" s="27"/>
    </row>
    <row r="1145" customHeight="1" spans="21:21">
      <c r="U1145" s="27"/>
    </row>
    <row r="1146" customHeight="1" spans="21:21">
      <c r="U1146" s="27"/>
    </row>
    <row r="1147" customHeight="1" spans="21:21">
      <c r="U1147" s="27"/>
    </row>
    <row r="1148" customHeight="1" spans="21:21">
      <c r="U1148" s="27"/>
    </row>
    <row r="1149" customHeight="1" spans="21:21">
      <c r="U1149" s="27"/>
    </row>
    <row r="1150" customHeight="1" spans="21:21">
      <c r="U1150" s="27"/>
    </row>
    <row r="1151" customHeight="1" spans="21:21">
      <c r="U1151" s="27"/>
    </row>
    <row r="1152" customHeight="1" spans="21:21">
      <c r="U1152" s="27"/>
    </row>
    <row r="1153" customHeight="1" spans="21:21">
      <c r="U1153" s="27"/>
    </row>
    <row r="1154" customHeight="1" spans="21:21">
      <c r="U1154" s="27"/>
    </row>
    <row r="1155" customHeight="1" spans="21:21">
      <c r="U1155" s="27"/>
    </row>
    <row r="1156" customHeight="1" spans="21:21">
      <c r="U1156" s="27"/>
    </row>
    <row r="1157" customHeight="1" spans="21:21">
      <c r="U1157" s="27"/>
    </row>
    <row r="1158" customHeight="1" spans="21:21">
      <c r="U1158" s="27"/>
    </row>
    <row r="1159" customHeight="1" spans="21:21">
      <c r="U1159" s="27"/>
    </row>
    <row r="1160" customHeight="1" spans="21:21">
      <c r="U1160" s="27"/>
    </row>
    <row r="1161" customHeight="1" spans="21:21">
      <c r="U1161" s="27"/>
    </row>
    <row r="1162" customHeight="1" spans="21:21">
      <c r="U1162" s="27"/>
    </row>
    <row r="1163" customHeight="1" spans="21:21">
      <c r="U1163" s="27"/>
    </row>
    <row r="1164" customHeight="1" spans="21:21">
      <c r="U1164" s="27"/>
    </row>
    <row r="1165" customHeight="1" spans="21:21">
      <c r="U1165" s="27"/>
    </row>
    <row r="1166" customHeight="1" spans="21:21">
      <c r="U1166" s="27"/>
    </row>
    <row r="1167" customHeight="1" spans="21:21">
      <c r="U1167" s="27"/>
    </row>
    <row r="1168" customHeight="1" spans="21:21">
      <c r="U1168" s="27"/>
    </row>
    <row r="1169" customHeight="1" spans="21:21">
      <c r="U1169" s="27"/>
    </row>
    <row r="1170" customHeight="1" spans="21:21">
      <c r="U1170" s="27"/>
    </row>
    <row r="1171" customHeight="1" spans="21:21">
      <c r="U1171" s="27"/>
    </row>
    <row r="1172" customHeight="1" spans="21:21">
      <c r="U1172" s="27"/>
    </row>
    <row r="1173" customHeight="1" spans="21:21">
      <c r="U1173" s="27"/>
    </row>
    <row r="1174" customHeight="1" spans="21:21">
      <c r="U1174" s="27"/>
    </row>
    <row r="1175" customHeight="1" spans="21:21">
      <c r="U1175" s="27"/>
    </row>
    <row r="1176" customHeight="1" spans="21:21">
      <c r="U1176" s="27"/>
    </row>
    <row r="1177" customHeight="1" spans="21:21">
      <c r="U1177" s="27"/>
    </row>
    <row r="1178" customHeight="1" spans="21:21">
      <c r="U1178" s="27"/>
    </row>
    <row r="1179" customHeight="1" spans="21:21">
      <c r="U1179" s="27"/>
    </row>
    <row r="1180" customHeight="1" spans="21:21">
      <c r="U1180" s="27"/>
    </row>
    <row r="1181" customHeight="1" spans="21:21">
      <c r="U1181" s="27"/>
    </row>
    <row r="1182" customHeight="1" spans="21:21">
      <c r="U1182" s="27"/>
    </row>
    <row r="1183" customHeight="1" spans="21:21">
      <c r="U1183" s="27"/>
    </row>
    <row r="1184" customHeight="1" spans="21:21">
      <c r="U1184" s="27"/>
    </row>
    <row r="1185" customHeight="1" spans="21:21">
      <c r="U1185" s="27"/>
    </row>
    <row r="1186" customHeight="1" spans="21:21">
      <c r="U1186" s="27"/>
    </row>
    <row r="1187" customHeight="1" spans="21:21">
      <c r="U1187" s="27"/>
    </row>
    <row r="1188" customHeight="1" spans="21:21">
      <c r="U1188" s="27"/>
    </row>
    <row r="1189" customHeight="1" spans="21:21">
      <c r="U1189" s="27"/>
    </row>
    <row r="1190" customHeight="1" spans="21:21">
      <c r="U1190" s="27"/>
    </row>
    <row r="1191" customHeight="1" spans="21:21">
      <c r="U1191" s="27"/>
    </row>
    <row r="1192" customHeight="1" spans="21:21">
      <c r="U1192" s="27"/>
    </row>
    <row r="1193" customHeight="1" spans="21:21">
      <c r="U1193" s="27"/>
    </row>
    <row r="1194" customHeight="1" spans="21:21">
      <c r="U1194" s="27"/>
    </row>
    <row r="1195" customHeight="1" spans="21:21">
      <c r="U1195" s="27"/>
    </row>
    <row r="1196" customHeight="1" spans="21:21">
      <c r="U1196" s="27"/>
    </row>
    <row r="1197" customHeight="1" spans="21:21">
      <c r="U1197" s="27"/>
    </row>
    <row r="1198" customHeight="1" spans="21:21">
      <c r="U1198" s="27"/>
    </row>
    <row r="1199" customHeight="1" spans="21:21">
      <c r="U1199" s="27"/>
    </row>
    <row r="1200" customHeight="1" spans="21:21">
      <c r="U1200" s="27"/>
    </row>
    <row r="1201" customHeight="1" spans="21:21">
      <c r="U1201" s="27"/>
    </row>
    <row r="1202" customHeight="1" spans="21:21">
      <c r="U1202" s="27"/>
    </row>
    <row r="1203" customHeight="1" spans="21:21">
      <c r="U1203" s="27"/>
    </row>
    <row r="1204" customHeight="1" spans="21:21">
      <c r="U1204" s="27"/>
    </row>
    <row r="1205" customHeight="1" spans="21:21">
      <c r="U1205" s="27"/>
    </row>
    <row r="1206" customHeight="1" spans="21:21">
      <c r="U1206" s="27"/>
    </row>
    <row r="1207" customHeight="1" spans="21:21">
      <c r="U1207" s="27"/>
    </row>
    <row r="1208" customHeight="1" spans="21:21">
      <c r="U1208" s="27"/>
    </row>
    <row r="1209" customHeight="1" spans="21:21">
      <c r="U1209" s="27"/>
    </row>
    <row r="1210" customHeight="1" spans="21:21">
      <c r="U1210" s="27"/>
    </row>
    <row r="1211" customHeight="1" spans="21:21">
      <c r="U1211" s="27"/>
    </row>
    <row r="1212" customHeight="1" spans="21:21">
      <c r="U1212" s="27"/>
    </row>
    <row r="1213" customHeight="1" spans="21:21">
      <c r="U1213" s="27"/>
    </row>
    <row r="1214" customHeight="1" spans="21:21">
      <c r="U1214" s="27"/>
    </row>
    <row r="1215" customHeight="1" spans="21:21">
      <c r="U1215" s="27"/>
    </row>
    <row r="1216" customHeight="1" spans="21:21">
      <c r="U1216" s="27"/>
    </row>
    <row r="1217" customHeight="1" spans="21:21">
      <c r="U1217" s="27"/>
    </row>
    <row r="1218" customHeight="1" spans="21:21">
      <c r="U1218" s="27"/>
    </row>
    <row r="1219" customHeight="1" spans="21:21">
      <c r="U1219" s="27"/>
    </row>
    <row r="1220" customHeight="1" spans="21:21">
      <c r="U1220" s="27"/>
    </row>
    <row r="1221" customHeight="1" spans="21:21">
      <c r="U1221" s="27"/>
    </row>
    <row r="1222" customHeight="1" spans="21:21">
      <c r="U1222" s="27"/>
    </row>
    <row r="1223" customHeight="1" spans="21:21">
      <c r="U1223" s="27"/>
    </row>
    <row r="1224" customHeight="1" spans="21:21">
      <c r="U1224" s="27"/>
    </row>
    <row r="1225" customHeight="1" spans="21:21">
      <c r="U1225" s="27"/>
    </row>
    <row r="1226" customHeight="1" spans="21:21">
      <c r="U1226" s="27"/>
    </row>
    <row r="1227" customHeight="1" spans="21:21">
      <c r="U1227" s="27"/>
    </row>
    <row r="1228" customHeight="1" spans="21:21">
      <c r="U1228" s="27"/>
    </row>
    <row r="1229" customHeight="1" spans="21:21">
      <c r="U1229" s="27"/>
    </row>
    <row r="1230" customHeight="1" spans="21:21">
      <c r="U1230" s="27"/>
    </row>
    <row r="1231" customHeight="1" spans="21:21">
      <c r="U1231" s="27"/>
    </row>
    <row r="1232" customHeight="1" spans="21:21">
      <c r="U1232" s="27"/>
    </row>
    <row r="1233" customHeight="1" spans="21:21">
      <c r="U1233" s="27"/>
    </row>
    <row r="1234" customHeight="1" spans="21:21">
      <c r="U1234" s="27"/>
    </row>
    <row r="1235" customHeight="1" spans="21:21">
      <c r="U1235" s="27"/>
    </row>
    <row r="1236" customHeight="1" spans="21:21">
      <c r="U1236" s="27"/>
    </row>
    <row r="1237" customHeight="1" spans="21:21">
      <c r="U1237" s="27"/>
    </row>
    <row r="1238" customHeight="1" spans="21:21">
      <c r="U1238" s="27"/>
    </row>
    <row r="1239" customHeight="1" spans="21:21">
      <c r="U1239" s="27"/>
    </row>
    <row r="1240" customHeight="1" spans="21:21">
      <c r="U1240" s="27"/>
    </row>
    <row r="1241" customHeight="1" spans="21:21">
      <c r="U1241" s="27"/>
    </row>
    <row r="1242" customHeight="1" spans="21:21">
      <c r="U1242" s="27"/>
    </row>
    <row r="1243" customHeight="1" spans="21:21">
      <c r="U1243" s="27"/>
    </row>
    <row r="1244" customHeight="1" spans="21:21">
      <c r="U1244" s="27"/>
    </row>
    <row r="1245" customHeight="1" spans="21:21">
      <c r="U1245" s="27"/>
    </row>
    <row r="1246" customHeight="1" spans="21:21">
      <c r="U1246" s="27"/>
    </row>
    <row r="1247" customHeight="1" spans="21:21">
      <c r="U1247" s="27"/>
    </row>
    <row r="1248" customHeight="1" spans="21:21">
      <c r="U1248" s="27"/>
    </row>
    <row r="1249" customHeight="1" spans="21:21">
      <c r="U1249" s="27"/>
    </row>
    <row r="1250" customHeight="1" spans="21:21">
      <c r="U1250" s="27"/>
    </row>
    <row r="1251" customHeight="1" spans="21:21">
      <c r="U1251" s="27"/>
    </row>
    <row r="1252" customHeight="1" spans="21:21">
      <c r="U1252" s="27"/>
    </row>
    <row r="1253" customHeight="1" spans="21:21">
      <c r="U1253" s="27"/>
    </row>
    <row r="1254" customHeight="1" spans="21:21">
      <c r="U1254" s="27"/>
    </row>
    <row r="1255" customHeight="1" spans="21:21">
      <c r="U1255" s="27"/>
    </row>
    <row r="1256" customHeight="1" spans="21:21">
      <c r="U1256" s="27"/>
    </row>
    <row r="1257" customHeight="1" spans="21:21">
      <c r="U1257" s="27"/>
    </row>
    <row r="1258" customHeight="1" spans="21:21">
      <c r="U1258" s="27"/>
    </row>
    <row r="1259" customHeight="1" spans="21:21">
      <c r="U1259" s="27"/>
    </row>
    <row r="1260" customHeight="1" spans="21:21">
      <c r="U1260" s="27"/>
    </row>
    <row r="1261" customHeight="1" spans="21:21">
      <c r="U1261" s="27"/>
    </row>
    <row r="1262" customHeight="1" spans="21:21">
      <c r="U1262" s="27"/>
    </row>
    <row r="1263" customHeight="1" spans="21:21">
      <c r="U1263" s="27"/>
    </row>
    <row r="1264" customHeight="1" spans="21:21">
      <c r="U1264" s="27"/>
    </row>
    <row r="1265" customHeight="1" spans="21:21">
      <c r="U1265" s="27"/>
    </row>
    <row r="1266" customHeight="1" spans="21:21">
      <c r="U1266" s="27"/>
    </row>
    <row r="1267" customHeight="1" spans="21:21">
      <c r="U1267" s="27"/>
    </row>
    <row r="1268" customHeight="1" spans="21:21">
      <c r="U1268" s="27"/>
    </row>
    <row r="1269" customHeight="1" spans="21:21">
      <c r="U1269" s="27"/>
    </row>
    <row r="1270" customHeight="1" spans="21:21">
      <c r="U1270" s="27"/>
    </row>
    <row r="1271" customHeight="1" spans="21:21">
      <c r="U1271" s="27"/>
    </row>
    <row r="1272" customHeight="1" spans="21:21">
      <c r="U1272" s="27"/>
    </row>
    <row r="1273" customHeight="1" spans="21:21">
      <c r="U1273" s="27"/>
    </row>
    <row r="1274" customHeight="1" spans="21:21">
      <c r="U1274" s="27"/>
    </row>
    <row r="1275" customHeight="1" spans="21:21">
      <c r="U1275" s="27"/>
    </row>
    <row r="1276" customHeight="1" spans="21:21">
      <c r="U1276" s="27"/>
    </row>
    <row r="1277" customHeight="1" spans="21:21">
      <c r="U1277" s="27"/>
    </row>
    <row r="1278" customHeight="1" spans="21:21">
      <c r="U1278" s="27"/>
    </row>
    <row r="1279" customHeight="1" spans="21:21">
      <c r="U1279" s="27"/>
    </row>
    <row r="1280" customHeight="1" spans="21:21">
      <c r="U1280" s="27"/>
    </row>
    <row r="1281" customHeight="1" spans="21:21">
      <c r="U1281" s="27"/>
    </row>
    <row r="1282" customHeight="1" spans="21:21">
      <c r="U1282" s="27"/>
    </row>
    <row r="1283" customHeight="1" spans="21:21">
      <c r="U1283" s="27"/>
    </row>
    <row r="1284" customHeight="1" spans="21:21">
      <c r="U1284" s="27"/>
    </row>
    <row r="1285" customHeight="1" spans="21:21">
      <c r="U1285" s="27"/>
    </row>
    <row r="1286" customHeight="1" spans="21:21">
      <c r="U1286" s="27"/>
    </row>
    <row r="1287" customHeight="1" spans="21:21">
      <c r="U1287" s="27"/>
    </row>
    <row r="1288" customHeight="1" spans="21:21">
      <c r="U1288" s="27"/>
    </row>
    <row r="1289" customHeight="1" spans="21:21">
      <c r="U1289" s="27"/>
    </row>
    <row r="1290" customHeight="1" spans="21:21">
      <c r="U1290" s="27"/>
    </row>
    <row r="1291" customHeight="1" spans="21:21">
      <c r="U1291" s="27"/>
    </row>
    <row r="1292" customHeight="1" spans="21:21">
      <c r="U1292" s="27"/>
    </row>
    <row r="1293" customHeight="1" spans="21:21">
      <c r="U1293" s="27"/>
    </row>
    <row r="1294" customHeight="1" spans="21:21">
      <c r="U1294" s="27"/>
    </row>
    <row r="1295" customHeight="1" spans="21:21">
      <c r="U1295" s="27"/>
    </row>
    <row r="1296" customHeight="1" spans="21:21">
      <c r="U1296" s="27"/>
    </row>
    <row r="1297" customHeight="1" spans="21:21">
      <c r="U1297" s="27"/>
    </row>
    <row r="1298" customHeight="1" spans="21:21">
      <c r="U1298" s="27"/>
    </row>
    <row r="1299" customHeight="1" spans="21:21">
      <c r="U1299" s="27"/>
    </row>
    <row r="1300" customHeight="1" spans="21:21">
      <c r="U1300" s="27"/>
    </row>
    <row r="1301" customHeight="1" spans="21:21">
      <c r="U1301" s="27"/>
    </row>
    <row r="1302" customHeight="1" spans="21:21">
      <c r="U1302" s="27"/>
    </row>
    <row r="1303" customHeight="1" spans="21:21">
      <c r="U1303" s="27"/>
    </row>
    <row r="1304" customHeight="1" spans="21:21">
      <c r="U1304" s="27"/>
    </row>
    <row r="1305" customHeight="1" spans="21:21">
      <c r="U1305" s="27"/>
    </row>
    <row r="1306" customHeight="1" spans="21:21">
      <c r="U1306" s="27"/>
    </row>
    <row r="1307" customHeight="1" spans="21:21">
      <c r="U1307" s="27"/>
    </row>
    <row r="1308" customHeight="1" spans="21:21">
      <c r="U1308" s="27"/>
    </row>
    <row r="1309" customHeight="1" spans="21:21">
      <c r="U1309" s="27"/>
    </row>
    <row r="1310" customHeight="1" spans="21:21">
      <c r="U1310" s="27"/>
    </row>
    <row r="1311" customHeight="1" spans="21:21">
      <c r="U1311" s="27"/>
    </row>
    <row r="1312" customHeight="1" spans="21:21">
      <c r="U1312" s="27"/>
    </row>
    <row r="1313" customHeight="1" spans="21:21">
      <c r="U1313" s="27"/>
    </row>
    <row r="1314" customHeight="1" spans="21:21">
      <c r="U1314" s="27"/>
    </row>
    <row r="1315" customHeight="1" spans="21:21">
      <c r="U1315" s="27"/>
    </row>
    <row r="1316" customHeight="1" spans="21:21">
      <c r="U1316" s="27"/>
    </row>
    <row r="1317" customHeight="1" spans="21:21">
      <c r="U1317" s="27"/>
    </row>
    <row r="1318" customHeight="1" spans="21:21">
      <c r="U1318" s="27"/>
    </row>
    <row r="1319" customHeight="1" spans="21:21">
      <c r="U1319" s="27"/>
    </row>
    <row r="1320" customHeight="1" spans="21:21">
      <c r="U1320" s="27"/>
    </row>
    <row r="1321" customHeight="1" spans="21:21">
      <c r="U1321" s="27"/>
    </row>
    <row r="1322" customHeight="1" spans="21:21">
      <c r="U1322" s="27"/>
    </row>
    <row r="1323" customHeight="1" spans="21:21">
      <c r="U1323" s="27"/>
    </row>
    <row r="1324" customHeight="1" spans="21:21">
      <c r="U1324" s="27"/>
    </row>
    <row r="1325" customHeight="1" spans="21:21">
      <c r="U1325" s="27"/>
    </row>
    <row r="1326" customHeight="1" spans="21:21">
      <c r="U1326" s="27"/>
    </row>
    <row r="1327" customHeight="1" spans="21:21">
      <c r="U1327" s="27"/>
    </row>
    <row r="1328" customHeight="1" spans="21:21">
      <c r="U1328" s="27"/>
    </row>
    <row r="1329" customHeight="1" spans="21:21">
      <c r="U1329" s="27"/>
    </row>
    <row r="1330" customHeight="1" spans="21:21">
      <c r="U1330" s="27"/>
    </row>
    <row r="1331" customHeight="1" spans="21:21">
      <c r="U1331" s="27"/>
    </row>
    <row r="1332" customHeight="1" spans="21:21">
      <c r="U1332" s="27"/>
    </row>
    <row r="1333" customHeight="1" spans="21:21">
      <c r="U1333" s="27"/>
    </row>
    <row r="1334" customHeight="1" spans="21:21">
      <c r="U1334" s="27"/>
    </row>
    <row r="1335" customHeight="1" spans="21:21">
      <c r="U1335" s="27"/>
    </row>
    <row r="1336" customHeight="1" spans="21:21">
      <c r="U1336" s="27"/>
    </row>
    <row r="1337" customHeight="1" spans="21:21">
      <c r="U1337" s="27"/>
    </row>
    <row r="1338" customHeight="1" spans="21:21">
      <c r="U1338" s="27"/>
    </row>
    <row r="1339" customHeight="1" spans="21:21">
      <c r="U1339" s="27"/>
    </row>
    <row r="1340" customHeight="1" spans="21:21">
      <c r="U1340" s="27"/>
    </row>
    <row r="1341" customHeight="1" spans="21:21">
      <c r="U1341" s="27"/>
    </row>
    <row r="1342" customHeight="1" spans="21:21">
      <c r="U1342" s="27"/>
    </row>
    <row r="1343" customHeight="1" spans="21:21">
      <c r="U1343" s="27"/>
    </row>
    <row r="1344" customHeight="1" spans="21:21">
      <c r="U1344" s="27"/>
    </row>
    <row r="1345" customHeight="1" spans="21:21">
      <c r="U1345" s="27"/>
    </row>
    <row r="1346" customHeight="1" spans="21:21">
      <c r="U1346" s="27"/>
    </row>
    <row r="1347" customHeight="1" spans="21:21">
      <c r="U1347" s="27"/>
    </row>
    <row r="1348" customHeight="1" spans="21:21">
      <c r="U1348" s="27"/>
    </row>
    <row r="1349" customHeight="1" spans="21:21">
      <c r="U1349" s="27"/>
    </row>
    <row r="1350" customHeight="1" spans="21:21">
      <c r="U1350" s="27"/>
    </row>
    <row r="1351" customHeight="1" spans="21:21">
      <c r="U1351" s="27"/>
    </row>
    <row r="1352" customHeight="1" spans="21:21">
      <c r="U1352" s="27"/>
    </row>
    <row r="1353" customHeight="1" spans="21:21">
      <c r="U1353" s="27"/>
    </row>
    <row r="1354" customHeight="1" spans="21:21">
      <c r="U1354" s="27"/>
    </row>
    <row r="1355" customHeight="1" spans="21:21">
      <c r="U1355" s="27"/>
    </row>
    <row r="1356" customHeight="1" spans="21:21">
      <c r="U1356" s="27"/>
    </row>
    <row r="1357" customHeight="1" spans="21:21">
      <c r="U1357" s="27"/>
    </row>
    <row r="1358" customHeight="1" spans="21:21">
      <c r="U1358" s="27"/>
    </row>
    <row r="1359" customHeight="1" spans="21:21">
      <c r="U1359" s="27"/>
    </row>
    <row r="1360" customHeight="1" spans="21:21">
      <c r="U1360" s="27"/>
    </row>
    <row r="1361" customHeight="1" spans="21:21">
      <c r="U1361" s="27"/>
    </row>
    <row r="1362" customHeight="1" spans="21:21">
      <c r="U1362" s="27"/>
    </row>
    <row r="1363" customHeight="1" spans="21:21">
      <c r="U1363" s="27"/>
    </row>
    <row r="1364" customHeight="1" spans="21:21">
      <c r="U1364" s="27"/>
    </row>
    <row r="1365" customHeight="1" spans="21:21">
      <c r="U1365" s="27"/>
    </row>
    <row r="1366" customHeight="1" spans="21:21">
      <c r="U1366" s="27"/>
    </row>
    <row r="1367" customHeight="1" spans="21:21">
      <c r="U1367" s="27"/>
    </row>
    <row r="1368" customHeight="1" spans="21:21">
      <c r="U1368" s="27"/>
    </row>
    <row r="1369" customHeight="1" spans="21:21">
      <c r="U1369" s="27"/>
    </row>
    <row r="1370" customHeight="1" spans="21:21">
      <c r="U1370" s="27"/>
    </row>
    <row r="1371" customHeight="1" spans="21:21">
      <c r="U1371" s="27"/>
    </row>
    <row r="1372" customHeight="1" spans="21:21">
      <c r="U1372" s="27"/>
    </row>
    <row r="1373" customHeight="1" spans="21:21">
      <c r="U1373" s="27"/>
    </row>
    <row r="1374" customHeight="1" spans="21:21">
      <c r="U1374" s="27"/>
    </row>
    <row r="1375" customHeight="1" spans="21:21">
      <c r="U1375" s="27"/>
    </row>
    <row r="1376" customHeight="1" spans="21:21">
      <c r="U1376" s="27"/>
    </row>
    <row r="1377" customHeight="1" spans="21:21">
      <c r="U1377" s="27"/>
    </row>
    <row r="1378" customHeight="1" spans="21:21">
      <c r="U1378" s="27"/>
    </row>
    <row r="1379" customHeight="1" spans="21:21">
      <c r="U1379" s="27"/>
    </row>
    <row r="1380" customHeight="1" spans="21:21">
      <c r="U1380" s="27"/>
    </row>
    <row r="1381" customHeight="1" spans="21:21">
      <c r="U1381" s="27"/>
    </row>
    <row r="1382" customHeight="1" spans="21:21">
      <c r="U1382" s="27"/>
    </row>
    <row r="1383" customHeight="1" spans="21:21">
      <c r="U1383" s="27"/>
    </row>
    <row r="1384" customHeight="1" spans="21:21">
      <c r="U1384" s="27"/>
    </row>
    <row r="1385" customHeight="1" spans="21:21">
      <c r="U1385" s="27"/>
    </row>
    <row r="1386" customHeight="1" spans="21:21">
      <c r="U1386" s="27"/>
    </row>
    <row r="1387" customHeight="1" spans="21:21">
      <c r="U1387" s="27"/>
    </row>
    <row r="1388" customHeight="1" spans="21:21">
      <c r="U1388" s="27"/>
    </row>
    <row r="1389" customHeight="1" spans="21:21">
      <c r="U1389" s="27"/>
    </row>
    <row r="1390" customHeight="1" spans="21:21">
      <c r="U1390" s="27"/>
    </row>
    <row r="1391" customHeight="1" spans="21:21">
      <c r="U1391" s="27"/>
    </row>
    <row r="1392" customHeight="1" spans="21:21">
      <c r="U1392" s="27"/>
    </row>
    <row r="1393" customHeight="1" spans="21:21">
      <c r="U1393" s="27"/>
    </row>
    <row r="1394" customHeight="1" spans="21:21">
      <c r="U1394" s="27"/>
    </row>
    <row r="1395" customHeight="1" spans="21:21">
      <c r="U1395" s="27"/>
    </row>
    <row r="1396" customHeight="1" spans="21:21">
      <c r="U1396" s="27"/>
    </row>
    <row r="1397" customHeight="1" spans="21:21">
      <c r="U1397" s="27"/>
    </row>
    <row r="1398" customHeight="1" spans="21:21">
      <c r="U1398" s="27"/>
    </row>
    <row r="1399" customHeight="1" spans="21:21">
      <c r="U1399" s="27"/>
    </row>
    <row r="1400" customHeight="1" spans="21:21">
      <c r="U1400" s="27"/>
    </row>
    <row r="1401" customHeight="1" spans="21:21">
      <c r="U1401" s="27"/>
    </row>
    <row r="1402" customHeight="1" spans="21:21">
      <c r="U1402" s="27"/>
    </row>
    <row r="1403" customHeight="1" spans="21:21">
      <c r="U1403" s="27"/>
    </row>
    <row r="1404" customHeight="1" spans="21:21">
      <c r="U1404" s="27"/>
    </row>
    <row r="1405" customHeight="1" spans="21:21">
      <c r="U1405" s="27"/>
    </row>
    <row r="1406" customHeight="1" spans="21:21">
      <c r="U1406" s="27"/>
    </row>
    <row r="1407" customHeight="1" spans="21:21">
      <c r="U1407" s="27"/>
    </row>
    <row r="1408" customHeight="1" spans="21:21">
      <c r="U1408" s="27"/>
    </row>
    <row r="1409" customHeight="1" spans="21:21">
      <c r="U1409" s="27"/>
    </row>
    <row r="1410" customHeight="1" spans="21:21">
      <c r="U1410" s="27"/>
    </row>
    <row r="1411" customHeight="1" spans="21:21">
      <c r="U1411" s="27"/>
    </row>
    <row r="1412" customHeight="1" spans="21:21">
      <c r="U1412" s="27"/>
    </row>
    <row r="1413" customHeight="1" spans="21:21">
      <c r="U1413" s="27"/>
    </row>
    <row r="1414" customHeight="1" spans="21:21">
      <c r="U1414" s="27"/>
    </row>
    <row r="1415" customHeight="1" spans="21:21">
      <c r="U1415" s="27"/>
    </row>
    <row r="1416" customHeight="1" spans="21:21">
      <c r="U1416" s="27"/>
    </row>
    <row r="1417" customHeight="1" spans="21:21">
      <c r="U1417" s="27"/>
    </row>
    <row r="1418" customHeight="1" spans="21:21">
      <c r="U1418" s="27"/>
    </row>
    <row r="1419" customHeight="1" spans="21:21">
      <c r="U1419" s="27"/>
    </row>
    <row r="1420" customHeight="1" spans="21:21">
      <c r="U1420" s="27"/>
    </row>
    <row r="1421" customHeight="1" spans="21:21">
      <c r="U1421" s="27"/>
    </row>
    <row r="1422" customHeight="1" spans="21:21">
      <c r="U1422" s="27"/>
    </row>
    <row r="1423" customHeight="1" spans="21:21">
      <c r="U1423" s="27"/>
    </row>
    <row r="1424" customHeight="1" spans="21:21">
      <c r="U1424" s="27"/>
    </row>
    <row r="1425" customHeight="1" spans="21:21">
      <c r="U1425" s="27"/>
    </row>
    <row r="1426" customHeight="1" spans="21:21">
      <c r="U1426" s="27"/>
    </row>
    <row r="1427" customHeight="1" spans="21:21">
      <c r="U1427" s="27"/>
    </row>
    <row r="1428" customHeight="1" spans="21:21">
      <c r="U1428" s="27"/>
    </row>
    <row r="1429" customHeight="1" spans="21:21">
      <c r="U1429" s="27"/>
    </row>
    <row r="1430" customHeight="1" spans="21:21">
      <c r="U1430" s="27"/>
    </row>
    <row r="1431" customHeight="1" spans="21:21">
      <c r="U1431" s="27"/>
    </row>
    <row r="1432" customHeight="1" spans="21:21">
      <c r="U1432" s="27"/>
    </row>
    <row r="1433" customHeight="1" spans="21:21">
      <c r="U1433" s="27"/>
    </row>
    <row r="1434" customHeight="1" spans="21:21">
      <c r="U1434" s="27"/>
    </row>
    <row r="1435" customHeight="1" spans="21:21">
      <c r="U1435" s="27"/>
    </row>
    <row r="1436" customHeight="1" spans="21:21">
      <c r="U1436" s="27"/>
    </row>
    <row r="1437" customHeight="1" spans="21:21">
      <c r="U1437" s="27"/>
    </row>
    <row r="1438" customHeight="1" spans="21:21">
      <c r="U1438" s="27"/>
    </row>
    <row r="1439" customHeight="1" spans="21:21">
      <c r="U1439" s="27"/>
    </row>
    <row r="1440" customHeight="1" spans="21:21">
      <c r="U1440" s="27"/>
    </row>
    <row r="1441" customHeight="1" spans="21:21">
      <c r="U1441" s="27"/>
    </row>
    <row r="1442" customHeight="1" spans="21:21">
      <c r="U1442" s="27"/>
    </row>
    <row r="1443" customHeight="1" spans="21:21">
      <c r="U1443" s="27"/>
    </row>
    <row r="1444" customHeight="1" spans="21:21">
      <c r="U1444" s="27"/>
    </row>
    <row r="1445" customHeight="1" spans="21:21">
      <c r="U1445" s="27"/>
    </row>
    <row r="1446" customHeight="1" spans="21:21">
      <c r="U1446" s="27"/>
    </row>
    <row r="1447" customHeight="1" spans="21:21">
      <c r="U1447" s="27"/>
    </row>
    <row r="1448" customHeight="1" spans="21:21">
      <c r="U1448" s="27"/>
    </row>
    <row r="1449" customHeight="1" spans="21:21">
      <c r="U1449" s="27"/>
    </row>
    <row r="1450" customHeight="1" spans="21:21">
      <c r="U1450" s="27"/>
    </row>
    <row r="1451" customHeight="1" spans="21:21">
      <c r="U1451" s="27"/>
    </row>
    <row r="1452" customHeight="1" spans="21:21">
      <c r="U1452" s="27"/>
    </row>
    <row r="1453" customHeight="1" spans="21:21">
      <c r="U1453" s="27"/>
    </row>
    <row r="1454" customHeight="1" spans="21:21">
      <c r="U1454" s="27"/>
    </row>
    <row r="1455" customHeight="1" spans="21:21">
      <c r="U1455" s="27"/>
    </row>
    <row r="1456" customHeight="1" spans="21:21">
      <c r="U1456" s="27"/>
    </row>
    <row r="1457" customHeight="1" spans="21:21">
      <c r="U1457" s="27"/>
    </row>
    <row r="1458" customHeight="1" spans="21:21">
      <c r="U1458" s="27"/>
    </row>
    <row r="1459" customHeight="1" spans="21:21">
      <c r="U1459" s="27"/>
    </row>
    <row r="1460" customHeight="1" spans="21:21">
      <c r="U1460" s="27"/>
    </row>
    <row r="1461" customHeight="1" spans="21:21">
      <c r="U1461" s="27"/>
    </row>
    <row r="1462" customHeight="1" spans="21:21">
      <c r="U1462" s="27"/>
    </row>
    <row r="1463" customHeight="1" spans="21:21">
      <c r="U1463" s="27"/>
    </row>
    <row r="1464" customHeight="1" spans="21:21">
      <c r="U1464" s="27"/>
    </row>
    <row r="1465" customHeight="1" spans="21:21">
      <c r="U1465" s="27"/>
    </row>
    <row r="1466" customHeight="1" spans="21:21">
      <c r="U1466" s="27"/>
    </row>
    <row r="1467" customHeight="1" spans="21:21">
      <c r="U1467" s="27"/>
    </row>
    <row r="1468" customHeight="1" spans="21:21">
      <c r="U1468" s="27"/>
    </row>
    <row r="1469" customHeight="1" spans="21:21">
      <c r="U1469" s="27"/>
    </row>
    <row r="1470" customHeight="1" spans="21:21">
      <c r="U1470" s="27"/>
    </row>
    <row r="1471" customHeight="1" spans="21:21">
      <c r="U1471" s="27"/>
    </row>
    <row r="1472" customHeight="1" spans="21:21">
      <c r="U1472" s="27"/>
    </row>
    <row r="1473" customHeight="1" spans="21:21">
      <c r="U1473" s="27"/>
    </row>
    <row r="1474" customHeight="1" spans="21:21">
      <c r="U1474" s="27"/>
    </row>
    <row r="1475" customHeight="1" spans="21:21">
      <c r="U1475" s="27"/>
    </row>
    <row r="1476" customHeight="1" spans="21:21">
      <c r="U1476" s="27"/>
    </row>
    <row r="1477" customHeight="1" spans="21:21">
      <c r="U1477" s="27"/>
    </row>
    <row r="1478" customHeight="1" spans="21:21">
      <c r="U1478" s="27"/>
    </row>
    <row r="1479" customHeight="1" spans="21:21">
      <c r="U1479" s="27"/>
    </row>
    <row r="1480" customHeight="1" spans="21:21">
      <c r="U1480" s="27"/>
    </row>
    <row r="1481" customHeight="1" spans="21:21">
      <c r="U1481" s="27"/>
    </row>
    <row r="1482" customHeight="1" spans="21:21">
      <c r="U1482" s="27"/>
    </row>
    <row r="1483" customHeight="1" spans="21:21">
      <c r="U1483" s="27"/>
    </row>
    <row r="1484" customHeight="1" spans="21:21">
      <c r="U1484" s="27"/>
    </row>
    <row r="1485" customHeight="1" spans="21:21">
      <c r="U1485" s="27"/>
    </row>
    <row r="1486" customHeight="1" spans="21:21">
      <c r="U1486" s="27"/>
    </row>
    <row r="1487" customHeight="1" spans="21:21">
      <c r="U1487" s="27"/>
    </row>
    <row r="1488" customHeight="1" spans="21:21">
      <c r="U1488" s="27"/>
    </row>
    <row r="1489" customHeight="1" spans="21:21">
      <c r="U1489" s="27"/>
    </row>
    <row r="1490" customHeight="1" spans="21:21">
      <c r="U1490" s="27"/>
    </row>
    <row r="1491" customHeight="1" spans="21:21">
      <c r="U1491" s="27"/>
    </row>
    <row r="1492" customHeight="1" spans="21:21">
      <c r="U1492" s="27"/>
    </row>
    <row r="1493" customHeight="1" spans="21:21">
      <c r="U1493" s="27"/>
    </row>
    <row r="1494" customHeight="1" spans="21:21">
      <c r="U1494" s="27"/>
    </row>
    <row r="1495" customHeight="1" spans="21:21">
      <c r="U1495" s="27"/>
    </row>
    <row r="1496" customHeight="1" spans="21:21">
      <c r="U1496" s="27"/>
    </row>
    <row r="1497" customHeight="1" spans="21:21">
      <c r="U1497" s="27"/>
    </row>
    <row r="1498" customHeight="1" spans="21:21">
      <c r="U1498" s="27"/>
    </row>
    <row r="1499" customHeight="1" spans="21:21">
      <c r="U1499" s="27"/>
    </row>
    <row r="1500" customHeight="1" spans="21:21">
      <c r="U1500" s="27"/>
    </row>
    <row r="1501" customHeight="1" spans="21:21">
      <c r="U1501" s="27"/>
    </row>
    <row r="1502" customHeight="1" spans="21:21">
      <c r="U1502" s="27"/>
    </row>
    <row r="1503" customHeight="1" spans="21:21">
      <c r="U1503" s="27"/>
    </row>
    <row r="1504" customHeight="1" spans="21:21">
      <c r="U1504" s="27"/>
    </row>
    <row r="1505" customHeight="1" spans="21:21">
      <c r="U1505" s="27"/>
    </row>
    <row r="1506" customHeight="1" spans="21:21">
      <c r="U1506" s="27"/>
    </row>
    <row r="1507" customHeight="1" spans="21:21">
      <c r="U1507" s="27"/>
    </row>
    <row r="1508" customHeight="1" spans="21:21">
      <c r="U1508" s="27"/>
    </row>
    <row r="1509" customHeight="1" spans="21:21">
      <c r="U1509" s="27"/>
    </row>
    <row r="1510" customHeight="1" spans="21:21">
      <c r="U1510" s="27"/>
    </row>
    <row r="1511" customHeight="1" spans="21:21">
      <c r="U1511" s="27"/>
    </row>
    <row r="1512" customHeight="1" spans="21:21">
      <c r="U1512" s="27"/>
    </row>
    <row r="1513" customHeight="1" spans="21:21">
      <c r="U1513" s="27"/>
    </row>
    <row r="1514" customHeight="1" spans="21:21">
      <c r="U1514" s="27"/>
    </row>
    <row r="1515" customHeight="1" spans="21:21">
      <c r="U1515" s="27"/>
    </row>
    <row r="1516" customHeight="1" spans="21:21">
      <c r="U1516" s="27"/>
    </row>
    <row r="1517" customHeight="1" spans="21:21">
      <c r="U1517" s="27"/>
    </row>
    <row r="1518" customHeight="1" spans="21:21">
      <c r="U1518" s="27"/>
    </row>
    <row r="1519" customHeight="1" spans="21:21">
      <c r="U1519" s="27"/>
    </row>
    <row r="1520" customHeight="1" spans="21:21">
      <c r="U1520" s="27"/>
    </row>
    <row r="1521" customHeight="1" spans="21:21">
      <c r="U1521" s="27"/>
    </row>
    <row r="1522" customHeight="1" spans="21:21">
      <c r="U1522" s="27"/>
    </row>
    <row r="1523" customHeight="1" spans="21:21">
      <c r="U1523" s="27"/>
    </row>
    <row r="1524" customHeight="1" spans="21:21">
      <c r="U1524" s="27"/>
    </row>
    <row r="1525" customHeight="1" spans="21:21">
      <c r="U1525" s="27"/>
    </row>
    <row r="1526" customHeight="1" spans="21:21">
      <c r="U1526" s="27"/>
    </row>
    <row r="1527" customHeight="1" spans="21:21">
      <c r="U1527" s="27"/>
    </row>
    <row r="1528" customHeight="1" spans="21:21">
      <c r="U1528" s="27"/>
    </row>
    <row r="1529" customHeight="1" spans="21:21">
      <c r="U1529" s="27"/>
    </row>
    <row r="1530" customHeight="1" spans="21:21">
      <c r="U1530" s="27"/>
    </row>
    <row r="1531" customHeight="1" spans="21:21">
      <c r="U1531" s="27"/>
    </row>
    <row r="1532" customHeight="1" spans="21:21">
      <c r="U1532" s="27"/>
    </row>
    <row r="1533" customHeight="1" spans="21:21">
      <c r="U1533" s="27"/>
    </row>
    <row r="1534" customHeight="1" spans="21:21">
      <c r="U1534" s="27"/>
    </row>
    <row r="1535" customHeight="1" spans="21:21">
      <c r="U1535" s="27"/>
    </row>
    <row r="1536" customHeight="1" spans="21:21">
      <c r="U1536" s="27"/>
    </row>
    <row r="1537" customHeight="1" spans="21:21">
      <c r="U1537" s="27"/>
    </row>
    <row r="1538" customHeight="1" spans="21:21">
      <c r="U1538" s="27"/>
    </row>
    <row r="1539" customHeight="1" spans="21:21">
      <c r="U1539" s="27"/>
    </row>
    <row r="1540" customHeight="1" spans="21:21">
      <c r="U1540" s="27"/>
    </row>
    <row r="1541" customHeight="1" spans="21:21">
      <c r="U1541" s="27"/>
    </row>
    <row r="1542" customHeight="1" spans="21:21">
      <c r="U1542" s="27"/>
    </row>
    <row r="1543" customHeight="1" spans="21:21">
      <c r="U1543" s="27"/>
    </row>
    <row r="1544" customHeight="1" spans="21:21">
      <c r="U1544" s="27"/>
    </row>
    <row r="1545" customHeight="1" spans="21:21">
      <c r="U1545" s="27"/>
    </row>
    <row r="1546" customHeight="1" spans="21:21">
      <c r="U1546" s="27"/>
    </row>
    <row r="1547" customHeight="1" spans="21:21">
      <c r="U1547" s="27"/>
    </row>
    <row r="1548" customHeight="1" spans="21:21">
      <c r="U1548" s="27"/>
    </row>
    <row r="1549" customHeight="1" spans="21:21">
      <c r="U1549" s="27"/>
    </row>
    <row r="1550" customHeight="1" spans="21:21">
      <c r="U1550" s="27"/>
    </row>
    <row r="1551" customHeight="1" spans="21:21">
      <c r="U1551" s="27"/>
    </row>
    <row r="1552" customHeight="1" spans="21:21">
      <c r="U1552" s="27"/>
    </row>
    <row r="1553" customHeight="1" spans="21:21">
      <c r="U1553" s="27"/>
    </row>
    <row r="1554" customHeight="1" spans="21:21">
      <c r="U1554" s="27"/>
    </row>
    <row r="1555" customHeight="1" spans="21:21">
      <c r="U1555" s="27"/>
    </row>
    <row r="1556" customHeight="1" spans="21:21">
      <c r="U1556" s="27"/>
    </row>
    <row r="1557" customHeight="1" spans="21:21">
      <c r="U1557" s="27"/>
    </row>
    <row r="1558" customHeight="1" spans="21:21">
      <c r="U1558" s="27"/>
    </row>
    <row r="1559" customHeight="1" spans="21:21">
      <c r="U1559" s="27"/>
    </row>
    <row r="1560" customHeight="1" spans="21:21">
      <c r="U1560" s="27"/>
    </row>
    <row r="1561" customHeight="1" spans="21:21">
      <c r="U1561" s="27"/>
    </row>
    <row r="1562" customHeight="1" spans="21:21">
      <c r="U1562" s="27"/>
    </row>
    <row r="1563" customHeight="1" spans="21:21">
      <c r="U1563" s="27"/>
    </row>
    <row r="1564" customHeight="1" spans="21:21">
      <c r="U1564" s="27"/>
    </row>
    <row r="1565" customHeight="1" spans="21:21">
      <c r="U1565" s="27"/>
    </row>
    <row r="1566" customHeight="1" spans="21:21">
      <c r="U1566" s="27"/>
    </row>
    <row r="1567" customHeight="1" spans="21:21">
      <c r="U1567" s="27"/>
    </row>
    <row r="1568" customHeight="1" spans="21:21">
      <c r="U1568" s="27"/>
    </row>
    <row r="1569" customHeight="1" spans="21:21">
      <c r="U1569" s="27"/>
    </row>
    <row r="1570" customHeight="1" spans="21:21">
      <c r="U1570" s="27"/>
    </row>
    <row r="1571" customHeight="1" spans="21:21">
      <c r="U1571" s="27"/>
    </row>
    <row r="1572" customHeight="1" spans="21:21">
      <c r="U1572" s="27"/>
    </row>
    <row r="1573" customHeight="1" spans="21:21">
      <c r="U1573" s="27"/>
    </row>
    <row r="1574" customHeight="1" spans="21:21">
      <c r="U1574" s="27"/>
    </row>
    <row r="1575" customHeight="1" spans="21:21">
      <c r="U1575" s="27"/>
    </row>
    <row r="1576" customHeight="1" spans="21:21">
      <c r="U1576" s="27"/>
    </row>
    <row r="1577" customHeight="1" spans="21:21">
      <c r="U1577" s="27"/>
    </row>
    <row r="1578" customHeight="1" spans="21:21">
      <c r="U1578" s="27"/>
    </row>
    <row r="1579" customHeight="1" spans="21:21">
      <c r="U1579" s="27"/>
    </row>
    <row r="1580" customHeight="1" spans="21:21">
      <c r="U1580" s="27"/>
    </row>
    <row r="1581" customHeight="1" spans="21:21">
      <c r="U1581" s="27"/>
    </row>
    <row r="1582" customHeight="1" spans="21:21">
      <c r="U1582" s="27"/>
    </row>
    <row r="1583" customHeight="1" spans="21:21">
      <c r="U1583" s="27"/>
    </row>
    <row r="1584" customHeight="1" spans="21:21">
      <c r="U1584" s="27"/>
    </row>
    <row r="1585" customHeight="1" spans="21:21">
      <c r="U1585" s="27"/>
    </row>
    <row r="1586" customHeight="1" spans="21:21">
      <c r="U1586" s="27"/>
    </row>
    <row r="1587" customHeight="1" spans="21:21">
      <c r="U1587" s="27"/>
    </row>
    <row r="1588" customHeight="1" spans="21:21">
      <c r="U1588" s="27"/>
    </row>
    <row r="1589" customHeight="1" spans="21:21">
      <c r="U1589" s="27"/>
    </row>
    <row r="1590" customHeight="1" spans="21:21">
      <c r="U1590" s="27"/>
    </row>
    <row r="1591" customHeight="1" spans="21:21">
      <c r="U1591" s="27"/>
    </row>
    <row r="1592" customHeight="1" spans="21:21">
      <c r="U1592" s="27"/>
    </row>
    <row r="1593" customHeight="1" spans="21:21">
      <c r="U1593" s="27"/>
    </row>
    <row r="1594" customHeight="1" spans="21:21">
      <c r="U1594" s="27"/>
    </row>
    <row r="1595" customHeight="1" spans="21:21">
      <c r="U1595" s="27"/>
    </row>
    <row r="1596" customHeight="1" spans="21:21">
      <c r="U1596" s="27"/>
    </row>
    <row r="1597" customHeight="1" spans="21:21">
      <c r="U1597" s="27"/>
    </row>
    <row r="1598" customHeight="1" spans="21:21">
      <c r="U1598" s="27"/>
    </row>
    <row r="1599" customHeight="1" spans="21:21">
      <c r="U1599" s="27"/>
    </row>
    <row r="1600" customHeight="1" spans="21:21">
      <c r="U1600" s="27"/>
    </row>
    <row r="1601" customHeight="1" spans="21:21">
      <c r="U1601" s="27"/>
    </row>
    <row r="1602" customHeight="1" spans="21:21">
      <c r="U1602" s="27"/>
    </row>
    <row r="1603" customHeight="1" spans="21:21">
      <c r="U1603" s="27"/>
    </row>
    <row r="1604" customHeight="1" spans="21:21">
      <c r="U1604" s="27"/>
    </row>
    <row r="1605" customHeight="1" spans="21:21">
      <c r="U1605" s="27"/>
    </row>
    <row r="1606" customHeight="1" spans="21:21">
      <c r="U1606" s="27"/>
    </row>
    <row r="1607" customHeight="1" spans="21:21">
      <c r="U1607" s="27"/>
    </row>
    <row r="1608" customHeight="1" spans="21:21">
      <c r="U1608" s="27"/>
    </row>
    <row r="1609" customHeight="1" spans="21:21">
      <c r="U1609" s="27"/>
    </row>
    <row r="1610" customHeight="1" spans="21:21">
      <c r="U1610" s="27"/>
    </row>
    <row r="1611" customHeight="1" spans="21:21">
      <c r="U1611" s="27"/>
    </row>
    <row r="1612" customHeight="1" spans="21:21">
      <c r="U1612" s="27"/>
    </row>
    <row r="1613" customHeight="1" spans="21:21">
      <c r="U1613" s="27"/>
    </row>
    <row r="1614" customHeight="1" spans="21:21">
      <c r="U1614" s="27"/>
    </row>
    <row r="1615" customHeight="1" spans="21:21">
      <c r="U1615" s="27"/>
    </row>
    <row r="1616" customHeight="1" spans="21:21">
      <c r="U1616" s="27"/>
    </row>
    <row r="1617" customHeight="1" spans="21:21">
      <c r="U1617" s="27"/>
    </row>
    <row r="1618" customHeight="1" spans="21:21">
      <c r="U1618" s="27"/>
    </row>
    <row r="1619" customHeight="1" spans="21:21">
      <c r="U1619" s="27"/>
    </row>
    <row r="1620" customHeight="1" spans="21:21">
      <c r="U1620" s="27"/>
    </row>
    <row r="1621" customHeight="1" spans="21:21">
      <c r="U1621" s="27"/>
    </row>
    <row r="1622" customHeight="1" spans="21:21">
      <c r="U1622" s="27"/>
    </row>
    <row r="1623" customHeight="1" spans="21:21">
      <c r="U1623" s="27"/>
    </row>
    <row r="1624" customHeight="1" spans="21:21">
      <c r="U1624" s="27"/>
    </row>
    <row r="1625" customHeight="1" spans="21:21">
      <c r="U1625" s="27"/>
    </row>
    <row r="1626" customHeight="1" spans="21:21">
      <c r="U1626" s="27"/>
    </row>
    <row r="1627" customHeight="1" spans="21:21">
      <c r="U1627" s="27"/>
    </row>
    <row r="1628" customHeight="1" spans="21:21">
      <c r="U1628" s="27"/>
    </row>
    <row r="1629" customHeight="1" spans="21:21">
      <c r="U1629" s="27"/>
    </row>
    <row r="1630" customHeight="1" spans="21:21">
      <c r="U1630" s="27"/>
    </row>
    <row r="1631" customHeight="1" spans="21:21">
      <c r="U1631" s="27"/>
    </row>
    <row r="1632" customHeight="1" spans="21:21">
      <c r="U1632" s="27"/>
    </row>
    <row r="1633" customHeight="1" spans="21:21">
      <c r="U1633" s="27"/>
    </row>
    <row r="1634" customHeight="1" spans="21:21">
      <c r="U1634" s="27"/>
    </row>
    <row r="1635" customHeight="1" spans="21:21">
      <c r="U1635" s="27"/>
    </row>
    <row r="1636" customHeight="1" spans="21:21">
      <c r="U1636" s="27"/>
    </row>
    <row r="1637" customHeight="1" spans="21:21">
      <c r="U1637" s="27"/>
    </row>
    <row r="1638" customHeight="1" spans="21:21">
      <c r="U1638" s="27"/>
    </row>
    <row r="1639" customHeight="1" spans="21:21">
      <c r="U1639" s="27"/>
    </row>
    <row r="1640" customHeight="1" spans="21:21">
      <c r="U1640" s="27"/>
    </row>
    <row r="1641" customHeight="1" spans="21:21">
      <c r="U1641" s="27"/>
    </row>
    <row r="1642" customHeight="1" spans="21:21">
      <c r="U1642" s="27"/>
    </row>
    <row r="1643" customHeight="1" spans="21:21">
      <c r="U1643" s="27"/>
    </row>
    <row r="1644" customHeight="1" spans="21:21">
      <c r="U1644" s="27"/>
    </row>
    <row r="1645" customHeight="1" spans="21:21">
      <c r="U1645" s="27"/>
    </row>
    <row r="1646" customHeight="1" spans="21:21">
      <c r="U1646" s="27"/>
    </row>
    <row r="1647" customHeight="1" spans="21:21">
      <c r="U1647" s="27"/>
    </row>
    <row r="1648" customHeight="1" spans="21:21">
      <c r="U1648" s="27"/>
    </row>
    <row r="1649" customHeight="1" spans="21:21">
      <c r="U1649" s="27"/>
    </row>
    <row r="1650" customHeight="1" spans="21:21">
      <c r="U1650" s="27"/>
    </row>
    <row r="1651" customHeight="1" spans="21:21">
      <c r="U1651" s="27"/>
    </row>
    <row r="1652" customHeight="1" spans="21:21">
      <c r="U1652" s="27"/>
    </row>
    <row r="1653" customHeight="1" spans="21:21">
      <c r="U1653" s="27"/>
    </row>
    <row r="1654" customHeight="1" spans="21:21">
      <c r="U1654" s="27"/>
    </row>
    <row r="1655" customHeight="1" spans="21:21">
      <c r="U1655" s="27"/>
    </row>
    <row r="1656" customHeight="1" spans="21:21">
      <c r="U1656" s="27"/>
    </row>
    <row r="1657" customHeight="1" spans="21:21">
      <c r="U1657" s="27"/>
    </row>
    <row r="1658" customHeight="1" spans="21:21">
      <c r="U1658" s="27"/>
    </row>
    <row r="1659" customHeight="1" spans="21:21">
      <c r="U1659" s="27"/>
    </row>
    <row r="1660" customHeight="1" spans="21:21">
      <c r="U1660" s="27"/>
    </row>
    <row r="1661" customHeight="1" spans="21:21">
      <c r="U1661" s="27"/>
    </row>
    <row r="1662" customHeight="1" spans="21:21">
      <c r="U1662" s="27"/>
    </row>
    <row r="1663" customHeight="1" spans="21:21">
      <c r="U1663" s="27"/>
    </row>
    <row r="1664" customHeight="1" spans="21:21">
      <c r="U1664" s="27"/>
    </row>
    <row r="1665" customHeight="1" spans="21:21">
      <c r="U1665" s="27"/>
    </row>
    <row r="1666" customHeight="1" spans="21:21">
      <c r="U1666" s="27"/>
    </row>
    <row r="1667" customHeight="1" spans="21:21">
      <c r="U1667" s="27"/>
    </row>
    <row r="1668" customHeight="1" spans="21:21">
      <c r="U1668" s="27"/>
    </row>
    <row r="1669" customHeight="1" spans="21:21">
      <c r="U1669" s="27"/>
    </row>
    <row r="1670" customHeight="1" spans="21:21">
      <c r="U1670" s="27"/>
    </row>
    <row r="1671" customHeight="1" spans="21:21">
      <c r="U1671" s="27"/>
    </row>
    <row r="1672" customHeight="1" spans="21:21">
      <c r="U1672" s="27"/>
    </row>
    <row r="1673" customHeight="1" spans="21:21">
      <c r="U1673" s="27"/>
    </row>
    <row r="1674" customHeight="1" spans="21:21">
      <c r="U1674" s="27"/>
    </row>
    <row r="1675" customHeight="1" spans="21:21">
      <c r="U1675" s="27"/>
    </row>
    <row r="1676" customHeight="1" spans="21:21">
      <c r="U1676" s="27"/>
    </row>
    <row r="1677" customHeight="1" spans="21:21">
      <c r="U1677" s="27"/>
    </row>
    <row r="1678" customHeight="1" spans="21:21">
      <c r="U1678" s="27"/>
    </row>
    <row r="1679" customHeight="1" spans="21:21">
      <c r="U1679" s="27"/>
    </row>
    <row r="1680" customHeight="1" spans="21:21">
      <c r="U1680" s="27"/>
    </row>
    <row r="1681" customHeight="1" spans="21:21">
      <c r="U1681" s="27"/>
    </row>
    <row r="1682" customHeight="1" spans="21:21">
      <c r="U1682" s="27"/>
    </row>
    <row r="1683" customHeight="1" spans="21:21">
      <c r="U1683" s="27"/>
    </row>
    <row r="1684" customHeight="1" spans="21:21">
      <c r="U1684" s="27"/>
    </row>
    <row r="1685" customHeight="1" spans="21:21">
      <c r="U1685" s="27"/>
    </row>
    <row r="1686" customHeight="1" spans="21:21">
      <c r="U1686" s="27"/>
    </row>
    <row r="1687" customHeight="1" spans="21:21">
      <c r="U1687" s="27"/>
    </row>
    <row r="1688" customHeight="1" spans="21:21">
      <c r="U1688" s="27"/>
    </row>
    <row r="1689" customHeight="1" spans="21:21">
      <c r="U1689" s="27"/>
    </row>
    <row r="1690" customHeight="1" spans="21:21">
      <c r="U1690" s="27"/>
    </row>
    <row r="1691" customHeight="1" spans="21:21">
      <c r="U1691" s="27"/>
    </row>
    <row r="1692" customHeight="1" spans="21:21">
      <c r="U1692" s="27"/>
    </row>
    <row r="1693" customHeight="1" spans="21:21">
      <c r="U1693" s="27"/>
    </row>
    <row r="1694" customHeight="1" spans="21:21">
      <c r="U1694" s="27"/>
    </row>
    <row r="1695" customHeight="1" spans="21:21">
      <c r="U1695" s="27"/>
    </row>
    <row r="1696" customHeight="1" spans="21:21">
      <c r="U1696" s="27"/>
    </row>
    <row r="1697" customHeight="1" spans="21:21">
      <c r="U1697" s="27"/>
    </row>
    <row r="1698" customHeight="1" spans="21:21">
      <c r="U1698" s="27"/>
    </row>
    <row r="1699" customHeight="1" spans="21:21">
      <c r="U1699" s="27"/>
    </row>
    <row r="1700" customHeight="1" spans="21:21">
      <c r="U1700" s="27"/>
    </row>
    <row r="1701" customHeight="1" spans="21:21">
      <c r="U1701" s="27"/>
    </row>
    <row r="1702" customHeight="1" spans="21:21">
      <c r="U1702" s="27"/>
    </row>
    <row r="1703" customHeight="1" spans="21:21">
      <c r="U1703" s="27"/>
    </row>
    <row r="1704" customHeight="1" spans="21:21">
      <c r="U1704" s="27"/>
    </row>
    <row r="1705" customHeight="1" spans="21:21">
      <c r="U1705" s="27"/>
    </row>
    <row r="1706" customHeight="1" spans="21:21">
      <c r="U1706" s="27"/>
    </row>
    <row r="1707" customHeight="1" spans="21:21">
      <c r="U1707" s="27"/>
    </row>
    <row r="1708" customHeight="1" spans="21:21">
      <c r="U1708" s="27"/>
    </row>
    <row r="1709" customHeight="1" spans="21:21">
      <c r="U1709" s="27"/>
    </row>
    <row r="1710" customHeight="1" spans="21:21">
      <c r="U1710" s="27"/>
    </row>
    <row r="1711" customHeight="1" spans="21:21">
      <c r="U1711" s="27"/>
    </row>
    <row r="1712" customHeight="1" spans="21:21">
      <c r="U1712" s="27"/>
    </row>
    <row r="1713" customHeight="1" spans="21:21">
      <c r="U1713" s="27"/>
    </row>
    <row r="1714" customHeight="1" spans="21:21">
      <c r="U1714" s="27"/>
    </row>
    <row r="1715" customHeight="1" spans="21:21">
      <c r="U1715" s="27"/>
    </row>
    <row r="1716" customHeight="1" spans="21:21">
      <c r="U1716" s="27"/>
    </row>
    <row r="1717" customHeight="1" spans="21:21">
      <c r="U1717" s="27"/>
    </row>
    <row r="1718" customHeight="1" spans="21:21">
      <c r="U1718" s="27"/>
    </row>
    <row r="1719" customHeight="1" spans="21:21">
      <c r="U1719" s="27"/>
    </row>
    <row r="1720" customHeight="1" spans="21:21">
      <c r="U1720" s="27"/>
    </row>
    <row r="1721" customHeight="1" spans="21:21">
      <c r="U1721" s="27"/>
    </row>
    <row r="1722" customHeight="1" spans="21:21">
      <c r="U1722" s="27"/>
    </row>
    <row r="1723" customHeight="1" spans="21:21">
      <c r="U1723" s="27"/>
    </row>
    <row r="1724" customHeight="1" spans="21:21">
      <c r="U1724" s="27"/>
    </row>
    <row r="1725" customHeight="1" spans="21:21">
      <c r="U1725" s="27"/>
    </row>
    <row r="1726" customHeight="1" spans="21:21">
      <c r="U1726" s="27"/>
    </row>
    <row r="1727" customHeight="1" spans="21:21">
      <c r="U1727" s="27"/>
    </row>
    <row r="1728" customHeight="1" spans="21:21">
      <c r="U1728" s="27"/>
    </row>
    <row r="1729" customHeight="1" spans="21:21">
      <c r="U1729" s="27"/>
    </row>
    <row r="1730" customHeight="1" spans="21:21">
      <c r="U1730" s="27"/>
    </row>
    <row r="1731" customHeight="1" spans="21:21">
      <c r="U1731" s="27"/>
    </row>
    <row r="1732" customHeight="1" spans="21:21">
      <c r="U1732" s="27"/>
    </row>
    <row r="1733" customHeight="1" spans="21:21">
      <c r="U1733" s="27"/>
    </row>
    <row r="1734" customHeight="1" spans="21:21">
      <c r="U1734" s="27"/>
    </row>
    <row r="1735" customHeight="1" spans="21:21">
      <c r="U1735" s="27"/>
    </row>
    <row r="1736" customHeight="1" spans="21:21">
      <c r="U1736" s="27"/>
    </row>
    <row r="1737" customHeight="1" spans="21:21">
      <c r="U1737" s="27"/>
    </row>
    <row r="1738" customHeight="1" spans="21:21">
      <c r="U1738" s="27"/>
    </row>
    <row r="1739" customHeight="1" spans="21:21">
      <c r="U1739" s="27"/>
    </row>
    <row r="1740" customHeight="1" spans="21:21">
      <c r="U1740" s="27"/>
    </row>
    <row r="1741" customHeight="1" spans="21:21">
      <c r="U1741" s="27"/>
    </row>
    <row r="1742" customHeight="1" spans="21:21">
      <c r="U1742" s="27"/>
    </row>
    <row r="1743" customHeight="1" spans="21:21">
      <c r="U1743" s="27"/>
    </row>
    <row r="1744" customHeight="1" spans="21:21">
      <c r="U1744" s="27"/>
    </row>
    <row r="1745" customHeight="1" spans="21:21">
      <c r="U1745" s="27"/>
    </row>
    <row r="1746" customHeight="1" spans="21:21">
      <c r="U1746" s="27"/>
    </row>
    <row r="1747" customHeight="1" spans="21:21">
      <c r="U1747" s="27"/>
    </row>
    <row r="1748" customHeight="1" spans="21:21">
      <c r="U1748" s="27"/>
    </row>
    <row r="1749" customHeight="1" spans="21:21">
      <c r="U1749" s="27"/>
    </row>
    <row r="1750" customHeight="1" spans="21:21">
      <c r="U1750" s="27"/>
    </row>
    <row r="1751" customHeight="1" spans="21:21">
      <c r="U1751" s="27"/>
    </row>
    <row r="1752" customHeight="1" spans="21:21">
      <c r="U1752" s="27"/>
    </row>
    <row r="1753" customHeight="1" spans="21:21">
      <c r="U1753" s="27"/>
    </row>
    <row r="1754" customHeight="1" spans="21:21">
      <c r="U1754" s="27"/>
    </row>
    <row r="1755" customHeight="1" spans="21:21">
      <c r="U1755" s="27"/>
    </row>
    <row r="1756" customHeight="1" spans="21:21">
      <c r="U1756" s="27"/>
    </row>
    <row r="1757" customHeight="1" spans="21:21">
      <c r="U1757" s="27"/>
    </row>
    <row r="1758" customHeight="1" spans="21:21">
      <c r="U1758" s="27"/>
    </row>
    <row r="1759" customHeight="1" spans="21:21">
      <c r="U1759" s="27"/>
    </row>
    <row r="1760" customHeight="1" spans="21:21">
      <c r="U1760" s="27"/>
    </row>
    <row r="1761" customHeight="1" spans="21:21">
      <c r="U1761" s="27"/>
    </row>
    <row r="1762" customHeight="1" spans="21:21">
      <c r="U1762" s="27"/>
    </row>
    <row r="1763" customHeight="1" spans="21:21">
      <c r="U1763" s="27"/>
    </row>
    <row r="1764" customHeight="1" spans="21:21">
      <c r="U1764" s="27"/>
    </row>
    <row r="1765" customHeight="1" spans="21:21">
      <c r="U1765" s="27"/>
    </row>
    <row r="1766" customHeight="1" spans="21:21">
      <c r="U1766" s="27"/>
    </row>
    <row r="1767" customHeight="1" spans="21:21">
      <c r="U1767" s="27"/>
    </row>
    <row r="1768" customHeight="1" spans="21:21">
      <c r="U1768" s="27"/>
    </row>
    <row r="1769" customHeight="1" spans="21:21">
      <c r="U1769" s="27"/>
    </row>
    <row r="1770" customHeight="1" spans="21:21">
      <c r="U1770" s="27"/>
    </row>
    <row r="1771" customHeight="1" spans="21:21">
      <c r="U1771" s="27"/>
    </row>
    <row r="1772" customHeight="1" spans="21:21">
      <c r="U1772" s="27"/>
    </row>
    <row r="1773" customHeight="1" spans="21:21">
      <c r="U1773" s="27"/>
    </row>
    <row r="1774" customHeight="1" spans="21:21">
      <c r="U1774" s="27"/>
    </row>
    <row r="1775" customHeight="1" spans="21:21">
      <c r="U1775" s="27"/>
    </row>
    <row r="1776" customHeight="1" spans="21:21">
      <c r="U1776" s="27"/>
    </row>
    <row r="1777" customHeight="1" spans="21:21">
      <c r="U1777" s="27"/>
    </row>
    <row r="1778" customHeight="1" spans="21:21">
      <c r="U1778" s="27"/>
    </row>
    <row r="1779" customHeight="1" spans="21:21">
      <c r="U1779" s="27"/>
    </row>
    <row r="1780" customHeight="1" spans="21:21">
      <c r="U1780" s="27"/>
    </row>
    <row r="1781" customHeight="1" spans="21:21">
      <c r="U1781" s="27"/>
    </row>
    <row r="1782" customHeight="1" spans="21:21">
      <c r="U1782" s="27"/>
    </row>
    <row r="1783" customHeight="1" spans="21:21">
      <c r="U1783" s="27"/>
    </row>
    <row r="1784" customHeight="1" spans="21:21">
      <c r="U1784" s="27"/>
    </row>
    <row r="1785" customHeight="1" spans="21:21">
      <c r="U1785" s="27"/>
    </row>
    <row r="1786" customHeight="1" spans="21:21">
      <c r="U1786" s="27"/>
    </row>
    <row r="1787" customHeight="1" spans="21:21">
      <c r="U1787" s="27"/>
    </row>
    <row r="1788" customHeight="1" spans="21:21">
      <c r="U1788" s="27"/>
    </row>
    <row r="1789" customHeight="1" spans="21:21">
      <c r="U1789" s="27"/>
    </row>
    <row r="1790" customHeight="1" spans="21:21">
      <c r="U1790" s="27"/>
    </row>
    <row r="1791" customHeight="1" spans="21:21">
      <c r="U1791" s="27"/>
    </row>
    <row r="1792" customHeight="1" spans="21:21">
      <c r="U1792" s="27"/>
    </row>
    <row r="1793" customHeight="1" spans="21:21">
      <c r="U1793" s="27"/>
    </row>
    <row r="1794" customHeight="1" spans="21:21">
      <c r="U1794" s="27"/>
    </row>
    <row r="1795" customHeight="1" spans="21:21">
      <c r="U1795" s="27"/>
    </row>
    <row r="1796" customHeight="1" spans="21:21">
      <c r="U1796" s="27"/>
    </row>
    <row r="1797" customHeight="1" spans="21:21">
      <c r="U1797" s="27"/>
    </row>
    <row r="1798" customHeight="1" spans="21:21">
      <c r="U1798" s="27"/>
    </row>
    <row r="1799" customHeight="1" spans="21:21">
      <c r="U1799" s="27"/>
    </row>
    <row r="1800" customHeight="1" spans="21:21">
      <c r="U1800" s="27"/>
    </row>
    <row r="1801" customHeight="1" spans="21:21">
      <c r="U1801" s="27"/>
    </row>
    <row r="1802" customHeight="1" spans="21:21">
      <c r="U1802" s="27"/>
    </row>
    <row r="1803" customHeight="1" spans="21:21">
      <c r="U1803" s="27"/>
    </row>
    <row r="1804" customHeight="1" spans="21:21">
      <c r="U1804" s="27"/>
    </row>
    <row r="1805" customHeight="1" spans="21:21">
      <c r="U1805" s="27"/>
    </row>
    <row r="1806" customHeight="1" spans="21:21">
      <c r="U1806" s="27"/>
    </row>
    <row r="1807" customHeight="1" spans="21:21">
      <c r="U1807" s="27"/>
    </row>
    <row r="1808" customHeight="1" spans="21:21">
      <c r="U1808" s="27"/>
    </row>
    <row r="1809" customHeight="1" spans="21:21">
      <c r="U1809" s="27"/>
    </row>
    <row r="1810" customHeight="1" spans="21:21">
      <c r="U1810" s="27"/>
    </row>
    <row r="1811" customHeight="1" spans="21:21">
      <c r="U1811" s="27"/>
    </row>
    <row r="1812" customHeight="1" spans="21:21">
      <c r="U1812" s="27"/>
    </row>
    <row r="1813" customHeight="1" spans="21:21">
      <c r="U1813" s="27"/>
    </row>
    <row r="1814" customHeight="1" spans="21:21">
      <c r="U1814" s="27"/>
    </row>
    <row r="1815" customHeight="1" spans="21:21">
      <c r="U1815" s="27"/>
    </row>
    <row r="1816" customHeight="1" spans="21:21">
      <c r="U1816" s="27"/>
    </row>
    <row r="1817" customHeight="1" spans="21:21">
      <c r="U1817" s="27"/>
    </row>
    <row r="1818" customHeight="1" spans="21:21">
      <c r="U1818" s="27"/>
    </row>
    <row r="1819" customHeight="1" spans="21:21">
      <c r="U1819" s="27"/>
    </row>
    <row r="1820" customHeight="1" spans="21:21">
      <c r="U1820" s="27"/>
    </row>
    <row r="1821" customHeight="1" spans="21:21">
      <c r="U1821" s="27"/>
    </row>
    <row r="1822" customHeight="1" spans="21:21">
      <c r="U1822" s="27"/>
    </row>
    <row r="1823" customHeight="1" spans="21:21">
      <c r="U1823" s="27"/>
    </row>
    <row r="1824" customHeight="1" spans="21:21">
      <c r="U1824" s="27"/>
    </row>
    <row r="1825" customHeight="1" spans="21:21">
      <c r="U1825" s="27"/>
    </row>
    <row r="1826" customHeight="1" spans="21:21">
      <c r="U1826" s="27"/>
    </row>
    <row r="1827" customHeight="1" spans="21:21">
      <c r="U1827" s="27"/>
    </row>
    <row r="1828" customHeight="1" spans="21:21">
      <c r="U1828" s="27"/>
    </row>
    <row r="1829" customHeight="1" spans="21:21">
      <c r="U1829" s="27"/>
    </row>
    <row r="1830" customHeight="1" spans="21:21">
      <c r="U1830" s="27"/>
    </row>
    <row r="1831" customHeight="1" spans="21:21">
      <c r="U1831" s="27"/>
    </row>
    <row r="1832" customHeight="1" spans="21:21">
      <c r="U1832" s="27"/>
    </row>
    <row r="1833" customHeight="1" spans="21:21">
      <c r="U1833" s="27"/>
    </row>
    <row r="1834" customHeight="1" spans="21:21">
      <c r="U1834" s="27"/>
    </row>
    <row r="1835" customHeight="1" spans="21:21">
      <c r="U1835" s="27"/>
    </row>
    <row r="1836" customHeight="1" spans="21:21">
      <c r="U1836" s="27"/>
    </row>
    <row r="1837" customHeight="1" spans="21:21">
      <c r="U1837" s="27"/>
    </row>
    <row r="1838" customHeight="1" spans="21:21">
      <c r="U1838" s="27"/>
    </row>
    <row r="1839" customHeight="1" spans="21:21">
      <c r="U1839" s="27"/>
    </row>
    <row r="1840" customHeight="1" spans="21:21">
      <c r="U1840" s="27"/>
    </row>
    <row r="1841" customHeight="1" spans="21:21">
      <c r="U1841" s="27"/>
    </row>
    <row r="1842" customHeight="1" spans="21:21">
      <c r="U1842" s="27"/>
    </row>
    <row r="1843" customHeight="1" spans="21:21">
      <c r="U1843" s="27"/>
    </row>
    <row r="1844" customHeight="1" spans="21:21">
      <c r="U1844" s="27"/>
    </row>
    <row r="1845" customHeight="1" spans="21:21">
      <c r="U1845" s="27"/>
    </row>
    <row r="1846" customHeight="1" spans="21:21">
      <c r="U1846" s="27"/>
    </row>
    <row r="1847" customHeight="1" spans="21:21">
      <c r="U1847" s="27"/>
    </row>
    <row r="1848" customHeight="1" spans="21:21">
      <c r="U1848" s="27"/>
    </row>
    <row r="1849" customHeight="1" spans="21:21">
      <c r="U1849" s="27"/>
    </row>
    <row r="1850" customHeight="1" spans="21:21">
      <c r="U1850" s="27"/>
    </row>
    <row r="1851" customHeight="1" spans="21:21">
      <c r="U1851" s="27"/>
    </row>
    <row r="1852" customHeight="1" spans="21:21">
      <c r="U1852" s="27"/>
    </row>
    <row r="1853" customHeight="1" spans="21:21">
      <c r="U1853" s="27"/>
    </row>
    <row r="1854" customHeight="1" spans="21:21">
      <c r="U1854" s="27"/>
    </row>
    <row r="1855" customHeight="1" spans="21:21">
      <c r="U1855" s="27"/>
    </row>
    <row r="1856" customHeight="1" spans="21:21">
      <c r="U1856" s="27"/>
    </row>
    <row r="1857" customHeight="1" spans="21:21">
      <c r="U1857" s="27"/>
    </row>
    <row r="1858" customHeight="1" spans="21:21">
      <c r="U1858" s="27"/>
    </row>
    <row r="1859" customHeight="1" spans="21:21">
      <c r="U1859" s="27"/>
    </row>
    <row r="1860" customHeight="1" spans="21:21">
      <c r="U1860" s="27"/>
    </row>
    <row r="1861" customHeight="1" spans="21:21">
      <c r="U1861" s="27"/>
    </row>
    <row r="1862" customHeight="1" spans="21:21">
      <c r="U1862" s="27"/>
    </row>
    <row r="1863" customHeight="1" spans="21:21">
      <c r="U1863" s="27"/>
    </row>
    <row r="1864" customHeight="1" spans="21:21">
      <c r="U1864" s="27"/>
    </row>
    <row r="1865" customHeight="1" spans="21:21">
      <c r="U1865" s="27"/>
    </row>
    <row r="1866" customHeight="1" spans="21:21">
      <c r="U1866" s="27"/>
    </row>
    <row r="1867" customHeight="1" spans="21:21">
      <c r="U1867" s="27"/>
    </row>
    <row r="1868" customHeight="1" spans="21:21">
      <c r="U1868" s="27"/>
    </row>
    <row r="1869" customHeight="1" spans="21:21">
      <c r="U1869" s="27"/>
    </row>
    <row r="1870" customHeight="1" spans="21:21">
      <c r="U1870" s="27"/>
    </row>
    <row r="1871" customHeight="1" spans="21:21">
      <c r="U1871" s="27"/>
    </row>
    <row r="1872" customHeight="1" spans="21:21">
      <c r="U1872" s="27"/>
    </row>
    <row r="1873" customHeight="1" spans="21:21">
      <c r="U1873" s="27"/>
    </row>
    <row r="1874" customHeight="1" spans="21:21">
      <c r="U1874" s="27"/>
    </row>
    <row r="1875" customHeight="1" spans="21:21">
      <c r="U1875" s="27"/>
    </row>
    <row r="1876" customHeight="1" spans="21:21">
      <c r="U1876" s="27"/>
    </row>
  </sheetData>
  <hyperlinks>
    <hyperlink ref="B570" r:id="rId1" display="Alarm.Com"/>
    <hyperlink ref="V570" r:id="rId2" display="Alarm.Com"/>
    <hyperlink ref="B852" r:id="rId1" display="Alarm.Com"/>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57"/>
  <sheetViews>
    <sheetView workbookViewId="0">
      <selection activeCell="A1" sqref="A1"/>
    </sheetView>
  </sheetViews>
  <sheetFormatPr defaultColWidth="12.6285714285714" defaultRowHeight="15.75" customHeight="1" outlineLevelCol="4"/>
  <cols>
    <col min="1" max="1" width="29.3809523809524" customWidth="1"/>
    <col min="2" max="2" width="34.3809523809524" customWidth="1"/>
    <col min="3" max="3" width="37.1333333333333" customWidth="1"/>
    <col min="4" max="4" width="15.8761904761905" customWidth="1"/>
    <col min="5" max="5" width="19.3809523809524" customWidth="1"/>
  </cols>
  <sheetData>
    <row r="1" customHeight="1" spans="1:5">
      <c r="A1" s="14" t="s">
        <v>2804</v>
      </c>
      <c r="B1" s="14" t="s">
        <v>2805</v>
      </c>
      <c r="C1" s="14" t="s">
        <v>2806</v>
      </c>
      <c r="D1" s="14" t="s">
        <v>2807</v>
      </c>
      <c r="E1" s="14" t="s">
        <v>2808</v>
      </c>
    </row>
    <row r="2" customHeight="1" spans="1:5">
      <c r="A2" s="26" t="s">
        <v>2809</v>
      </c>
      <c r="B2" s="26" t="s">
        <v>125</v>
      </c>
      <c r="C2" s="18" t="s">
        <v>2810</v>
      </c>
      <c r="D2" s="26">
        <v>125</v>
      </c>
      <c r="E2" s="18" t="s">
        <v>2811</v>
      </c>
    </row>
    <row r="3" customHeight="1" spans="1:5">
      <c r="A3" s="26" t="s">
        <v>2809</v>
      </c>
      <c r="B3" s="26" t="s">
        <v>144</v>
      </c>
      <c r="C3" s="18" t="s">
        <v>2810</v>
      </c>
      <c r="D3" s="26">
        <v>17</v>
      </c>
      <c r="E3" s="18" t="s">
        <v>2811</v>
      </c>
    </row>
    <row r="4" customHeight="1" spans="1:5">
      <c r="A4" s="26" t="s">
        <v>2812</v>
      </c>
      <c r="B4" s="26" t="s">
        <v>1671</v>
      </c>
      <c r="C4" s="18" t="s">
        <v>2810</v>
      </c>
      <c r="D4" s="26">
        <v>1</v>
      </c>
      <c r="E4" s="18" t="s">
        <v>2811</v>
      </c>
    </row>
    <row r="5" customHeight="1" spans="1:5">
      <c r="A5" s="26" t="s">
        <v>2812</v>
      </c>
      <c r="B5" s="26" t="s">
        <v>1955</v>
      </c>
      <c r="C5" s="18" t="s">
        <v>2810</v>
      </c>
      <c r="D5" s="26">
        <v>1</v>
      </c>
      <c r="E5" s="18" t="s">
        <v>2811</v>
      </c>
    </row>
    <row r="6" customHeight="1" spans="1:5">
      <c r="A6" s="26" t="s">
        <v>2812</v>
      </c>
      <c r="B6" s="26" t="s">
        <v>163</v>
      </c>
      <c r="C6" s="18" t="s">
        <v>2810</v>
      </c>
      <c r="D6" s="26">
        <v>62</v>
      </c>
      <c r="E6" s="18" t="s">
        <v>2811</v>
      </c>
    </row>
    <row r="7" customHeight="1" spans="1:5">
      <c r="A7" s="18" t="s">
        <v>2813</v>
      </c>
      <c r="B7" s="18" t="s">
        <v>2814</v>
      </c>
      <c r="C7" s="18" t="s">
        <v>2810</v>
      </c>
      <c r="D7" s="26">
        <v>42</v>
      </c>
      <c r="E7" s="18" t="s">
        <v>2811</v>
      </c>
    </row>
    <row r="8" customHeight="1" spans="1:5">
      <c r="A8" s="18" t="s">
        <v>2815</v>
      </c>
      <c r="B8" s="18" t="s">
        <v>2816</v>
      </c>
      <c r="C8" s="18" t="s">
        <v>2810</v>
      </c>
      <c r="D8" s="18">
        <v>1</v>
      </c>
      <c r="E8" s="18" t="s">
        <v>2811</v>
      </c>
    </row>
    <row r="9" customHeight="1" spans="1:5">
      <c r="A9" s="18" t="s">
        <v>2815</v>
      </c>
      <c r="B9" s="18" t="s">
        <v>2817</v>
      </c>
      <c r="C9" s="18" t="s">
        <v>2810</v>
      </c>
      <c r="D9" s="27">
        <v>1</v>
      </c>
      <c r="E9" s="18" t="s">
        <v>2811</v>
      </c>
    </row>
    <row r="10" customHeight="1" spans="1:5">
      <c r="A10" s="18" t="s">
        <v>2815</v>
      </c>
      <c r="B10" s="18" t="s">
        <v>2818</v>
      </c>
      <c r="C10" s="18" t="s">
        <v>2810</v>
      </c>
      <c r="D10" s="27">
        <v>1</v>
      </c>
      <c r="E10" s="18" t="s">
        <v>2811</v>
      </c>
    </row>
    <row r="11" customHeight="1" spans="1:5">
      <c r="A11" s="18" t="s">
        <v>2815</v>
      </c>
      <c r="B11" s="18" t="s">
        <v>1253</v>
      </c>
      <c r="C11" s="18" t="s">
        <v>2810</v>
      </c>
      <c r="D11" s="27">
        <v>1</v>
      </c>
      <c r="E11" s="18" t="s">
        <v>2811</v>
      </c>
    </row>
    <row r="12" customHeight="1" spans="1:5">
      <c r="A12" s="18" t="s">
        <v>2815</v>
      </c>
      <c r="B12" s="18" t="s">
        <v>681</v>
      </c>
      <c r="C12" s="18" t="s">
        <v>2810</v>
      </c>
      <c r="D12" s="27">
        <v>2</v>
      </c>
      <c r="E12" s="18" t="s">
        <v>2811</v>
      </c>
    </row>
    <row r="13" customHeight="1" spans="1:5">
      <c r="A13" s="18" t="s">
        <v>2815</v>
      </c>
      <c r="B13" s="18" t="s">
        <v>1288</v>
      </c>
      <c r="C13" s="18" t="s">
        <v>2810</v>
      </c>
      <c r="D13" s="27">
        <v>1</v>
      </c>
      <c r="E13" s="18" t="s">
        <v>2811</v>
      </c>
    </row>
    <row r="14" customHeight="1" spans="1:5">
      <c r="A14" s="18" t="s">
        <v>2815</v>
      </c>
      <c r="B14" s="18" t="s">
        <v>1428</v>
      </c>
      <c r="C14" s="18" t="s">
        <v>2810</v>
      </c>
      <c r="D14" s="27">
        <v>1</v>
      </c>
      <c r="E14" s="18" t="s">
        <v>2811</v>
      </c>
    </row>
    <row r="15" customHeight="1" spans="1:5">
      <c r="A15" s="18" t="s">
        <v>2815</v>
      </c>
      <c r="B15" s="18" t="s">
        <v>1392</v>
      </c>
      <c r="C15" s="18" t="s">
        <v>2810</v>
      </c>
      <c r="D15" s="27">
        <v>1</v>
      </c>
      <c r="E15" s="18" t="s">
        <v>2811</v>
      </c>
    </row>
    <row r="16" customHeight="1" spans="1:5">
      <c r="A16" s="18" t="s">
        <v>2815</v>
      </c>
      <c r="B16" s="18" t="s">
        <v>2279</v>
      </c>
      <c r="C16" s="18" t="s">
        <v>2810</v>
      </c>
      <c r="D16" s="27">
        <v>1</v>
      </c>
      <c r="E16" s="18" t="s">
        <v>2811</v>
      </c>
    </row>
    <row r="17" customHeight="1" spans="1:5">
      <c r="A17" s="18" t="s">
        <v>2815</v>
      </c>
      <c r="B17" s="18" t="s">
        <v>2819</v>
      </c>
      <c r="C17" s="18" t="s">
        <v>2820</v>
      </c>
      <c r="D17" s="18">
        <v>458</v>
      </c>
      <c r="E17" s="18" t="s">
        <v>2821</v>
      </c>
    </row>
    <row r="18" customHeight="1" spans="1:5">
      <c r="A18" s="18" t="s">
        <v>2822</v>
      </c>
      <c r="B18" s="18" t="s">
        <v>2819</v>
      </c>
      <c r="C18" s="18" t="s">
        <v>2820</v>
      </c>
      <c r="D18" s="18">
        <v>661</v>
      </c>
      <c r="E18" s="18" t="s">
        <v>2821</v>
      </c>
    </row>
    <row r="19" customHeight="1" spans="1:5">
      <c r="A19" s="18" t="s">
        <v>2823</v>
      </c>
      <c r="B19" s="18" t="s">
        <v>2819</v>
      </c>
      <c r="C19" s="18" t="s">
        <v>2820</v>
      </c>
      <c r="D19" s="18">
        <v>683</v>
      </c>
      <c r="E19" s="18" t="s">
        <v>2821</v>
      </c>
    </row>
    <row r="20" customHeight="1" spans="1:5">
      <c r="A20" s="18" t="s">
        <v>2824</v>
      </c>
      <c r="B20" s="18" t="s">
        <v>2819</v>
      </c>
      <c r="C20" s="18" t="s">
        <v>2820</v>
      </c>
      <c r="D20" s="18">
        <v>661</v>
      </c>
      <c r="E20" s="18" t="s">
        <v>2821</v>
      </c>
    </row>
    <row r="21" customHeight="1" spans="1:5">
      <c r="A21" s="18" t="s">
        <v>2825</v>
      </c>
      <c r="B21" s="18" t="s">
        <v>2819</v>
      </c>
      <c r="C21" s="18" t="s">
        <v>2820</v>
      </c>
      <c r="D21" s="18">
        <v>107</v>
      </c>
      <c r="E21" s="18" t="s">
        <v>2821</v>
      </c>
    </row>
    <row r="22" customHeight="1" spans="1:5">
      <c r="A22" s="18" t="s">
        <v>2826</v>
      </c>
      <c r="B22" s="18" t="s">
        <v>2819</v>
      </c>
      <c r="C22" s="18" t="s">
        <v>2820</v>
      </c>
      <c r="D22" s="18">
        <v>98</v>
      </c>
      <c r="E22" s="18" t="s">
        <v>2821</v>
      </c>
    </row>
    <row r="23" customHeight="1" spans="1:5">
      <c r="A23" s="18" t="s">
        <v>2827</v>
      </c>
      <c r="B23" s="18" t="s">
        <v>2819</v>
      </c>
      <c r="C23" s="18" t="s">
        <v>2820</v>
      </c>
      <c r="D23" s="18">
        <v>661</v>
      </c>
      <c r="E23" s="18" t="s">
        <v>2821</v>
      </c>
    </row>
    <row r="24" customHeight="1" spans="1:5">
      <c r="A24" s="18" t="s">
        <v>2828</v>
      </c>
      <c r="B24" s="18" t="s">
        <v>2819</v>
      </c>
      <c r="C24" s="18" t="s">
        <v>2820</v>
      </c>
      <c r="D24" s="18">
        <v>64</v>
      </c>
      <c r="E24" s="18" t="s">
        <v>2821</v>
      </c>
    </row>
    <row r="25" customHeight="1" spans="1:5">
      <c r="A25" s="18" t="s">
        <v>2829</v>
      </c>
      <c r="B25" s="18" t="s">
        <v>2819</v>
      </c>
      <c r="C25" s="18" t="s">
        <v>2820</v>
      </c>
      <c r="D25" s="18">
        <v>64</v>
      </c>
      <c r="E25" s="18" t="s">
        <v>2821</v>
      </c>
    </row>
    <row r="26" customHeight="1" spans="1:5">
      <c r="A26" s="18" t="s">
        <v>2830</v>
      </c>
      <c r="B26" s="18" t="s">
        <v>2819</v>
      </c>
      <c r="C26" s="18" t="s">
        <v>2820</v>
      </c>
      <c r="D26" s="18">
        <v>64</v>
      </c>
      <c r="E26" s="18" t="s">
        <v>2821</v>
      </c>
    </row>
    <row r="27" customHeight="1" spans="1:5">
      <c r="A27" s="18" t="s">
        <v>2831</v>
      </c>
      <c r="B27" s="18" t="s">
        <v>2819</v>
      </c>
      <c r="C27" s="18" t="s">
        <v>2820</v>
      </c>
      <c r="D27" s="18">
        <v>103</v>
      </c>
      <c r="E27" s="18" t="s">
        <v>2821</v>
      </c>
    </row>
    <row r="28" customHeight="1" spans="1:5">
      <c r="A28" s="18" t="s">
        <v>2832</v>
      </c>
      <c r="B28" s="18" t="s">
        <v>2819</v>
      </c>
      <c r="C28" s="18" t="s">
        <v>2820</v>
      </c>
      <c r="D28" s="18">
        <v>103</v>
      </c>
      <c r="E28" s="18" t="s">
        <v>2821</v>
      </c>
    </row>
    <row r="29" customHeight="1" spans="1:5">
      <c r="A29" s="18" t="s">
        <v>33</v>
      </c>
      <c r="B29" s="18" t="s">
        <v>2833</v>
      </c>
      <c r="C29" s="18" t="s">
        <v>2834</v>
      </c>
      <c r="E29" s="18" t="s">
        <v>2835</v>
      </c>
    </row>
    <row r="30" customHeight="1" spans="1:5">
      <c r="A30" s="18" t="s">
        <v>34</v>
      </c>
      <c r="B30" s="18" t="s">
        <v>2833</v>
      </c>
      <c r="C30" s="18" t="s">
        <v>2834</v>
      </c>
      <c r="E30" s="18" t="s">
        <v>2835</v>
      </c>
    </row>
    <row r="31" customHeight="1" spans="1:5">
      <c r="A31" s="18" t="s">
        <v>43</v>
      </c>
      <c r="B31" s="18" t="s">
        <v>2833</v>
      </c>
      <c r="C31" s="18" t="s">
        <v>2834</v>
      </c>
      <c r="E31" s="18" t="s">
        <v>2835</v>
      </c>
    </row>
    <row r="32" customHeight="1" spans="1:5">
      <c r="A32" s="18" t="s">
        <v>38</v>
      </c>
      <c r="B32" s="18" t="s">
        <v>2833</v>
      </c>
      <c r="C32" s="18" t="s">
        <v>2834</v>
      </c>
      <c r="E32" s="18" t="s">
        <v>2835</v>
      </c>
    </row>
    <row r="33" customHeight="1" spans="1:5">
      <c r="A33" s="18" t="s">
        <v>37</v>
      </c>
      <c r="B33" s="18" t="s">
        <v>2833</v>
      </c>
      <c r="C33" s="18" t="s">
        <v>2834</v>
      </c>
      <c r="E33" s="18" t="s">
        <v>2835</v>
      </c>
    </row>
    <row r="34" customHeight="1" spans="1:5">
      <c r="A34" s="18" t="s">
        <v>2836</v>
      </c>
      <c r="B34" s="18" t="s">
        <v>2833</v>
      </c>
      <c r="C34" s="18" t="s">
        <v>2834</v>
      </c>
      <c r="E34" s="18" t="s">
        <v>2835</v>
      </c>
    </row>
    <row r="35" customHeight="1" spans="1:5">
      <c r="A35" s="18" t="s">
        <v>40</v>
      </c>
      <c r="B35" s="18" t="s">
        <v>2833</v>
      </c>
      <c r="C35" s="18" t="s">
        <v>2834</v>
      </c>
      <c r="E35" s="18" t="s">
        <v>2835</v>
      </c>
    </row>
    <row r="36" customHeight="1" spans="1:5">
      <c r="A36" s="18" t="s">
        <v>41</v>
      </c>
      <c r="B36" s="18" t="s">
        <v>2833</v>
      </c>
      <c r="C36" s="18" t="s">
        <v>2834</v>
      </c>
      <c r="E36" s="18" t="s">
        <v>2835</v>
      </c>
    </row>
    <row r="37" customHeight="1" spans="1:5">
      <c r="A37" s="18" t="s">
        <v>2837</v>
      </c>
      <c r="B37" s="18" t="s">
        <v>2838</v>
      </c>
      <c r="C37" s="18" t="s">
        <v>2839</v>
      </c>
      <c r="E37" s="18" t="s">
        <v>2835</v>
      </c>
    </row>
    <row r="38" customHeight="1" spans="1:5">
      <c r="A38" s="18" t="s">
        <v>2823</v>
      </c>
      <c r="B38" s="18" t="s">
        <v>2838</v>
      </c>
      <c r="C38" s="18" t="s">
        <v>2839</v>
      </c>
      <c r="E38" s="18" t="s">
        <v>2835</v>
      </c>
    </row>
    <row r="39" customHeight="1" spans="1:5">
      <c r="A39" s="18" t="s">
        <v>2840</v>
      </c>
      <c r="B39" s="18" t="s">
        <v>2838</v>
      </c>
      <c r="C39" s="18" t="s">
        <v>2839</v>
      </c>
      <c r="E39" s="18" t="s">
        <v>2835</v>
      </c>
    </row>
    <row r="40" customHeight="1" spans="1:5">
      <c r="A40" s="18" t="s">
        <v>2841</v>
      </c>
      <c r="B40" s="18" t="s">
        <v>2838</v>
      </c>
      <c r="C40" s="18" t="s">
        <v>2839</v>
      </c>
      <c r="E40" s="18" t="s">
        <v>2835</v>
      </c>
    </row>
    <row r="41" customHeight="1" spans="1:5">
      <c r="A41" s="18" t="s">
        <v>2825</v>
      </c>
      <c r="B41" s="18" t="s">
        <v>2838</v>
      </c>
      <c r="C41" s="18" t="s">
        <v>2839</v>
      </c>
      <c r="E41" s="18" t="s">
        <v>2835</v>
      </c>
    </row>
    <row r="42" customHeight="1" spans="1:5">
      <c r="A42" s="18" t="s">
        <v>2842</v>
      </c>
      <c r="B42" s="18" t="s">
        <v>2838</v>
      </c>
      <c r="C42" s="18" t="s">
        <v>2839</v>
      </c>
      <c r="E42" s="18" t="s">
        <v>2835</v>
      </c>
    </row>
    <row r="43" customHeight="1" spans="1:5">
      <c r="A43" s="18" t="s">
        <v>2843</v>
      </c>
      <c r="B43" s="18" t="s">
        <v>2844</v>
      </c>
      <c r="C43" s="18" t="s">
        <v>2845</v>
      </c>
      <c r="D43" s="13"/>
      <c r="E43" s="18" t="s">
        <v>2846</v>
      </c>
    </row>
    <row r="44" customHeight="1" spans="1:5">
      <c r="A44" s="18" t="s">
        <v>2847</v>
      </c>
      <c r="B44" s="18" t="s">
        <v>2844</v>
      </c>
      <c r="C44" s="18" t="s">
        <v>2848</v>
      </c>
      <c r="D44" s="13"/>
      <c r="E44" s="18" t="s">
        <v>2846</v>
      </c>
    </row>
    <row r="45" customHeight="1" spans="1:5">
      <c r="A45" s="18" t="s">
        <v>2849</v>
      </c>
      <c r="B45" s="18" t="s">
        <v>2850</v>
      </c>
      <c r="C45" s="18" t="s">
        <v>2848</v>
      </c>
      <c r="D45" s="13"/>
      <c r="E45" s="18" t="s">
        <v>2851</v>
      </c>
    </row>
    <row r="46" customHeight="1" spans="1:5">
      <c r="A46" s="18" t="s">
        <v>2852</v>
      </c>
      <c r="B46" s="18" t="s">
        <v>2850</v>
      </c>
      <c r="C46" s="18" t="s">
        <v>2848</v>
      </c>
      <c r="D46" s="13"/>
      <c r="E46" s="18" t="s">
        <v>2851</v>
      </c>
    </row>
    <row r="47" customHeight="1" spans="1:5">
      <c r="A47" s="18" t="s">
        <v>2853</v>
      </c>
      <c r="B47" s="18" t="s">
        <v>2844</v>
      </c>
      <c r="C47" s="18" t="s">
        <v>2848</v>
      </c>
      <c r="D47" s="13"/>
      <c r="E47" s="18" t="s">
        <v>2846</v>
      </c>
    </row>
    <row r="48" customHeight="1" spans="1:5">
      <c r="A48" s="18" t="s">
        <v>2854</v>
      </c>
      <c r="B48" s="18" t="s">
        <v>2844</v>
      </c>
      <c r="C48" s="18" t="s">
        <v>2848</v>
      </c>
      <c r="D48" s="13"/>
      <c r="E48" s="18" t="s">
        <v>2846</v>
      </c>
    </row>
    <row r="49" customHeight="1" spans="1:5">
      <c r="A49" s="18" t="s">
        <v>2855</v>
      </c>
      <c r="B49" s="18" t="s">
        <v>2844</v>
      </c>
      <c r="C49" s="18" t="s">
        <v>2848</v>
      </c>
      <c r="D49" s="13"/>
      <c r="E49" s="18" t="s">
        <v>2846</v>
      </c>
    </row>
    <row r="50" customHeight="1" spans="1:5">
      <c r="A50" s="18" t="s">
        <v>2856</v>
      </c>
      <c r="B50" s="18" t="s">
        <v>2844</v>
      </c>
      <c r="C50" s="18" t="s">
        <v>2848</v>
      </c>
      <c r="D50" s="13"/>
      <c r="E50" s="18" t="s">
        <v>2846</v>
      </c>
    </row>
    <row r="51" customHeight="1" spans="1:5">
      <c r="A51" s="18" t="s">
        <v>2857</v>
      </c>
      <c r="B51" s="18" t="s">
        <v>2844</v>
      </c>
      <c r="C51" s="18" t="s">
        <v>2848</v>
      </c>
      <c r="D51" s="13"/>
      <c r="E51" s="18" t="s">
        <v>2846</v>
      </c>
    </row>
    <row r="52" customHeight="1" spans="1:5">
      <c r="A52" s="18" t="s">
        <v>2858</v>
      </c>
      <c r="B52" s="18" t="s">
        <v>2859</v>
      </c>
      <c r="C52" s="18" t="s">
        <v>2848</v>
      </c>
      <c r="D52" s="13"/>
      <c r="E52" s="18" t="s">
        <v>2851</v>
      </c>
    </row>
    <row r="53" customHeight="1" spans="1:5">
      <c r="A53" s="18" t="s">
        <v>2860</v>
      </c>
      <c r="B53" s="18" t="s">
        <v>2861</v>
      </c>
      <c r="C53" s="18" t="s">
        <v>2862</v>
      </c>
      <c r="D53" s="28" t="s">
        <v>2863</v>
      </c>
      <c r="E53" s="18" t="s">
        <v>2835</v>
      </c>
    </row>
    <row r="54" customHeight="1" spans="1:5">
      <c r="A54" s="18" t="s">
        <v>2825</v>
      </c>
      <c r="B54" s="18" t="s">
        <v>2861</v>
      </c>
      <c r="C54" s="18" t="s">
        <v>2862</v>
      </c>
      <c r="D54" s="28" t="s">
        <v>2864</v>
      </c>
      <c r="E54" s="18" t="s">
        <v>2835</v>
      </c>
    </row>
    <row r="55" customHeight="1" spans="1:5">
      <c r="A55" s="18" t="s">
        <v>2842</v>
      </c>
      <c r="B55" s="18" t="s">
        <v>2861</v>
      </c>
      <c r="C55" s="18" t="s">
        <v>2862</v>
      </c>
      <c r="D55" s="28" t="s">
        <v>2865</v>
      </c>
      <c r="E55" s="18" t="s">
        <v>2835</v>
      </c>
    </row>
    <row r="56" customHeight="1" spans="1:5">
      <c r="A56" s="18" t="s">
        <v>2866</v>
      </c>
      <c r="B56" s="18" t="s">
        <v>2861</v>
      </c>
      <c r="C56" s="18" t="s">
        <v>2862</v>
      </c>
      <c r="D56" s="28" t="s">
        <v>2867</v>
      </c>
      <c r="E56" s="18" t="s">
        <v>2835</v>
      </c>
    </row>
    <row r="57" customHeight="1" spans="1:5">
      <c r="A57" s="18" t="s">
        <v>2868</v>
      </c>
      <c r="B57" s="18" t="s">
        <v>2861</v>
      </c>
      <c r="C57" s="18" t="s">
        <v>2862</v>
      </c>
      <c r="D57" s="28" t="s">
        <v>2869</v>
      </c>
      <c r="E57" s="18" t="s">
        <v>2835</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97"/>
  <sheetViews>
    <sheetView workbookViewId="0">
      <pane ySplit="1" topLeftCell="A2" activePane="bottomLeft" state="frozen"/>
      <selection/>
      <selection pane="bottomLeft" activeCell="B3" sqref="B3"/>
    </sheetView>
  </sheetViews>
  <sheetFormatPr defaultColWidth="12.6285714285714" defaultRowHeight="15.75" customHeight="1" outlineLevelCol="5"/>
  <cols>
    <col min="1" max="1" width="17.3809523809524" customWidth="1"/>
    <col min="2" max="2" width="29.3809523809524" customWidth="1"/>
    <col min="3" max="3" width="73.3809523809524" customWidth="1"/>
    <col min="4" max="4" width="26.1333333333333" customWidth="1"/>
  </cols>
  <sheetData>
    <row r="1" customHeight="1" spans="1:4">
      <c r="A1" s="14" t="s">
        <v>2870</v>
      </c>
      <c r="B1" s="14" t="s">
        <v>2871</v>
      </c>
      <c r="C1" s="1" t="s">
        <v>2872</v>
      </c>
      <c r="D1" s="14"/>
    </row>
    <row r="2" customHeight="1" spans="1:4">
      <c r="A2" s="20">
        <v>46171</v>
      </c>
      <c r="B2" s="18" t="s">
        <v>2873</v>
      </c>
      <c r="C2" s="19" t="s">
        <v>2874</v>
      </c>
    </row>
    <row r="3" customHeight="1" spans="1:4">
      <c r="A3" s="20">
        <v>46171</v>
      </c>
      <c r="B3" s="18" t="s">
        <v>2875</v>
      </c>
      <c r="C3" s="19" t="s">
        <v>2876</v>
      </c>
    </row>
    <row r="4" customHeight="1" spans="1:4">
      <c r="A4" s="20">
        <v>46171</v>
      </c>
      <c r="B4" s="18" t="s">
        <v>2877</v>
      </c>
      <c r="C4" s="19" t="s">
        <v>2878</v>
      </c>
    </row>
    <row r="5" customHeight="1" spans="1:4">
      <c r="A5" s="20">
        <v>46171</v>
      </c>
      <c r="B5" s="18" t="s">
        <v>2879</v>
      </c>
      <c r="C5" s="19" t="s">
        <v>2880</v>
      </c>
    </row>
    <row r="6" customHeight="1" spans="1:4">
      <c r="A6" s="20">
        <v>46171</v>
      </c>
      <c r="B6" s="18" t="s">
        <v>2881</v>
      </c>
      <c r="C6" s="19" t="s">
        <v>2882</v>
      </c>
    </row>
    <row r="7" customHeight="1" spans="1:4">
      <c r="A7" s="20">
        <v>46171</v>
      </c>
      <c r="B7" s="18" t="s">
        <v>2883</v>
      </c>
      <c r="C7" s="19" t="s">
        <v>2884</v>
      </c>
    </row>
    <row r="8" customHeight="1" spans="1:4">
      <c r="A8" s="20">
        <v>46171</v>
      </c>
      <c r="B8" s="18" t="s">
        <v>2885</v>
      </c>
      <c r="C8" s="19" t="s">
        <v>2886</v>
      </c>
    </row>
    <row r="9" customHeight="1" spans="1:4">
      <c r="A9" s="20">
        <v>46178</v>
      </c>
      <c r="B9" s="18" t="s">
        <v>2887</v>
      </c>
      <c r="C9" s="18" t="s">
        <v>2888</v>
      </c>
      <c r="D9" s="13"/>
    </row>
    <row r="10" customHeight="1" spans="1:4">
      <c r="A10" s="20">
        <v>46178</v>
      </c>
      <c r="B10" s="18" t="s">
        <v>2887</v>
      </c>
      <c r="C10" s="19" t="s">
        <v>2889</v>
      </c>
      <c r="D10" s="13"/>
    </row>
    <row r="11" customHeight="1" spans="1:4">
      <c r="A11" s="20">
        <v>46178</v>
      </c>
      <c r="B11" s="18" t="s">
        <v>2887</v>
      </c>
      <c r="C11" s="18" t="s">
        <v>2890</v>
      </c>
      <c r="D11" s="13"/>
    </row>
    <row r="12" customHeight="1" spans="1:4">
      <c r="A12" s="20">
        <v>46179</v>
      </c>
      <c r="B12" s="18" t="s">
        <v>2887</v>
      </c>
      <c r="C12" s="18" t="s">
        <v>2891</v>
      </c>
      <c r="D12" s="13"/>
    </row>
    <row r="13" customHeight="1" spans="1:4">
      <c r="A13" s="20">
        <v>46179</v>
      </c>
      <c r="B13" s="18" t="s">
        <v>2887</v>
      </c>
      <c r="C13" s="19" t="s">
        <v>2892</v>
      </c>
      <c r="D13" s="13"/>
    </row>
    <row r="14" customHeight="1" spans="1:4">
      <c r="A14" s="20">
        <v>46179</v>
      </c>
      <c r="B14" s="18" t="s">
        <v>2887</v>
      </c>
      <c r="C14" s="18" t="s">
        <v>2893</v>
      </c>
      <c r="D14" s="13"/>
    </row>
    <row r="15" customHeight="1" spans="1:4">
      <c r="A15" s="20">
        <v>46180</v>
      </c>
      <c r="B15" s="18" t="s">
        <v>2887</v>
      </c>
      <c r="C15" s="18" t="s">
        <v>2894</v>
      </c>
      <c r="D15" s="13"/>
    </row>
    <row r="16" customHeight="1" spans="1:4">
      <c r="A16" s="20">
        <v>46180</v>
      </c>
      <c r="B16" s="18" t="s">
        <v>2887</v>
      </c>
      <c r="C16" s="18" t="s">
        <v>2895</v>
      </c>
      <c r="D16" s="13"/>
    </row>
    <row r="17" customHeight="1" spans="1:4">
      <c r="A17" s="20">
        <v>46180</v>
      </c>
      <c r="B17" s="18" t="s">
        <v>2887</v>
      </c>
      <c r="C17" s="19" t="s">
        <v>2896</v>
      </c>
      <c r="D17" s="13"/>
    </row>
    <row r="18" customHeight="1" spans="1:4">
      <c r="A18" s="20">
        <v>46180</v>
      </c>
      <c r="B18" s="18" t="s">
        <v>2887</v>
      </c>
      <c r="C18" s="19" t="s">
        <v>2897</v>
      </c>
      <c r="D18" s="13"/>
    </row>
    <row r="19" customHeight="1" spans="1:4">
      <c r="A19" s="20">
        <v>46181</v>
      </c>
      <c r="B19" s="18" t="s">
        <v>2898</v>
      </c>
      <c r="C19" s="19" t="s">
        <v>2899</v>
      </c>
    </row>
    <row r="20" customHeight="1" spans="1:4">
      <c r="A20" s="20">
        <v>46181</v>
      </c>
      <c r="B20" s="18" t="s">
        <v>2898</v>
      </c>
      <c r="C20" s="19" t="s">
        <v>2900</v>
      </c>
    </row>
    <row r="21" customHeight="1" spans="1:4">
      <c r="A21" s="20">
        <v>46181</v>
      </c>
      <c r="B21" s="18" t="s">
        <v>2898</v>
      </c>
      <c r="C21" s="19" t="s">
        <v>2901</v>
      </c>
    </row>
    <row r="22" customHeight="1" spans="1:4">
      <c r="A22" s="20">
        <v>46181</v>
      </c>
      <c r="B22" s="18" t="s">
        <v>2898</v>
      </c>
      <c r="C22" s="19" t="s">
        <v>2902</v>
      </c>
    </row>
    <row r="23" customHeight="1" spans="1:4">
      <c r="A23" s="20">
        <v>46181</v>
      </c>
      <c r="B23" s="18" t="s">
        <v>2898</v>
      </c>
      <c r="C23" s="19" t="s">
        <v>2903</v>
      </c>
    </row>
    <row r="24" customHeight="1" spans="1:4">
      <c r="A24" s="20">
        <v>46181</v>
      </c>
      <c r="B24" s="18" t="s">
        <v>2898</v>
      </c>
      <c r="C24" s="19" t="s">
        <v>2904</v>
      </c>
    </row>
    <row r="25" customHeight="1" spans="1:4">
      <c r="A25" s="20">
        <v>46181</v>
      </c>
      <c r="B25" s="18" t="s">
        <v>2898</v>
      </c>
      <c r="C25" s="19" t="s">
        <v>2905</v>
      </c>
    </row>
    <row r="26" customHeight="1" spans="1:4">
      <c r="A26" s="20">
        <v>46181</v>
      </c>
      <c r="B26" s="18" t="s">
        <v>2898</v>
      </c>
      <c r="C26" s="19" t="s">
        <v>2906</v>
      </c>
    </row>
    <row r="27" customHeight="1" spans="1:4">
      <c r="A27" s="20">
        <v>46182</v>
      </c>
      <c r="B27" s="18" t="s">
        <v>2907</v>
      </c>
      <c r="C27" s="19" t="s">
        <v>2908</v>
      </c>
    </row>
    <row r="28" customHeight="1" spans="1:4">
      <c r="A28" s="20">
        <v>46182</v>
      </c>
      <c r="B28" s="18" t="s">
        <v>2907</v>
      </c>
      <c r="C28" s="19" t="s">
        <v>2909</v>
      </c>
    </row>
    <row r="29" customHeight="1" spans="1:4">
      <c r="A29" s="20">
        <v>46182</v>
      </c>
      <c r="B29" s="18" t="s">
        <v>2907</v>
      </c>
      <c r="C29" s="19" t="s">
        <v>2910</v>
      </c>
    </row>
    <row r="30" customHeight="1" spans="1:4">
      <c r="A30" s="20">
        <v>46182</v>
      </c>
      <c r="B30" s="18" t="s">
        <v>2907</v>
      </c>
      <c r="C30" s="19" t="s">
        <v>2911</v>
      </c>
    </row>
    <row r="31" customHeight="1" spans="1:4">
      <c r="A31" s="20">
        <v>46182</v>
      </c>
      <c r="B31" s="18" t="s">
        <v>2907</v>
      </c>
      <c r="C31" s="19" t="s">
        <v>2912</v>
      </c>
    </row>
    <row r="32" customHeight="1" spans="1:4">
      <c r="A32" s="20">
        <v>46183</v>
      </c>
      <c r="B32" s="18" t="s">
        <v>2907</v>
      </c>
      <c r="C32" s="19" t="s">
        <v>2913</v>
      </c>
    </row>
    <row r="33" customHeight="1" spans="1:6">
      <c r="A33" s="20">
        <v>46184</v>
      </c>
      <c r="B33" s="18" t="s">
        <v>2914</v>
      </c>
      <c r="C33" s="19" t="s">
        <v>2915</v>
      </c>
    </row>
    <row r="34" customHeight="1" spans="1:6">
      <c r="A34" s="20">
        <v>46184</v>
      </c>
      <c r="B34" s="18" t="s">
        <v>2916</v>
      </c>
      <c r="C34" s="19" t="s">
        <v>2917</v>
      </c>
    </row>
    <row r="35" customHeight="1" spans="1:6">
      <c r="A35" s="20">
        <v>46185</v>
      </c>
      <c r="B35" s="19" t="s">
        <v>2918</v>
      </c>
      <c r="C35" s="19" t="s">
        <v>2919</v>
      </c>
      <c r="D35" s="19"/>
      <c r="E35" s="19"/>
      <c r="F35" s="19"/>
    </row>
    <row r="36" customHeight="1" spans="1:6">
      <c r="A36" s="21">
        <v>46185</v>
      </c>
      <c r="B36" s="18" t="s">
        <v>2920</v>
      </c>
      <c r="C36" s="19" t="s">
        <v>2921</v>
      </c>
    </row>
    <row r="37" customHeight="1" spans="1:6">
      <c r="A37" s="21">
        <v>46185</v>
      </c>
      <c r="B37" s="18" t="s">
        <v>2922</v>
      </c>
      <c r="C37" s="19" t="s">
        <v>2923</v>
      </c>
    </row>
    <row r="38" customHeight="1" spans="1:6">
      <c r="A38" s="21">
        <v>46185</v>
      </c>
      <c r="B38" s="18" t="s">
        <v>2924</v>
      </c>
      <c r="C38" s="19" t="s">
        <v>2925</v>
      </c>
    </row>
    <row r="39" customHeight="1" spans="1:6">
      <c r="A39" s="21">
        <v>46185</v>
      </c>
      <c r="B39" s="18" t="s">
        <v>2926</v>
      </c>
      <c r="C39" s="19" t="s">
        <v>2927</v>
      </c>
    </row>
    <row r="40" customHeight="1" spans="1:6">
      <c r="A40" s="21">
        <v>46185</v>
      </c>
      <c r="B40" s="18" t="s">
        <v>2928</v>
      </c>
      <c r="C40" s="19" t="s">
        <v>2929</v>
      </c>
    </row>
    <row r="41" customHeight="1" spans="1:6">
      <c r="A41" s="21">
        <v>46185</v>
      </c>
      <c r="B41" s="18" t="s">
        <v>2930</v>
      </c>
      <c r="C41" s="19" t="s">
        <v>2931</v>
      </c>
    </row>
    <row r="42" customHeight="1" spans="1:6">
      <c r="A42" s="21">
        <v>46185</v>
      </c>
      <c r="B42" s="18" t="s">
        <v>2930</v>
      </c>
      <c r="C42" s="18" t="s">
        <v>2932</v>
      </c>
    </row>
    <row r="43" customHeight="1" spans="1:6">
      <c r="A43" s="21">
        <v>46185</v>
      </c>
      <c r="B43" s="18" t="s">
        <v>2916</v>
      </c>
      <c r="C43" s="19" t="s">
        <v>2933</v>
      </c>
    </row>
    <row r="44" customHeight="1" spans="1:6">
      <c r="A44" s="21">
        <v>46185</v>
      </c>
      <c r="B44" s="18" t="s">
        <v>2934</v>
      </c>
      <c r="C44" s="19" t="s">
        <v>2935</v>
      </c>
    </row>
    <row r="45" customHeight="1" spans="1:6">
      <c r="A45" s="21">
        <v>46185</v>
      </c>
      <c r="B45" s="18" t="s">
        <v>2928</v>
      </c>
      <c r="C45" s="19" t="s">
        <v>2936</v>
      </c>
    </row>
    <row r="46" customHeight="1" spans="1:6">
      <c r="A46" s="21">
        <v>46186</v>
      </c>
      <c r="B46" s="18" t="s">
        <v>2937</v>
      </c>
      <c r="C46" s="18" t="s">
        <v>2938</v>
      </c>
    </row>
    <row r="47" customHeight="1" spans="1:6">
      <c r="A47" s="21">
        <v>46186</v>
      </c>
      <c r="B47" s="18" t="s">
        <v>2937</v>
      </c>
      <c r="C47" s="18" t="s">
        <v>2939</v>
      </c>
    </row>
    <row r="48" customHeight="1" spans="1:6">
      <c r="A48" s="21">
        <v>46186</v>
      </c>
      <c r="B48" s="18" t="s">
        <v>2937</v>
      </c>
      <c r="C48" s="18" t="s">
        <v>2940</v>
      </c>
    </row>
    <row r="49" customHeight="1" spans="1:3">
      <c r="A49" s="21">
        <v>46186</v>
      </c>
      <c r="B49" s="18" t="s">
        <v>2937</v>
      </c>
      <c r="C49" s="19" t="s">
        <v>2941</v>
      </c>
    </row>
    <row r="50" customHeight="1" spans="1:3">
      <c r="A50" s="21">
        <v>46186</v>
      </c>
      <c r="B50" s="18" t="s">
        <v>2937</v>
      </c>
      <c r="C50" s="18" t="s">
        <v>2942</v>
      </c>
    </row>
    <row r="51" customHeight="1" spans="1:3">
      <c r="A51" s="21">
        <v>46186</v>
      </c>
      <c r="B51" s="18" t="s">
        <v>2861</v>
      </c>
      <c r="C51" s="19" t="s">
        <v>2943</v>
      </c>
    </row>
    <row r="52" customHeight="1" spans="1:3">
      <c r="A52" s="21">
        <v>46186</v>
      </c>
      <c r="B52" s="18" t="s">
        <v>2861</v>
      </c>
      <c r="C52" s="18" t="s">
        <v>2944</v>
      </c>
    </row>
    <row r="53" customHeight="1" spans="1:3">
      <c r="A53" s="21">
        <v>46186</v>
      </c>
      <c r="B53" s="18" t="s">
        <v>2861</v>
      </c>
      <c r="C53" s="18" t="s">
        <v>2945</v>
      </c>
    </row>
    <row r="54" customHeight="1" spans="1:3">
      <c r="A54" s="21">
        <v>46186</v>
      </c>
      <c r="B54" s="18" t="s">
        <v>2946</v>
      </c>
      <c r="C54" s="19" t="s">
        <v>2947</v>
      </c>
    </row>
    <row r="55" customHeight="1" spans="1:3">
      <c r="A55" s="21">
        <v>46186</v>
      </c>
      <c r="B55" s="18" t="s">
        <v>2948</v>
      </c>
      <c r="C55" s="19" t="s">
        <v>2949</v>
      </c>
    </row>
    <row r="56" customHeight="1" spans="1:3">
      <c r="A56" s="21">
        <v>46186</v>
      </c>
      <c r="B56" s="18" t="s">
        <v>2950</v>
      </c>
      <c r="C56" s="19" t="s">
        <v>2951</v>
      </c>
    </row>
    <row r="57" customHeight="1" spans="1:3">
      <c r="A57" s="21">
        <v>46186</v>
      </c>
      <c r="B57" s="18" t="s">
        <v>2950</v>
      </c>
      <c r="C57" s="19" t="s">
        <v>2952</v>
      </c>
    </row>
    <row r="58" customHeight="1" spans="1:3">
      <c r="A58" s="21">
        <v>46186</v>
      </c>
      <c r="B58" s="18" t="s">
        <v>2953</v>
      </c>
      <c r="C58" s="19" t="s">
        <v>2954</v>
      </c>
    </row>
    <row r="59" customHeight="1" spans="1:3">
      <c r="A59" s="21">
        <v>46186</v>
      </c>
      <c r="B59" s="18" t="s">
        <v>2953</v>
      </c>
      <c r="C59" s="19" t="s">
        <v>2955</v>
      </c>
    </row>
    <row r="60" customHeight="1" spans="1:3">
      <c r="A60" s="21">
        <v>46186</v>
      </c>
      <c r="B60" s="18" t="s">
        <v>2953</v>
      </c>
      <c r="C60" s="19" t="s">
        <v>2956</v>
      </c>
    </row>
    <row r="61" customHeight="1" spans="1:3">
      <c r="A61" s="21">
        <v>46187</v>
      </c>
      <c r="B61" s="18" t="s">
        <v>2950</v>
      </c>
      <c r="C61" s="19" t="s">
        <v>2957</v>
      </c>
    </row>
    <row r="62" customHeight="1" spans="1:3">
      <c r="A62" s="21">
        <v>46187</v>
      </c>
      <c r="B62" s="18" t="s">
        <v>2950</v>
      </c>
      <c r="C62" s="19" t="s">
        <v>2958</v>
      </c>
    </row>
    <row r="63" customHeight="1" spans="1:3">
      <c r="A63" s="21">
        <v>46187</v>
      </c>
      <c r="B63" s="18" t="s">
        <v>2959</v>
      </c>
      <c r="C63" s="19" t="s">
        <v>2960</v>
      </c>
    </row>
    <row r="64" customHeight="1" spans="1:3">
      <c r="A64" s="21">
        <v>46187</v>
      </c>
      <c r="B64" s="18" t="s">
        <v>2959</v>
      </c>
      <c r="C64" s="19" t="s">
        <v>2961</v>
      </c>
    </row>
    <row r="65" customHeight="1" spans="1:3">
      <c r="A65" s="21">
        <v>46187</v>
      </c>
      <c r="B65" s="18" t="s">
        <v>2959</v>
      </c>
      <c r="C65" s="18" t="s">
        <v>2962</v>
      </c>
    </row>
    <row r="66" customHeight="1" spans="1:3">
      <c r="A66" s="21">
        <v>46187</v>
      </c>
      <c r="B66" s="18" t="s">
        <v>2959</v>
      </c>
      <c r="C66" s="19" t="s">
        <v>2963</v>
      </c>
    </row>
    <row r="67" customHeight="1" spans="1:3">
      <c r="A67" s="21">
        <v>46187</v>
      </c>
      <c r="B67" s="18" t="s">
        <v>2950</v>
      </c>
      <c r="C67" s="19" t="s">
        <v>2964</v>
      </c>
    </row>
    <row r="68" customHeight="1" spans="1:3">
      <c r="A68" s="21">
        <v>46187</v>
      </c>
      <c r="B68" s="18" t="s">
        <v>2965</v>
      </c>
      <c r="C68" s="18" t="s">
        <v>2966</v>
      </c>
    </row>
    <row r="69" customHeight="1" spans="1:3">
      <c r="A69" s="21">
        <v>46187</v>
      </c>
      <c r="B69" s="18" t="s">
        <v>2965</v>
      </c>
      <c r="C69" s="18" t="s">
        <v>2967</v>
      </c>
    </row>
    <row r="70" customHeight="1" spans="1:3">
      <c r="A70" s="22">
        <v>46187</v>
      </c>
      <c r="B70" s="18" t="s">
        <v>2965</v>
      </c>
      <c r="C70" s="18" t="s">
        <v>2968</v>
      </c>
    </row>
    <row r="71" customHeight="1" spans="1:3">
      <c r="A71" s="22">
        <v>46187</v>
      </c>
      <c r="B71" s="18" t="s">
        <v>2965</v>
      </c>
      <c r="C71" s="18" t="s">
        <v>2969</v>
      </c>
    </row>
    <row r="72" customHeight="1" spans="1:3">
      <c r="A72" s="22">
        <v>46187</v>
      </c>
      <c r="B72" s="18" t="s">
        <v>2965</v>
      </c>
      <c r="C72" s="18" t="s">
        <v>2970</v>
      </c>
    </row>
    <row r="73" customHeight="1" spans="1:3">
      <c r="A73" s="22">
        <v>46187</v>
      </c>
      <c r="B73" s="18" t="s">
        <v>2965</v>
      </c>
      <c r="C73" s="18" t="s">
        <v>2971</v>
      </c>
    </row>
    <row r="74" customHeight="1" spans="1:3">
      <c r="A74" s="22">
        <v>46187</v>
      </c>
      <c r="B74" s="18" t="s">
        <v>2965</v>
      </c>
      <c r="C74" s="18" t="s">
        <v>2972</v>
      </c>
    </row>
    <row r="75" customHeight="1" spans="1:3">
      <c r="A75" s="22">
        <v>46187</v>
      </c>
      <c r="B75" s="18" t="s">
        <v>2965</v>
      </c>
      <c r="C75" s="18" t="s">
        <v>2973</v>
      </c>
    </row>
    <row r="76" customHeight="1" spans="1:3">
      <c r="A76" s="22">
        <v>46188</v>
      </c>
      <c r="B76" s="18" t="s">
        <v>2974</v>
      </c>
      <c r="C76" s="18" t="s">
        <v>2975</v>
      </c>
    </row>
    <row r="77" customHeight="1" spans="1:3">
      <c r="A77" s="22">
        <v>46188</v>
      </c>
      <c r="B77" s="18" t="s">
        <v>2974</v>
      </c>
      <c r="C77" s="18" t="s">
        <v>2976</v>
      </c>
    </row>
    <row r="78" customHeight="1" spans="1:3">
      <c r="A78" s="22">
        <v>46188</v>
      </c>
      <c r="B78" s="18" t="s">
        <v>2974</v>
      </c>
      <c r="C78" s="18" t="s">
        <v>2977</v>
      </c>
    </row>
    <row r="79" customHeight="1" spans="1:3">
      <c r="A79" s="22">
        <v>46188</v>
      </c>
      <c r="B79" s="18" t="s">
        <v>2974</v>
      </c>
      <c r="C79" s="18" t="s">
        <v>2978</v>
      </c>
    </row>
    <row r="80" customHeight="1" spans="1:3">
      <c r="A80" s="22">
        <v>46188</v>
      </c>
      <c r="B80" s="18" t="s">
        <v>2974</v>
      </c>
      <c r="C80" s="18" t="s">
        <v>2979</v>
      </c>
    </row>
    <row r="81" customHeight="1" spans="1:3">
      <c r="A81" s="22">
        <v>46188</v>
      </c>
      <c r="B81" s="18" t="s">
        <v>2980</v>
      </c>
      <c r="C81" s="18" t="s">
        <v>2981</v>
      </c>
    </row>
    <row r="82" customHeight="1" spans="1:3">
      <c r="A82" s="22">
        <v>46188</v>
      </c>
      <c r="B82" s="18" t="s">
        <v>2980</v>
      </c>
      <c r="C82" s="18" t="s">
        <v>2982</v>
      </c>
    </row>
    <row r="83" customHeight="1" spans="1:3">
      <c r="A83" s="22">
        <v>46188</v>
      </c>
      <c r="B83" s="18" t="s">
        <v>2983</v>
      </c>
      <c r="C83" s="18" t="s">
        <v>2984</v>
      </c>
    </row>
    <row r="84" customHeight="1" spans="1:3">
      <c r="A84" s="22">
        <v>46189</v>
      </c>
      <c r="B84" s="18" t="s">
        <v>2985</v>
      </c>
      <c r="C84" s="18" t="s">
        <v>2986</v>
      </c>
    </row>
    <row r="85" customHeight="1" spans="1:3">
      <c r="A85" s="22">
        <v>46189</v>
      </c>
      <c r="B85" s="18" t="s">
        <v>2987</v>
      </c>
      <c r="C85" s="19" t="s">
        <v>2988</v>
      </c>
    </row>
    <row r="86" customHeight="1" spans="1:3">
      <c r="A86" s="22">
        <v>46189</v>
      </c>
      <c r="B86" s="18" t="s">
        <v>2983</v>
      </c>
      <c r="C86" s="18" t="s">
        <v>2989</v>
      </c>
    </row>
    <row r="87" customHeight="1" spans="1:3">
      <c r="A87" s="22">
        <v>46189</v>
      </c>
      <c r="B87" s="18" t="s">
        <v>2990</v>
      </c>
      <c r="C87" s="18" t="s">
        <v>2991</v>
      </c>
    </row>
    <row r="88" customHeight="1" spans="1:3">
      <c r="A88" s="22">
        <v>46189</v>
      </c>
      <c r="B88" s="18" t="s">
        <v>2992</v>
      </c>
      <c r="C88" s="18" t="s">
        <v>2993</v>
      </c>
    </row>
    <row r="89" customHeight="1" spans="1:3">
      <c r="A89" s="22">
        <v>46189</v>
      </c>
      <c r="B89" s="18" t="s">
        <v>2994</v>
      </c>
      <c r="C89" s="18" t="s">
        <v>2995</v>
      </c>
    </row>
    <row r="90" customHeight="1" spans="1:3">
      <c r="A90" s="22">
        <v>46189</v>
      </c>
      <c r="B90" s="18" t="s">
        <v>2996</v>
      </c>
      <c r="C90" s="18" t="s">
        <v>2997</v>
      </c>
    </row>
    <row r="91" customHeight="1" spans="1:3">
      <c r="A91" s="22">
        <v>46189</v>
      </c>
      <c r="B91" s="18" t="s">
        <v>2998</v>
      </c>
      <c r="C91" s="18" t="s">
        <v>2999</v>
      </c>
    </row>
    <row r="92" customHeight="1" spans="1:3">
      <c r="A92" s="22">
        <v>46189</v>
      </c>
      <c r="B92" s="18" t="s">
        <v>3000</v>
      </c>
      <c r="C92" s="18" t="s">
        <v>3001</v>
      </c>
    </row>
    <row r="93" customHeight="1" spans="1:3">
      <c r="A93" s="22">
        <v>46189</v>
      </c>
      <c r="B93" s="18" t="s">
        <v>3002</v>
      </c>
      <c r="C93" s="18" t="s">
        <v>3003</v>
      </c>
    </row>
    <row r="94" customHeight="1" spans="1:3">
      <c r="A94" s="22">
        <v>46189</v>
      </c>
      <c r="B94" s="23" t="s">
        <v>3004</v>
      </c>
      <c r="C94" s="23" t="s">
        <v>3005</v>
      </c>
    </row>
    <row r="95" customHeight="1" spans="1:3">
      <c r="A95" s="22">
        <v>46189</v>
      </c>
      <c r="B95" s="23" t="s">
        <v>3006</v>
      </c>
      <c r="C95" s="24" t="s">
        <v>3007</v>
      </c>
    </row>
    <row r="96" customHeight="1" spans="1:3">
      <c r="A96" s="22">
        <v>46189</v>
      </c>
      <c r="B96" s="23" t="s">
        <v>3008</v>
      </c>
      <c r="C96" s="24" t="s">
        <v>3009</v>
      </c>
    </row>
    <row r="97" customHeight="1" spans="3:3">
      <c r="C97" s="25"/>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36"/>
  <sheetViews>
    <sheetView workbookViewId="0">
      <pane ySplit="1" topLeftCell="A2" activePane="bottomLeft" state="frozen"/>
      <selection/>
      <selection pane="bottomLeft" activeCell="B3" sqref="B3"/>
    </sheetView>
  </sheetViews>
  <sheetFormatPr defaultColWidth="12.6285714285714" defaultRowHeight="15.75" customHeight="1" outlineLevelCol="4"/>
  <cols>
    <col min="1" max="1" width="24.3809523809524" customWidth="1"/>
    <col min="2" max="2" width="27.8761904761905" customWidth="1"/>
    <col min="3" max="3" width="47.1333333333333" customWidth="1"/>
    <col min="4" max="4" width="36.3809523809524" customWidth="1"/>
    <col min="5" max="5" width="14.3809523809524" customWidth="1"/>
  </cols>
  <sheetData>
    <row r="1" customHeight="1" spans="1:5">
      <c r="A1" s="14" t="s">
        <v>3010</v>
      </c>
      <c r="B1" s="14" t="s">
        <v>3011</v>
      </c>
      <c r="C1" s="14" t="s">
        <v>3012</v>
      </c>
      <c r="D1" s="14" t="s">
        <v>3013</v>
      </c>
      <c r="E1" s="14" t="s">
        <v>3014</v>
      </c>
    </row>
    <row r="2" customHeight="1" spans="1:5">
      <c r="A2" s="18" t="s">
        <v>2821</v>
      </c>
      <c r="B2" s="18" t="s">
        <v>3015</v>
      </c>
      <c r="C2" s="19" t="s">
        <v>3016</v>
      </c>
      <c r="D2" s="18" t="s">
        <v>3017</v>
      </c>
      <c r="E2" s="18"/>
    </row>
    <row r="3" customHeight="1" spans="1:5">
      <c r="A3" s="18" t="s">
        <v>2821</v>
      </c>
      <c r="B3" s="18" t="s">
        <v>2873</v>
      </c>
      <c r="C3" s="19" t="s">
        <v>3018</v>
      </c>
      <c r="D3" s="18" t="s">
        <v>3017</v>
      </c>
      <c r="E3" s="18"/>
    </row>
    <row r="4" customHeight="1" spans="1:5">
      <c r="A4" s="18" t="s">
        <v>3019</v>
      </c>
      <c r="B4" s="18" t="s">
        <v>3020</v>
      </c>
      <c r="C4" s="18" t="s">
        <v>3021</v>
      </c>
      <c r="D4" s="18" t="s">
        <v>3022</v>
      </c>
      <c r="E4" s="18" t="s">
        <v>3023</v>
      </c>
    </row>
    <row r="5" customHeight="1" spans="1:5">
      <c r="A5" s="18" t="s">
        <v>3019</v>
      </c>
      <c r="B5" s="18" t="s">
        <v>3020</v>
      </c>
      <c r="C5" s="18" t="s">
        <v>3024</v>
      </c>
      <c r="D5" s="18" t="s">
        <v>3025</v>
      </c>
      <c r="E5" s="18" t="s">
        <v>3023</v>
      </c>
    </row>
    <row r="6" customHeight="1" spans="1:5">
      <c r="A6" s="18" t="s">
        <v>2812</v>
      </c>
      <c r="B6" s="18" t="s">
        <v>3020</v>
      </c>
      <c r="C6" s="18" t="s">
        <v>3026</v>
      </c>
      <c r="D6" s="18" t="s">
        <v>3027</v>
      </c>
      <c r="E6" s="18" t="s">
        <v>3023</v>
      </c>
    </row>
    <row r="7" customHeight="1" spans="1:5">
      <c r="A7" s="18" t="s">
        <v>2812</v>
      </c>
      <c r="B7" s="18" t="s">
        <v>3020</v>
      </c>
      <c r="C7" s="18" t="s">
        <v>3028</v>
      </c>
      <c r="D7" s="18" t="s">
        <v>3022</v>
      </c>
      <c r="E7" s="18" t="s">
        <v>3023</v>
      </c>
    </row>
    <row r="8" customHeight="1" spans="1:5">
      <c r="A8" s="18" t="s">
        <v>2812</v>
      </c>
      <c r="B8" s="18" t="s">
        <v>3020</v>
      </c>
      <c r="C8" s="18" t="s">
        <v>3029</v>
      </c>
      <c r="D8" s="18" t="s">
        <v>3022</v>
      </c>
      <c r="E8" s="18" t="s">
        <v>3023</v>
      </c>
    </row>
    <row r="9" customHeight="1" spans="1:5">
      <c r="A9" s="18" t="s">
        <v>3030</v>
      </c>
      <c r="B9" s="18" t="s">
        <v>3020</v>
      </c>
      <c r="C9" s="18" t="s">
        <v>3031</v>
      </c>
      <c r="D9" s="18" t="s">
        <v>3022</v>
      </c>
      <c r="E9" s="18" t="s">
        <v>3023</v>
      </c>
    </row>
    <row r="10" customHeight="1" spans="1:5">
      <c r="A10" s="18" t="s">
        <v>3032</v>
      </c>
      <c r="B10" s="18" t="s">
        <v>3020</v>
      </c>
      <c r="C10" s="18" t="s">
        <v>3033</v>
      </c>
      <c r="D10" s="18" t="s">
        <v>3022</v>
      </c>
      <c r="E10" s="18" t="s">
        <v>3023</v>
      </c>
    </row>
    <row r="11" customHeight="1" spans="1:5">
      <c r="A11" s="18" t="s">
        <v>3032</v>
      </c>
      <c r="B11" s="18" t="s">
        <v>3020</v>
      </c>
      <c r="C11" s="18" t="s">
        <v>3034</v>
      </c>
      <c r="D11" s="18" t="s">
        <v>3022</v>
      </c>
      <c r="E11" s="18" t="s">
        <v>3023</v>
      </c>
    </row>
    <row r="12" customHeight="1" spans="1:5">
      <c r="A12" s="18" t="s">
        <v>3032</v>
      </c>
      <c r="B12" s="18" t="s">
        <v>3020</v>
      </c>
      <c r="C12" s="18" t="s">
        <v>3035</v>
      </c>
      <c r="D12" s="18" t="s">
        <v>3022</v>
      </c>
      <c r="E12" s="18" t="s">
        <v>3023</v>
      </c>
    </row>
    <row r="13" customHeight="1" spans="1:5">
      <c r="A13" s="18" t="s">
        <v>3032</v>
      </c>
      <c r="B13" s="18" t="s">
        <v>3036</v>
      </c>
      <c r="C13" s="18" t="s">
        <v>3037</v>
      </c>
      <c r="D13" s="18" t="s">
        <v>3038</v>
      </c>
      <c r="E13" s="18" t="s">
        <v>3023</v>
      </c>
    </row>
    <row r="14" customHeight="1" spans="1:5">
      <c r="A14" s="18" t="s">
        <v>2822</v>
      </c>
      <c r="B14" s="18" t="s">
        <v>3036</v>
      </c>
      <c r="C14" s="18" t="s">
        <v>3039</v>
      </c>
      <c r="D14" s="19" t="s">
        <v>3040</v>
      </c>
      <c r="E14" s="18" t="s">
        <v>3023</v>
      </c>
    </row>
    <row r="15" customHeight="1" spans="1:5">
      <c r="A15" s="18" t="s">
        <v>2823</v>
      </c>
      <c r="B15" s="18" t="s">
        <v>3036</v>
      </c>
      <c r="C15" s="18" t="s">
        <v>3041</v>
      </c>
      <c r="D15" s="18" t="s">
        <v>3042</v>
      </c>
      <c r="E15" s="18" t="s">
        <v>3023</v>
      </c>
    </row>
    <row r="16" customHeight="1" spans="1:5">
      <c r="A16" s="18" t="s">
        <v>3043</v>
      </c>
      <c r="B16" s="18" t="s">
        <v>3036</v>
      </c>
      <c r="C16" s="18" t="s">
        <v>3041</v>
      </c>
      <c r="D16" s="18" t="s">
        <v>3042</v>
      </c>
      <c r="E16" s="18" t="s">
        <v>3023</v>
      </c>
    </row>
    <row r="17" customHeight="1" spans="1:5">
      <c r="A17" s="18" t="s">
        <v>2828</v>
      </c>
      <c r="B17" s="18" t="s">
        <v>3036</v>
      </c>
      <c r="C17" s="18" t="s">
        <v>3044</v>
      </c>
      <c r="D17" s="18" t="s">
        <v>3045</v>
      </c>
      <c r="E17" s="18" t="s">
        <v>3023</v>
      </c>
    </row>
    <row r="18" customHeight="1" spans="1:5">
      <c r="A18" s="18" t="s">
        <v>2829</v>
      </c>
      <c r="B18" s="18" t="s">
        <v>3036</v>
      </c>
      <c r="C18" s="18" t="s">
        <v>3046</v>
      </c>
      <c r="D18" s="18" t="s">
        <v>3045</v>
      </c>
      <c r="E18" s="18" t="s">
        <v>3023</v>
      </c>
    </row>
    <row r="19" customHeight="1" spans="1:5">
      <c r="A19" s="18" t="s">
        <v>2830</v>
      </c>
      <c r="B19" s="18" t="s">
        <v>3036</v>
      </c>
      <c r="C19" s="18" t="s">
        <v>3047</v>
      </c>
      <c r="D19" s="18" t="s">
        <v>3045</v>
      </c>
      <c r="E19" s="18" t="s">
        <v>3023</v>
      </c>
    </row>
    <row r="20" customHeight="1" spans="1:5">
      <c r="A20" s="18" t="s">
        <v>3048</v>
      </c>
      <c r="B20" s="18" t="s">
        <v>3020</v>
      </c>
      <c r="C20" s="19" t="s">
        <v>3049</v>
      </c>
      <c r="D20" s="19" t="s">
        <v>3050</v>
      </c>
      <c r="E20" s="18" t="s">
        <v>2821</v>
      </c>
    </row>
    <row r="21" customHeight="1" spans="1:5">
      <c r="A21" s="18" t="s">
        <v>2849</v>
      </c>
      <c r="B21" s="18" t="s">
        <v>3051</v>
      </c>
      <c r="C21" s="19" t="s">
        <v>3052</v>
      </c>
      <c r="D21" s="18" t="s">
        <v>3053</v>
      </c>
      <c r="E21" s="18" t="s">
        <v>3023</v>
      </c>
    </row>
    <row r="22" customHeight="1" spans="1:5">
      <c r="A22" s="18" t="s">
        <v>2852</v>
      </c>
      <c r="B22" s="18" t="s">
        <v>3051</v>
      </c>
      <c r="C22" s="19" t="s">
        <v>3052</v>
      </c>
      <c r="D22" s="18" t="s">
        <v>3053</v>
      </c>
      <c r="E22" s="18" t="s">
        <v>3023</v>
      </c>
    </row>
    <row r="23" customHeight="1" spans="1:5">
      <c r="A23" s="18" t="s">
        <v>2843</v>
      </c>
      <c r="B23" s="18" t="s">
        <v>3051</v>
      </c>
      <c r="C23" s="18" t="s">
        <v>3054</v>
      </c>
      <c r="D23" s="19" t="s">
        <v>3055</v>
      </c>
      <c r="E23" s="19" t="s">
        <v>3056</v>
      </c>
    </row>
    <row r="24" customHeight="1" spans="1:5">
      <c r="A24" s="18" t="s">
        <v>2847</v>
      </c>
      <c r="B24" s="18" t="s">
        <v>3051</v>
      </c>
      <c r="C24" s="18" t="s">
        <v>3054</v>
      </c>
      <c r="D24" s="19" t="s">
        <v>3055</v>
      </c>
      <c r="E24" s="19" t="s">
        <v>3056</v>
      </c>
    </row>
    <row r="25" customHeight="1" spans="1:5">
      <c r="A25" s="18" t="s">
        <v>2858</v>
      </c>
      <c r="B25" s="18" t="s">
        <v>2924</v>
      </c>
      <c r="C25" s="19" t="s">
        <v>3057</v>
      </c>
      <c r="D25" s="19" t="s">
        <v>3058</v>
      </c>
      <c r="E25" s="19" t="s">
        <v>3056</v>
      </c>
    </row>
    <row r="26" customHeight="1" spans="1:5">
      <c r="A26" s="18" t="s">
        <v>3019</v>
      </c>
      <c r="B26" s="18" t="s">
        <v>3059</v>
      </c>
      <c r="C26" s="19" t="s">
        <v>3060</v>
      </c>
      <c r="D26" s="19" t="s">
        <v>3061</v>
      </c>
      <c r="E26" s="18" t="s">
        <v>2821</v>
      </c>
    </row>
    <row r="27" customHeight="1" spans="1:5">
      <c r="A27" s="18" t="s">
        <v>3019</v>
      </c>
      <c r="B27" s="18" t="s">
        <v>3062</v>
      </c>
      <c r="C27" s="18" t="s">
        <v>3063</v>
      </c>
      <c r="D27" s="18" t="s">
        <v>3064</v>
      </c>
      <c r="E27" s="18" t="s">
        <v>3023</v>
      </c>
    </row>
    <row r="28" customHeight="1" spans="1:5">
      <c r="A28" s="18" t="s">
        <v>2812</v>
      </c>
      <c r="B28" s="18" t="s">
        <v>3059</v>
      </c>
      <c r="C28" s="19" t="s">
        <v>3065</v>
      </c>
      <c r="D28" s="18" t="s">
        <v>3066</v>
      </c>
      <c r="E28" s="18" t="s">
        <v>3023</v>
      </c>
    </row>
    <row r="29" customHeight="1" spans="1:5">
      <c r="A29" s="18" t="s">
        <v>2812</v>
      </c>
      <c r="B29" s="18" t="s">
        <v>3059</v>
      </c>
      <c r="C29" s="19" t="s">
        <v>3067</v>
      </c>
      <c r="D29" s="18" t="s">
        <v>3068</v>
      </c>
      <c r="E29" s="18" t="s">
        <v>3023</v>
      </c>
    </row>
    <row r="30" customHeight="1" spans="1:5">
      <c r="A30" s="18" t="s">
        <v>2812</v>
      </c>
      <c r="B30" s="18" t="s">
        <v>3059</v>
      </c>
      <c r="C30" s="19" t="s">
        <v>3069</v>
      </c>
      <c r="D30" s="18" t="s">
        <v>3070</v>
      </c>
      <c r="E30" s="18" t="s">
        <v>2821</v>
      </c>
    </row>
    <row r="31" customHeight="1" spans="1:5">
      <c r="A31" s="18" t="s">
        <v>2812</v>
      </c>
      <c r="B31" s="18" t="s">
        <v>3071</v>
      </c>
      <c r="C31" s="19" t="s">
        <v>3072</v>
      </c>
      <c r="D31" s="18" t="s">
        <v>3073</v>
      </c>
      <c r="E31" s="18" t="s">
        <v>3023</v>
      </c>
    </row>
    <row r="32" customHeight="1" spans="1:5">
      <c r="A32" s="18" t="s">
        <v>2829</v>
      </c>
      <c r="B32" s="18" t="s">
        <v>3074</v>
      </c>
      <c r="C32" s="19" t="s">
        <v>3075</v>
      </c>
      <c r="D32" s="19" t="s">
        <v>3076</v>
      </c>
      <c r="E32" s="18" t="s">
        <v>3023</v>
      </c>
    </row>
    <row r="33" customHeight="1" spans="1:5">
      <c r="A33" s="18" t="s">
        <v>2830</v>
      </c>
      <c r="B33" s="18" t="s">
        <v>3074</v>
      </c>
      <c r="C33" s="18" t="s">
        <v>3077</v>
      </c>
      <c r="D33" s="19" t="s">
        <v>3078</v>
      </c>
      <c r="E33" s="18" t="s">
        <v>3023</v>
      </c>
    </row>
    <row r="34" customHeight="1" spans="1:5">
      <c r="A34" s="18" t="s">
        <v>2828</v>
      </c>
      <c r="B34" s="18" t="s">
        <v>3079</v>
      </c>
      <c r="C34" s="18" t="s">
        <v>3080</v>
      </c>
      <c r="D34" s="18" t="s">
        <v>3081</v>
      </c>
      <c r="E34" s="18" t="s">
        <v>3023</v>
      </c>
    </row>
    <row r="35" customHeight="1" spans="1:5">
      <c r="A35" s="18" t="s">
        <v>2828</v>
      </c>
      <c r="B35" s="18" t="s">
        <v>3079</v>
      </c>
      <c r="C35" s="18" t="s">
        <v>3082</v>
      </c>
      <c r="D35" s="18" t="s">
        <v>3081</v>
      </c>
      <c r="E35" s="18" t="s">
        <v>3023</v>
      </c>
    </row>
    <row r="36" customHeight="1" spans="1:5">
      <c r="A36" s="18" t="s">
        <v>2828</v>
      </c>
      <c r="B36" s="18" t="s">
        <v>3083</v>
      </c>
      <c r="C36" s="19" t="s">
        <v>3084</v>
      </c>
      <c r="D36" s="18" t="s">
        <v>3085</v>
      </c>
      <c r="E36" s="18" t="s">
        <v>3023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B8"/>
  <sheetViews>
    <sheetView workbookViewId="0">
      <selection activeCell="A1" sqref="A1"/>
    </sheetView>
  </sheetViews>
  <sheetFormatPr defaultColWidth="12.6285714285714" defaultRowHeight="15.75" customHeight="1" outlineLevelRow="7" outlineLevelCol="1"/>
  <cols>
    <col min="1" max="1" width="27.6285714285714" customWidth="1"/>
    <col min="2" max="2" width="52.1333333333333" customWidth="1"/>
  </cols>
  <sheetData>
    <row r="1" customHeight="1" spans="1:2">
      <c r="A1" s="14" t="s">
        <v>3086</v>
      </c>
      <c r="B1" s="14" t="s">
        <v>3087</v>
      </c>
    </row>
    <row r="2" customHeight="1" spans="1:2">
      <c r="A2" s="18" t="s">
        <v>3088</v>
      </c>
      <c r="B2" s="18" t="s">
        <v>3089</v>
      </c>
    </row>
    <row r="3" customHeight="1" spans="1:2">
      <c r="A3" s="18" t="s">
        <v>3090</v>
      </c>
      <c r="B3" s="18" t="s">
        <v>3091</v>
      </c>
    </row>
    <row r="4" customHeight="1" spans="1:2">
      <c r="A4" s="18" t="s">
        <v>3092</v>
      </c>
      <c r="B4" s="18" t="s">
        <v>3093</v>
      </c>
    </row>
    <row r="5" customHeight="1" spans="1:2">
      <c r="A5" s="18" t="s">
        <v>3094</v>
      </c>
      <c r="B5" s="18" t="s">
        <v>3095</v>
      </c>
    </row>
    <row r="6" customHeight="1" spans="1:2">
      <c r="A6" s="18" t="s">
        <v>3096</v>
      </c>
      <c r="B6" s="18" t="s">
        <v>3097</v>
      </c>
    </row>
    <row r="7" customHeight="1" spans="1:2">
      <c r="A7" s="18" t="s">
        <v>3098</v>
      </c>
      <c r="B7" s="18" t="s">
        <v>3099</v>
      </c>
    </row>
    <row r="8" customHeight="1" spans="1:2">
      <c r="A8" s="18" t="s">
        <v>3100</v>
      </c>
      <c r="B8" s="18" t="s">
        <v>3101</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9"/>
  <sheetViews>
    <sheetView workbookViewId="0">
      <selection activeCell="A1" sqref="A1"/>
    </sheetView>
  </sheetViews>
  <sheetFormatPr defaultColWidth="12.6285714285714" defaultRowHeight="15.75" customHeight="1" outlineLevelCol="5"/>
  <cols>
    <col min="1" max="1" width="29.3809523809524" customWidth="1"/>
    <col min="2" max="2" width="23.3809523809524" customWidth="1"/>
    <col min="3" max="3" width="21.247619047619" customWidth="1"/>
    <col min="4" max="4" width="21.6285714285714" customWidth="1"/>
    <col min="5" max="5" width="26.8761904761905" customWidth="1"/>
    <col min="6" max="6" width="21.3809523809524" customWidth="1"/>
  </cols>
  <sheetData>
    <row r="1" customHeight="1" spans="1:6">
      <c r="A1" s="14" t="s">
        <v>3102</v>
      </c>
      <c r="B1" s="14" t="s">
        <v>2860</v>
      </c>
      <c r="C1" s="14" t="s">
        <v>2825</v>
      </c>
      <c r="D1" s="14" t="s">
        <v>2842</v>
      </c>
      <c r="E1" s="14" t="s">
        <v>3103</v>
      </c>
      <c r="F1" s="14" t="s">
        <v>3104</v>
      </c>
    </row>
    <row r="2" customHeight="1" spans="1:6">
      <c r="A2" s="15" t="s">
        <v>3105</v>
      </c>
      <c r="B2" s="16">
        <v>826</v>
      </c>
      <c r="C2" s="16">
        <v>755</v>
      </c>
      <c r="D2" s="16">
        <v>764</v>
      </c>
      <c r="E2" s="16">
        <v>862</v>
      </c>
      <c r="F2" s="16">
        <v>862</v>
      </c>
    </row>
    <row r="3" customHeight="1" spans="1:6">
      <c r="A3" s="15" t="s">
        <v>3106</v>
      </c>
      <c r="B3" s="16">
        <v>100956</v>
      </c>
      <c r="C3" s="16">
        <v>190692</v>
      </c>
      <c r="D3" s="16">
        <v>17925</v>
      </c>
      <c r="E3" s="16">
        <v>4738.49</v>
      </c>
      <c r="F3" s="16">
        <v>11995.28</v>
      </c>
    </row>
    <row r="4" customHeight="1" spans="1:6">
      <c r="A4" s="15" t="s">
        <v>3107</v>
      </c>
      <c r="B4" s="16">
        <v>117.12</v>
      </c>
      <c r="C4" s="16">
        <v>252.57</v>
      </c>
      <c r="D4" s="16">
        <v>23.46</v>
      </c>
      <c r="E4" s="16">
        <v>5.5</v>
      </c>
      <c r="F4" s="16">
        <v>13.92</v>
      </c>
    </row>
    <row r="5" customHeight="1" spans="1:6">
      <c r="A5" s="15" t="s">
        <v>3108</v>
      </c>
      <c r="B5" s="16">
        <v>73.13</v>
      </c>
      <c r="C5" s="16">
        <v>41</v>
      </c>
      <c r="D5" s="16">
        <v>10</v>
      </c>
      <c r="E5" s="16">
        <v>0</v>
      </c>
      <c r="F5" s="16">
        <v>0</v>
      </c>
    </row>
    <row r="6" customHeight="1" spans="1:6">
      <c r="A6" s="15" t="s">
        <v>3109</v>
      </c>
      <c r="B6" s="16">
        <v>3</v>
      </c>
      <c r="C6" s="16">
        <v>1</v>
      </c>
      <c r="D6" s="16">
        <v>1</v>
      </c>
      <c r="E6" s="16">
        <v>0</v>
      </c>
      <c r="F6" s="16">
        <v>0</v>
      </c>
    </row>
    <row r="7" customHeight="1" spans="1:6">
      <c r="A7" s="15" t="s">
        <v>3110</v>
      </c>
      <c r="B7" s="16">
        <v>1499.99</v>
      </c>
      <c r="C7" s="16">
        <v>10872</v>
      </c>
      <c r="D7" s="16">
        <v>701</v>
      </c>
      <c r="E7" s="16">
        <v>75</v>
      </c>
      <c r="F7" s="16">
        <v>480</v>
      </c>
    </row>
    <row r="8" customHeight="1" spans="1:6">
      <c r="C8" s="10"/>
    </row>
    <row r="12" customHeight="1" spans="1:6">
      <c r="A12" s="17" t="s">
        <v>3111</v>
      </c>
      <c r="B12" s="14" t="s">
        <v>3112</v>
      </c>
    </row>
    <row r="13" customHeight="1" spans="1:6">
      <c r="A13" s="15" t="s">
        <v>3113</v>
      </c>
      <c r="B13" s="16">
        <v>862</v>
      </c>
    </row>
    <row r="14" customHeight="1" spans="1:6">
      <c r="A14" s="15" t="s">
        <v>3114</v>
      </c>
      <c r="B14" s="16">
        <v>190692</v>
      </c>
    </row>
    <row r="15" customHeight="1" spans="1:6">
      <c r="A15" s="15" t="s">
        <v>3115</v>
      </c>
      <c r="B15" s="16">
        <v>17925</v>
      </c>
    </row>
    <row r="16" customHeight="1" spans="1:6">
      <c r="A16" s="15" t="s">
        <v>3116</v>
      </c>
      <c r="B16" s="16">
        <v>117.12</v>
      </c>
    </row>
    <row r="17" customHeight="1" spans="1:2">
      <c r="A17" s="15" t="s">
        <v>3117</v>
      </c>
      <c r="B17" s="16">
        <v>5.5</v>
      </c>
    </row>
    <row r="18" customHeight="1" spans="1:2">
      <c r="A18" s="15" t="s">
        <v>3118</v>
      </c>
      <c r="B18" s="16">
        <v>11995.28</v>
      </c>
    </row>
    <row r="19" customHeight="1" spans="1:2">
      <c r="A19" s="15" t="s">
        <v>3119</v>
      </c>
      <c r="B19" s="16">
        <v>11677296.2</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455"/>
  <sheetViews>
    <sheetView workbookViewId="0">
      <selection activeCell="A1" sqref="A1"/>
    </sheetView>
  </sheetViews>
  <sheetFormatPr defaultColWidth="12.6285714285714" defaultRowHeight="15.75" customHeight="1"/>
  <cols>
    <col min="1" max="1" width="27.8761904761905" customWidth="1"/>
    <col min="2" max="2" width="31.8761904761905" customWidth="1"/>
    <col min="5" max="5" width="46.8761904761905" customWidth="1"/>
    <col min="6" max="6" width="32.8761904761905" customWidth="1"/>
    <col min="9" max="9" width="40.6285714285714" customWidth="1"/>
    <col min="10" max="10" width="30.3809523809524" customWidth="1"/>
    <col min="13" max="13" width="28.1333333333333" customWidth="1"/>
    <col min="14" max="14" width="30.8761904761905" customWidth="1"/>
    <col min="17" max="17" width="47.6285714285714" customWidth="1"/>
    <col min="18" max="18" width="32.3809523809524" customWidth="1"/>
    <col min="21" max="21" width="36.3809523809524" customWidth="1"/>
    <col min="22" max="22" width="21.247619047619" customWidth="1"/>
    <col min="25" max="25" width="42.3809523809524" customWidth="1"/>
  </cols>
  <sheetData>
    <row r="1" customHeight="1" spans="1:26">
      <c r="A1" s="2" t="s">
        <v>3120</v>
      </c>
      <c r="B1" s="3"/>
      <c r="E1" s="2" t="s">
        <v>3121</v>
      </c>
      <c r="I1" s="2" t="s">
        <v>3122</v>
      </c>
      <c r="M1" s="2" t="s">
        <v>3123</v>
      </c>
      <c r="Q1" s="2" t="s">
        <v>3124</v>
      </c>
      <c r="U1" s="2" t="s">
        <v>3125</v>
      </c>
      <c r="Y1" s="2" t="s">
        <v>3126</v>
      </c>
    </row>
    <row r="2" customHeight="1" spans="1:26">
      <c r="A2" s="4" t="s">
        <v>1</v>
      </c>
      <c r="B2" s="5" t="s">
        <v>3127</v>
      </c>
      <c r="E2" s="4" t="s">
        <v>5</v>
      </c>
      <c r="F2" s="5" t="s">
        <v>3127</v>
      </c>
      <c r="I2" s="4" t="s">
        <v>4</v>
      </c>
      <c r="J2" s="5" t="s">
        <v>3127</v>
      </c>
      <c r="M2" s="4" t="s">
        <v>54</v>
      </c>
      <c r="N2" s="5" t="s">
        <v>3127</v>
      </c>
      <c r="Q2" s="4" t="s">
        <v>6</v>
      </c>
      <c r="R2" s="5" t="s">
        <v>3127</v>
      </c>
      <c r="U2" s="4" t="s">
        <v>1</v>
      </c>
      <c r="V2" s="5" t="s">
        <v>3128</v>
      </c>
      <c r="Y2" s="4" t="s">
        <v>1</v>
      </c>
      <c r="Z2" s="5" t="s">
        <v>3129</v>
      </c>
    </row>
    <row r="3" customHeight="1" spans="1:26">
      <c r="A3" s="4" t="s">
        <v>264</v>
      </c>
      <c r="B3" s="5">
        <v>15.95</v>
      </c>
      <c r="E3" s="4" t="s">
        <v>132</v>
      </c>
      <c r="F3" s="5">
        <v>883365.42</v>
      </c>
      <c r="I3" s="4" t="s">
        <v>302</v>
      </c>
      <c r="J3" s="5">
        <v>0</v>
      </c>
      <c r="M3" s="4" t="s">
        <v>74</v>
      </c>
      <c r="N3" s="5">
        <v>36173.09</v>
      </c>
      <c r="Q3" s="4" t="s">
        <v>553</v>
      </c>
      <c r="R3" s="5">
        <v>9884.24</v>
      </c>
      <c r="U3" s="4" t="s">
        <v>264</v>
      </c>
      <c r="V3" s="5">
        <v>1</v>
      </c>
      <c r="Y3" s="4" t="s">
        <v>264</v>
      </c>
      <c r="Z3" s="5">
        <v>10</v>
      </c>
    </row>
    <row r="4" customHeight="1" spans="1:26">
      <c r="A4" s="6" t="s">
        <v>377</v>
      </c>
      <c r="B4" s="7">
        <v>310.05</v>
      </c>
      <c r="E4" s="6" t="s">
        <v>727</v>
      </c>
      <c r="F4" s="7">
        <v>20987.64</v>
      </c>
      <c r="I4" s="6" t="s">
        <v>1671</v>
      </c>
      <c r="J4" s="7">
        <v>0</v>
      </c>
      <c r="M4" s="6" t="s">
        <v>155</v>
      </c>
      <c r="N4" s="7">
        <v>64877.65</v>
      </c>
      <c r="Q4" s="6" t="s">
        <v>427</v>
      </c>
      <c r="R4" s="7">
        <v>68956.19</v>
      </c>
      <c r="U4" s="6" t="s">
        <v>377</v>
      </c>
      <c r="V4" s="7">
        <v>39</v>
      </c>
      <c r="Y4" s="6" t="s">
        <v>377</v>
      </c>
      <c r="Z4" s="7">
        <v>10</v>
      </c>
    </row>
    <row r="5" customHeight="1" spans="1:26">
      <c r="A5" s="6" t="s">
        <v>1321</v>
      </c>
      <c r="B5" s="7">
        <v>0</v>
      </c>
      <c r="E5" s="6" t="s">
        <v>462</v>
      </c>
      <c r="F5" s="7">
        <v>15006.91</v>
      </c>
      <c r="I5" s="6" t="s">
        <v>1159</v>
      </c>
      <c r="J5" s="7">
        <v>0</v>
      </c>
      <c r="M5" s="6" t="s">
        <v>642</v>
      </c>
      <c r="N5" s="7">
        <v>22870.55</v>
      </c>
      <c r="Q5" s="6" t="s">
        <v>346</v>
      </c>
      <c r="R5" s="7">
        <v>194509.86</v>
      </c>
      <c r="U5" s="6" t="s">
        <v>1321</v>
      </c>
      <c r="V5" s="7"/>
      <c r="Y5" s="6" t="s">
        <v>1321</v>
      </c>
      <c r="Z5" s="7"/>
    </row>
    <row r="6" customHeight="1" spans="1:26">
      <c r="A6" s="6" t="s">
        <v>1639</v>
      </c>
      <c r="B6" s="7">
        <v>66.79</v>
      </c>
      <c r="E6" s="6" t="s">
        <v>2491</v>
      </c>
      <c r="F6" s="7">
        <v>0</v>
      </c>
      <c r="I6" s="6" t="s">
        <v>1145</v>
      </c>
      <c r="J6" s="7">
        <v>0</v>
      </c>
      <c r="M6" s="6" t="s">
        <v>648</v>
      </c>
      <c r="N6" s="7">
        <v>0</v>
      </c>
      <c r="Q6" s="6" t="s">
        <v>106</v>
      </c>
      <c r="R6" s="7">
        <v>3628817.58</v>
      </c>
      <c r="U6" s="6" t="s">
        <v>1639</v>
      </c>
      <c r="V6" s="7">
        <v>1</v>
      </c>
      <c r="Y6" s="6" t="s">
        <v>1639</v>
      </c>
      <c r="Z6" s="7">
        <v>3</v>
      </c>
    </row>
    <row r="7" customHeight="1" spans="1:26">
      <c r="A7" s="6" t="s">
        <v>455</v>
      </c>
      <c r="B7" s="7">
        <v>0</v>
      </c>
      <c r="E7" s="6" t="s">
        <v>352</v>
      </c>
      <c r="F7" s="7">
        <v>216757.93</v>
      </c>
      <c r="I7" s="6" t="s">
        <v>1565</v>
      </c>
      <c r="J7" s="7">
        <v>269.98</v>
      </c>
      <c r="M7" s="6" t="s">
        <v>660</v>
      </c>
      <c r="N7" s="7">
        <v>599.97</v>
      </c>
      <c r="Q7" s="6" t="s">
        <v>901</v>
      </c>
      <c r="R7" s="7">
        <v>142503.04</v>
      </c>
      <c r="U7" s="6" t="s">
        <v>455</v>
      </c>
      <c r="V7" s="7"/>
      <c r="Y7" s="6" t="s">
        <v>455</v>
      </c>
      <c r="Z7" s="7"/>
    </row>
    <row r="8" customHeight="1" spans="1:26">
      <c r="A8" s="6" t="s">
        <v>1091</v>
      </c>
      <c r="B8" s="7">
        <v>10500</v>
      </c>
      <c r="E8" s="6" t="s">
        <v>160</v>
      </c>
      <c r="F8" s="7">
        <v>5526591.6</v>
      </c>
      <c r="I8" s="6" t="s">
        <v>2435</v>
      </c>
      <c r="J8" s="7">
        <v>447.68</v>
      </c>
      <c r="M8" s="6" t="s">
        <v>663</v>
      </c>
      <c r="N8" s="7">
        <v>0</v>
      </c>
      <c r="Q8" s="6" t="s">
        <v>65</v>
      </c>
      <c r="R8" s="7">
        <v>184512.36</v>
      </c>
      <c r="U8" s="6" t="s">
        <v>1091</v>
      </c>
      <c r="V8" s="7">
        <v>42</v>
      </c>
      <c r="Y8" s="6" t="s">
        <v>1091</v>
      </c>
      <c r="Z8" s="7">
        <v>41</v>
      </c>
    </row>
    <row r="9" customHeight="1" spans="1:26">
      <c r="A9" s="6" t="s">
        <v>476</v>
      </c>
      <c r="B9" s="7">
        <v>17119.6</v>
      </c>
      <c r="E9" s="6" t="s">
        <v>956</v>
      </c>
      <c r="F9" s="7">
        <v>0</v>
      </c>
      <c r="I9" s="6" t="s">
        <v>1289</v>
      </c>
      <c r="J9" s="7">
        <v>8555.38</v>
      </c>
      <c r="M9" s="6" t="s">
        <v>666</v>
      </c>
      <c r="N9" s="7">
        <v>3507.66</v>
      </c>
      <c r="Q9" s="6" t="s">
        <v>83</v>
      </c>
      <c r="R9" s="7">
        <v>6971091.03</v>
      </c>
      <c r="U9" s="6" t="s">
        <v>476</v>
      </c>
      <c r="V9" s="7">
        <v>209</v>
      </c>
      <c r="Y9" s="6" t="s">
        <v>476</v>
      </c>
      <c r="Z9" s="7">
        <v>18</v>
      </c>
    </row>
    <row r="10" customHeight="1" spans="1:26">
      <c r="A10" s="6" t="s">
        <v>1076</v>
      </c>
      <c r="B10" s="7">
        <v>26.28</v>
      </c>
      <c r="E10" s="6" t="s">
        <v>2402</v>
      </c>
      <c r="F10" s="7">
        <v>18775.12</v>
      </c>
      <c r="I10" s="6" t="s">
        <v>375</v>
      </c>
      <c r="J10" s="7">
        <v>27339.24</v>
      </c>
      <c r="M10" s="6" t="s">
        <v>671</v>
      </c>
      <c r="N10" s="7">
        <v>7234.5</v>
      </c>
      <c r="Q10" s="6" t="s">
        <v>93</v>
      </c>
      <c r="R10" s="7">
        <v>225000.56</v>
      </c>
      <c r="U10" s="6" t="s">
        <v>1076</v>
      </c>
      <c r="V10" s="7">
        <v>3</v>
      </c>
      <c r="Y10" s="6" t="s">
        <v>1076</v>
      </c>
      <c r="Z10" s="7">
        <v>1</v>
      </c>
    </row>
    <row r="11" customHeight="1" spans="1:26">
      <c r="A11" s="6" t="s">
        <v>1984</v>
      </c>
      <c r="B11" s="7">
        <v>52992.76</v>
      </c>
      <c r="E11" s="6" t="s">
        <v>276</v>
      </c>
      <c r="F11" s="7">
        <v>24883.11</v>
      </c>
      <c r="I11" s="6" t="s">
        <v>1823</v>
      </c>
      <c r="J11" s="7">
        <v>53708.69</v>
      </c>
      <c r="M11" s="6" t="s">
        <v>676</v>
      </c>
      <c r="N11" s="7">
        <v>66851.42</v>
      </c>
      <c r="Q11" s="6" t="s">
        <v>117</v>
      </c>
      <c r="R11" s="7">
        <v>200404.35</v>
      </c>
      <c r="U11" s="6" t="s">
        <v>1984</v>
      </c>
      <c r="V11" s="7">
        <v>387</v>
      </c>
      <c r="Y11" s="6" t="s">
        <v>1984</v>
      </c>
      <c r="Z11" s="7">
        <v>15</v>
      </c>
    </row>
    <row r="12" customHeight="1" spans="1:26">
      <c r="A12" s="6" t="s">
        <v>1793</v>
      </c>
      <c r="B12" s="7">
        <v>899.9</v>
      </c>
      <c r="E12" s="6" t="s">
        <v>1337</v>
      </c>
      <c r="F12" s="7">
        <v>9004.08</v>
      </c>
      <c r="I12" s="6" t="s">
        <v>2482</v>
      </c>
      <c r="J12" s="7">
        <v>0</v>
      </c>
      <c r="M12" s="6" t="s">
        <v>683</v>
      </c>
      <c r="N12" s="7">
        <v>1699.66</v>
      </c>
      <c r="Q12" s="6" t="s">
        <v>1197</v>
      </c>
      <c r="R12" s="7">
        <v>17649.66</v>
      </c>
      <c r="U12" s="6" t="s">
        <v>1793</v>
      </c>
      <c r="V12" s="7">
        <v>10</v>
      </c>
      <c r="Y12" s="6" t="s">
        <v>1793</v>
      </c>
      <c r="Z12" s="7">
        <v>9</v>
      </c>
    </row>
    <row r="13" customHeight="1" spans="1:26">
      <c r="A13" s="6" t="s">
        <v>878</v>
      </c>
      <c r="B13" s="7">
        <v>4060</v>
      </c>
      <c r="E13" s="6" t="s">
        <v>82</v>
      </c>
      <c r="F13" s="7">
        <v>4005064.26</v>
      </c>
      <c r="I13" s="6" t="s">
        <v>1597</v>
      </c>
      <c r="J13" s="7">
        <v>140</v>
      </c>
      <c r="M13" s="6" t="s">
        <v>686</v>
      </c>
      <c r="N13" s="7">
        <v>1839.84</v>
      </c>
      <c r="Q13" s="6" t="s">
        <v>819</v>
      </c>
      <c r="R13" s="7">
        <v>33967.33</v>
      </c>
      <c r="U13" s="6" t="s">
        <v>878</v>
      </c>
      <c r="V13" s="7">
        <v>116</v>
      </c>
      <c r="Y13" s="6" t="s">
        <v>878</v>
      </c>
      <c r="Z13" s="7">
        <v>10</v>
      </c>
    </row>
    <row r="14" customHeight="1" spans="1:26">
      <c r="A14" s="6" t="s">
        <v>553</v>
      </c>
      <c r="B14" s="7">
        <v>9406.16</v>
      </c>
      <c r="E14" s="6" t="s">
        <v>198</v>
      </c>
      <c r="F14" s="7">
        <v>219568.01</v>
      </c>
      <c r="I14" s="6" t="s">
        <v>132</v>
      </c>
      <c r="J14" s="7">
        <v>1385.53</v>
      </c>
      <c r="M14" s="6" t="s">
        <v>693</v>
      </c>
      <c r="N14" s="7">
        <v>0</v>
      </c>
      <c r="Q14" s="8" t="s">
        <v>3130</v>
      </c>
      <c r="R14" s="9">
        <v>11677296.2</v>
      </c>
      <c r="U14" s="6" t="s">
        <v>553</v>
      </c>
      <c r="V14" s="7">
        <v>65</v>
      </c>
      <c r="Y14" s="6" t="s">
        <v>553</v>
      </c>
      <c r="Z14" s="7">
        <v>55</v>
      </c>
    </row>
    <row r="15" customHeight="1" spans="1:26">
      <c r="A15" s="6" t="s">
        <v>466</v>
      </c>
      <c r="B15" s="7">
        <v>0</v>
      </c>
      <c r="E15" s="6" t="s">
        <v>240</v>
      </c>
      <c r="F15" s="7">
        <v>168907.14</v>
      </c>
      <c r="I15" s="6" t="s">
        <v>284</v>
      </c>
      <c r="J15" s="7">
        <v>10197.15</v>
      </c>
      <c r="M15" s="6" t="s">
        <v>161</v>
      </c>
      <c r="N15" s="7">
        <v>774093.26</v>
      </c>
      <c r="R15" s="10"/>
      <c r="U15" s="6" t="s">
        <v>466</v>
      </c>
      <c r="V15" s="7"/>
      <c r="Y15" s="6" t="s">
        <v>466</v>
      </c>
      <c r="Z15" s="7"/>
    </row>
    <row r="16" customHeight="1" spans="1:26">
      <c r="A16" s="6" t="s">
        <v>171</v>
      </c>
      <c r="B16" s="7">
        <v>2075446.66</v>
      </c>
      <c r="E16" s="6" t="s">
        <v>1224</v>
      </c>
      <c r="F16" s="7">
        <v>1139.24</v>
      </c>
      <c r="I16" s="6" t="s">
        <v>1857</v>
      </c>
      <c r="J16" s="7">
        <v>1319.56</v>
      </c>
      <c r="M16" s="6" t="s">
        <v>697</v>
      </c>
      <c r="N16" s="7">
        <v>85927.7</v>
      </c>
      <c r="R16" s="11">
        <v>11677296.2</v>
      </c>
      <c r="U16" s="6" t="s">
        <v>171</v>
      </c>
      <c r="V16" s="7">
        <v>24367</v>
      </c>
      <c r="Y16" s="6" t="s">
        <v>171</v>
      </c>
      <c r="Z16" s="7">
        <v>4227</v>
      </c>
    </row>
    <row r="17" customHeight="1" spans="1:26">
      <c r="A17" s="6" t="s">
        <v>222</v>
      </c>
      <c r="B17" s="7">
        <v>269220.23</v>
      </c>
      <c r="E17" s="6" t="s">
        <v>68</v>
      </c>
      <c r="F17" s="7">
        <v>567245.74</v>
      </c>
      <c r="I17" s="6" t="s">
        <v>259</v>
      </c>
      <c r="J17" s="7">
        <v>33496.12</v>
      </c>
      <c r="M17" s="6" t="s">
        <v>701</v>
      </c>
      <c r="N17" s="7">
        <v>539.91</v>
      </c>
      <c r="U17" s="6" t="s">
        <v>222</v>
      </c>
      <c r="V17" s="7">
        <v>2977</v>
      </c>
      <c r="Y17" s="6" t="s">
        <v>222</v>
      </c>
      <c r="Z17" s="7">
        <v>89</v>
      </c>
    </row>
    <row r="18" customHeight="1" spans="1:26">
      <c r="A18" s="6" t="s">
        <v>316</v>
      </c>
      <c r="B18" s="7">
        <v>0</v>
      </c>
      <c r="E18" s="8" t="s">
        <v>3130</v>
      </c>
      <c r="F18" s="9">
        <v>11677296.2</v>
      </c>
      <c r="I18" s="6" t="s">
        <v>2036</v>
      </c>
      <c r="J18" s="7">
        <v>1799.7</v>
      </c>
      <c r="M18" s="6" t="s">
        <v>706</v>
      </c>
      <c r="N18" s="7">
        <v>3397.74</v>
      </c>
      <c r="U18" s="6" t="s">
        <v>316</v>
      </c>
      <c r="V18" s="7"/>
      <c r="Y18" s="6" t="s">
        <v>316</v>
      </c>
      <c r="Z18" s="7"/>
    </row>
    <row r="19" customHeight="1" spans="1:26">
      <c r="A19" s="6" t="s">
        <v>739</v>
      </c>
      <c r="B19" s="7">
        <v>72997.31</v>
      </c>
      <c r="I19" s="6" t="s">
        <v>505</v>
      </c>
      <c r="J19" s="7">
        <v>25690.07</v>
      </c>
      <c r="M19" s="6" t="s">
        <v>712</v>
      </c>
      <c r="N19" s="7">
        <v>1099.56</v>
      </c>
      <c r="U19" s="6" t="s">
        <v>739</v>
      </c>
      <c r="V19" s="7">
        <v>382</v>
      </c>
      <c r="Y19" s="6" t="s">
        <v>739</v>
      </c>
      <c r="Z19" s="7">
        <v>86</v>
      </c>
    </row>
    <row r="20" customHeight="1" spans="1:26">
      <c r="A20" s="6" t="s">
        <v>1135</v>
      </c>
      <c r="B20" s="7">
        <v>324106.44</v>
      </c>
      <c r="I20" s="6" t="s">
        <v>2071</v>
      </c>
      <c r="J20" s="7">
        <v>0</v>
      </c>
      <c r="M20" s="6" t="s">
        <v>717</v>
      </c>
      <c r="N20" s="7">
        <v>478.8</v>
      </c>
      <c r="U20" s="6" t="s">
        <v>1135</v>
      </c>
      <c r="V20" s="7">
        <v>1556</v>
      </c>
      <c r="Y20" s="6" t="s">
        <v>1135</v>
      </c>
      <c r="Z20" s="7">
        <v>55</v>
      </c>
    </row>
    <row r="21" customHeight="1" spans="1:26">
      <c r="A21" s="6" t="s">
        <v>427</v>
      </c>
      <c r="B21" s="7">
        <v>19694.65</v>
      </c>
      <c r="I21" s="6" t="s">
        <v>1329</v>
      </c>
      <c r="J21" s="7">
        <v>9149.28</v>
      </c>
      <c r="M21" s="6" t="s">
        <v>722</v>
      </c>
      <c r="N21" s="7">
        <v>215</v>
      </c>
      <c r="U21" s="6" t="s">
        <v>427</v>
      </c>
      <c r="V21" s="7">
        <v>475</v>
      </c>
      <c r="Y21" s="6" t="s">
        <v>427</v>
      </c>
      <c r="Z21" s="7">
        <v>120</v>
      </c>
    </row>
    <row r="22" customHeight="1" spans="1:26">
      <c r="A22" s="6" t="s">
        <v>1358</v>
      </c>
      <c r="B22" s="7">
        <v>0</v>
      </c>
      <c r="I22" s="6" t="s">
        <v>1933</v>
      </c>
      <c r="J22" s="7">
        <v>75.98</v>
      </c>
      <c r="M22" s="6" t="s">
        <v>728</v>
      </c>
      <c r="N22" s="7">
        <v>37230.84</v>
      </c>
      <c r="U22" s="6" t="s">
        <v>1358</v>
      </c>
      <c r="V22" s="7"/>
      <c r="Y22" s="6" t="s">
        <v>1358</v>
      </c>
      <c r="Z22" s="7"/>
    </row>
    <row r="23" customHeight="1" spans="1:26">
      <c r="A23" s="6" t="s">
        <v>1315</v>
      </c>
      <c r="B23" s="7">
        <v>0</v>
      </c>
      <c r="I23" s="6" t="s">
        <v>477</v>
      </c>
      <c r="J23" s="7">
        <v>9573.6</v>
      </c>
      <c r="M23" s="6" t="s">
        <v>732</v>
      </c>
      <c r="N23" s="7">
        <v>568928.94</v>
      </c>
      <c r="U23" s="6" t="s">
        <v>1315</v>
      </c>
      <c r="V23" s="7"/>
      <c r="Y23" s="6" t="s">
        <v>1315</v>
      </c>
      <c r="Z23" s="7">
        <v>2</v>
      </c>
    </row>
    <row r="24" customHeight="1" spans="1:26">
      <c r="A24" s="6" t="s">
        <v>1531</v>
      </c>
      <c r="B24" s="7">
        <v>1139.92</v>
      </c>
      <c r="I24" s="6" t="s">
        <v>854</v>
      </c>
      <c r="J24" s="7">
        <v>1070.49</v>
      </c>
      <c r="M24" s="6" t="s">
        <v>736</v>
      </c>
      <c r="N24" s="7">
        <v>15190.88</v>
      </c>
      <c r="U24" s="6" t="s">
        <v>1531</v>
      </c>
      <c r="V24" s="7">
        <v>8</v>
      </c>
      <c r="Y24" s="6" t="s">
        <v>1531</v>
      </c>
      <c r="Z24" s="7">
        <v>2</v>
      </c>
    </row>
    <row r="25" customHeight="1" spans="1:26">
      <c r="A25" s="6" t="s">
        <v>2078</v>
      </c>
      <c r="B25" s="7">
        <v>95</v>
      </c>
      <c r="I25" s="6" t="s">
        <v>645</v>
      </c>
      <c r="J25" s="7">
        <v>9790.2</v>
      </c>
      <c r="M25" s="6" t="s">
        <v>740</v>
      </c>
      <c r="N25" s="7">
        <v>759.96</v>
      </c>
      <c r="U25" s="6" t="s">
        <v>2078</v>
      </c>
      <c r="V25" s="7">
        <v>1</v>
      </c>
      <c r="Y25" s="6" t="s">
        <v>2078</v>
      </c>
      <c r="Z25" s="7">
        <v>1</v>
      </c>
    </row>
    <row r="26" customHeight="1" spans="1:26">
      <c r="A26" s="6" t="s">
        <v>448</v>
      </c>
      <c r="B26" s="7">
        <v>11997.45</v>
      </c>
      <c r="I26" s="6" t="s">
        <v>1542</v>
      </c>
      <c r="J26" s="7">
        <v>10788.7</v>
      </c>
      <c r="M26" s="6" t="s">
        <v>164</v>
      </c>
      <c r="N26" s="7">
        <v>13825</v>
      </c>
      <c r="U26" s="6" t="s">
        <v>448</v>
      </c>
      <c r="V26" s="7">
        <v>51</v>
      </c>
      <c r="Y26" s="6" t="s">
        <v>448</v>
      </c>
      <c r="Z26" s="7">
        <v>31</v>
      </c>
    </row>
    <row r="27" customHeight="1" spans="1:26">
      <c r="A27" s="6" t="s">
        <v>234</v>
      </c>
      <c r="B27" s="7">
        <v>554.63</v>
      </c>
      <c r="I27" s="6" t="s">
        <v>656</v>
      </c>
      <c r="J27" s="7">
        <v>11676.9</v>
      </c>
      <c r="M27" s="6" t="s">
        <v>745</v>
      </c>
      <c r="N27" s="7">
        <v>0</v>
      </c>
      <c r="U27" s="6" t="s">
        <v>234</v>
      </c>
      <c r="V27" s="7">
        <v>37</v>
      </c>
      <c r="Y27" s="6" t="s">
        <v>234</v>
      </c>
      <c r="Z27" s="7">
        <v>10</v>
      </c>
    </row>
    <row r="28" customHeight="1" spans="1:26">
      <c r="A28" s="6" t="s">
        <v>791</v>
      </c>
      <c r="B28" s="7">
        <v>717.66</v>
      </c>
      <c r="I28" s="6" t="s">
        <v>178</v>
      </c>
      <c r="J28" s="7">
        <v>5779.35</v>
      </c>
      <c r="M28" s="6" t="s">
        <v>754</v>
      </c>
      <c r="N28" s="7">
        <v>0</v>
      </c>
      <c r="U28" s="6" t="s">
        <v>791</v>
      </c>
      <c r="V28" s="7">
        <v>54</v>
      </c>
      <c r="Y28" s="6" t="s">
        <v>791</v>
      </c>
      <c r="Z28" s="7">
        <v>10</v>
      </c>
    </row>
    <row r="29" customHeight="1" spans="1:26">
      <c r="A29" s="6" t="s">
        <v>344</v>
      </c>
      <c r="B29" s="7">
        <v>147225.68</v>
      </c>
      <c r="I29" s="6" t="s">
        <v>2495</v>
      </c>
      <c r="J29" s="7">
        <v>239.94</v>
      </c>
      <c r="M29" s="6" t="s">
        <v>758</v>
      </c>
      <c r="N29" s="7">
        <v>870</v>
      </c>
      <c r="U29" s="6" t="s">
        <v>344</v>
      </c>
      <c r="V29" s="7">
        <v>4213</v>
      </c>
      <c r="Y29" s="6" t="s">
        <v>344</v>
      </c>
      <c r="Z29" s="7">
        <v>206</v>
      </c>
    </row>
    <row r="30" customHeight="1" spans="1:26">
      <c r="A30" s="6" t="s">
        <v>613</v>
      </c>
      <c r="B30" s="7">
        <v>0</v>
      </c>
      <c r="I30" s="6" t="s">
        <v>2038</v>
      </c>
      <c r="J30" s="7">
        <v>719.76</v>
      </c>
      <c r="M30" s="6" t="s">
        <v>764</v>
      </c>
      <c r="N30" s="7">
        <v>4624.8</v>
      </c>
      <c r="U30" s="6" t="s">
        <v>613</v>
      </c>
      <c r="V30" s="7"/>
      <c r="Y30" s="6" t="s">
        <v>613</v>
      </c>
      <c r="Z30" s="7"/>
    </row>
    <row r="31" customHeight="1" spans="1:26">
      <c r="A31" s="6" t="s">
        <v>1029</v>
      </c>
      <c r="B31" s="7">
        <v>220</v>
      </c>
      <c r="I31" s="6" t="s">
        <v>1048</v>
      </c>
      <c r="J31" s="7">
        <v>20043.92</v>
      </c>
      <c r="M31" s="6" t="s">
        <v>767</v>
      </c>
      <c r="N31" s="7">
        <v>158.46</v>
      </c>
      <c r="U31" s="6" t="s">
        <v>1029</v>
      </c>
      <c r="V31" s="7">
        <v>3</v>
      </c>
      <c r="Y31" s="6" t="s">
        <v>1029</v>
      </c>
      <c r="Z31" s="7">
        <v>14</v>
      </c>
    </row>
    <row r="32" customHeight="1" spans="1:26">
      <c r="A32" s="6" t="s">
        <v>1876</v>
      </c>
      <c r="B32" s="7">
        <v>11004</v>
      </c>
      <c r="I32" s="6" t="s">
        <v>2288</v>
      </c>
      <c r="J32" s="7">
        <v>0</v>
      </c>
      <c r="M32" s="6" t="s">
        <v>772</v>
      </c>
      <c r="N32" s="7">
        <v>6677.55</v>
      </c>
      <c r="U32" s="6" t="s">
        <v>1876</v>
      </c>
      <c r="V32" s="7">
        <v>400</v>
      </c>
      <c r="Y32" s="6" t="s">
        <v>1876</v>
      </c>
      <c r="Z32" s="7">
        <v>10</v>
      </c>
    </row>
    <row r="33" customHeight="1" spans="1:26">
      <c r="A33" s="6" t="s">
        <v>1989</v>
      </c>
      <c r="B33" s="7">
        <v>0</v>
      </c>
      <c r="I33" s="6" t="s">
        <v>438</v>
      </c>
      <c r="J33" s="7">
        <v>8160.89</v>
      </c>
      <c r="M33" s="6" t="s">
        <v>779</v>
      </c>
      <c r="N33" s="7">
        <v>70</v>
      </c>
      <c r="U33" s="6" t="s">
        <v>1989</v>
      </c>
      <c r="V33" s="7"/>
      <c r="Y33" s="6" t="s">
        <v>1989</v>
      </c>
      <c r="Z33" s="7"/>
    </row>
    <row r="34" customHeight="1" spans="1:26">
      <c r="A34" s="6" t="s">
        <v>2511</v>
      </c>
      <c r="B34" s="7">
        <v>5391</v>
      </c>
      <c r="I34" s="6" t="s">
        <v>146</v>
      </c>
      <c r="J34" s="7">
        <v>3294</v>
      </c>
      <c r="M34" s="6" t="s">
        <v>784</v>
      </c>
      <c r="N34" s="7">
        <v>43873.98</v>
      </c>
      <c r="U34" s="6" t="s">
        <v>2511</v>
      </c>
      <c r="V34" s="7">
        <v>9</v>
      </c>
      <c r="Y34" s="6" t="s">
        <v>2511</v>
      </c>
      <c r="Z34" s="7">
        <v>10</v>
      </c>
    </row>
    <row r="35" customHeight="1" spans="1:26">
      <c r="A35" s="6" t="s">
        <v>192</v>
      </c>
      <c r="B35" s="7">
        <v>727.95</v>
      </c>
      <c r="I35" s="6" t="s">
        <v>1883</v>
      </c>
      <c r="J35" s="7">
        <v>104192.15</v>
      </c>
      <c r="M35" s="6" t="s">
        <v>787</v>
      </c>
      <c r="N35" s="7">
        <v>0</v>
      </c>
      <c r="U35" s="6" t="s">
        <v>192</v>
      </c>
      <c r="V35" s="7">
        <v>69</v>
      </c>
      <c r="Y35" s="6" t="s">
        <v>192</v>
      </c>
      <c r="Z35" s="7">
        <v>10</v>
      </c>
    </row>
    <row r="36" customHeight="1" spans="1:26">
      <c r="A36" s="6" t="s">
        <v>273</v>
      </c>
      <c r="B36" s="7">
        <v>539.55</v>
      </c>
      <c r="I36" s="6" t="s">
        <v>250</v>
      </c>
      <c r="J36" s="7">
        <v>2043660.02</v>
      </c>
      <c r="M36" s="6" t="s">
        <v>792</v>
      </c>
      <c r="N36" s="7">
        <v>717.66</v>
      </c>
      <c r="U36" s="6" t="s">
        <v>273</v>
      </c>
      <c r="V36" s="7">
        <v>45</v>
      </c>
      <c r="Y36" s="6" t="s">
        <v>273</v>
      </c>
      <c r="Z36" s="7">
        <v>10</v>
      </c>
    </row>
    <row r="37" customHeight="1" spans="1:26">
      <c r="A37" s="6" t="s">
        <v>328</v>
      </c>
      <c r="B37" s="7">
        <v>1859.94</v>
      </c>
      <c r="I37" s="6" t="s">
        <v>308</v>
      </c>
      <c r="J37" s="7">
        <v>769.89</v>
      </c>
      <c r="M37" s="6" t="s">
        <v>168</v>
      </c>
      <c r="N37" s="7">
        <v>6909.44</v>
      </c>
      <c r="U37" s="6" t="s">
        <v>328</v>
      </c>
      <c r="V37" s="7">
        <v>6</v>
      </c>
      <c r="Y37" s="6" t="s">
        <v>328</v>
      </c>
      <c r="Z37" s="7">
        <v>6</v>
      </c>
    </row>
    <row r="38" customHeight="1" spans="1:26">
      <c r="A38" s="6" t="s">
        <v>1349</v>
      </c>
      <c r="B38" s="7">
        <v>2963.32</v>
      </c>
      <c r="I38" s="6" t="s">
        <v>502</v>
      </c>
      <c r="J38" s="7">
        <v>25332.76</v>
      </c>
      <c r="M38" s="6" t="s">
        <v>795</v>
      </c>
      <c r="N38" s="7">
        <v>34699</v>
      </c>
      <c r="U38" s="6" t="s">
        <v>1349</v>
      </c>
      <c r="V38" s="7">
        <v>27</v>
      </c>
      <c r="Y38" s="6" t="s">
        <v>1349</v>
      </c>
      <c r="Z38" s="7">
        <v>78</v>
      </c>
    </row>
    <row r="39" customHeight="1" spans="1:26">
      <c r="A39" s="6" t="s">
        <v>1552</v>
      </c>
      <c r="B39" s="7">
        <v>9997.5</v>
      </c>
      <c r="I39" s="6" t="s">
        <v>1611</v>
      </c>
      <c r="J39" s="7">
        <v>172.5</v>
      </c>
      <c r="M39" s="6" t="s">
        <v>799</v>
      </c>
      <c r="N39" s="7">
        <v>300.52</v>
      </c>
      <c r="U39" s="6" t="s">
        <v>1552</v>
      </c>
      <c r="V39" s="7">
        <v>50</v>
      </c>
      <c r="Y39" s="6" t="s">
        <v>1552</v>
      </c>
      <c r="Z39" s="7">
        <v>6</v>
      </c>
    </row>
    <row r="40" customHeight="1" spans="1:26">
      <c r="A40" s="6" t="s">
        <v>2390</v>
      </c>
      <c r="B40" s="7">
        <v>1595.6</v>
      </c>
      <c r="I40" s="6" t="s">
        <v>131</v>
      </c>
      <c r="J40" s="7">
        <v>287978.12</v>
      </c>
      <c r="M40" s="6" t="s">
        <v>802</v>
      </c>
      <c r="N40" s="7">
        <v>3767.1</v>
      </c>
      <c r="U40" s="6" t="s">
        <v>2390</v>
      </c>
      <c r="V40" s="7">
        <v>40</v>
      </c>
      <c r="Y40" s="6" t="s">
        <v>2390</v>
      </c>
      <c r="Z40" s="7">
        <v>2</v>
      </c>
    </row>
    <row r="41" customHeight="1" spans="1:26">
      <c r="A41" s="6" t="s">
        <v>437</v>
      </c>
      <c r="B41" s="7">
        <v>0</v>
      </c>
      <c r="I41" s="6" t="s">
        <v>81</v>
      </c>
      <c r="J41" s="7">
        <v>3918640.23</v>
      </c>
      <c r="M41" s="6" t="s">
        <v>809</v>
      </c>
      <c r="N41" s="7">
        <v>1121.43</v>
      </c>
      <c r="U41" s="6" t="s">
        <v>437</v>
      </c>
      <c r="V41" s="7"/>
      <c r="Y41" s="6" t="s">
        <v>437</v>
      </c>
      <c r="Z41" s="7"/>
    </row>
    <row r="42" customHeight="1" spans="1:26">
      <c r="A42" s="6" t="s">
        <v>884</v>
      </c>
      <c r="B42" s="7">
        <v>445.5</v>
      </c>
      <c r="I42" s="6" t="s">
        <v>1925</v>
      </c>
      <c r="J42" s="7">
        <v>1592.46</v>
      </c>
      <c r="M42" s="6" t="s">
        <v>812</v>
      </c>
      <c r="N42" s="7">
        <v>89.82</v>
      </c>
      <c r="U42" s="6" t="s">
        <v>884</v>
      </c>
      <c r="V42" s="7">
        <v>9</v>
      </c>
      <c r="Y42" s="6" t="s">
        <v>884</v>
      </c>
      <c r="Z42" s="7">
        <v>1</v>
      </c>
    </row>
    <row r="43" customHeight="1" spans="1:26">
      <c r="A43" s="6" t="s">
        <v>2134</v>
      </c>
      <c r="B43" s="7">
        <v>719.64</v>
      </c>
      <c r="I43" s="6" t="s">
        <v>491</v>
      </c>
      <c r="J43" s="7">
        <v>655</v>
      </c>
      <c r="M43" s="6" t="s">
        <v>816</v>
      </c>
      <c r="N43" s="7">
        <v>19.99</v>
      </c>
      <c r="U43" s="6" t="s">
        <v>2134</v>
      </c>
      <c r="V43" s="7">
        <v>36</v>
      </c>
      <c r="Y43" s="6" t="s">
        <v>2134</v>
      </c>
      <c r="Z43" s="7">
        <v>20</v>
      </c>
    </row>
    <row r="44" customHeight="1" spans="1:26">
      <c r="A44" s="6" t="s">
        <v>1114</v>
      </c>
      <c r="B44" s="7">
        <v>1748.25</v>
      </c>
      <c r="I44" s="6" t="s">
        <v>1512</v>
      </c>
      <c r="J44" s="7">
        <v>8749.23</v>
      </c>
      <c r="M44" s="6" t="s">
        <v>820</v>
      </c>
      <c r="N44" s="7">
        <v>3119.61</v>
      </c>
      <c r="U44" s="6" t="s">
        <v>1114</v>
      </c>
      <c r="V44" s="7">
        <v>35</v>
      </c>
      <c r="Y44" s="6" t="s">
        <v>1114</v>
      </c>
      <c r="Z44" s="7">
        <v>10</v>
      </c>
    </row>
    <row r="45" customHeight="1" spans="1:26">
      <c r="A45" s="6" t="s">
        <v>2142</v>
      </c>
      <c r="B45" s="7">
        <v>0</v>
      </c>
      <c r="I45" s="6" t="s">
        <v>1208</v>
      </c>
      <c r="J45" s="7">
        <v>0</v>
      </c>
      <c r="M45" s="6" t="s">
        <v>826</v>
      </c>
      <c r="N45" s="7">
        <v>0</v>
      </c>
      <c r="U45" s="6" t="s">
        <v>2142</v>
      </c>
      <c r="V45" s="7"/>
      <c r="Y45" s="6" t="s">
        <v>2142</v>
      </c>
      <c r="Z45" s="7"/>
    </row>
    <row r="46" customHeight="1" spans="1:26">
      <c r="A46" s="6" t="s">
        <v>1908</v>
      </c>
      <c r="B46" s="7">
        <v>0</v>
      </c>
      <c r="I46" s="6" t="s">
        <v>2132</v>
      </c>
      <c r="J46" s="7">
        <v>30753.38</v>
      </c>
      <c r="M46" s="6" t="s">
        <v>832</v>
      </c>
      <c r="N46" s="7">
        <v>1105.56</v>
      </c>
      <c r="U46" s="6" t="s">
        <v>1908</v>
      </c>
      <c r="V46" s="7"/>
      <c r="Y46" s="6" t="s">
        <v>1908</v>
      </c>
      <c r="Z46" s="7">
        <v>10</v>
      </c>
    </row>
    <row r="47" customHeight="1" spans="1:26">
      <c r="A47" s="6" t="s">
        <v>1774</v>
      </c>
      <c r="B47" s="7">
        <v>0</v>
      </c>
      <c r="I47" s="6" t="s">
        <v>955</v>
      </c>
      <c r="J47" s="7">
        <v>0</v>
      </c>
      <c r="M47" s="6" t="s">
        <v>845</v>
      </c>
      <c r="N47" s="7">
        <v>3321.51</v>
      </c>
      <c r="U47" s="6" t="s">
        <v>1774</v>
      </c>
      <c r="V47" s="7"/>
      <c r="Y47" s="6" t="s">
        <v>1774</v>
      </c>
      <c r="Z47" s="7"/>
    </row>
    <row r="48" customHeight="1" spans="1:26">
      <c r="A48" s="6" t="s">
        <v>1905</v>
      </c>
      <c r="B48" s="7">
        <v>0</v>
      </c>
      <c r="I48" s="6" t="s">
        <v>889</v>
      </c>
      <c r="J48" s="7">
        <v>51796.8</v>
      </c>
      <c r="M48" s="6" t="s">
        <v>174</v>
      </c>
      <c r="N48" s="7">
        <v>639004.29</v>
      </c>
      <c r="U48" s="6" t="s">
        <v>1905</v>
      </c>
      <c r="V48" s="7"/>
      <c r="Y48" s="6" t="s">
        <v>1905</v>
      </c>
      <c r="Z48" s="7"/>
    </row>
    <row r="49" customHeight="1" spans="1:26">
      <c r="A49" s="6" t="s">
        <v>1511</v>
      </c>
      <c r="B49" s="7">
        <v>8749.23</v>
      </c>
      <c r="I49" s="6" t="s">
        <v>482</v>
      </c>
      <c r="J49" s="7">
        <v>271691.28</v>
      </c>
      <c r="M49" s="6" t="s">
        <v>847</v>
      </c>
      <c r="N49" s="7">
        <v>376.14</v>
      </c>
      <c r="U49" s="6" t="s">
        <v>1511</v>
      </c>
      <c r="V49" s="7">
        <v>427</v>
      </c>
      <c r="Y49" s="6" t="s">
        <v>1511</v>
      </c>
      <c r="Z49" s="7">
        <v>10</v>
      </c>
    </row>
    <row r="50" customHeight="1" spans="1:26">
      <c r="A50" s="6" t="s">
        <v>928</v>
      </c>
      <c r="B50" s="7">
        <v>0</v>
      </c>
      <c r="I50" s="6" t="s">
        <v>876</v>
      </c>
      <c r="J50" s="7">
        <v>12238.39</v>
      </c>
      <c r="M50" s="6" t="s">
        <v>855</v>
      </c>
      <c r="N50" s="7">
        <v>1070.49</v>
      </c>
      <c r="U50" s="6" t="s">
        <v>928</v>
      </c>
      <c r="V50" s="7"/>
      <c r="Y50" s="6" t="s">
        <v>928</v>
      </c>
      <c r="Z50" s="7"/>
    </row>
    <row r="51" customHeight="1" spans="1:26">
      <c r="A51" s="6" t="s">
        <v>1779</v>
      </c>
      <c r="B51" s="7">
        <v>0</v>
      </c>
      <c r="I51" s="6" t="s">
        <v>2275</v>
      </c>
      <c r="J51" s="7">
        <v>12900</v>
      </c>
      <c r="M51" s="6" t="s">
        <v>865</v>
      </c>
      <c r="N51" s="7">
        <v>203</v>
      </c>
      <c r="U51" s="6" t="s">
        <v>1779</v>
      </c>
      <c r="V51" s="7"/>
      <c r="Y51" s="6" t="s">
        <v>1779</v>
      </c>
      <c r="Z51" s="7"/>
    </row>
    <row r="52" customHeight="1" spans="1:26">
      <c r="A52" s="6" t="s">
        <v>600</v>
      </c>
      <c r="B52" s="7">
        <v>37628.45</v>
      </c>
      <c r="I52" s="6" t="s">
        <v>1092</v>
      </c>
      <c r="J52" s="7">
        <v>10500</v>
      </c>
      <c r="M52" s="6" t="s">
        <v>869</v>
      </c>
      <c r="N52" s="7">
        <v>18141.9</v>
      </c>
      <c r="U52" s="6" t="s">
        <v>600</v>
      </c>
      <c r="V52" s="7">
        <v>655</v>
      </c>
      <c r="Y52" s="6" t="s">
        <v>600</v>
      </c>
      <c r="Z52" s="7">
        <v>18</v>
      </c>
    </row>
    <row r="53" customHeight="1" spans="1:26">
      <c r="A53" s="6" t="s">
        <v>2157</v>
      </c>
      <c r="B53" s="7">
        <v>4544</v>
      </c>
      <c r="I53" s="6" t="s">
        <v>1371</v>
      </c>
      <c r="J53" s="7">
        <v>0</v>
      </c>
      <c r="M53" s="6" t="s">
        <v>873</v>
      </c>
      <c r="N53" s="7">
        <v>2428.2</v>
      </c>
      <c r="U53" s="6" t="s">
        <v>2157</v>
      </c>
      <c r="V53" s="7">
        <v>71</v>
      </c>
      <c r="Y53" s="6" t="s">
        <v>2157</v>
      </c>
      <c r="Z53" s="7">
        <v>10</v>
      </c>
    </row>
    <row r="54" customHeight="1" spans="1:26">
      <c r="A54" s="6" t="s">
        <v>530</v>
      </c>
      <c r="B54" s="7">
        <v>3040.9</v>
      </c>
      <c r="I54" s="6" t="s">
        <v>209</v>
      </c>
      <c r="J54" s="7">
        <v>1001066.46</v>
      </c>
      <c r="M54" s="6" t="s">
        <v>881</v>
      </c>
      <c r="N54" s="7">
        <v>4060</v>
      </c>
      <c r="U54" s="6" t="s">
        <v>530</v>
      </c>
      <c r="V54" s="7">
        <v>210</v>
      </c>
      <c r="Y54" s="6" t="s">
        <v>530</v>
      </c>
      <c r="Z54" s="7">
        <v>20</v>
      </c>
    </row>
    <row r="55" customHeight="1" spans="1:26">
      <c r="A55" s="6" t="s">
        <v>704</v>
      </c>
      <c r="B55" s="7">
        <v>3397.74</v>
      </c>
      <c r="I55" s="6" t="s">
        <v>2222</v>
      </c>
      <c r="J55" s="7">
        <v>21.95</v>
      </c>
      <c r="M55" s="6" t="s">
        <v>886</v>
      </c>
      <c r="N55" s="7">
        <v>445.5</v>
      </c>
      <c r="U55" s="6" t="s">
        <v>704</v>
      </c>
      <c r="V55" s="7">
        <v>222</v>
      </c>
      <c r="Y55" s="6" t="s">
        <v>704</v>
      </c>
      <c r="Z55" s="7">
        <v>50</v>
      </c>
    </row>
    <row r="56" customHeight="1" spans="1:26">
      <c r="A56" s="6" t="s">
        <v>714</v>
      </c>
      <c r="B56" s="7">
        <v>478.8</v>
      </c>
      <c r="I56" s="6" t="s">
        <v>1269</v>
      </c>
      <c r="J56" s="7">
        <v>0</v>
      </c>
      <c r="M56" s="6" t="s">
        <v>890</v>
      </c>
      <c r="N56" s="7">
        <v>49230.94</v>
      </c>
      <c r="U56" s="6" t="s">
        <v>714</v>
      </c>
      <c r="V56" s="7">
        <v>24</v>
      </c>
      <c r="Y56" s="6" t="s">
        <v>714</v>
      </c>
      <c r="Z56" s="7">
        <v>10</v>
      </c>
    </row>
    <row r="57" customHeight="1" spans="1:26">
      <c r="A57" s="6" t="s">
        <v>524</v>
      </c>
      <c r="B57" s="7">
        <v>169</v>
      </c>
      <c r="I57" s="6" t="s">
        <v>1083</v>
      </c>
      <c r="J57" s="7">
        <v>35545.77</v>
      </c>
      <c r="M57" s="6" t="s">
        <v>892</v>
      </c>
      <c r="N57" s="7">
        <v>581.99</v>
      </c>
      <c r="U57" s="6" t="s">
        <v>524</v>
      </c>
      <c r="V57" s="7">
        <v>1</v>
      </c>
      <c r="Y57" s="6" t="s">
        <v>524</v>
      </c>
      <c r="Z57" s="7">
        <v>50</v>
      </c>
    </row>
    <row r="58" customHeight="1" spans="1:26">
      <c r="A58" s="6" t="s">
        <v>2354</v>
      </c>
      <c r="B58" s="7">
        <v>2399.56</v>
      </c>
      <c r="I58" s="6" t="s">
        <v>2458</v>
      </c>
      <c r="J58" s="7">
        <v>11237.5</v>
      </c>
      <c r="M58" s="6" t="s">
        <v>895</v>
      </c>
      <c r="N58" s="7">
        <v>99.99</v>
      </c>
      <c r="U58" s="6" t="s">
        <v>2354</v>
      </c>
      <c r="V58" s="7">
        <v>4</v>
      </c>
      <c r="Y58" s="6" t="s">
        <v>2354</v>
      </c>
      <c r="Z58" s="7">
        <v>10</v>
      </c>
    </row>
    <row r="59" customHeight="1" spans="1:26">
      <c r="A59" s="6" t="s">
        <v>104</v>
      </c>
      <c r="B59" s="7">
        <v>3628601.7</v>
      </c>
      <c r="I59" s="6" t="s">
        <v>217</v>
      </c>
      <c r="J59" s="7">
        <v>62709.59</v>
      </c>
      <c r="M59" s="6" t="s">
        <v>179</v>
      </c>
      <c r="N59" s="7">
        <v>7279.4</v>
      </c>
      <c r="U59" s="6" t="s">
        <v>104</v>
      </c>
      <c r="V59" s="7">
        <v>27435</v>
      </c>
      <c r="Y59" s="6" t="s">
        <v>104</v>
      </c>
      <c r="Z59" s="7">
        <v>4063</v>
      </c>
    </row>
    <row r="60" customHeight="1" spans="1:26">
      <c r="A60" s="6" t="s">
        <v>2044</v>
      </c>
      <c r="B60" s="7">
        <v>1255.8</v>
      </c>
      <c r="I60" s="6" t="s">
        <v>711</v>
      </c>
      <c r="J60" s="7">
        <v>1099.56</v>
      </c>
      <c r="M60" s="6" t="s">
        <v>897</v>
      </c>
      <c r="N60" s="7">
        <v>0</v>
      </c>
      <c r="U60" s="6" t="s">
        <v>2044</v>
      </c>
      <c r="V60" s="7">
        <v>84</v>
      </c>
      <c r="Y60" s="6" t="s">
        <v>2044</v>
      </c>
      <c r="Z60" s="7">
        <v>10</v>
      </c>
    </row>
    <row r="61" customHeight="1" spans="1:26">
      <c r="A61" s="6" t="s">
        <v>1582</v>
      </c>
      <c r="B61" s="7">
        <v>0</v>
      </c>
      <c r="I61" s="6" t="s">
        <v>312</v>
      </c>
      <c r="J61" s="7">
        <v>28029.51</v>
      </c>
      <c r="M61" s="6" t="s">
        <v>902</v>
      </c>
      <c r="N61" s="7">
        <v>1199.82</v>
      </c>
      <c r="U61" s="6" t="s">
        <v>1582</v>
      </c>
      <c r="V61" s="7"/>
      <c r="Y61" s="6" t="s">
        <v>1582</v>
      </c>
      <c r="Z61" s="7"/>
    </row>
    <row r="62" customHeight="1" spans="1:26">
      <c r="A62" s="6" t="s">
        <v>2474</v>
      </c>
      <c r="B62" s="7">
        <v>0</v>
      </c>
      <c r="I62" s="6" t="s">
        <v>413</v>
      </c>
      <c r="J62" s="7">
        <v>49552.92</v>
      </c>
      <c r="M62" s="6" t="s">
        <v>912</v>
      </c>
      <c r="N62" s="7">
        <v>7581.63</v>
      </c>
      <c r="U62" s="6" t="s">
        <v>2474</v>
      </c>
      <c r="V62" s="7"/>
      <c r="Y62" s="6" t="s">
        <v>2474</v>
      </c>
      <c r="Z62" s="7"/>
    </row>
    <row r="63" customHeight="1" spans="1:26">
      <c r="A63" s="6" t="s">
        <v>1103</v>
      </c>
      <c r="B63" s="7">
        <v>0</v>
      </c>
      <c r="I63" s="6" t="s">
        <v>255</v>
      </c>
      <c r="J63" s="7">
        <v>513649.07</v>
      </c>
      <c r="M63" s="6" t="s">
        <v>915</v>
      </c>
      <c r="N63" s="7">
        <v>102217.92</v>
      </c>
      <c r="U63" s="6" t="s">
        <v>1103</v>
      </c>
      <c r="V63" s="7"/>
      <c r="Y63" s="6" t="s">
        <v>1103</v>
      </c>
      <c r="Z63" s="7"/>
    </row>
    <row r="64" customHeight="1" spans="1:26">
      <c r="A64" s="6" t="s">
        <v>1073</v>
      </c>
      <c r="B64" s="7">
        <v>2315.71</v>
      </c>
      <c r="I64" s="6" t="s">
        <v>378</v>
      </c>
      <c r="J64" s="7">
        <v>381.57</v>
      </c>
      <c r="M64" s="6" t="s">
        <v>926</v>
      </c>
      <c r="N64" s="7">
        <v>2085.33</v>
      </c>
      <c r="U64" s="6" t="s">
        <v>1073</v>
      </c>
      <c r="V64" s="7">
        <v>29</v>
      </c>
      <c r="Y64" s="6" t="s">
        <v>1073</v>
      </c>
      <c r="Z64" s="7">
        <v>20</v>
      </c>
    </row>
    <row r="65" customHeight="1" spans="1:26">
      <c r="A65" s="6" t="s">
        <v>1107</v>
      </c>
      <c r="B65" s="7">
        <v>119.96</v>
      </c>
      <c r="I65" s="6" t="s">
        <v>653</v>
      </c>
      <c r="J65" s="7">
        <v>21607.72</v>
      </c>
      <c r="M65" s="6" t="s">
        <v>930</v>
      </c>
      <c r="N65" s="7">
        <v>0</v>
      </c>
      <c r="U65" s="6" t="s">
        <v>1107</v>
      </c>
      <c r="V65" s="7">
        <v>4</v>
      </c>
      <c r="Y65" s="6" t="s">
        <v>1107</v>
      </c>
      <c r="Z65" s="7">
        <v>10</v>
      </c>
    </row>
    <row r="66" customHeight="1" spans="1:26">
      <c r="A66" s="6" t="s">
        <v>1370</v>
      </c>
      <c r="B66" s="7">
        <v>0</v>
      </c>
      <c r="I66" s="6" t="s">
        <v>122</v>
      </c>
      <c r="J66" s="7">
        <v>53148.28</v>
      </c>
      <c r="M66" s="6" t="s">
        <v>939</v>
      </c>
      <c r="N66" s="7">
        <v>0</v>
      </c>
      <c r="U66" s="6" t="s">
        <v>1370</v>
      </c>
      <c r="V66" s="7"/>
      <c r="Y66" s="6" t="s">
        <v>1370</v>
      </c>
      <c r="Z66" s="7">
        <v>2</v>
      </c>
    </row>
    <row r="67" customHeight="1" spans="1:26">
      <c r="A67" s="6" t="s">
        <v>442</v>
      </c>
      <c r="B67" s="7">
        <v>0</v>
      </c>
      <c r="I67" s="6" t="s">
        <v>543</v>
      </c>
      <c r="J67" s="7">
        <v>314.97</v>
      </c>
      <c r="M67" s="6" t="s">
        <v>947</v>
      </c>
      <c r="N67" s="7">
        <v>3609.81</v>
      </c>
      <c r="U67" s="6" t="s">
        <v>442</v>
      </c>
      <c r="V67" s="7"/>
      <c r="Y67" s="6" t="s">
        <v>442</v>
      </c>
      <c r="Z67" s="7"/>
    </row>
    <row r="68" customHeight="1" spans="1:26">
      <c r="A68" s="6" t="s">
        <v>480</v>
      </c>
      <c r="B68" s="7">
        <v>271691.28</v>
      </c>
      <c r="I68" s="6" t="s">
        <v>294</v>
      </c>
      <c r="J68" s="7">
        <v>26636.97</v>
      </c>
      <c r="M68" s="6" t="s">
        <v>952</v>
      </c>
      <c r="N68" s="7">
        <v>8089.11</v>
      </c>
      <c r="U68" s="6" t="s">
        <v>480</v>
      </c>
      <c r="V68" s="7">
        <v>10872</v>
      </c>
      <c r="Y68" s="6" t="s">
        <v>480</v>
      </c>
      <c r="Z68" s="7">
        <v>10</v>
      </c>
    </row>
    <row r="69" customHeight="1" spans="1:26">
      <c r="A69" s="6" t="s">
        <v>2187</v>
      </c>
      <c r="B69" s="7">
        <v>36</v>
      </c>
      <c r="I69" s="6" t="s">
        <v>1997</v>
      </c>
      <c r="J69" s="7">
        <v>1239.69</v>
      </c>
      <c r="M69" s="6" t="s">
        <v>957</v>
      </c>
      <c r="N69" s="7">
        <v>0</v>
      </c>
      <c r="U69" s="6" t="s">
        <v>2187</v>
      </c>
      <c r="V69" s="7">
        <v>2</v>
      </c>
      <c r="Y69" s="6" t="s">
        <v>2187</v>
      </c>
      <c r="Z69" s="7">
        <v>10</v>
      </c>
    </row>
    <row r="70" customHeight="1" spans="1:26">
      <c r="A70" s="6" t="s">
        <v>1279</v>
      </c>
      <c r="B70" s="7">
        <v>5921.03</v>
      </c>
      <c r="I70" s="6" t="s">
        <v>726</v>
      </c>
      <c r="J70" s="7">
        <v>20987.64</v>
      </c>
      <c r="M70" s="6" t="s">
        <v>183</v>
      </c>
      <c r="N70" s="7">
        <v>1484.44</v>
      </c>
      <c r="U70" s="6" t="s">
        <v>1279</v>
      </c>
      <c r="V70" s="7">
        <v>821</v>
      </c>
      <c r="Y70" s="6" t="s">
        <v>1279</v>
      </c>
      <c r="Z70" s="7">
        <v>10</v>
      </c>
    </row>
    <row r="71" customHeight="1" spans="1:26">
      <c r="A71" s="6" t="s">
        <v>658</v>
      </c>
      <c r="B71" s="7">
        <v>1121.37</v>
      </c>
      <c r="I71" s="6" t="s">
        <v>415</v>
      </c>
      <c r="J71" s="7">
        <v>8959.36</v>
      </c>
      <c r="M71" s="6" t="s">
        <v>963</v>
      </c>
      <c r="N71" s="7">
        <v>0</v>
      </c>
      <c r="U71" s="6" t="s">
        <v>658</v>
      </c>
      <c r="V71" s="7">
        <v>9</v>
      </c>
      <c r="Y71" s="6" t="s">
        <v>658</v>
      </c>
      <c r="Z71" s="7">
        <v>6</v>
      </c>
    </row>
    <row r="72" customHeight="1" spans="1:26">
      <c r="A72" s="6" t="s">
        <v>710</v>
      </c>
      <c r="B72" s="7">
        <v>1099.56</v>
      </c>
      <c r="I72" s="6" t="s">
        <v>735</v>
      </c>
      <c r="J72" s="7">
        <v>133337.1</v>
      </c>
      <c r="M72" s="6" t="s">
        <v>965</v>
      </c>
      <c r="N72" s="7">
        <v>258</v>
      </c>
      <c r="U72" s="6" t="s">
        <v>710</v>
      </c>
      <c r="V72" s="7">
        <v>44</v>
      </c>
      <c r="Y72" s="6" t="s">
        <v>710</v>
      </c>
      <c r="Z72" s="7">
        <v>10</v>
      </c>
    </row>
    <row r="73" customHeight="1" spans="1:26">
      <c r="A73" s="6" t="s">
        <v>901</v>
      </c>
      <c r="B73" s="7">
        <v>138966.19</v>
      </c>
      <c r="I73" s="6" t="s">
        <v>239</v>
      </c>
      <c r="J73" s="7">
        <v>483725.97</v>
      </c>
      <c r="M73" s="6" t="s">
        <v>969</v>
      </c>
      <c r="N73" s="7">
        <v>589</v>
      </c>
      <c r="U73" s="6" t="s">
        <v>901</v>
      </c>
      <c r="V73" s="7">
        <v>1799</v>
      </c>
      <c r="Y73" s="6" t="s">
        <v>901</v>
      </c>
      <c r="Z73" s="7">
        <v>86</v>
      </c>
    </row>
    <row r="74" customHeight="1" spans="1:26">
      <c r="A74" s="6" t="s">
        <v>542</v>
      </c>
      <c r="B74" s="7">
        <v>314.97</v>
      </c>
      <c r="I74" s="6" t="s">
        <v>456</v>
      </c>
      <c r="J74" s="7">
        <v>0</v>
      </c>
      <c r="M74" s="6" t="s">
        <v>974</v>
      </c>
      <c r="N74" s="7">
        <v>649.43</v>
      </c>
      <c r="U74" s="6" t="s">
        <v>542</v>
      </c>
      <c r="V74" s="7">
        <v>3</v>
      </c>
      <c r="Y74" s="6" t="s">
        <v>542</v>
      </c>
      <c r="Z74" s="7">
        <v>10</v>
      </c>
    </row>
    <row r="75" customHeight="1" spans="1:26">
      <c r="A75" s="6" t="s">
        <v>967</v>
      </c>
      <c r="B75" s="7">
        <v>589</v>
      </c>
      <c r="I75" s="6" t="s">
        <v>325</v>
      </c>
      <c r="J75" s="7">
        <v>51791.5</v>
      </c>
      <c r="M75" s="6" t="s">
        <v>977</v>
      </c>
      <c r="N75" s="7">
        <v>593.34</v>
      </c>
      <c r="U75" s="6" t="s">
        <v>967</v>
      </c>
      <c r="V75" s="7">
        <v>31</v>
      </c>
      <c r="Y75" s="6" t="s">
        <v>967</v>
      </c>
      <c r="Z75" s="7">
        <v>10</v>
      </c>
    </row>
    <row r="76" customHeight="1" spans="1:26">
      <c r="A76" s="6" t="s">
        <v>753</v>
      </c>
      <c r="B76" s="7">
        <v>0</v>
      </c>
      <c r="I76" s="6" t="s">
        <v>1721</v>
      </c>
      <c r="J76" s="7">
        <v>10317.42</v>
      </c>
      <c r="M76" s="6" t="s">
        <v>979</v>
      </c>
      <c r="N76" s="7">
        <v>866.21</v>
      </c>
      <c r="U76" s="6" t="s">
        <v>753</v>
      </c>
      <c r="V76" s="7"/>
      <c r="Y76" s="6" t="s">
        <v>753</v>
      </c>
      <c r="Z76" s="7"/>
    </row>
    <row r="77" customHeight="1" spans="1:26">
      <c r="A77" s="6" t="s">
        <v>1381</v>
      </c>
      <c r="B77" s="7">
        <v>12382.92</v>
      </c>
      <c r="I77" s="6" t="s">
        <v>159</v>
      </c>
      <c r="J77" s="7">
        <v>127791.48</v>
      </c>
      <c r="M77" s="6" t="s">
        <v>981</v>
      </c>
      <c r="N77" s="7">
        <v>9382.39</v>
      </c>
      <c r="U77" s="6" t="s">
        <v>1381</v>
      </c>
      <c r="V77" s="7">
        <v>354</v>
      </c>
      <c r="Y77" s="6" t="s">
        <v>1381</v>
      </c>
      <c r="Z77" s="7">
        <v>10</v>
      </c>
    </row>
    <row r="78" customHeight="1" spans="1:26">
      <c r="A78" s="6" t="s">
        <v>605</v>
      </c>
      <c r="B78" s="7">
        <v>2400</v>
      </c>
      <c r="I78" s="6" t="s">
        <v>1229</v>
      </c>
      <c r="J78" s="7">
        <v>2069.54</v>
      </c>
      <c r="M78" s="6" t="s">
        <v>983</v>
      </c>
      <c r="N78" s="7">
        <v>1373.94</v>
      </c>
      <c r="U78" s="6" t="s">
        <v>605</v>
      </c>
      <c r="V78" s="7">
        <v>4</v>
      </c>
      <c r="Y78" s="6" t="s">
        <v>605</v>
      </c>
      <c r="Z78" s="7">
        <v>1</v>
      </c>
    </row>
    <row r="79" customHeight="1" spans="1:26">
      <c r="A79" s="6" t="s">
        <v>1007</v>
      </c>
      <c r="B79" s="7">
        <v>683.24</v>
      </c>
      <c r="I79" s="6" t="s">
        <v>2152</v>
      </c>
      <c r="J79" s="7">
        <v>0</v>
      </c>
      <c r="M79" s="6" t="s">
        <v>985</v>
      </c>
      <c r="N79" s="7">
        <v>3015.56</v>
      </c>
      <c r="U79" s="6" t="s">
        <v>1007</v>
      </c>
      <c r="V79" s="7">
        <v>76</v>
      </c>
      <c r="Y79" s="6" t="s">
        <v>1007</v>
      </c>
      <c r="Z79" s="7">
        <v>10</v>
      </c>
    </row>
    <row r="80" customHeight="1" spans="1:26">
      <c r="A80" s="6" t="s">
        <v>1680</v>
      </c>
      <c r="B80" s="7">
        <v>71.52</v>
      </c>
      <c r="I80" s="6" t="s">
        <v>1509</v>
      </c>
      <c r="J80" s="7">
        <v>17969.62</v>
      </c>
      <c r="M80" s="6" t="s">
        <v>991</v>
      </c>
      <c r="N80" s="7">
        <v>157.47</v>
      </c>
      <c r="U80" s="6" t="s">
        <v>1680</v>
      </c>
      <c r="V80" s="7">
        <v>8</v>
      </c>
      <c r="Y80" s="6" t="s">
        <v>1680</v>
      </c>
      <c r="Z80" s="7">
        <v>10</v>
      </c>
    </row>
    <row r="81" customHeight="1" spans="1:26">
      <c r="A81" s="6" t="s">
        <v>384</v>
      </c>
      <c r="B81" s="7">
        <v>104531.8</v>
      </c>
      <c r="I81" s="6" t="s">
        <v>2280</v>
      </c>
      <c r="J81" s="7">
        <v>21027.86</v>
      </c>
      <c r="M81" s="6" t="s">
        <v>189</v>
      </c>
      <c r="N81" s="7">
        <v>1349.55</v>
      </c>
      <c r="U81" s="6" t="s">
        <v>384</v>
      </c>
      <c r="V81" s="7">
        <v>1670</v>
      </c>
      <c r="Y81" s="6" t="s">
        <v>384</v>
      </c>
      <c r="Z81" s="7">
        <v>168</v>
      </c>
    </row>
    <row r="82" customHeight="1" spans="1:26">
      <c r="A82" s="6" t="s">
        <v>843</v>
      </c>
      <c r="B82" s="7">
        <v>3321.51</v>
      </c>
      <c r="I82" s="6" t="s">
        <v>116</v>
      </c>
      <c r="J82" s="7">
        <v>20417.31</v>
      </c>
      <c r="M82" s="6" t="s">
        <v>995</v>
      </c>
      <c r="N82" s="7">
        <v>0</v>
      </c>
      <c r="U82" s="6" t="s">
        <v>843</v>
      </c>
      <c r="V82" s="7">
        <v>53</v>
      </c>
      <c r="Y82" s="6" t="s">
        <v>843</v>
      </c>
      <c r="Z82" s="7">
        <v>10</v>
      </c>
    </row>
    <row r="83" customHeight="1" spans="1:26">
      <c r="A83" s="6" t="s">
        <v>1387</v>
      </c>
      <c r="B83" s="7">
        <v>132</v>
      </c>
      <c r="I83" s="6" t="s">
        <v>1788</v>
      </c>
      <c r="J83" s="7">
        <v>1259.88</v>
      </c>
      <c r="M83" s="6" t="s">
        <v>1002</v>
      </c>
      <c r="N83" s="7">
        <v>6210.65</v>
      </c>
      <c r="U83" s="6" t="s">
        <v>1387</v>
      </c>
      <c r="V83" s="7">
        <v>3</v>
      </c>
      <c r="Y83" s="6" t="s">
        <v>1387</v>
      </c>
      <c r="Z83" s="7">
        <v>10</v>
      </c>
    </row>
    <row r="84" customHeight="1" spans="1:26">
      <c r="A84" s="6" t="s">
        <v>853</v>
      </c>
      <c r="B84" s="7">
        <v>1070.49</v>
      </c>
      <c r="I84" s="6" t="s">
        <v>617</v>
      </c>
      <c r="J84" s="7">
        <v>117.9</v>
      </c>
      <c r="M84" s="6" t="s">
        <v>1004</v>
      </c>
      <c r="N84" s="7">
        <v>8070.79</v>
      </c>
      <c r="U84" s="6" t="s">
        <v>853</v>
      </c>
      <c r="V84" s="7">
        <v>51</v>
      </c>
      <c r="Y84" s="6" t="s">
        <v>853</v>
      </c>
      <c r="Z84" s="7">
        <v>10</v>
      </c>
    </row>
    <row r="85" customHeight="1" spans="1:26">
      <c r="A85" s="6" t="s">
        <v>350</v>
      </c>
      <c r="B85" s="7">
        <v>79067.22</v>
      </c>
      <c r="I85" s="6" t="s">
        <v>1711</v>
      </c>
      <c r="J85" s="7">
        <v>1235.88</v>
      </c>
      <c r="M85" s="6" t="s">
        <v>1009</v>
      </c>
      <c r="N85" s="7">
        <v>683.24</v>
      </c>
      <c r="U85" s="6" t="s">
        <v>350</v>
      </c>
      <c r="V85" s="7">
        <v>3636</v>
      </c>
      <c r="Y85" s="6" t="s">
        <v>350</v>
      </c>
      <c r="Z85" s="7">
        <v>20</v>
      </c>
    </row>
    <row r="86" customHeight="1" spans="1:26">
      <c r="A86" s="6" t="s">
        <v>1011</v>
      </c>
      <c r="B86" s="7">
        <v>1303.05</v>
      </c>
      <c r="I86" s="6" t="s">
        <v>1849</v>
      </c>
      <c r="J86" s="7">
        <v>6799.32</v>
      </c>
      <c r="M86" s="6" t="s">
        <v>1012</v>
      </c>
      <c r="N86" s="7">
        <v>1303.05</v>
      </c>
      <c r="U86" s="6" t="s">
        <v>1011</v>
      </c>
      <c r="V86" s="7">
        <v>119</v>
      </c>
      <c r="Y86" s="6" t="s">
        <v>1011</v>
      </c>
      <c r="Z86" s="7">
        <v>10</v>
      </c>
    </row>
    <row r="87" customHeight="1" spans="1:26">
      <c r="A87" s="6" t="s">
        <v>293</v>
      </c>
      <c r="B87" s="7">
        <v>26636.97</v>
      </c>
      <c r="I87" s="6" t="s">
        <v>2055</v>
      </c>
      <c r="J87" s="7">
        <v>835.8</v>
      </c>
      <c r="M87" s="6" t="s">
        <v>1016</v>
      </c>
      <c r="N87" s="7">
        <v>105</v>
      </c>
      <c r="U87" s="6" t="s">
        <v>293</v>
      </c>
      <c r="V87" s="7">
        <v>703</v>
      </c>
      <c r="Y87" s="6" t="s">
        <v>293</v>
      </c>
      <c r="Z87" s="7">
        <v>140</v>
      </c>
    </row>
    <row r="88" customHeight="1" spans="1:26">
      <c r="A88" s="6" t="s">
        <v>938</v>
      </c>
      <c r="B88" s="7">
        <v>0</v>
      </c>
      <c r="I88" s="6" t="s">
        <v>2030</v>
      </c>
      <c r="J88" s="7">
        <v>64819.3</v>
      </c>
      <c r="M88" s="6" t="s">
        <v>1026</v>
      </c>
      <c r="N88" s="7">
        <v>0</v>
      </c>
      <c r="U88" s="6" t="s">
        <v>938</v>
      </c>
      <c r="V88" s="7"/>
      <c r="Y88" s="6" t="s">
        <v>938</v>
      </c>
      <c r="Z88" s="7"/>
    </row>
    <row r="89" customHeight="1" spans="1:26">
      <c r="A89" s="6" t="s">
        <v>1191</v>
      </c>
      <c r="B89" s="7">
        <v>79.98</v>
      </c>
      <c r="I89" s="6" t="s">
        <v>1223</v>
      </c>
      <c r="J89" s="7">
        <v>494.67</v>
      </c>
      <c r="M89" s="6" t="s">
        <v>1032</v>
      </c>
      <c r="N89" s="7">
        <v>120</v>
      </c>
      <c r="U89" s="6" t="s">
        <v>1191</v>
      </c>
      <c r="V89" s="7">
        <v>2</v>
      </c>
      <c r="Y89" s="6" t="s">
        <v>1191</v>
      </c>
      <c r="Z89" s="7">
        <v>8</v>
      </c>
    </row>
    <row r="90" customHeight="1" spans="1:26">
      <c r="A90" s="6" t="s">
        <v>1174</v>
      </c>
      <c r="B90" s="7">
        <v>0</v>
      </c>
      <c r="I90" s="6" t="s">
        <v>2025</v>
      </c>
      <c r="J90" s="7">
        <v>2419.78</v>
      </c>
      <c r="M90" s="6" t="s">
        <v>1037</v>
      </c>
      <c r="N90" s="7">
        <v>3790.21</v>
      </c>
      <c r="U90" s="6" t="s">
        <v>1174</v>
      </c>
      <c r="V90" s="7"/>
      <c r="Y90" s="6" t="s">
        <v>1174</v>
      </c>
      <c r="Z90" s="7"/>
    </row>
    <row r="91" customHeight="1" spans="1:26">
      <c r="A91" s="6" t="s">
        <v>1025</v>
      </c>
      <c r="B91" s="7">
        <v>2175.83</v>
      </c>
      <c r="I91" s="6" t="s">
        <v>182</v>
      </c>
      <c r="J91" s="7">
        <v>1484.44</v>
      </c>
      <c r="M91" s="6" t="s">
        <v>1042</v>
      </c>
      <c r="N91" s="7">
        <v>2572.83</v>
      </c>
      <c r="U91" s="6" t="s">
        <v>1025</v>
      </c>
      <c r="V91" s="7">
        <v>17</v>
      </c>
      <c r="Y91" s="6" t="s">
        <v>1025</v>
      </c>
      <c r="Z91" s="7">
        <v>10</v>
      </c>
    </row>
    <row r="92" customHeight="1" spans="1:26">
      <c r="A92" s="6" t="s">
        <v>1695</v>
      </c>
      <c r="B92" s="7">
        <v>200.16</v>
      </c>
      <c r="I92" s="6" t="s">
        <v>851</v>
      </c>
      <c r="J92" s="7">
        <v>0</v>
      </c>
      <c r="M92" s="6" t="s">
        <v>193</v>
      </c>
      <c r="N92" s="7">
        <v>727.95</v>
      </c>
      <c r="U92" s="6" t="s">
        <v>1695</v>
      </c>
      <c r="V92" s="7">
        <v>9</v>
      </c>
      <c r="Y92" s="6" t="s">
        <v>1695</v>
      </c>
      <c r="Z92" s="7">
        <v>5</v>
      </c>
    </row>
    <row r="93" customHeight="1" spans="1:26">
      <c r="A93" s="6" t="s">
        <v>215</v>
      </c>
      <c r="B93" s="7">
        <v>29448.39</v>
      </c>
      <c r="I93" s="6" t="s">
        <v>228</v>
      </c>
      <c r="J93" s="7">
        <v>307.78</v>
      </c>
      <c r="M93" s="6" t="s">
        <v>1049</v>
      </c>
      <c r="N93" s="7">
        <v>46191.97</v>
      </c>
      <c r="U93" s="6" t="s">
        <v>215</v>
      </c>
      <c r="V93" s="7">
        <v>2961</v>
      </c>
      <c r="Y93" s="6" t="s">
        <v>215</v>
      </c>
      <c r="Z93" s="7">
        <v>30</v>
      </c>
    </row>
    <row r="94" customHeight="1" spans="1:26">
      <c r="A94" s="6" t="s">
        <v>954</v>
      </c>
      <c r="B94" s="7">
        <v>0</v>
      </c>
      <c r="I94" s="6" t="s">
        <v>1494</v>
      </c>
      <c r="J94" s="7">
        <v>644.57</v>
      </c>
      <c r="M94" s="6" t="s">
        <v>1053</v>
      </c>
      <c r="N94" s="7">
        <v>439.57</v>
      </c>
      <c r="U94" s="6" t="s">
        <v>954</v>
      </c>
      <c r="V94" s="7"/>
      <c r="Y94" s="6" t="s">
        <v>954</v>
      </c>
      <c r="Z94" s="7"/>
    </row>
    <row r="95" customHeight="1" spans="1:26">
      <c r="A95" s="6" t="s">
        <v>335</v>
      </c>
      <c r="B95" s="7">
        <v>35764.99</v>
      </c>
      <c r="I95" s="6" t="s">
        <v>864</v>
      </c>
      <c r="J95" s="7">
        <v>203</v>
      </c>
      <c r="M95" s="6" t="s">
        <v>1060</v>
      </c>
      <c r="N95" s="7">
        <v>139.96</v>
      </c>
      <c r="U95" s="6" t="s">
        <v>335</v>
      </c>
      <c r="V95" s="7">
        <v>364</v>
      </c>
      <c r="Y95" s="6" t="s">
        <v>335</v>
      </c>
      <c r="Z95" s="7">
        <v>130</v>
      </c>
    </row>
    <row r="96" customHeight="1" spans="1:26">
      <c r="A96" s="6" t="s">
        <v>1522</v>
      </c>
      <c r="B96" s="7">
        <v>172.95</v>
      </c>
      <c r="I96" s="6" t="s">
        <v>1877</v>
      </c>
      <c r="J96" s="7">
        <v>11004</v>
      </c>
      <c r="M96" s="6" t="s">
        <v>1067</v>
      </c>
      <c r="N96" s="7">
        <v>299.9</v>
      </c>
      <c r="U96" s="6" t="s">
        <v>1522</v>
      </c>
      <c r="V96" s="7">
        <v>1</v>
      </c>
      <c r="Y96" s="6" t="s">
        <v>1522</v>
      </c>
      <c r="Z96" s="7">
        <v>1</v>
      </c>
    </row>
    <row r="97" customHeight="1" spans="1:26">
      <c r="A97" s="6" t="s">
        <v>914</v>
      </c>
      <c r="B97" s="7">
        <v>102217.92</v>
      </c>
      <c r="I97" s="6" t="s">
        <v>880</v>
      </c>
      <c r="J97" s="7">
        <v>4060</v>
      </c>
      <c r="M97" s="6" t="s">
        <v>1074</v>
      </c>
      <c r="N97" s="7">
        <v>2315.71</v>
      </c>
      <c r="U97" s="6" t="s">
        <v>914</v>
      </c>
      <c r="V97" s="7">
        <v>6027</v>
      </c>
      <c r="Y97" s="6" t="s">
        <v>914</v>
      </c>
      <c r="Z97" s="7">
        <v>10</v>
      </c>
    </row>
    <row r="98" customHeight="1" spans="1:26">
      <c r="A98" s="6" t="s">
        <v>1865</v>
      </c>
      <c r="B98" s="7">
        <v>152.91</v>
      </c>
      <c r="I98" s="6" t="s">
        <v>1986</v>
      </c>
      <c r="J98" s="7">
        <v>1086.34</v>
      </c>
      <c r="M98" s="6" t="s">
        <v>1078</v>
      </c>
      <c r="N98" s="7">
        <v>26.28</v>
      </c>
      <c r="U98" s="6" t="s">
        <v>1865</v>
      </c>
      <c r="V98" s="7">
        <v>9</v>
      </c>
      <c r="Y98" s="6" t="s">
        <v>1865</v>
      </c>
      <c r="Z98" s="7">
        <v>3</v>
      </c>
    </row>
    <row r="99" customHeight="1" spans="1:26">
      <c r="A99" s="6" t="s">
        <v>2199</v>
      </c>
      <c r="B99" s="7">
        <v>0</v>
      </c>
      <c r="I99" s="6" t="s">
        <v>2244</v>
      </c>
      <c r="J99" s="7">
        <v>14161</v>
      </c>
      <c r="M99" s="6" t="s">
        <v>1084</v>
      </c>
      <c r="N99" s="7">
        <v>111942.91</v>
      </c>
      <c r="U99" s="6" t="s">
        <v>2199</v>
      </c>
      <c r="V99" s="7"/>
      <c r="Y99" s="6" t="s">
        <v>2199</v>
      </c>
      <c r="Z99" s="7"/>
    </row>
    <row r="100" customHeight="1" spans="1:26">
      <c r="A100" s="6" t="s">
        <v>1829</v>
      </c>
      <c r="B100" s="7">
        <v>1519.24</v>
      </c>
      <c r="I100" s="6" t="s">
        <v>1871</v>
      </c>
      <c r="J100" s="7">
        <v>148.5</v>
      </c>
      <c r="M100" s="6" t="s">
        <v>1093</v>
      </c>
      <c r="N100" s="7">
        <v>10500</v>
      </c>
      <c r="U100" s="6" t="s">
        <v>1829</v>
      </c>
      <c r="V100" s="7">
        <v>76</v>
      </c>
      <c r="Y100" s="6" t="s">
        <v>1829</v>
      </c>
      <c r="Z100" s="7">
        <v>10</v>
      </c>
    </row>
    <row r="101" customHeight="1" spans="1:26">
      <c r="A101" s="6" t="s">
        <v>1363</v>
      </c>
      <c r="B101" s="7">
        <v>340.23</v>
      </c>
      <c r="I101" s="6" t="s">
        <v>1194</v>
      </c>
      <c r="J101" s="7">
        <v>1403.39</v>
      </c>
      <c r="M101" s="6" t="s">
        <v>1099</v>
      </c>
      <c r="N101" s="7">
        <v>692.64</v>
      </c>
      <c r="U101" s="6" t="s">
        <v>1363</v>
      </c>
      <c r="V101" s="7">
        <v>1</v>
      </c>
      <c r="Y101" s="6" t="s">
        <v>1363</v>
      </c>
      <c r="Z101" s="7">
        <v>6</v>
      </c>
    </row>
    <row r="102" customHeight="1" spans="1:26">
      <c r="A102" s="6" t="s">
        <v>1811</v>
      </c>
      <c r="B102" s="7">
        <v>447.68</v>
      </c>
      <c r="I102" s="6" t="s">
        <v>1991</v>
      </c>
      <c r="J102" s="7">
        <v>0</v>
      </c>
      <c r="M102" s="6" t="s">
        <v>1104</v>
      </c>
      <c r="N102" s="7">
        <v>0</v>
      </c>
      <c r="U102" s="6" t="s">
        <v>1811</v>
      </c>
      <c r="V102" s="7">
        <v>32</v>
      </c>
      <c r="Y102" s="6" t="s">
        <v>1811</v>
      </c>
      <c r="Z102" s="7">
        <v>8</v>
      </c>
    </row>
    <row r="103" customHeight="1" spans="1:26">
      <c r="A103" s="6" t="s">
        <v>1710</v>
      </c>
      <c r="B103" s="7">
        <v>1235.88</v>
      </c>
      <c r="I103" s="6" t="s">
        <v>67</v>
      </c>
      <c r="J103" s="7">
        <v>15224.26</v>
      </c>
      <c r="M103" s="6" t="s">
        <v>199</v>
      </c>
      <c r="N103" s="7">
        <v>44679.33</v>
      </c>
      <c r="U103" s="6" t="s">
        <v>1710</v>
      </c>
      <c r="V103" s="7">
        <v>12</v>
      </c>
      <c r="Y103" s="6" t="s">
        <v>1710</v>
      </c>
      <c r="Z103" s="7">
        <v>396</v>
      </c>
    </row>
    <row r="104" customHeight="1" spans="1:26">
      <c r="A104" s="6" t="s">
        <v>311</v>
      </c>
      <c r="B104" s="7">
        <v>4923.68</v>
      </c>
      <c r="I104" s="6" t="s">
        <v>601</v>
      </c>
      <c r="J104" s="7">
        <v>61545.2</v>
      </c>
      <c r="M104" s="6" t="s">
        <v>1108</v>
      </c>
      <c r="N104" s="7">
        <v>119.96</v>
      </c>
      <c r="U104" s="6" t="s">
        <v>311</v>
      </c>
      <c r="V104" s="7">
        <v>60</v>
      </c>
      <c r="Y104" s="6" t="s">
        <v>311</v>
      </c>
      <c r="Z104" s="7">
        <v>23</v>
      </c>
    </row>
    <row r="105" customHeight="1" spans="1:26">
      <c r="A105" s="6" t="s">
        <v>1328</v>
      </c>
      <c r="B105" s="7">
        <v>9149.28</v>
      </c>
      <c r="I105" s="6" t="s">
        <v>235</v>
      </c>
      <c r="J105" s="7">
        <v>1426.26</v>
      </c>
      <c r="M105" s="6" t="s">
        <v>1116</v>
      </c>
      <c r="N105" s="7">
        <v>1748.25</v>
      </c>
      <c r="U105" s="6" t="s">
        <v>1328</v>
      </c>
      <c r="V105" s="7">
        <v>72</v>
      </c>
      <c r="Y105" s="6" t="s">
        <v>1328</v>
      </c>
      <c r="Z105" s="7">
        <v>30</v>
      </c>
    </row>
    <row r="106" customHeight="1" spans="1:26">
      <c r="A106" s="6" t="s">
        <v>923</v>
      </c>
      <c r="B106" s="7">
        <v>2085.33</v>
      </c>
      <c r="I106" s="6" t="s">
        <v>1041</v>
      </c>
      <c r="J106" s="7">
        <v>2572.83</v>
      </c>
      <c r="M106" s="6" t="s">
        <v>1122</v>
      </c>
      <c r="N106" s="7">
        <v>15523.6</v>
      </c>
      <c r="U106" s="6" t="s">
        <v>923</v>
      </c>
      <c r="V106" s="7">
        <v>39</v>
      </c>
      <c r="Y106" s="6" t="s">
        <v>923</v>
      </c>
      <c r="Z106" s="7">
        <v>10</v>
      </c>
    </row>
    <row r="107" customHeight="1" spans="1:26">
      <c r="A107" s="6" t="s">
        <v>1413</v>
      </c>
      <c r="B107" s="7">
        <v>0</v>
      </c>
      <c r="I107" s="6" t="s">
        <v>275</v>
      </c>
      <c r="J107" s="7">
        <v>19515.33</v>
      </c>
      <c r="M107" s="6" t="s">
        <v>1126</v>
      </c>
      <c r="N107" s="7">
        <v>449.94</v>
      </c>
      <c r="U107" s="6" t="s">
        <v>1413</v>
      </c>
      <c r="V107" s="7"/>
      <c r="Y107" s="6" t="s">
        <v>1413</v>
      </c>
      <c r="Z107" s="7"/>
    </row>
    <row r="108" customHeight="1" spans="1:26">
      <c r="A108" s="6" t="s">
        <v>487</v>
      </c>
      <c r="B108" s="7">
        <v>67291.3</v>
      </c>
      <c r="I108" s="6" t="s">
        <v>606</v>
      </c>
      <c r="J108" s="7">
        <v>2400</v>
      </c>
      <c r="M108" s="6" t="s">
        <v>1127</v>
      </c>
      <c r="N108" s="7">
        <v>119129.56</v>
      </c>
      <c r="U108" s="6" t="s">
        <v>487</v>
      </c>
      <c r="V108" s="7">
        <v>5421</v>
      </c>
      <c r="Y108" s="6" t="s">
        <v>487</v>
      </c>
      <c r="Z108" s="7">
        <v>20</v>
      </c>
    </row>
    <row r="109" customHeight="1" spans="1:26">
      <c r="A109" s="6" t="s">
        <v>2258</v>
      </c>
      <c r="B109" s="7">
        <v>1777.6</v>
      </c>
      <c r="I109" s="6" t="s">
        <v>815</v>
      </c>
      <c r="J109" s="7">
        <v>19.99</v>
      </c>
      <c r="M109" s="6" t="s">
        <v>1129</v>
      </c>
      <c r="N109" s="7">
        <v>320</v>
      </c>
      <c r="U109" s="6" t="s">
        <v>2258</v>
      </c>
      <c r="V109" s="7">
        <v>20</v>
      </c>
      <c r="Y109" s="6" t="s">
        <v>2258</v>
      </c>
      <c r="Z109" s="7">
        <v>10</v>
      </c>
    </row>
    <row r="110" customHeight="1" spans="1:26">
      <c r="A110" s="6" t="s">
        <v>65</v>
      </c>
      <c r="B110" s="7">
        <v>177704.96</v>
      </c>
      <c r="I110" s="6" t="s">
        <v>317</v>
      </c>
      <c r="J110" s="7">
        <v>0</v>
      </c>
      <c r="M110" s="6" t="s">
        <v>1137</v>
      </c>
      <c r="N110" s="7">
        <v>13027.4</v>
      </c>
      <c r="U110" s="6" t="s">
        <v>65</v>
      </c>
      <c r="V110" s="7">
        <v>4802</v>
      </c>
      <c r="Y110" s="6" t="s">
        <v>65</v>
      </c>
      <c r="Z110" s="7">
        <v>1604</v>
      </c>
    </row>
    <row r="111" customHeight="1" spans="1:26">
      <c r="A111" s="6" t="s">
        <v>1768</v>
      </c>
      <c r="B111" s="7">
        <v>0</v>
      </c>
      <c r="I111" s="6" t="s">
        <v>2109</v>
      </c>
      <c r="J111" s="7">
        <v>0</v>
      </c>
      <c r="M111" s="6" t="s">
        <v>1146</v>
      </c>
      <c r="N111" s="7">
        <v>0</v>
      </c>
      <c r="U111" s="6" t="s">
        <v>1768</v>
      </c>
      <c r="V111" s="7"/>
      <c r="Y111" s="6" t="s">
        <v>1768</v>
      </c>
      <c r="Z111" s="7"/>
    </row>
    <row r="112" customHeight="1" spans="1:26">
      <c r="A112" s="6" t="s">
        <v>798</v>
      </c>
      <c r="B112" s="7">
        <v>300.52</v>
      </c>
      <c r="I112" s="6" t="s">
        <v>2397</v>
      </c>
      <c r="J112" s="7">
        <v>225</v>
      </c>
      <c r="M112" s="6" t="s">
        <v>1153</v>
      </c>
      <c r="N112" s="7">
        <v>1465.37</v>
      </c>
      <c r="U112" s="6" t="s">
        <v>798</v>
      </c>
      <c r="V112" s="7">
        <v>22</v>
      </c>
      <c r="Y112" s="6" t="s">
        <v>798</v>
      </c>
      <c r="Z112" s="7">
        <v>1</v>
      </c>
    </row>
    <row r="113" customHeight="1" spans="1:26">
      <c r="A113" s="6" t="s">
        <v>301</v>
      </c>
      <c r="B113" s="7">
        <v>0</v>
      </c>
      <c r="I113" s="6" t="s">
        <v>1955</v>
      </c>
      <c r="J113" s="7">
        <v>1274.95</v>
      </c>
      <c r="M113" s="6" t="s">
        <v>1156</v>
      </c>
      <c r="N113" s="7">
        <v>28522.53</v>
      </c>
      <c r="U113" s="6" t="s">
        <v>301</v>
      </c>
      <c r="V113" s="7"/>
      <c r="Y113" s="6" t="s">
        <v>301</v>
      </c>
      <c r="Z113" s="7">
        <v>2</v>
      </c>
    </row>
    <row r="114" customHeight="1" spans="1:26">
      <c r="A114" s="6" t="s">
        <v>734</v>
      </c>
      <c r="B114" s="7">
        <v>15190.88</v>
      </c>
      <c r="I114" s="6" t="s">
        <v>559</v>
      </c>
      <c r="J114" s="7">
        <v>212095.34</v>
      </c>
      <c r="M114" s="6" t="s">
        <v>89</v>
      </c>
      <c r="N114" s="7">
        <v>12669.48</v>
      </c>
      <c r="U114" s="6" t="s">
        <v>734</v>
      </c>
      <c r="V114" s="7">
        <v>304</v>
      </c>
      <c r="Y114" s="6" t="s">
        <v>734</v>
      </c>
      <c r="Z114" s="7">
        <v>10</v>
      </c>
    </row>
    <row r="115" customHeight="1" spans="1:26">
      <c r="A115" s="6" t="s">
        <v>2480</v>
      </c>
      <c r="B115" s="7">
        <v>0</v>
      </c>
      <c r="I115" s="6" t="s">
        <v>1243</v>
      </c>
      <c r="J115" s="7">
        <v>324.85</v>
      </c>
      <c r="M115" s="6" t="s">
        <v>204</v>
      </c>
      <c r="N115" s="7">
        <v>1458.1</v>
      </c>
      <c r="U115" s="6" t="s">
        <v>2480</v>
      </c>
      <c r="V115" s="7"/>
      <c r="Y115" s="6" t="s">
        <v>2480</v>
      </c>
      <c r="Z115" s="7"/>
    </row>
    <row r="116" customHeight="1" spans="1:26">
      <c r="A116" s="6" t="s">
        <v>2365</v>
      </c>
      <c r="B116" s="7">
        <v>17411.29</v>
      </c>
      <c r="I116" s="6" t="s">
        <v>1164</v>
      </c>
      <c r="J116" s="7">
        <v>3868.36</v>
      </c>
      <c r="M116" s="6" t="s">
        <v>1160</v>
      </c>
      <c r="N116" s="7">
        <v>0</v>
      </c>
      <c r="U116" s="6" t="s">
        <v>2365</v>
      </c>
      <c r="V116" s="7">
        <v>871</v>
      </c>
      <c r="Y116" s="6" t="s">
        <v>2365</v>
      </c>
      <c r="Z116" s="7">
        <v>16</v>
      </c>
    </row>
    <row r="117" customHeight="1" spans="1:26">
      <c r="A117" s="6" t="s">
        <v>1168</v>
      </c>
      <c r="B117" s="7">
        <v>800</v>
      </c>
      <c r="I117" s="6" t="s">
        <v>298</v>
      </c>
      <c r="J117" s="7">
        <v>0</v>
      </c>
      <c r="M117" s="6" t="s">
        <v>1176</v>
      </c>
      <c r="N117" s="7">
        <v>0</v>
      </c>
      <c r="U117" s="6" t="s">
        <v>1168</v>
      </c>
      <c r="V117" s="7">
        <v>1</v>
      </c>
      <c r="Y117" s="6" t="s">
        <v>1168</v>
      </c>
      <c r="Z117" s="7">
        <v>2</v>
      </c>
    </row>
    <row r="118" customHeight="1" spans="1:26">
      <c r="A118" s="6" t="s">
        <v>471</v>
      </c>
      <c r="B118" s="7">
        <v>4340</v>
      </c>
      <c r="I118" s="6" t="s">
        <v>2336</v>
      </c>
      <c r="J118" s="7">
        <v>0</v>
      </c>
      <c r="M118" s="6" t="s">
        <v>1178</v>
      </c>
      <c r="N118" s="7">
        <v>922.88</v>
      </c>
      <c r="U118" s="6" t="s">
        <v>471</v>
      </c>
      <c r="V118" s="7">
        <v>31</v>
      </c>
      <c r="Y118" s="6" t="s">
        <v>471</v>
      </c>
      <c r="Z118" s="7">
        <v>10</v>
      </c>
    </row>
    <row r="119" customHeight="1" spans="1:26">
      <c r="A119" s="6" t="s">
        <v>1082</v>
      </c>
      <c r="B119" s="7">
        <v>86937.31</v>
      </c>
      <c r="I119" s="6" t="s">
        <v>163</v>
      </c>
      <c r="J119" s="7">
        <v>119254.62</v>
      </c>
      <c r="M119" s="6" t="s">
        <v>1180</v>
      </c>
      <c r="N119" s="7">
        <v>260.76</v>
      </c>
      <c r="U119" s="6" t="s">
        <v>1082</v>
      </c>
      <c r="V119" s="7">
        <v>3228</v>
      </c>
      <c r="Y119" s="6" t="s">
        <v>1082</v>
      </c>
      <c r="Z119" s="7">
        <v>40</v>
      </c>
    </row>
    <row r="120" customHeight="1" spans="1:26">
      <c r="A120" s="6" t="s">
        <v>849</v>
      </c>
      <c r="B120" s="7">
        <v>0</v>
      </c>
      <c r="I120" s="6" t="s">
        <v>2424</v>
      </c>
      <c r="J120" s="7">
        <v>519.96</v>
      </c>
      <c r="M120" s="6" t="s">
        <v>1182</v>
      </c>
      <c r="N120" s="7">
        <v>25</v>
      </c>
      <c r="U120" s="6" t="s">
        <v>849</v>
      </c>
      <c r="V120" s="7"/>
      <c r="Y120" s="6" t="s">
        <v>849</v>
      </c>
      <c r="Z120" s="7">
        <v>5</v>
      </c>
    </row>
    <row r="121" customHeight="1" spans="1:26">
      <c r="A121" s="6" t="s">
        <v>1665</v>
      </c>
      <c r="B121" s="7">
        <v>628.5</v>
      </c>
      <c r="I121" s="6" t="s">
        <v>2508</v>
      </c>
      <c r="J121" s="7">
        <v>521.4</v>
      </c>
      <c r="M121" s="6" t="s">
        <v>1186</v>
      </c>
      <c r="N121" s="7">
        <v>18601.15</v>
      </c>
      <c r="U121" s="6" t="s">
        <v>1665</v>
      </c>
      <c r="V121" s="7">
        <v>30</v>
      </c>
      <c r="Y121" s="6" t="s">
        <v>1665</v>
      </c>
      <c r="Z121" s="7">
        <v>20</v>
      </c>
    </row>
    <row r="122" customHeight="1" spans="1:26">
      <c r="A122" s="6" t="s">
        <v>1587</v>
      </c>
      <c r="B122" s="7">
        <v>0</v>
      </c>
      <c r="I122" s="6" t="s">
        <v>731</v>
      </c>
      <c r="J122" s="7">
        <v>16798.6</v>
      </c>
      <c r="M122" s="6" t="s">
        <v>1192</v>
      </c>
      <c r="N122" s="7">
        <v>79.98</v>
      </c>
      <c r="U122" s="6" t="s">
        <v>1587</v>
      </c>
      <c r="V122" s="7"/>
      <c r="Y122" s="6" t="s">
        <v>1587</v>
      </c>
      <c r="Z122" s="7"/>
    </row>
    <row r="123" customHeight="1" spans="1:26">
      <c r="A123" s="6" t="s">
        <v>1284</v>
      </c>
      <c r="B123" s="7">
        <v>1692.46</v>
      </c>
      <c r="I123" s="6" t="s">
        <v>340</v>
      </c>
      <c r="J123" s="7">
        <v>33443.7</v>
      </c>
      <c r="M123" s="6" t="s">
        <v>1195</v>
      </c>
      <c r="N123" s="7">
        <v>1442.34</v>
      </c>
      <c r="U123" s="6" t="s">
        <v>1284</v>
      </c>
      <c r="V123" s="7">
        <v>154</v>
      </c>
      <c r="Y123" s="6" t="s">
        <v>1284</v>
      </c>
      <c r="Z123" s="7">
        <v>10</v>
      </c>
    </row>
    <row r="124" customHeight="1" spans="1:26">
      <c r="A124" s="6" t="s">
        <v>2494</v>
      </c>
      <c r="B124" s="7">
        <v>239.94</v>
      </c>
      <c r="I124" s="6" t="s">
        <v>716</v>
      </c>
      <c r="J124" s="7">
        <v>478.8</v>
      </c>
      <c r="M124" s="6" t="s">
        <v>1199</v>
      </c>
      <c r="N124" s="7">
        <v>585</v>
      </c>
      <c r="U124" s="6" t="s">
        <v>2494</v>
      </c>
      <c r="V124" s="7">
        <v>6</v>
      </c>
      <c r="Y124" s="6" t="s">
        <v>2494</v>
      </c>
      <c r="Z124" s="7">
        <v>16</v>
      </c>
    </row>
    <row r="125" customHeight="1" spans="1:26">
      <c r="A125" s="6" t="s">
        <v>202</v>
      </c>
      <c r="B125" s="7">
        <v>5858.15</v>
      </c>
      <c r="I125" s="6" t="s">
        <v>371</v>
      </c>
      <c r="J125" s="7">
        <v>13399.33</v>
      </c>
      <c r="M125" s="6" t="s">
        <v>1204</v>
      </c>
      <c r="N125" s="7">
        <v>0</v>
      </c>
      <c r="U125" s="6" t="s">
        <v>202</v>
      </c>
      <c r="V125" s="7">
        <v>162</v>
      </c>
      <c r="Y125" s="6" t="s">
        <v>202</v>
      </c>
      <c r="Z125" s="7">
        <v>20</v>
      </c>
    </row>
    <row r="126" customHeight="1" spans="1:26">
      <c r="A126" s="6" t="s">
        <v>2437</v>
      </c>
      <c r="B126" s="7">
        <v>119.9</v>
      </c>
      <c r="I126" s="6" t="s">
        <v>1031</v>
      </c>
      <c r="J126" s="7">
        <v>120</v>
      </c>
      <c r="M126" s="6" t="s">
        <v>211</v>
      </c>
      <c r="N126" s="7">
        <v>8348</v>
      </c>
      <c r="U126" s="6" t="s">
        <v>2437</v>
      </c>
      <c r="V126" s="7">
        <v>11</v>
      </c>
      <c r="Y126" s="6" t="s">
        <v>2437</v>
      </c>
      <c r="Z126" s="7">
        <v>85</v>
      </c>
    </row>
    <row r="127" customHeight="1" spans="1:26">
      <c r="A127" s="6" t="s">
        <v>253</v>
      </c>
      <c r="B127" s="7">
        <v>0</v>
      </c>
      <c r="I127" s="6" t="s">
        <v>801</v>
      </c>
      <c r="J127" s="7">
        <v>3767.1</v>
      </c>
      <c r="M127" s="6" t="s">
        <v>1209</v>
      </c>
      <c r="N127" s="7">
        <v>0</v>
      </c>
      <c r="U127" s="6" t="s">
        <v>253</v>
      </c>
      <c r="V127" s="7"/>
      <c r="Y127" s="6" t="s">
        <v>253</v>
      </c>
      <c r="Z127" s="7"/>
    </row>
    <row r="128" customHeight="1" spans="1:26">
      <c r="A128" s="6" t="s">
        <v>962</v>
      </c>
      <c r="B128" s="7">
        <v>0</v>
      </c>
      <c r="I128" s="6" t="s">
        <v>2463</v>
      </c>
      <c r="J128" s="7">
        <v>491.73</v>
      </c>
      <c r="M128" s="6" t="s">
        <v>1212</v>
      </c>
      <c r="N128" s="7">
        <v>2539.8</v>
      </c>
      <c r="U128" s="6" t="s">
        <v>962</v>
      </c>
      <c r="V128" s="7"/>
      <c r="Y128" s="6" t="s">
        <v>962</v>
      </c>
      <c r="Z128" s="7"/>
    </row>
    <row r="129" customHeight="1" spans="1:26">
      <c r="A129" s="6" t="s">
        <v>1670</v>
      </c>
      <c r="B129" s="7">
        <v>0</v>
      </c>
      <c r="I129" s="6" t="s">
        <v>872</v>
      </c>
      <c r="J129" s="7">
        <v>7421.35</v>
      </c>
      <c r="M129" s="6" t="s">
        <v>1225</v>
      </c>
      <c r="N129" s="7">
        <v>494.67</v>
      </c>
      <c r="U129" s="6" t="s">
        <v>1670</v>
      </c>
      <c r="V129" s="7"/>
      <c r="Y129" s="6" t="s">
        <v>1670</v>
      </c>
      <c r="Z129" s="7"/>
    </row>
    <row r="130" customHeight="1" spans="1:26">
      <c r="A130" s="6" t="s">
        <v>1615</v>
      </c>
      <c r="B130" s="7">
        <v>0</v>
      </c>
      <c r="I130" s="6" t="s">
        <v>1239</v>
      </c>
      <c r="J130" s="7">
        <v>2492</v>
      </c>
      <c r="M130" s="6" t="s">
        <v>1232</v>
      </c>
      <c r="N130" s="7">
        <v>492.83</v>
      </c>
      <c r="U130" s="6" t="s">
        <v>1615</v>
      </c>
      <c r="V130" s="7"/>
      <c r="Y130" s="6" t="s">
        <v>1615</v>
      </c>
      <c r="Z130" s="7"/>
    </row>
    <row r="131" customHeight="1" spans="1:26">
      <c r="A131" s="6" t="s">
        <v>1144</v>
      </c>
      <c r="B131" s="7">
        <v>0</v>
      </c>
      <c r="I131" s="6" t="s">
        <v>1754</v>
      </c>
      <c r="J131" s="7">
        <v>0</v>
      </c>
      <c r="M131" s="6" t="s">
        <v>1236</v>
      </c>
      <c r="N131" s="7">
        <v>846.93</v>
      </c>
      <c r="U131" s="6" t="s">
        <v>1144</v>
      </c>
      <c r="V131" s="7"/>
      <c r="Y131" s="6" t="s">
        <v>1144</v>
      </c>
      <c r="Z131" s="7"/>
    </row>
    <row r="132" customHeight="1" spans="1:26">
      <c r="A132" s="6" t="s">
        <v>1097</v>
      </c>
      <c r="B132" s="7">
        <v>692.64</v>
      </c>
      <c r="I132" s="6" t="s">
        <v>1317</v>
      </c>
      <c r="J132" s="7">
        <v>0</v>
      </c>
      <c r="M132" s="6" t="s">
        <v>1240</v>
      </c>
      <c r="N132" s="7">
        <v>2492</v>
      </c>
      <c r="U132" s="6" t="s">
        <v>1097</v>
      </c>
      <c r="V132" s="7">
        <v>26</v>
      </c>
      <c r="Y132" s="6" t="s">
        <v>1097</v>
      </c>
      <c r="Z132" s="7">
        <v>3</v>
      </c>
    </row>
    <row r="133" customHeight="1" spans="1:26">
      <c r="A133" s="6" t="s">
        <v>1235</v>
      </c>
      <c r="B133" s="7">
        <v>846.93</v>
      </c>
      <c r="I133" s="6" t="s">
        <v>670</v>
      </c>
      <c r="J133" s="7">
        <v>7234.5</v>
      </c>
      <c r="M133" s="6" t="s">
        <v>1244</v>
      </c>
      <c r="N133" s="7">
        <v>324.85</v>
      </c>
      <c r="U133" s="6" t="s">
        <v>1235</v>
      </c>
      <c r="V133" s="7">
        <v>7</v>
      </c>
      <c r="Y133" s="6" t="s">
        <v>1235</v>
      </c>
      <c r="Z133" s="7">
        <v>2</v>
      </c>
    </row>
    <row r="134" customHeight="1" spans="1:26">
      <c r="A134" s="6" t="s">
        <v>2422</v>
      </c>
      <c r="B134" s="7">
        <v>519.96</v>
      </c>
      <c r="I134" s="6" t="s">
        <v>921</v>
      </c>
      <c r="J134" s="7">
        <v>12121.89</v>
      </c>
      <c r="M134" s="6" t="s">
        <v>1248</v>
      </c>
      <c r="N134" s="7">
        <v>126.28</v>
      </c>
      <c r="U134" s="6" t="s">
        <v>2422</v>
      </c>
      <c r="V134" s="7">
        <v>4</v>
      </c>
      <c r="Y134" s="6" t="s">
        <v>2422</v>
      </c>
      <c r="Z134" s="7">
        <v>12</v>
      </c>
    </row>
    <row r="135" customHeight="1" spans="1:26">
      <c r="A135" s="6" t="s">
        <v>2138</v>
      </c>
      <c r="B135" s="7">
        <v>0</v>
      </c>
      <c r="I135" s="6" t="s">
        <v>1868</v>
      </c>
      <c r="J135" s="7">
        <v>32.52</v>
      </c>
      <c r="M135" s="6" t="s">
        <v>1254</v>
      </c>
      <c r="N135" s="7">
        <v>4993.15</v>
      </c>
      <c r="U135" s="6" t="s">
        <v>2138</v>
      </c>
      <c r="V135" s="7"/>
      <c r="Y135" s="6" t="s">
        <v>2138</v>
      </c>
      <c r="Z135" s="7"/>
    </row>
    <row r="136" customHeight="1" spans="1:26">
      <c r="A136" s="6" t="s">
        <v>1392</v>
      </c>
      <c r="B136" s="7">
        <v>1150.8</v>
      </c>
      <c r="I136" s="6" t="s">
        <v>2256</v>
      </c>
      <c r="J136" s="7">
        <v>1528.67</v>
      </c>
      <c r="M136" s="6" t="s">
        <v>1258</v>
      </c>
      <c r="N136" s="7">
        <v>3338.43</v>
      </c>
      <c r="U136" s="6" t="s">
        <v>1392</v>
      </c>
      <c r="V136" s="7">
        <v>84</v>
      </c>
      <c r="Y136" s="6" t="s">
        <v>1392</v>
      </c>
      <c r="Z136" s="7">
        <v>29</v>
      </c>
    </row>
    <row r="137" customHeight="1" spans="1:26">
      <c r="A137" s="6" t="s">
        <v>1851</v>
      </c>
      <c r="B137" s="7">
        <v>49.95</v>
      </c>
      <c r="I137" s="6" t="s">
        <v>449</v>
      </c>
      <c r="J137" s="7">
        <v>2606.21</v>
      </c>
      <c r="M137" s="6" t="s">
        <v>218</v>
      </c>
      <c r="N137" s="7">
        <v>33562.89</v>
      </c>
      <c r="U137" s="6" t="s">
        <v>1851</v>
      </c>
      <c r="V137" s="7">
        <v>5</v>
      </c>
      <c r="Y137" s="6" t="s">
        <v>1851</v>
      </c>
      <c r="Z137" s="7">
        <v>6</v>
      </c>
    </row>
    <row r="138" customHeight="1" spans="1:26">
      <c r="A138" s="6" t="s">
        <v>238</v>
      </c>
      <c r="B138" s="7">
        <v>439.9</v>
      </c>
      <c r="I138" s="6" t="s">
        <v>1377</v>
      </c>
      <c r="J138" s="7">
        <v>1200</v>
      </c>
      <c r="M138" s="6" t="s">
        <v>1261</v>
      </c>
      <c r="N138" s="7">
        <v>2423.4</v>
      </c>
      <c r="U138" s="6" t="s">
        <v>238</v>
      </c>
      <c r="V138" s="7">
        <v>3</v>
      </c>
      <c r="Y138" s="6" t="s">
        <v>238</v>
      </c>
      <c r="Z138" s="7">
        <v>6</v>
      </c>
    </row>
    <row r="139" customHeight="1" spans="1:26">
      <c r="A139" s="6" t="s">
        <v>2252</v>
      </c>
      <c r="B139" s="7">
        <v>359.96</v>
      </c>
      <c r="I139" s="6" t="s">
        <v>1456</v>
      </c>
      <c r="J139" s="7">
        <v>35.99</v>
      </c>
      <c r="M139" s="6" t="s">
        <v>1264</v>
      </c>
      <c r="N139" s="7">
        <v>52.98</v>
      </c>
      <c r="U139" s="6" t="s">
        <v>2252</v>
      </c>
      <c r="V139" s="7">
        <v>4</v>
      </c>
      <c r="Y139" s="6" t="s">
        <v>2252</v>
      </c>
      <c r="Z139" s="7">
        <v>10</v>
      </c>
    </row>
    <row r="140" customHeight="1" spans="1:26">
      <c r="A140" s="6" t="s">
        <v>1202</v>
      </c>
      <c r="B140" s="7">
        <v>0</v>
      </c>
      <c r="I140" s="6" t="s">
        <v>426</v>
      </c>
      <c r="J140" s="7">
        <v>17757.93</v>
      </c>
      <c r="M140" s="6" t="s">
        <v>1266</v>
      </c>
      <c r="N140" s="7">
        <v>0</v>
      </c>
      <c r="U140" s="6" t="s">
        <v>1202</v>
      </c>
      <c r="V140" s="7"/>
      <c r="Y140" s="6" t="s">
        <v>1202</v>
      </c>
      <c r="Z140" s="7"/>
    </row>
    <row r="141" customHeight="1" spans="1:26">
      <c r="A141" s="6" t="s">
        <v>2502</v>
      </c>
      <c r="B141" s="7">
        <v>660</v>
      </c>
      <c r="I141" s="6" t="s">
        <v>554</v>
      </c>
      <c r="J141" s="7">
        <v>298</v>
      </c>
      <c r="M141" s="6" t="s">
        <v>1270</v>
      </c>
      <c r="N141" s="7">
        <v>0</v>
      </c>
      <c r="U141" s="6" t="s">
        <v>2502</v>
      </c>
      <c r="V141" s="7">
        <v>6</v>
      </c>
      <c r="Y141" s="6" t="s">
        <v>2502</v>
      </c>
      <c r="Z141" s="7">
        <v>2</v>
      </c>
    </row>
    <row r="142" customHeight="1" spans="1:26">
      <c r="A142" s="6" t="s">
        <v>1592</v>
      </c>
      <c r="B142" s="7">
        <v>0</v>
      </c>
      <c r="I142" s="6" t="s">
        <v>2499</v>
      </c>
      <c r="J142" s="7">
        <v>1287.54</v>
      </c>
      <c r="M142" s="6" t="s">
        <v>1273</v>
      </c>
      <c r="N142" s="7">
        <v>3493.26</v>
      </c>
      <c r="U142" s="6" t="s">
        <v>1592</v>
      </c>
      <c r="V142" s="7"/>
      <c r="Y142" s="6" t="s">
        <v>1592</v>
      </c>
      <c r="Z142" s="7">
        <v>3</v>
      </c>
    </row>
    <row r="143" customHeight="1" spans="1:26">
      <c r="A143" s="6" t="s">
        <v>2414</v>
      </c>
      <c r="B143" s="7">
        <v>21.95</v>
      </c>
      <c r="I143" s="6" t="s">
        <v>531</v>
      </c>
      <c r="J143" s="7">
        <v>3040.9</v>
      </c>
      <c r="M143" s="6" t="s">
        <v>1276</v>
      </c>
      <c r="N143" s="7">
        <v>879.76</v>
      </c>
      <c r="U143" s="6" t="s">
        <v>2414</v>
      </c>
      <c r="V143" s="7">
        <v>1</v>
      </c>
      <c r="Y143" s="6" t="s">
        <v>2414</v>
      </c>
      <c r="Z143" s="7">
        <v>4</v>
      </c>
    </row>
    <row r="144" customHeight="1" spans="1:26">
      <c r="A144" s="6" t="s">
        <v>811</v>
      </c>
      <c r="B144" s="7">
        <v>89.82</v>
      </c>
      <c r="I144" s="6" t="s">
        <v>705</v>
      </c>
      <c r="J144" s="7">
        <v>20385.39</v>
      </c>
      <c r="M144" s="6" t="s">
        <v>1280</v>
      </c>
      <c r="N144" s="7">
        <v>3982</v>
      </c>
      <c r="U144" s="6" t="s">
        <v>811</v>
      </c>
      <c r="V144" s="7">
        <v>3</v>
      </c>
      <c r="Y144" s="6" t="s">
        <v>811</v>
      </c>
      <c r="Z144" s="7">
        <v>10</v>
      </c>
    </row>
    <row r="145" customHeight="1" spans="1:26">
      <c r="A145" s="6" t="s">
        <v>1968</v>
      </c>
      <c r="B145" s="7">
        <v>0</v>
      </c>
      <c r="I145" s="6" t="s">
        <v>2148</v>
      </c>
      <c r="J145" s="7">
        <v>7702.7</v>
      </c>
      <c r="M145" s="6" t="s">
        <v>1282</v>
      </c>
      <c r="N145" s="7">
        <v>2565.86</v>
      </c>
      <c r="U145" s="6" t="s">
        <v>1968</v>
      </c>
      <c r="V145" s="7"/>
      <c r="Y145" s="6" t="s">
        <v>1968</v>
      </c>
      <c r="Z145" s="7"/>
    </row>
    <row r="146" customHeight="1" spans="1:26">
      <c r="A146" s="6" t="s">
        <v>1376</v>
      </c>
      <c r="B146" s="7">
        <v>1200</v>
      </c>
      <c r="I146" s="6" t="s">
        <v>925</v>
      </c>
      <c r="J146" s="7">
        <v>2085.33</v>
      </c>
      <c r="M146" s="6" t="s">
        <v>1286</v>
      </c>
      <c r="N146" s="7">
        <v>1692.46</v>
      </c>
      <c r="U146" s="6" t="s">
        <v>1376</v>
      </c>
      <c r="V146" s="7">
        <v>2</v>
      </c>
      <c r="Y146" s="6" t="s">
        <v>1376</v>
      </c>
      <c r="Z146" s="7">
        <v>1</v>
      </c>
    </row>
    <row r="147" customHeight="1" spans="1:26">
      <c r="A147" s="6" t="s">
        <v>831</v>
      </c>
      <c r="B147" s="7">
        <v>1105.56</v>
      </c>
      <c r="I147" s="6" t="s">
        <v>472</v>
      </c>
      <c r="J147" s="7">
        <v>4340</v>
      </c>
      <c r="M147" s="6" t="s">
        <v>1291</v>
      </c>
      <c r="N147" s="7">
        <v>63922.96</v>
      </c>
      <c r="U147" s="6" t="s">
        <v>831</v>
      </c>
      <c r="V147" s="7">
        <v>37</v>
      </c>
      <c r="Y147" s="6" t="s">
        <v>831</v>
      </c>
      <c r="Z147" s="7">
        <v>10</v>
      </c>
    </row>
    <row r="148" customHeight="1" spans="1:26">
      <c r="A148" s="6" t="s">
        <v>339</v>
      </c>
      <c r="B148" s="7">
        <v>35243.4</v>
      </c>
      <c r="I148" s="6" t="s">
        <v>563</v>
      </c>
      <c r="J148" s="7">
        <v>3117.4</v>
      </c>
      <c r="M148" s="6" t="s">
        <v>224</v>
      </c>
      <c r="N148" s="7">
        <v>116666.07</v>
      </c>
      <c r="U148" s="6" t="s">
        <v>339</v>
      </c>
      <c r="V148" s="7">
        <v>128</v>
      </c>
      <c r="Y148" s="6" t="s">
        <v>339</v>
      </c>
      <c r="Z148" s="7">
        <v>10</v>
      </c>
    </row>
    <row r="149" customHeight="1" spans="1:26">
      <c r="A149" s="6" t="s">
        <v>2242</v>
      </c>
      <c r="B149" s="7">
        <v>14161</v>
      </c>
      <c r="I149" s="6" t="s">
        <v>1837</v>
      </c>
      <c r="J149" s="7">
        <v>2175.83</v>
      </c>
      <c r="M149" s="6" t="s">
        <v>1293</v>
      </c>
      <c r="N149" s="7">
        <v>979.51</v>
      </c>
      <c r="U149" s="6" t="s">
        <v>2242</v>
      </c>
      <c r="V149" s="7">
        <v>833</v>
      </c>
      <c r="Y149" s="6" t="s">
        <v>2242</v>
      </c>
      <c r="Z149" s="7">
        <v>10</v>
      </c>
    </row>
    <row r="150" customHeight="1" spans="1:26">
      <c r="A150" s="6" t="s">
        <v>696</v>
      </c>
      <c r="B150" s="7">
        <v>20968.4</v>
      </c>
      <c r="I150" s="6" t="s">
        <v>1606</v>
      </c>
      <c r="J150" s="7">
        <v>5575.82</v>
      </c>
      <c r="M150" s="6" t="s">
        <v>1297</v>
      </c>
      <c r="N150" s="7">
        <v>1276.58</v>
      </c>
      <c r="U150" s="6" t="s">
        <v>696</v>
      </c>
      <c r="V150" s="7">
        <v>2356</v>
      </c>
      <c r="Y150" s="6" t="s">
        <v>696</v>
      </c>
      <c r="Z150" s="7">
        <v>10</v>
      </c>
    </row>
    <row r="151" customHeight="1" spans="1:26">
      <c r="A151" s="6" t="s">
        <v>93</v>
      </c>
      <c r="B151" s="7">
        <v>225000.56</v>
      </c>
      <c r="I151" s="6" t="s">
        <v>2125</v>
      </c>
      <c r="J151" s="7">
        <v>0</v>
      </c>
      <c r="M151" s="6" t="s">
        <v>1303</v>
      </c>
      <c r="N151" s="7">
        <v>4947.99</v>
      </c>
      <c r="U151" s="6" t="s">
        <v>93</v>
      </c>
      <c r="V151" s="7">
        <v>1275</v>
      </c>
      <c r="Y151" s="6" t="s">
        <v>93</v>
      </c>
      <c r="Z151" s="7">
        <v>365</v>
      </c>
    </row>
    <row r="152" customHeight="1" spans="1:26">
      <c r="A152" s="6" t="s">
        <v>115</v>
      </c>
      <c r="B152" s="7">
        <v>149449.15</v>
      </c>
      <c r="I152" s="6" t="s">
        <v>2636</v>
      </c>
      <c r="J152" s="7">
        <v>0</v>
      </c>
      <c r="M152" s="6" t="s">
        <v>1307</v>
      </c>
      <c r="N152" s="7">
        <v>1019.94</v>
      </c>
      <c r="U152" s="6" t="s">
        <v>115</v>
      </c>
      <c r="V152" s="7">
        <v>3101</v>
      </c>
      <c r="Y152" s="6" t="s">
        <v>115</v>
      </c>
      <c r="Z152" s="7">
        <v>409</v>
      </c>
    </row>
    <row r="153" customHeight="1" spans="1:26">
      <c r="A153" s="6" t="s">
        <v>2068</v>
      </c>
      <c r="B153" s="7">
        <v>0</v>
      </c>
      <c r="I153" s="6" t="s">
        <v>82</v>
      </c>
      <c r="J153" s="7">
        <v>167.92</v>
      </c>
      <c r="M153" s="6" t="s">
        <v>1311</v>
      </c>
      <c r="N153" s="7">
        <v>7394.82</v>
      </c>
      <c r="U153" s="6" t="s">
        <v>2068</v>
      </c>
      <c r="V153" s="7"/>
      <c r="Y153" s="6" t="s">
        <v>2068</v>
      </c>
      <c r="Z153" s="7"/>
    </row>
    <row r="154" customHeight="1" spans="1:26">
      <c r="A154" s="6" t="s">
        <v>1366</v>
      </c>
      <c r="B154" s="7">
        <v>1089.88</v>
      </c>
      <c r="I154" s="6" t="s">
        <v>2430</v>
      </c>
      <c r="J154" s="7">
        <v>3874.69</v>
      </c>
      <c r="M154" s="6" t="s">
        <v>1318</v>
      </c>
      <c r="N154" s="7">
        <v>0</v>
      </c>
      <c r="U154" s="6" t="s">
        <v>1366</v>
      </c>
      <c r="V154" s="7">
        <v>26</v>
      </c>
      <c r="Y154" s="6" t="s">
        <v>1366</v>
      </c>
      <c r="Z154" s="7">
        <v>6</v>
      </c>
    </row>
    <row r="155" customHeight="1" spans="1:26">
      <c r="A155" s="6" t="s">
        <v>1465</v>
      </c>
      <c r="B155" s="7">
        <v>0</v>
      </c>
      <c r="I155" s="6" t="s">
        <v>632</v>
      </c>
      <c r="J155" s="7">
        <v>1049.97</v>
      </c>
      <c r="M155" s="6" t="s">
        <v>1323</v>
      </c>
      <c r="N155" s="7">
        <v>0</v>
      </c>
      <c r="U155" s="6" t="s">
        <v>1465</v>
      </c>
      <c r="V155" s="7"/>
      <c r="Y155" s="6" t="s">
        <v>1465</v>
      </c>
      <c r="Z155" s="7"/>
    </row>
    <row r="156" customHeight="1" spans="1:26">
      <c r="A156" s="6" t="s">
        <v>245</v>
      </c>
      <c r="B156" s="7">
        <v>1019428.84</v>
      </c>
      <c r="I156" s="6" t="s">
        <v>1844</v>
      </c>
      <c r="J156" s="7">
        <v>44832</v>
      </c>
      <c r="M156" s="6" t="s">
        <v>1326</v>
      </c>
      <c r="N156" s="7">
        <v>64163.49</v>
      </c>
      <c r="U156" s="6" t="s">
        <v>245</v>
      </c>
      <c r="V156" s="7">
        <v>14462</v>
      </c>
      <c r="Y156" s="6" t="s">
        <v>245</v>
      </c>
      <c r="Z156" s="7">
        <v>1120</v>
      </c>
    </row>
    <row r="157" customHeight="1" spans="1:26">
      <c r="A157" s="6" t="s">
        <v>280</v>
      </c>
      <c r="B157" s="7">
        <v>103525.5</v>
      </c>
      <c r="I157" s="6" t="s">
        <v>808</v>
      </c>
      <c r="J157" s="7">
        <v>1121.43</v>
      </c>
      <c r="M157" s="6" t="s">
        <v>1330</v>
      </c>
      <c r="N157" s="7">
        <v>9149.28</v>
      </c>
      <c r="U157" s="6" t="s">
        <v>280</v>
      </c>
      <c r="V157" s="7">
        <v>3690</v>
      </c>
      <c r="Y157" s="6" t="s">
        <v>280</v>
      </c>
      <c r="Z157" s="7">
        <v>60</v>
      </c>
    </row>
    <row r="158" customHeight="1" spans="1:26">
      <c r="A158" s="6" t="s">
        <v>616</v>
      </c>
      <c r="B158" s="7">
        <v>117.9</v>
      </c>
      <c r="I158" s="6" t="s">
        <v>198</v>
      </c>
      <c r="J158" s="7">
        <v>15003.51</v>
      </c>
      <c r="M158" s="6" t="s">
        <v>1338</v>
      </c>
      <c r="N158" s="7">
        <v>3033.53</v>
      </c>
      <c r="U158" s="6" t="s">
        <v>616</v>
      </c>
      <c r="V158" s="7">
        <v>2</v>
      </c>
      <c r="Y158" s="6" t="s">
        <v>616</v>
      </c>
      <c r="Z158" s="7">
        <v>1</v>
      </c>
    </row>
    <row r="159" customHeight="1" spans="1:26">
      <c r="A159" s="6" t="s">
        <v>2335</v>
      </c>
      <c r="B159" s="7">
        <v>0</v>
      </c>
      <c r="I159" s="6" t="s">
        <v>195</v>
      </c>
      <c r="J159" s="7">
        <v>348</v>
      </c>
      <c r="M159" s="6" t="s">
        <v>229</v>
      </c>
      <c r="N159" s="7">
        <v>355.57</v>
      </c>
      <c r="U159" s="6" t="s">
        <v>2335</v>
      </c>
      <c r="V159" s="7"/>
      <c r="Y159" s="6" t="s">
        <v>2335</v>
      </c>
      <c r="Z159" s="7"/>
    </row>
    <row r="160" customHeight="1" spans="1:26">
      <c r="A160" s="6" t="s">
        <v>195</v>
      </c>
      <c r="B160" s="7">
        <v>67052.55</v>
      </c>
      <c r="I160" s="6" t="s">
        <v>2017</v>
      </c>
      <c r="J160" s="7">
        <v>1484.67</v>
      </c>
      <c r="M160" s="6" t="s">
        <v>1345</v>
      </c>
      <c r="N160" s="7">
        <v>7434.25</v>
      </c>
      <c r="U160" s="6" t="s">
        <v>195</v>
      </c>
      <c r="V160" s="7">
        <v>2989</v>
      </c>
      <c r="Y160" s="6" t="s">
        <v>195</v>
      </c>
      <c r="Z160" s="7">
        <v>98</v>
      </c>
    </row>
    <row r="161" customHeight="1" spans="1:26">
      <c r="A161" s="6" t="s">
        <v>1855</v>
      </c>
      <c r="B161" s="7">
        <v>1319.56</v>
      </c>
      <c r="I161" s="6" t="s">
        <v>1402</v>
      </c>
      <c r="J161" s="7">
        <v>9222.95</v>
      </c>
      <c r="M161" s="6" t="s">
        <v>1351</v>
      </c>
      <c r="N161" s="7">
        <v>2733.32</v>
      </c>
      <c r="U161" s="6" t="s">
        <v>1855</v>
      </c>
      <c r="V161" s="7">
        <v>44</v>
      </c>
      <c r="Y161" s="6" t="s">
        <v>1855</v>
      </c>
      <c r="Z161" s="7">
        <v>10</v>
      </c>
    </row>
    <row r="162" customHeight="1" spans="1:26">
      <c r="A162" s="6" t="s">
        <v>989</v>
      </c>
      <c r="B162" s="7">
        <v>157.47</v>
      </c>
      <c r="I162" s="6" t="s">
        <v>2400</v>
      </c>
      <c r="J162" s="7">
        <v>569.81</v>
      </c>
      <c r="M162" s="6" t="s">
        <v>1354</v>
      </c>
      <c r="N162" s="7">
        <v>939.72</v>
      </c>
      <c r="U162" s="6" t="s">
        <v>989</v>
      </c>
      <c r="V162" s="7">
        <v>3</v>
      </c>
      <c r="Y162" s="6" t="s">
        <v>989</v>
      </c>
      <c r="Z162" s="7">
        <v>10</v>
      </c>
    </row>
    <row r="163" customHeight="1" spans="1:26">
      <c r="A163" s="6" t="s">
        <v>1476</v>
      </c>
      <c r="B163" s="7">
        <v>2630.55</v>
      </c>
      <c r="I163" s="6" t="s">
        <v>1125</v>
      </c>
      <c r="J163" s="7">
        <v>449.94</v>
      </c>
      <c r="M163" s="6" t="s">
        <v>1359</v>
      </c>
      <c r="N163" s="7">
        <v>0</v>
      </c>
      <c r="U163" s="6" t="s">
        <v>1476</v>
      </c>
      <c r="V163" s="7">
        <v>195</v>
      </c>
      <c r="Y163" s="6" t="s">
        <v>1476</v>
      </c>
      <c r="Z163" s="7">
        <v>10</v>
      </c>
    </row>
    <row r="164" customHeight="1" spans="1:26">
      <c r="A164" s="6" t="s">
        <v>124</v>
      </c>
      <c r="B164" s="7">
        <v>19480.8</v>
      </c>
      <c r="I164" s="6" t="s">
        <v>488</v>
      </c>
      <c r="J164" s="7">
        <v>71269.04</v>
      </c>
      <c r="M164" s="6" t="s">
        <v>1364</v>
      </c>
      <c r="N164" s="7">
        <v>340.23</v>
      </c>
      <c r="U164" s="6" t="s">
        <v>124</v>
      </c>
      <c r="V164" s="7">
        <v>497</v>
      </c>
      <c r="Y164" s="6" t="s">
        <v>124</v>
      </c>
      <c r="Z164" s="7">
        <v>35</v>
      </c>
    </row>
    <row r="165" customHeight="1" spans="1:26">
      <c r="A165" s="6" t="s">
        <v>297</v>
      </c>
      <c r="B165" s="7">
        <v>0</v>
      </c>
      <c r="I165" s="6" t="s">
        <v>763</v>
      </c>
      <c r="J165" s="7">
        <v>4624.8</v>
      </c>
      <c r="M165" s="6" t="s">
        <v>1367</v>
      </c>
      <c r="N165" s="7">
        <v>1050</v>
      </c>
      <c r="U165" s="6" t="s">
        <v>297</v>
      </c>
      <c r="V165" s="7"/>
      <c r="Y165" s="6" t="s">
        <v>297</v>
      </c>
      <c r="Z165" s="7">
        <v>5</v>
      </c>
    </row>
    <row r="166" customHeight="1" spans="1:26">
      <c r="A166" s="6" t="s">
        <v>1503</v>
      </c>
      <c r="B166" s="7">
        <v>2444.69</v>
      </c>
      <c r="I166" s="6" t="s">
        <v>1350</v>
      </c>
      <c r="J166" s="7">
        <v>2733.32</v>
      </c>
      <c r="M166" s="6" t="s">
        <v>1372</v>
      </c>
      <c r="N166" s="7">
        <v>0</v>
      </c>
      <c r="U166" s="6" t="s">
        <v>1503</v>
      </c>
      <c r="V166" s="7">
        <v>153</v>
      </c>
      <c r="Y166" s="6" t="s">
        <v>1503</v>
      </c>
      <c r="Z166" s="7">
        <v>40</v>
      </c>
    </row>
    <row r="167" customHeight="1" spans="1:26">
      <c r="A167" s="6" t="s">
        <v>692</v>
      </c>
      <c r="B167" s="7">
        <v>0</v>
      </c>
      <c r="I167" s="6" t="s">
        <v>1285</v>
      </c>
      <c r="J167" s="7">
        <v>1692.46</v>
      </c>
      <c r="M167" s="6" t="s">
        <v>1378</v>
      </c>
      <c r="N167" s="7">
        <v>1200</v>
      </c>
      <c r="U167" s="6" t="s">
        <v>692</v>
      </c>
      <c r="V167" s="7"/>
      <c r="Y167" s="6" t="s">
        <v>692</v>
      </c>
      <c r="Z167" s="7"/>
    </row>
    <row r="168" customHeight="1" spans="1:26">
      <c r="A168" s="6" t="s">
        <v>1268</v>
      </c>
      <c r="B168" s="7">
        <v>0</v>
      </c>
      <c r="I168" s="6" t="s">
        <v>94</v>
      </c>
      <c r="J168" s="7">
        <v>29297.84</v>
      </c>
      <c r="M168" s="6" t="s">
        <v>1382</v>
      </c>
      <c r="N168" s="7">
        <v>12382.92</v>
      </c>
      <c r="U168" s="6" t="s">
        <v>1268</v>
      </c>
      <c r="V168" s="7"/>
      <c r="Y168" s="6" t="s">
        <v>1268</v>
      </c>
      <c r="Z168" s="7"/>
    </row>
    <row r="169" customHeight="1" spans="1:26">
      <c r="A169" s="6" t="s">
        <v>1197</v>
      </c>
      <c r="B169" s="7">
        <v>16679.46</v>
      </c>
      <c r="I169" s="6" t="s">
        <v>1970</v>
      </c>
      <c r="J169" s="7">
        <v>0</v>
      </c>
      <c r="M169" s="6" t="s">
        <v>1384</v>
      </c>
      <c r="N169" s="7">
        <v>23916.75</v>
      </c>
      <c r="U169" s="6" t="s">
        <v>1197</v>
      </c>
      <c r="V169" s="7">
        <v>62</v>
      </c>
      <c r="Y169" s="6" t="s">
        <v>1197</v>
      </c>
      <c r="Z169" s="7">
        <v>18</v>
      </c>
    </row>
    <row r="170" customHeight="1" spans="1:26">
      <c r="A170" s="6" t="s">
        <v>1058</v>
      </c>
      <c r="B170" s="7">
        <v>139.96</v>
      </c>
      <c r="I170" s="6" t="s">
        <v>2210</v>
      </c>
      <c r="J170" s="7">
        <v>1006.56</v>
      </c>
      <c r="M170" s="6" t="s">
        <v>232</v>
      </c>
      <c r="N170" s="7">
        <v>0</v>
      </c>
      <c r="U170" s="6" t="s">
        <v>1058</v>
      </c>
      <c r="V170" s="7">
        <v>4</v>
      </c>
      <c r="Y170" s="6" t="s">
        <v>1058</v>
      </c>
      <c r="Z170" s="7">
        <v>2</v>
      </c>
    </row>
    <row r="171" customHeight="1" spans="1:26">
      <c r="A171" s="6" t="s">
        <v>2203</v>
      </c>
      <c r="B171" s="7">
        <v>0</v>
      </c>
      <c r="I171" s="6" t="s">
        <v>1313</v>
      </c>
      <c r="J171" s="7">
        <v>6752.21</v>
      </c>
      <c r="M171" s="6" t="s">
        <v>1389</v>
      </c>
      <c r="N171" s="7">
        <v>0</v>
      </c>
      <c r="U171" s="6" t="s">
        <v>2203</v>
      </c>
      <c r="V171" s="7"/>
      <c r="Y171" s="6" t="s">
        <v>2203</v>
      </c>
      <c r="Z171" s="7"/>
    </row>
    <row r="172" customHeight="1" spans="1:26">
      <c r="A172" s="6" t="s">
        <v>624</v>
      </c>
      <c r="B172" s="7">
        <v>105525.47</v>
      </c>
      <c r="I172" s="6" t="s">
        <v>2284</v>
      </c>
      <c r="J172" s="7">
        <v>15343.92</v>
      </c>
      <c r="M172" s="6" t="s">
        <v>1393</v>
      </c>
      <c r="N172" s="7">
        <v>16.99</v>
      </c>
      <c r="U172" s="6" t="s">
        <v>624</v>
      </c>
      <c r="V172" s="7">
        <v>6534</v>
      </c>
      <c r="Y172" s="6" t="s">
        <v>624</v>
      </c>
      <c r="Z172" s="7">
        <v>40</v>
      </c>
    </row>
    <row r="173" customHeight="1" spans="1:26">
      <c r="A173" s="6" t="s">
        <v>1207</v>
      </c>
      <c r="B173" s="7">
        <v>0</v>
      </c>
      <c r="I173" s="6" t="s">
        <v>2513</v>
      </c>
      <c r="J173" s="7">
        <v>5391</v>
      </c>
      <c r="M173" s="6" t="s">
        <v>1395</v>
      </c>
      <c r="N173" s="7">
        <v>2107.89</v>
      </c>
      <c r="U173" s="6" t="s">
        <v>1207</v>
      </c>
      <c r="V173" s="7"/>
      <c r="Y173" s="6" t="s">
        <v>1207</v>
      </c>
      <c r="Z173" s="7"/>
    </row>
    <row r="174" customHeight="1" spans="1:26">
      <c r="A174" s="6" t="s">
        <v>1405</v>
      </c>
      <c r="B174" s="7">
        <v>473.75</v>
      </c>
      <c r="I174" s="6" t="s">
        <v>1203</v>
      </c>
      <c r="J174" s="7">
        <v>0</v>
      </c>
      <c r="M174" s="6" t="s">
        <v>1398</v>
      </c>
      <c r="N174" s="7">
        <v>0</v>
      </c>
      <c r="U174" s="6" t="s">
        <v>1405</v>
      </c>
      <c r="V174" s="7">
        <v>25</v>
      </c>
      <c r="Y174" s="6" t="s">
        <v>1405</v>
      </c>
      <c r="Z174" s="7">
        <v>10</v>
      </c>
    </row>
    <row r="175" customHeight="1" spans="1:26">
      <c r="A175" s="6" t="s">
        <v>1242</v>
      </c>
      <c r="B175" s="7">
        <v>324.85</v>
      </c>
      <c r="I175" s="6" t="s">
        <v>240</v>
      </c>
      <c r="J175" s="7">
        <v>0</v>
      </c>
      <c r="M175" s="6" t="s">
        <v>1403</v>
      </c>
      <c r="N175" s="7">
        <v>5713.73</v>
      </c>
      <c r="U175" s="6" t="s">
        <v>1242</v>
      </c>
      <c r="V175" s="7">
        <v>1</v>
      </c>
      <c r="Y175" s="6" t="s">
        <v>1242</v>
      </c>
      <c r="Z175" s="7">
        <v>1</v>
      </c>
    </row>
    <row r="176" customHeight="1" spans="1:26">
      <c r="A176" s="6" t="s">
        <v>1260</v>
      </c>
      <c r="B176" s="7">
        <v>2423.4</v>
      </c>
      <c r="I176" s="6" t="s">
        <v>1388</v>
      </c>
      <c r="J176" s="7">
        <v>0</v>
      </c>
      <c r="M176" s="6" t="s">
        <v>1406</v>
      </c>
      <c r="N176" s="7">
        <v>473.75</v>
      </c>
      <c r="U176" s="6" t="s">
        <v>1260</v>
      </c>
      <c r="V176" s="7">
        <v>84</v>
      </c>
      <c r="Y176" s="6" t="s">
        <v>1260</v>
      </c>
      <c r="Z176" s="7">
        <v>10</v>
      </c>
    </row>
    <row r="177" customHeight="1" spans="1:26">
      <c r="A177" s="6" t="s">
        <v>1911</v>
      </c>
      <c r="B177" s="7">
        <v>0</v>
      </c>
      <c r="I177" s="6" t="s">
        <v>1886</v>
      </c>
      <c r="J177" s="7">
        <v>1819.74</v>
      </c>
      <c r="M177" s="6" t="s">
        <v>1414</v>
      </c>
      <c r="N177" s="7">
        <v>0</v>
      </c>
      <c r="U177" s="6" t="s">
        <v>1911</v>
      </c>
      <c r="V177" s="7"/>
      <c r="Y177" s="6" t="s">
        <v>1911</v>
      </c>
      <c r="Z177" s="7"/>
    </row>
    <row r="178" customHeight="1" spans="1:26">
      <c r="A178" s="6" t="s">
        <v>2028</v>
      </c>
      <c r="B178" s="7">
        <v>64819.3</v>
      </c>
      <c r="I178" s="6" t="s">
        <v>2517</v>
      </c>
      <c r="J178" s="7">
        <v>0</v>
      </c>
      <c r="M178" s="6" t="s">
        <v>1417</v>
      </c>
      <c r="N178" s="7">
        <v>1517.78</v>
      </c>
      <c r="U178" s="6" t="s">
        <v>2028</v>
      </c>
      <c r="V178" s="7">
        <v>221</v>
      </c>
      <c r="Y178" s="6" t="s">
        <v>2028</v>
      </c>
      <c r="Z178" s="7">
        <v>1</v>
      </c>
    </row>
    <row r="179" customHeight="1" spans="1:26">
      <c r="A179" s="6" t="s">
        <v>2151</v>
      </c>
      <c r="B179" s="7">
        <v>0</v>
      </c>
      <c r="I179" s="6" t="s">
        <v>2504</v>
      </c>
      <c r="J179" s="7">
        <v>660</v>
      </c>
      <c r="M179" s="6" t="s">
        <v>1423</v>
      </c>
      <c r="N179" s="7">
        <v>0</v>
      </c>
      <c r="U179" s="6" t="s">
        <v>2151</v>
      </c>
      <c r="V179" s="7"/>
      <c r="Y179" s="6" t="s">
        <v>2151</v>
      </c>
      <c r="Z179" s="7"/>
    </row>
    <row r="180" customHeight="1" spans="1:26">
      <c r="A180" s="6" t="s">
        <v>365</v>
      </c>
      <c r="B180" s="7">
        <v>4274.76</v>
      </c>
      <c r="I180" s="6" t="s">
        <v>911</v>
      </c>
      <c r="J180" s="7">
        <v>42715.8</v>
      </c>
      <c r="M180" s="6" t="s">
        <v>1425</v>
      </c>
      <c r="N180" s="7">
        <v>259.9</v>
      </c>
      <c r="U180" s="6" t="s">
        <v>365</v>
      </c>
      <c r="V180" s="7">
        <v>61</v>
      </c>
      <c r="Y180" s="6" t="s">
        <v>365</v>
      </c>
      <c r="Z180" s="7">
        <v>31</v>
      </c>
    </row>
    <row r="181" customHeight="1" spans="1:26">
      <c r="A181" s="6" t="s">
        <v>144</v>
      </c>
      <c r="B181" s="7">
        <v>181497.74</v>
      </c>
      <c r="I181" s="6" t="s">
        <v>1742</v>
      </c>
      <c r="J181" s="7">
        <v>4930</v>
      </c>
      <c r="M181" s="6" t="s">
        <v>236</v>
      </c>
      <c r="N181" s="7">
        <v>554.63</v>
      </c>
      <c r="U181" s="6" t="s">
        <v>144</v>
      </c>
      <c r="V181" s="7">
        <v>11221</v>
      </c>
      <c r="Y181" s="6" t="s">
        <v>144</v>
      </c>
      <c r="Z181" s="7">
        <v>162</v>
      </c>
    </row>
    <row r="182" customHeight="1" spans="1:26">
      <c r="A182" s="6" t="s">
        <v>125</v>
      </c>
      <c r="B182" s="7">
        <v>333584.87</v>
      </c>
      <c r="I182" s="6" t="s">
        <v>2188</v>
      </c>
      <c r="J182" s="7">
        <v>36</v>
      </c>
      <c r="M182" s="6" t="s">
        <v>1429</v>
      </c>
      <c r="N182" s="7">
        <v>167.92</v>
      </c>
      <c r="U182" s="6" t="s">
        <v>125</v>
      </c>
      <c r="V182" s="7">
        <v>17664</v>
      </c>
      <c r="Y182" s="6" t="s">
        <v>125</v>
      </c>
      <c r="Z182" s="7">
        <v>2206</v>
      </c>
    </row>
    <row r="183" customHeight="1" spans="1:26">
      <c r="A183" s="6" t="s">
        <v>1898</v>
      </c>
      <c r="B183" s="7">
        <v>49.94</v>
      </c>
      <c r="I183" s="6" t="s">
        <v>173</v>
      </c>
      <c r="J183" s="7">
        <v>651338.27</v>
      </c>
      <c r="M183" s="6" t="s">
        <v>1431</v>
      </c>
      <c r="N183" s="7">
        <v>348</v>
      </c>
      <c r="U183" s="6" t="s">
        <v>1898</v>
      </c>
      <c r="V183" s="7">
        <v>1</v>
      </c>
      <c r="Y183" s="6" t="s">
        <v>1898</v>
      </c>
      <c r="Z183" s="7">
        <v>1</v>
      </c>
    </row>
    <row r="184" customHeight="1" spans="1:26">
      <c r="A184" s="6" t="s">
        <v>370</v>
      </c>
      <c r="B184" s="7">
        <v>0</v>
      </c>
      <c r="I184" s="6" t="s">
        <v>290</v>
      </c>
      <c r="J184" s="7">
        <v>111732.16</v>
      </c>
      <c r="M184" s="6" t="s">
        <v>1443</v>
      </c>
      <c r="N184" s="7">
        <v>389.97</v>
      </c>
      <c r="U184" s="6" t="s">
        <v>370</v>
      </c>
      <c r="V184" s="7"/>
      <c r="Y184" s="6" t="s">
        <v>370</v>
      </c>
      <c r="Z184" s="7">
        <v>13</v>
      </c>
    </row>
    <row r="185" customHeight="1" spans="1:26">
      <c r="A185" s="6" t="s">
        <v>2488</v>
      </c>
      <c r="B185" s="7">
        <v>0</v>
      </c>
      <c r="I185" s="6" t="s">
        <v>1675</v>
      </c>
      <c r="J185" s="7">
        <v>34563.4</v>
      </c>
      <c r="M185" s="6" t="s">
        <v>1448</v>
      </c>
      <c r="N185" s="7">
        <v>139.51</v>
      </c>
      <c r="U185" s="6" t="s">
        <v>2488</v>
      </c>
      <c r="V185" s="7"/>
      <c r="Y185" s="6" t="s">
        <v>2488</v>
      </c>
      <c r="Z185" s="7">
        <v>3</v>
      </c>
    </row>
    <row r="186" customHeight="1" spans="1:26">
      <c r="A186" s="6" t="s">
        <v>535</v>
      </c>
      <c r="B186" s="7">
        <v>6279.77</v>
      </c>
      <c r="I186" s="6" t="s">
        <v>1593</v>
      </c>
      <c r="J186" s="7">
        <v>0</v>
      </c>
      <c r="M186" s="6" t="s">
        <v>1466</v>
      </c>
      <c r="N186" s="7">
        <v>0</v>
      </c>
      <c r="U186" s="6" t="s">
        <v>535</v>
      </c>
      <c r="V186" s="7">
        <v>43</v>
      </c>
      <c r="Y186" s="6" t="s">
        <v>535</v>
      </c>
      <c r="Z186" s="7">
        <v>102</v>
      </c>
    </row>
    <row r="187" customHeight="1" spans="1:26">
      <c r="A187" s="6" t="s">
        <v>2428</v>
      </c>
      <c r="B187" s="7">
        <v>3874.69</v>
      </c>
      <c r="I187" s="6" t="s">
        <v>1554</v>
      </c>
      <c r="J187" s="7">
        <v>9997.5</v>
      </c>
      <c r="M187" s="6" t="s">
        <v>1471</v>
      </c>
      <c r="N187" s="7">
        <v>4333.18</v>
      </c>
      <c r="U187" s="6" t="s">
        <v>2428</v>
      </c>
      <c r="V187" s="7">
        <v>31</v>
      </c>
      <c r="Y187" s="6" t="s">
        <v>2428</v>
      </c>
      <c r="Z187" s="7">
        <v>9</v>
      </c>
    </row>
    <row r="188" customHeight="1" spans="1:26">
      <c r="A188" s="6" t="s">
        <v>1741</v>
      </c>
      <c r="B188" s="7">
        <v>4930</v>
      </c>
      <c r="I188" s="6" t="s">
        <v>1310</v>
      </c>
      <c r="J188" s="7">
        <v>563.53</v>
      </c>
      <c r="M188" s="6" t="s">
        <v>1479</v>
      </c>
      <c r="N188" s="7">
        <v>90</v>
      </c>
      <c r="U188" s="6" t="s">
        <v>1741</v>
      </c>
      <c r="V188" s="7">
        <v>34</v>
      </c>
      <c r="Y188" s="6" t="s">
        <v>1741</v>
      </c>
      <c r="Z188" s="7">
        <v>10</v>
      </c>
    </row>
    <row r="189" customHeight="1" spans="1:26">
      <c r="A189" s="6" t="s">
        <v>1401</v>
      </c>
      <c r="B189" s="7">
        <v>5713.73</v>
      </c>
      <c r="I189" s="6" t="s">
        <v>894</v>
      </c>
      <c r="J189" s="7">
        <v>5528.49</v>
      </c>
      <c r="M189" s="6" t="s">
        <v>1482</v>
      </c>
      <c r="N189" s="7">
        <v>110.97</v>
      </c>
      <c r="U189" s="6" t="s">
        <v>1401</v>
      </c>
      <c r="V189" s="7">
        <v>127</v>
      </c>
      <c r="Y189" s="6" t="s">
        <v>1401</v>
      </c>
      <c r="Z189" s="7">
        <v>10</v>
      </c>
    </row>
    <row r="190" customHeight="1" spans="1:26">
      <c r="A190" s="6" t="s">
        <v>778</v>
      </c>
      <c r="B190" s="7">
        <v>70</v>
      </c>
      <c r="I190" s="6" t="s">
        <v>390</v>
      </c>
      <c r="J190" s="7">
        <v>62569.34</v>
      </c>
      <c r="M190" s="6" t="s">
        <v>1487</v>
      </c>
      <c r="N190" s="7">
        <v>2250</v>
      </c>
      <c r="U190" s="6" t="s">
        <v>778</v>
      </c>
      <c r="V190" s="7">
        <v>1</v>
      </c>
      <c r="Y190" s="6" t="s">
        <v>778</v>
      </c>
      <c r="Z190" s="7">
        <v>4</v>
      </c>
    </row>
    <row r="191" customHeight="1" spans="1:26">
      <c r="A191" s="6" t="s">
        <v>1544</v>
      </c>
      <c r="B191" s="7">
        <v>3509.22</v>
      </c>
      <c r="I191" s="6" t="s">
        <v>659</v>
      </c>
      <c r="J191" s="7">
        <v>599.97</v>
      </c>
      <c r="M191" s="6" t="s">
        <v>1491</v>
      </c>
      <c r="N191" s="7">
        <v>223.93</v>
      </c>
      <c r="U191" s="6" t="s">
        <v>1544</v>
      </c>
      <c r="V191" s="7">
        <v>78</v>
      </c>
      <c r="Y191" s="6" t="s">
        <v>1544</v>
      </c>
      <c r="Z191" s="7">
        <v>10</v>
      </c>
    </row>
    <row r="192" customHeight="1" spans="1:26">
      <c r="A192" s="6" t="s">
        <v>700</v>
      </c>
      <c r="B192" s="7">
        <v>539.91</v>
      </c>
      <c r="I192" s="6" t="s">
        <v>434</v>
      </c>
      <c r="J192" s="7">
        <v>18652.27</v>
      </c>
      <c r="M192" s="6" t="s">
        <v>241</v>
      </c>
      <c r="N192" s="7">
        <v>140</v>
      </c>
      <c r="U192" s="6" t="s">
        <v>700</v>
      </c>
      <c r="V192" s="7">
        <v>9</v>
      </c>
      <c r="Y192" s="6" t="s">
        <v>700</v>
      </c>
      <c r="Z192" s="7">
        <v>10</v>
      </c>
    </row>
    <row r="193" customHeight="1" spans="1:26">
      <c r="A193" s="6" t="s">
        <v>1885</v>
      </c>
      <c r="B193" s="7">
        <v>1819.74</v>
      </c>
      <c r="I193" s="6" t="s">
        <v>2490</v>
      </c>
      <c r="J193" s="7">
        <v>0</v>
      </c>
      <c r="M193" s="6" t="s">
        <v>1495</v>
      </c>
      <c r="N193" s="7">
        <v>644.57</v>
      </c>
      <c r="U193" s="6" t="s">
        <v>1885</v>
      </c>
      <c r="V193" s="7">
        <v>26</v>
      </c>
      <c r="Y193" s="6" t="s">
        <v>1885</v>
      </c>
      <c r="Z193" s="7">
        <v>1</v>
      </c>
    </row>
    <row r="194" customHeight="1" spans="1:26">
      <c r="A194" s="6" t="s">
        <v>1252</v>
      </c>
      <c r="B194" s="7">
        <v>4993.15</v>
      </c>
      <c r="I194" s="6" t="s">
        <v>1152</v>
      </c>
      <c r="J194" s="7">
        <v>1465.37</v>
      </c>
      <c r="M194" s="6" t="s">
        <v>1505</v>
      </c>
      <c r="N194" s="7">
        <v>839.16</v>
      </c>
      <c r="U194" s="6" t="s">
        <v>1252</v>
      </c>
      <c r="V194" s="7">
        <v>185</v>
      </c>
      <c r="Y194" s="6" t="s">
        <v>1252</v>
      </c>
      <c r="Z194" s="7">
        <v>10</v>
      </c>
    </row>
    <row r="195" customHeight="1" spans="1:26">
      <c r="A195" s="6" t="s">
        <v>2233</v>
      </c>
      <c r="B195" s="7">
        <v>0</v>
      </c>
      <c r="I195" s="6" t="s">
        <v>2196</v>
      </c>
      <c r="J195" s="7">
        <v>3360.73</v>
      </c>
      <c r="M195" s="6" t="s">
        <v>1513</v>
      </c>
      <c r="N195" s="7">
        <v>8749.23</v>
      </c>
      <c r="U195" s="6" t="s">
        <v>2233</v>
      </c>
      <c r="V195" s="7"/>
      <c r="Y195" s="6" t="s">
        <v>2233</v>
      </c>
      <c r="Z195" s="7"/>
    </row>
    <row r="196" customHeight="1" spans="1:26">
      <c r="A196" s="6" t="s">
        <v>807</v>
      </c>
      <c r="B196" s="7">
        <v>1121.43</v>
      </c>
      <c r="I196" s="6" t="s">
        <v>1715</v>
      </c>
      <c r="J196" s="7">
        <v>15710.51</v>
      </c>
      <c r="M196" s="6" t="s">
        <v>1523</v>
      </c>
      <c r="N196" s="7">
        <v>172.95</v>
      </c>
      <c r="U196" s="6" t="s">
        <v>807</v>
      </c>
      <c r="V196" s="7">
        <v>87</v>
      </c>
      <c r="Y196" s="6" t="s">
        <v>807</v>
      </c>
      <c r="Z196" s="7">
        <v>10</v>
      </c>
    </row>
    <row r="197" customHeight="1" spans="1:26">
      <c r="A197" s="6" t="s">
        <v>100</v>
      </c>
      <c r="B197" s="7">
        <v>18783.15</v>
      </c>
      <c r="I197" s="6" t="s">
        <v>1353</v>
      </c>
      <c r="J197" s="7">
        <v>939.72</v>
      </c>
      <c r="M197" s="6" t="s">
        <v>1526</v>
      </c>
      <c r="N197" s="7">
        <v>129.95</v>
      </c>
      <c r="U197" s="6" t="s">
        <v>100</v>
      </c>
      <c r="V197" s="7">
        <v>185</v>
      </c>
      <c r="Y197" s="6" t="s">
        <v>100</v>
      </c>
      <c r="Z197" s="7">
        <v>37</v>
      </c>
    </row>
    <row r="198" customHeight="1" spans="1:26">
      <c r="A198" s="6" t="s">
        <v>269</v>
      </c>
      <c r="B198" s="7">
        <v>13999</v>
      </c>
      <c r="I198" s="6" t="s">
        <v>1504</v>
      </c>
      <c r="J198" s="7">
        <v>839.16</v>
      </c>
      <c r="M198" s="6" t="s">
        <v>1540</v>
      </c>
      <c r="N198" s="7">
        <v>4199.25</v>
      </c>
      <c r="U198" s="6" t="s">
        <v>269</v>
      </c>
      <c r="V198" s="7">
        <v>100</v>
      </c>
      <c r="Y198" s="6" t="s">
        <v>269</v>
      </c>
      <c r="Z198" s="7">
        <v>5</v>
      </c>
    </row>
    <row r="199" customHeight="1" spans="1:26">
      <c r="A199" s="6" t="s">
        <v>2195</v>
      </c>
      <c r="B199" s="7">
        <v>3360.73</v>
      </c>
      <c r="I199" s="6" t="s">
        <v>197</v>
      </c>
      <c r="J199" s="7">
        <v>179.91</v>
      </c>
      <c r="M199" s="6" t="s">
        <v>1545</v>
      </c>
      <c r="N199" s="7">
        <v>3509.22</v>
      </c>
      <c r="U199" s="6" t="s">
        <v>2195</v>
      </c>
      <c r="V199" s="7">
        <v>373</v>
      </c>
      <c r="Y199" s="6" t="s">
        <v>2195</v>
      </c>
      <c r="Z199" s="7">
        <v>2</v>
      </c>
    </row>
    <row r="200" customHeight="1" spans="1:26">
      <c r="A200" s="6" t="s">
        <v>725</v>
      </c>
      <c r="B200" s="7">
        <v>37230.84</v>
      </c>
      <c r="I200" s="6" t="s">
        <v>2046</v>
      </c>
      <c r="J200" s="7">
        <v>1255.8</v>
      </c>
      <c r="M200" s="6" t="s">
        <v>1555</v>
      </c>
      <c r="N200" s="7">
        <v>9997.5</v>
      </c>
      <c r="U200" s="6" t="s">
        <v>725</v>
      </c>
      <c r="V200" s="7">
        <v>866</v>
      </c>
      <c r="Y200" s="6" t="s">
        <v>725</v>
      </c>
      <c r="Z200" s="7">
        <v>12</v>
      </c>
    </row>
    <row r="201" customHeight="1" spans="1:26">
      <c r="A201" s="6" t="s">
        <v>819</v>
      </c>
      <c r="B201" s="7">
        <v>29087.36</v>
      </c>
      <c r="I201" s="6" t="s">
        <v>1603</v>
      </c>
      <c r="J201" s="7">
        <v>2201.5</v>
      </c>
      <c r="M201" s="6" t="s">
        <v>1559</v>
      </c>
      <c r="N201" s="7">
        <v>3279.92</v>
      </c>
      <c r="U201" s="6" t="s">
        <v>819</v>
      </c>
      <c r="V201" s="7">
        <v>627</v>
      </c>
      <c r="Y201" s="6" t="s">
        <v>819</v>
      </c>
      <c r="Z201" s="7">
        <v>55</v>
      </c>
    </row>
    <row r="202" customHeight="1" spans="1:26">
      <c r="A202" s="6" t="s">
        <v>548</v>
      </c>
      <c r="B202" s="7">
        <v>2196.33</v>
      </c>
      <c r="I202" s="6" t="s">
        <v>968</v>
      </c>
      <c r="J202" s="7">
        <v>589</v>
      </c>
      <c r="M202" s="6" t="s">
        <v>1566</v>
      </c>
      <c r="N202" s="7">
        <v>499.98</v>
      </c>
      <c r="U202" s="6" t="s">
        <v>548</v>
      </c>
      <c r="V202" s="7">
        <v>27</v>
      </c>
      <c r="Y202" s="6" t="s">
        <v>548</v>
      </c>
      <c r="Z202" s="7">
        <v>30</v>
      </c>
    </row>
    <row r="203" customHeight="1" spans="1:26">
      <c r="A203" s="6" t="s">
        <v>79</v>
      </c>
      <c r="B203" s="7">
        <v>699.9</v>
      </c>
      <c r="I203" s="6" t="s">
        <v>1098</v>
      </c>
      <c r="J203" s="7">
        <v>5236.64</v>
      </c>
      <c r="M203" s="6" t="s">
        <v>247</v>
      </c>
      <c r="N203" s="7">
        <v>126738.47</v>
      </c>
      <c r="U203" s="6" t="s">
        <v>79</v>
      </c>
      <c r="V203" s="7">
        <v>10</v>
      </c>
      <c r="Y203" s="6" t="s">
        <v>79</v>
      </c>
      <c r="Z203" s="7">
        <v>10</v>
      </c>
    </row>
    <row r="204" customHeight="1" spans="1:26">
      <c r="A204" s="6" t="s">
        <v>152</v>
      </c>
      <c r="B204" s="7">
        <v>64151.98</v>
      </c>
      <c r="I204" s="6" t="s">
        <v>1702</v>
      </c>
      <c r="J204" s="7">
        <v>39.88</v>
      </c>
      <c r="M204" s="6" t="s">
        <v>1569</v>
      </c>
      <c r="N204" s="7">
        <v>97</v>
      </c>
      <c r="U204" s="6" t="s">
        <v>152</v>
      </c>
      <c r="V204" s="7">
        <v>802</v>
      </c>
      <c r="Y204" s="6" t="s">
        <v>152</v>
      </c>
      <c r="Z204" s="7">
        <v>10</v>
      </c>
    </row>
    <row r="205" customHeight="1" spans="1:26">
      <c r="A205" s="6" t="s">
        <v>404</v>
      </c>
      <c r="B205" s="7">
        <v>48947.73</v>
      </c>
      <c r="I205" s="6" t="s">
        <v>721</v>
      </c>
      <c r="J205" s="7">
        <v>215</v>
      </c>
      <c r="M205" s="6" t="s">
        <v>1579</v>
      </c>
      <c r="N205" s="7">
        <v>0</v>
      </c>
      <c r="U205" s="6" t="s">
        <v>404</v>
      </c>
      <c r="V205" s="7">
        <v>2027</v>
      </c>
      <c r="Y205" s="6" t="s">
        <v>404</v>
      </c>
      <c r="Z205" s="7">
        <v>36</v>
      </c>
    </row>
    <row r="206" customHeight="1" spans="1:26">
      <c r="A206" s="6" t="s">
        <v>282</v>
      </c>
      <c r="B206" s="7">
        <v>1076932.72</v>
      </c>
      <c r="I206" s="6" t="s">
        <v>1976</v>
      </c>
      <c r="J206" s="7">
        <v>6507.83</v>
      </c>
      <c r="M206" s="6" t="s">
        <v>1583</v>
      </c>
      <c r="N206" s="7">
        <v>0</v>
      </c>
      <c r="U206" s="6" t="s">
        <v>282</v>
      </c>
      <c r="V206" s="7">
        <v>9348</v>
      </c>
      <c r="Y206" s="6" t="s">
        <v>282</v>
      </c>
      <c r="Z206" s="7">
        <v>174</v>
      </c>
    </row>
    <row r="207" customHeight="1" spans="1:26">
      <c r="A207" s="8" t="s">
        <v>3130</v>
      </c>
      <c r="B207" s="9">
        <v>11677296.2</v>
      </c>
      <c r="I207" s="6" t="s">
        <v>1008</v>
      </c>
      <c r="J207" s="7">
        <v>683.24</v>
      </c>
      <c r="M207" s="6" t="s">
        <v>1588</v>
      </c>
      <c r="N207" s="7">
        <v>0</v>
      </c>
      <c r="U207" s="8" t="s">
        <v>3130</v>
      </c>
      <c r="V207" s="9">
        <v>190692</v>
      </c>
      <c r="Y207" s="8" t="s">
        <v>3130</v>
      </c>
      <c r="Z207" s="9">
        <v>17925</v>
      </c>
    </row>
    <row r="208" customHeight="1" spans="1:26">
      <c r="B208" s="12"/>
      <c r="I208" s="6" t="s">
        <v>1247</v>
      </c>
      <c r="J208" s="7">
        <v>5635.54</v>
      </c>
      <c r="M208" s="6" t="s">
        <v>1594</v>
      </c>
      <c r="N208" s="7">
        <v>0</v>
      </c>
      <c r="U208" s="13"/>
      <c r="V208" s="13"/>
      <c r="Y208" s="13"/>
      <c r="Z208" s="13"/>
    </row>
    <row r="209" customHeight="1" spans="2:22">
      <c r="B209" s="12"/>
      <c r="I209" s="6" t="s">
        <v>1477</v>
      </c>
      <c r="J209" s="7">
        <v>2630.55</v>
      </c>
      <c r="M209" s="6" t="s">
        <v>1599</v>
      </c>
      <c r="N209" s="7">
        <v>1037.9</v>
      </c>
      <c r="U209" s="13"/>
      <c r="V209" s="13"/>
    </row>
    <row r="210" customHeight="1" spans="2:22">
      <c r="B210" s="12"/>
      <c r="I210" s="6" t="s">
        <v>329</v>
      </c>
      <c r="J210" s="7">
        <v>1859.94</v>
      </c>
      <c r="M210" s="6" t="s">
        <v>1604</v>
      </c>
      <c r="N210" s="7">
        <v>2201.5</v>
      </c>
      <c r="U210" s="13"/>
      <c r="V210" s="13"/>
    </row>
    <row r="211" customHeight="1" spans="2:22">
      <c r="B211" s="12"/>
      <c r="I211" s="6" t="s">
        <v>839</v>
      </c>
      <c r="J211" s="7">
        <v>819.59</v>
      </c>
      <c r="M211" s="6" t="s">
        <v>1608</v>
      </c>
      <c r="N211" s="7">
        <v>5575.82</v>
      </c>
      <c r="U211" s="13"/>
      <c r="V211" s="13"/>
    </row>
    <row r="212" customHeight="1" spans="2:22">
      <c r="B212" s="12"/>
      <c r="I212" s="8" t="s">
        <v>3130</v>
      </c>
      <c r="J212" s="9">
        <v>11677296.2</v>
      </c>
      <c r="M212" s="6" t="s">
        <v>1616</v>
      </c>
      <c r="N212" s="7">
        <v>0</v>
      </c>
    </row>
    <row r="213" customHeight="1" spans="2:22">
      <c r="B213" s="12"/>
      <c r="M213" s="6" t="s">
        <v>1619</v>
      </c>
      <c r="N213" s="7">
        <v>0</v>
      </c>
    </row>
    <row r="214" customHeight="1" spans="2:22">
      <c r="B214" s="12"/>
      <c r="M214" s="6" t="s">
        <v>251</v>
      </c>
      <c r="N214" s="7">
        <v>1348809.46</v>
      </c>
    </row>
    <row r="215" customHeight="1" spans="2:22">
      <c r="B215" s="12"/>
      <c r="M215" s="6" t="s">
        <v>1625</v>
      </c>
      <c r="N215" s="7">
        <v>0</v>
      </c>
    </row>
    <row r="216" customHeight="1" spans="2:22">
      <c r="B216" s="12"/>
      <c r="M216" s="6" t="s">
        <v>1630</v>
      </c>
      <c r="N216" s="7">
        <v>677.49</v>
      </c>
    </row>
    <row r="217" customHeight="1" spans="2:22">
      <c r="B217" s="12"/>
      <c r="M217" s="6" t="s">
        <v>1640</v>
      </c>
      <c r="N217" s="7">
        <v>66.79</v>
      </c>
    </row>
    <row r="218" customHeight="1" spans="2:22">
      <c r="B218" s="12"/>
      <c r="M218" s="6" t="s">
        <v>1644</v>
      </c>
      <c r="N218" s="7">
        <v>3449.31</v>
      </c>
    </row>
    <row r="219" customHeight="1" spans="2:22">
      <c r="B219" s="12"/>
      <c r="M219" s="6" t="s">
        <v>1648</v>
      </c>
      <c r="N219" s="7">
        <v>68922.73</v>
      </c>
    </row>
    <row r="220" customHeight="1" spans="2:22">
      <c r="B220" s="12"/>
      <c r="M220" s="6" t="s">
        <v>1654</v>
      </c>
      <c r="N220" s="7">
        <v>4179</v>
      </c>
    </row>
    <row r="221" customHeight="1" spans="2:22">
      <c r="B221" s="12"/>
      <c r="M221" s="6" t="s">
        <v>1666</v>
      </c>
      <c r="N221" s="7">
        <v>628.5</v>
      </c>
    </row>
    <row r="222" customHeight="1" spans="2:22">
      <c r="B222" s="12"/>
      <c r="M222" s="6" t="s">
        <v>1672</v>
      </c>
      <c r="N222" s="7">
        <v>0</v>
      </c>
    </row>
    <row r="223" customHeight="1" spans="2:22">
      <c r="B223" s="12"/>
      <c r="M223" s="6" t="s">
        <v>1678</v>
      </c>
      <c r="N223" s="7">
        <v>27380.78</v>
      </c>
    </row>
    <row r="224" customHeight="1" spans="2:22">
      <c r="B224" s="12"/>
      <c r="M224" s="6" t="s">
        <v>1681</v>
      </c>
      <c r="N224" s="7">
        <v>71.52</v>
      </c>
    </row>
    <row r="225" customHeight="1" spans="2:14">
      <c r="B225" s="12"/>
      <c r="M225" s="6" t="s">
        <v>96</v>
      </c>
      <c r="N225" s="7">
        <v>224120.8</v>
      </c>
    </row>
    <row r="226" customHeight="1" spans="2:14">
      <c r="B226" s="12"/>
      <c r="M226" s="6" t="s">
        <v>256</v>
      </c>
      <c r="N226" s="7">
        <v>0</v>
      </c>
    </row>
    <row r="227" customHeight="1" spans="2:14">
      <c r="B227" s="12"/>
      <c r="M227" s="6" t="s">
        <v>1687</v>
      </c>
      <c r="N227" s="7">
        <v>0</v>
      </c>
    </row>
    <row r="228" customHeight="1" spans="2:14">
      <c r="B228" s="12"/>
      <c r="M228" s="6" t="s">
        <v>1693</v>
      </c>
      <c r="N228" s="7">
        <v>83.7</v>
      </c>
    </row>
    <row r="229" customHeight="1" spans="2:14">
      <c r="B229" s="12"/>
      <c r="M229" s="6" t="s">
        <v>1696</v>
      </c>
      <c r="N229" s="7">
        <v>200.16</v>
      </c>
    </row>
    <row r="230" customHeight="1" spans="2:14">
      <c r="B230" s="12"/>
      <c r="M230" s="6" t="s">
        <v>1698</v>
      </c>
      <c r="N230" s="7">
        <v>13520</v>
      </c>
    </row>
    <row r="231" customHeight="1" spans="2:14">
      <c r="B231" s="12"/>
      <c r="M231" s="6" t="s">
        <v>1703</v>
      </c>
      <c r="N231" s="7">
        <v>39.88</v>
      </c>
    </row>
    <row r="232" customHeight="1" spans="2:14">
      <c r="B232" s="12"/>
      <c r="M232" s="6" t="s">
        <v>1712</v>
      </c>
      <c r="N232" s="7">
        <v>1235.88</v>
      </c>
    </row>
    <row r="233" customHeight="1" spans="2:14">
      <c r="B233" s="12"/>
      <c r="M233" s="6" t="s">
        <v>1718</v>
      </c>
      <c r="N233" s="7">
        <v>0</v>
      </c>
    </row>
    <row r="234" customHeight="1" spans="2:14">
      <c r="B234" s="12"/>
      <c r="M234" s="6" t="s">
        <v>1724</v>
      </c>
      <c r="N234" s="7">
        <v>11319.65</v>
      </c>
    </row>
    <row r="235" customHeight="1" spans="2:14">
      <c r="B235" s="12"/>
      <c r="M235" s="6" t="s">
        <v>1736</v>
      </c>
      <c r="N235" s="7">
        <v>493.48</v>
      </c>
    </row>
    <row r="236" customHeight="1" spans="2:14">
      <c r="M236" s="6" t="s">
        <v>1738</v>
      </c>
      <c r="N236" s="7">
        <v>2409.27</v>
      </c>
    </row>
    <row r="237" customHeight="1" spans="2:14">
      <c r="M237" s="6" t="s">
        <v>260</v>
      </c>
      <c r="N237" s="7">
        <v>33900.82</v>
      </c>
    </row>
    <row r="238" customHeight="1" spans="2:14">
      <c r="M238" s="6" t="s">
        <v>1743</v>
      </c>
      <c r="N238" s="7">
        <v>4930</v>
      </c>
    </row>
    <row r="239" customHeight="1" spans="2:14">
      <c r="M239" s="6" t="s">
        <v>1745</v>
      </c>
      <c r="N239" s="7">
        <v>209.97</v>
      </c>
    </row>
    <row r="240" customHeight="1" spans="2:14">
      <c r="M240" s="6" t="s">
        <v>1748</v>
      </c>
      <c r="N240" s="7">
        <v>0</v>
      </c>
    </row>
    <row r="241" customHeight="1" spans="13:14">
      <c r="M241" s="6" t="s">
        <v>1752</v>
      </c>
      <c r="N241" s="7">
        <v>1439.91</v>
      </c>
    </row>
    <row r="242" customHeight="1" spans="13:14">
      <c r="M242" s="6" t="s">
        <v>1755</v>
      </c>
      <c r="N242" s="7">
        <v>0</v>
      </c>
    </row>
    <row r="243" customHeight="1" spans="13:14">
      <c r="M243" s="6" t="s">
        <v>1758</v>
      </c>
      <c r="N243" s="7">
        <v>457.98</v>
      </c>
    </row>
    <row r="244" customHeight="1" spans="13:14">
      <c r="M244" s="6" t="s">
        <v>1760</v>
      </c>
      <c r="N244" s="7">
        <v>1727.88</v>
      </c>
    </row>
    <row r="245" customHeight="1" spans="13:14">
      <c r="M245" s="6" t="s">
        <v>1763</v>
      </c>
      <c r="N245" s="7">
        <v>1150.8</v>
      </c>
    </row>
    <row r="246" customHeight="1" spans="13:14">
      <c r="M246" s="6" t="s">
        <v>1766</v>
      </c>
      <c r="N246" s="7">
        <v>3219.86</v>
      </c>
    </row>
    <row r="247" customHeight="1" spans="13:14">
      <c r="M247" s="6" t="s">
        <v>1771</v>
      </c>
      <c r="N247" s="7">
        <v>0</v>
      </c>
    </row>
    <row r="248" customHeight="1" spans="13:14">
      <c r="M248" s="6" t="s">
        <v>265</v>
      </c>
      <c r="N248" s="7">
        <v>15.95</v>
      </c>
    </row>
    <row r="249" customHeight="1" spans="13:14">
      <c r="M249" s="6" t="s">
        <v>1775</v>
      </c>
      <c r="N249" s="7">
        <v>0</v>
      </c>
    </row>
    <row r="250" customHeight="1" spans="13:14">
      <c r="M250" s="6" t="s">
        <v>1781</v>
      </c>
      <c r="N250" s="7">
        <v>0</v>
      </c>
    </row>
    <row r="251" customHeight="1" spans="13:14">
      <c r="M251" s="6" t="s">
        <v>1785</v>
      </c>
      <c r="N251" s="7">
        <v>781.83</v>
      </c>
    </row>
    <row r="252" customHeight="1" spans="13:14">
      <c r="M252" s="6" t="s">
        <v>1789</v>
      </c>
      <c r="N252" s="7">
        <v>1259.88</v>
      </c>
    </row>
    <row r="253" customHeight="1" spans="13:14">
      <c r="M253" s="6" t="s">
        <v>1794</v>
      </c>
      <c r="N253" s="7">
        <v>899.9</v>
      </c>
    </row>
    <row r="254" customHeight="1" spans="13:14">
      <c r="M254" s="6" t="s">
        <v>1797</v>
      </c>
      <c r="N254" s="7">
        <v>245.57</v>
      </c>
    </row>
    <row r="255" customHeight="1" spans="13:14">
      <c r="M255" s="6" t="s">
        <v>1800</v>
      </c>
      <c r="N255" s="7">
        <v>957.35</v>
      </c>
    </row>
    <row r="256" customHeight="1" spans="13:14">
      <c r="M256" s="6" t="s">
        <v>1802</v>
      </c>
      <c r="N256" s="7">
        <v>0</v>
      </c>
    </row>
    <row r="257" customHeight="1" spans="13:14">
      <c r="M257" s="6" t="s">
        <v>1812</v>
      </c>
      <c r="N257" s="7">
        <v>447.68</v>
      </c>
    </row>
    <row r="258" customHeight="1" spans="13:14">
      <c r="M258" s="6" t="s">
        <v>1816</v>
      </c>
      <c r="N258" s="7">
        <v>2204</v>
      </c>
    </row>
    <row r="259" customHeight="1" spans="13:14">
      <c r="M259" s="6" t="s">
        <v>271</v>
      </c>
      <c r="N259" s="7">
        <v>23008.9</v>
      </c>
    </row>
    <row r="260" customHeight="1" spans="13:14">
      <c r="M260" s="6" t="s">
        <v>1825</v>
      </c>
      <c r="N260" s="7">
        <v>20111.72</v>
      </c>
    </row>
    <row r="261" customHeight="1" spans="13:14">
      <c r="M261" s="6" t="s">
        <v>1831</v>
      </c>
      <c r="N261" s="7">
        <v>1519.24</v>
      </c>
    </row>
    <row r="262" customHeight="1" spans="13:14">
      <c r="M262" s="6" t="s">
        <v>1834</v>
      </c>
      <c r="N262" s="7">
        <v>246.99</v>
      </c>
    </row>
    <row r="263" customHeight="1" spans="13:14">
      <c r="M263" s="6" t="s">
        <v>1838</v>
      </c>
      <c r="N263" s="7">
        <v>0</v>
      </c>
    </row>
    <row r="264" customHeight="1" spans="13:14">
      <c r="M264" s="6" t="s">
        <v>1841</v>
      </c>
      <c r="N264" s="7">
        <v>2175.83</v>
      </c>
    </row>
    <row r="265" customHeight="1" spans="13:14">
      <c r="M265" s="6" t="s">
        <v>1852</v>
      </c>
      <c r="N265" s="7">
        <v>49.95</v>
      </c>
    </row>
    <row r="266" customHeight="1" spans="13:14">
      <c r="M266" s="6" t="s">
        <v>1858</v>
      </c>
      <c r="N266" s="7">
        <v>1319.56</v>
      </c>
    </row>
    <row r="267" customHeight="1" spans="13:14">
      <c r="M267" s="6" t="s">
        <v>1866</v>
      </c>
      <c r="N267" s="7">
        <v>152.91</v>
      </c>
    </row>
    <row r="268" customHeight="1" spans="13:14">
      <c r="M268" s="6" t="s">
        <v>1869</v>
      </c>
      <c r="N268" s="7">
        <v>32.52</v>
      </c>
    </row>
    <row r="269" customHeight="1" spans="13:14">
      <c r="M269" s="6" t="s">
        <v>1872</v>
      </c>
      <c r="N269" s="7">
        <v>148.5</v>
      </c>
    </row>
    <row r="270" customHeight="1" spans="13:14">
      <c r="M270" s="6" t="s">
        <v>277</v>
      </c>
      <c r="N270" s="7">
        <v>539.55</v>
      </c>
    </row>
    <row r="271" customHeight="1" spans="13:14">
      <c r="M271" s="6" t="s">
        <v>1878</v>
      </c>
      <c r="N271" s="7">
        <v>11004</v>
      </c>
    </row>
    <row r="272" customHeight="1" spans="13:14">
      <c r="M272" s="6" t="s">
        <v>1887</v>
      </c>
      <c r="N272" s="7">
        <v>1819.74</v>
      </c>
    </row>
    <row r="273" customHeight="1" spans="13:14">
      <c r="M273" s="6" t="s">
        <v>1891</v>
      </c>
      <c r="N273" s="7">
        <v>305.83</v>
      </c>
    </row>
    <row r="274" customHeight="1" spans="13:14">
      <c r="M274" s="6" t="s">
        <v>1893</v>
      </c>
      <c r="N274" s="7">
        <v>10077.2</v>
      </c>
    </row>
    <row r="275" customHeight="1" spans="13:14">
      <c r="M275" s="6" t="s">
        <v>1896</v>
      </c>
      <c r="N275" s="7">
        <v>2066.61</v>
      </c>
    </row>
    <row r="276" customHeight="1" spans="13:14">
      <c r="M276" s="6" t="s">
        <v>1899</v>
      </c>
      <c r="N276" s="7">
        <v>49.94</v>
      </c>
    </row>
    <row r="277" customHeight="1" spans="13:14">
      <c r="M277" s="6" t="s">
        <v>1906</v>
      </c>
      <c r="N277" s="7">
        <v>0</v>
      </c>
    </row>
    <row r="278" customHeight="1" spans="13:14">
      <c r="M278" s="6" t="s">
        <v>1909</v>
      </c>
      <c r="N278" s="7">
        <v>0</v>
      </c>
    </row>
    <row r="279" customHeight="1" spans="13:14">
      <c r="M279" s="6" t="s">
        <v>1912</v>
      </c>
      <c r="N279" s="7">
        <v>0</v>
      </c>
    </row>
    <row r="280" customHeight="1" spans="13:14">
      <c r="M280" s="6" t="s">
        <v>1917</v>
      </c>
      <c r="N280" s="7">
        <v>132</v>
      </c>
    </row>
    <row r="281" customHeight="1" spans="13:14">
      <c r="M281" s="6" t="s">
        <v>285</v>
      </c>
      <c r="N281" s="7">
        <v>1076932.72</v>
      </c>
    </row>
    <row r="282" customHeight="1" spans="13:14">
      <c r="M282" s="6" t="s">
        <v>1926</v>
      </c>
      <c r="N282" s="7">
        <v>1592.46</v>
      </c>
    </row>
    <row r="283" customHeight="1" spans="13:14">
      <c r="M283" s="6" t="s">
        <v>1934</v>
      </c>
      <c r="N283" s="7">
        <v>49.98</v>
      </c>
    </row>
    <row r="284" customHeight="1" spans="13:14">
      <c r="M284" s="6" t="s">
        <v>1941</v>
      </c>
      <c r="N284" s="7">
        <v>0</v>
      </c>
    </row>
    <row r="285" customHeight="1" spans="13:14">
      <c r="M285" s="6" t="s">
        <v>1950</v>
      </c>
      <c r="N285" s="7">
        <v>16379.09</v>
      </c>
    </row>
    <row r="286" customHeight="1" spans="13:14">
      <c r="M286" s="6" t="s">
        <v>1952</v>
      </c>
      <c r="N286" s="7">
        <v>1100.57</v>
      </c>
    </row>
    <row r="287" customHeight="1" spans="13:14">
      <c r="M287" s="6" t="s">
        <v>1960</v>
      </c>
      <c r="N287" s="7">
        <v>839.4</v>
      </c>
    </row>
    <row r="288" customHeight="1" spans="13:14">
      <c r="M288" s="6" t="s">
        <v>1964</v>
      </c>
      <c r="N288" s="7">
        <v>209.85</v>
      </c>
    </row>
    <row r="289" customHeight="1" spans="13:14">
      <c r="M289" s="6" t="s">
        <v>1971</v>
      </c>
      <c r="N289" s="7">
        <v>0</v>
      </c>
    </row>
    <row r="290" customHeight="1" spans="13:14">
      <c r="M290" s="6" t="s">
        <v>1973</v>
      </c>
      <c r="N290" s="7">
        <v>464.69</v>
      </c>
    </row>
    <row r="291" customHeight="1" spans="13:14">
      <c r="M291" s="6" t="s">
        <v>1980</v>
      </c>
      <c r="N291" s="7">
        <v>1995.25</v>
      </c>
    </row>
    <row r="292" customHeight="1" spans="13:14">
      <c r="M292" s="6" t="s">
        <v>295</v>
      </c>
      <c r="N292" s="7">
        <v>17254.58</v>
      </c>
    </row>
    <row r="293" customHeight="1" spans="13:14">
      <c r="M293" s="6" t="s">
        <v>1982</v>
      </c>
      <c r="N293" s="7">
        <v>0</v>
      </c>
    </row>
    <row r="294" customHeight="1" spans="13:14">
      <c r="M294" s="6" t="s">
        <v>1987</v>
      </c>
      <c r="N294" s="7">
        <v>1086.34</v>
      </c>
    </row>
    <row r="295" customHeight="1" spans="13:14">
      <c r="M295" s="6" t="s">
        <v>1992</v>
      </c>
      <c r="N295" s="7">
        <v>0</v>
      </c>
    </row>
    <row r="296" customHeight="1" spans="13:14">
      <c r="M296" s="6" t="s">
        <v>2001</v>
      </c>
      <c r="N296" s="7">
        <v>129</v>
      </c>
    </row>
    <row r="297" customHeight="1" spans="13:14">
      <c r="M297" s="6" t="s">
        <v>2011</v>
      </c>
      <c r="N297" s="7">
        <v>2159.64</v>
      </c>
    </row>
    <row r="298" customHeight="1" spans="13:14">
      <c r="M298" s="6" t="s">
        <v>2047</v>
      </c>
      <c r="N298" s="7">
        <v>1255.8</v>
      </c>
    </row>
    <row r="299" customHeight="1" spans="13:14">
      <c r="M299" s="6" t="s">
        <v>2050</v>
      </c>
      <c r="N299" s="7">
        <v>2123.1</v>
      </c>
    </row>
    <row r="300" customHeight="1" spans="13:14">
      <c r="M300" s="6" t="s">
        <v>2053</v>
      </c>
      <c r="N300" s="7">
        <v>4437.64</v>
      </c>
    </row>
    <row r="301" customHeight="1" spans="13:14">
      <c r="M301" s="6" t="s">
        <v>2056</v>
      </c>
      <c r="N301" s="7">
        <v>1405.61</v>
      </c>
    </row>
    <row r="302" customHeight="1" spans="13:14">
      <c r="M302" s="6" t="s">
        <v>2058</v>
      </c>
      <c r="N302" s="7">
        <v>399.85</v>
      </c>
    </row>
    <row r="303" customHeight="1" spans="13:14">
      <c r="M303" s="6" t="s">
        <v>299</v>
      </c>
      <c r="N303" s="7">
        <v>0</v>
      </c>
    </row>
    <row r="304" customHeight="1" spans="13:14">
      <c r="M304" s="6" t="s">
        <v>2061</v>
      </c>
      <c r="N304" s="7">
        <v>857.48</v>
      </c>
    </row>
    <row r="305" customHeight="1" spans="13:14">
      <c r="M305" s="6" t="s">
        <v>2064</v>
      </c>
      <c r="N305" s="7">
        <v>10295.88</v>
      </c>
    </row>
    <row r="306" customHeight="1" spans="13:14">
      <c r="M306" s="6" t="s">
        <v>2069</v>
      </c>
      <c r="N306" s="7">
        <v>0</v>
      </c>
    </row>
    <row r="307" customHeight="1" spans="13:14">
      <c r="M307" s="6" t="s">
        <v>2072</v>
      </c>
      <c r="N307" s="7">
        <v>0</v>
      </c>
    </row>
    <row r="308" customHeight="1" spans="13:14">
      <c r="M308" s="6" t="s">
        <v>2076</v>
      </c>
      <c r="N308" s="7">
        <v>30233.67</v>
      </c>
    </row>
    <row r="309" customHeight="1" spans="13:14">
      <c r="M309" s="6" t="s">
        <v>2079</v>
      </c>
      <c r="N309" s="7">
        <v>95</v>
      </c>
    </row>
    <row r="310" customHeight="1" spans="13:14">
      <c r="M310" s="6" t="s">
        <v>2085</v>
      </c>
      <c r="N310" s="7">
        <v>15599.48</v>
      </c>
    </row>
    <row r="311" customHeight="1" spans="13:14">
      <c r="M311" s="6" t="s">
        <v>2089</v>
      </c>
      <c r="N311" s="7">
        <v>32196.55</v>
      </c>
    </row>
    <row r="312" customHeight="1" spans="13:14">
      <c r="M312" s="6" t="s">
        <v>2095</v>
      </c>
      <c r="N312" s="7">
        <v>32364</v>
      </c>
    </row>
    <row r="313" customHeight="1" spans="13:14">
      <c r="M313" s="6" t="s">
        <v>2098</v>
      </c>
      <c r="N313" s="7">
        <v>4002</v>
      </c>
    </row>
    <row r="314" customHeight="1" spans="13:14">
      <c r="M314" s="6" t="s">
        <v>303</v>
      </c>
      <c r="N314" s="7">
        <v>0</v>
      </c>
    </row>
    <row r="315" customHeight="1" spans="13:14">
      <c r="M315" s="6" t="s">
        <v>2104</v>
      </c>
      <c r="N315" s="7">
        <v>2114.91</v>
      </c>
    </row>
    <row r="316" customHeight="1" spans="13:14">
      <c r="M316" s="6" t="s">
        <v>2106</v>
      </c>
      <c r="N316" s="7">
        <v>0</v>
      </c>
    </row>
    <row r="317" customHeight="1" spans="13:14">
      <c r="M317" s="6" t="s">
        <v>2110</v>
      </c>
      <c r="N317" s="7">
        <v>0</v>
      </c>
    </row>
    <row r="318" customHeight="1" spans="13:14">
      <c r="M318" s="6" t="s">
        <v>2117</v>
      </c>
      <c r="N318" s="7">
        <v>24738.75</v>
      </c>
    </row>
    <row r="319" customHeight="1" spans="13:14">
      <c r="M319" s="6" t="s">
        <v>2119</v>
      </c>
      <c r="N319" s="7">
        <v>57.36</v>
      </c>
    </row>
    <row r="320" customHeight="1" spans="13:14">
      <c r="M320" s="6" t="s">
        <v>2126</v>
      </c>
      <c r="N320" s="7">
        <v>0</v>
      </c>
    </row>
    <row r="321" customHeight="1" spans="13:14">
      <c r="M321" s="6" t="s">
        <v>2139</v>
      </c>
      <c r="N321" s="7">
        <v>0</v>
      </c>
    </row>
    <row r="322" customHeight="1" spans="13:14">
      <c r="M322" s="6" t="s">
        <v>2143</v>
      </c>
      <c r="N322" s="7">
        <v>0</v>
      </c>
    </row>
    <row r="323" customHeight="1" spans="13:14">
      <c r="M323" s="6" t="s">
        <v>2146</v>
      </c>
      <c r="N323" s="7">
        <v>570</v>
      </c>
    </row>
    <row r="324" customHeight="1" spans="13:14">
      <c r="M324" s="6" t="s">
        <v>2149</v>
      </c>
      <c r="N324" s="7">
        <v>7702.7</v>
      </c>
    </row>
    <row r="325" customHeight="1" spans="13:14">
      <c r="M325" s="6" t="s">
        <v>309</v>
      </c>
      <c r="N325" s="7">
        <v>67814.46</v>
      </c>
    </row>
    <row r="326" customHeight="1" spans="13:14">
      <c r="M326" s="6" t="s">
        <v>2153</v>
      </c>
      <c r="N326" s="7">
        <v>0</v>
      </c>
    </row>
    <row r="327" customHeight="1" spans="13:14">
      <c r="M327" s="6" t="s">
        <v>2159</v>
      </c>
      <c r="N327" s="7">
        <v>4544</v>
      </c>
    </row>
    <row r="328" customHeight="1" spans="13:14">
      <c r="M328" s="6" t="s">
        <v>2163</v>
      </c>
      <c r="N328" s="7">
        <v>2307.9</v>
      </c>
    </row>
    <row r="329" customHeight="1" spans="13:14">
      <c r="M329" s="6" t="s">
        <v>2167</v>
      </c>
      <c r="N329" s="7">
        <v>9514</v>
      </c>
    </row>
    <row r="330" customHeight="1" spans="13:14">
      <c r="M330" s="6" t="s">
        <v>2170</v>
      </c>
      <c r="N330" s="7">
        <v>4799.94</v>
      </c>
    </row>
    <row r="331" customHeight="1" spans="13:14">
      <c r="M331" s="6" t="s">
        <v>2181</v>
      </c>
      <c r="N331" s="7">
        <v>26</v>
      </c>
    </row>
    <row r="332" customHeight="1" spans="13:14">
      <c r="M332" s="6" t="s">
        <v>2189</v>
      </c>
      <c r="N332" s="7">
        <v>36</v>
      </c>
    </row>
    <row r="333" customHeight="1" spans="13:14">
      <c r="M333" s="6" t="s">
        <v>2193</v>
      </c>
      <c r="N333" s="7">
        <v>1599.68</v>
      </c>
    </row>
    <row r="334" customHeight="1" spans="13:14">
      <c r="M334" s="6" t="s">
        <v>2197</v>
      </c>
      <c r="N334" s="7">
        <v>3360.73</v>
      </c>
    </row>
    <row r="335" customHeight="1" spans="13:14">
      <c r="M335" s="6" t="s">
        <v>2200</v>
      </c>
      <c r="N335" s="7">
        <v>0</v>
      </c>
    </row>
    <row r="336" customHeight="1" spans="13:14">
      <c r="M336" s="6" t="s">
        <v>111</v>
      </c>
      <c r="N336" s="7">
        <v>2810589.91</v>
      </c>
    </row>
    <row r="337" customHeight="1" spans="13:14">
      <c r="M337" s="6" t="s">
        <v>314</v>
      </c>
      <c r="N337" s="7">
        <v>3405.9</v>
      </c>
    </row>
    <row r="338" customHeight="1" spans="13:14">
      <c r="M338" s="6" t="s">
        <v>2204</v>
      </c>
      <c r="N338" s="7">
        <v>0</v>
      </c>
    </row>
    <row r="339" customHeight="1" spans="13:14">
      <c r="M339" s="6" t="s">
        <v>2220</v>
      </c>
      <c r="N339" s="7">
        <v>648.78</v>
      </c>
    </row>
    <row r="340" customHeight="1" spans="13:14">
      <c r="M340" s="6" t="s">
        <v>2223</v>
      </c>
      <c r="N340" s="7">
        <v>21.95</v>
      </c>
    </row>
    <row r="341" customHeight="1" spans="13:14">
      <c r="M341" s="6" t="s">
        <v>2228</v>
      </c>
      <c r="N341" s="7">
        <v>199.6</v>
      </c>
    </row>
    <row r="342" customHeight="1" spans="13:14">
      <c r="M342" s="6" t="s">
        <v>2235</v>
      </c>
      <c r="N342" s="7">
        <v>0</v>
      </c>
    </row>
    <row r="343" customHeight="1" spans="13:14">
      <c r="M343" s="6" t="s">
        <v>2239</v>
      </c>
      <c r="N343" s="7">
        <v>0</v>
      </c>
    </row>
    <row r="344" customHeight="1" spans="13:14">
      <c r="M344" s="6" t="s">
        <v>2245</v>
      </c>
      <c r="N344" s="7">
        <v>14161</v>
      </c>
    </row>
    <row r="345" customHeight="1" spans="13:14">
      <c r="M345" s="6" t="s">
        <v>2260</v>
      </c>
      <c r="N345" s="7">
        <v>1777.6</v>
      </c>
    </row>
    <row r="346" customHeight="1" spans="13:14">
      <c r="M346" s="6" t="s">
        <v>2270</v>
      </c>
      <c r="N346" s="7">
        <v>206.99</v>
      </c>
    </row>
    <row r="347" customHeight="1" spans="13:14">
      <c r="M347" s="6" t="s">
        <v>2276</v>
      </c>
      <c r="N347" s="7">
        <v>12900</v>
      </c>
    </row>
    <row r="348" customHeight="1" spans="13:14">
      <c r="M348" s="6" t="s">
        <v>318</v>
      </c>
      <c r="N348" s="7">
        <v>0</v>
      </c>
    </row>
    <row r="349" customHeight="1" spans="13:14">
      <c r="M349" s="6" t="s">
        <v>2281</v>
      </c>
      <c r="N349" s="7">
        <v>1709.91</v>
      </c>
    </row>
    <row r="350" customHeight="1" spans="13:14">
      <c r="M350" s="6" t="s">
        <v>2285</v>
      </c>
      <c r="N350" s="7">
        <v>15343.92</v>
      </c>
    </row>
    <row r="351" customHeight="1" spans="13:14">
      <c r="M351" s="6" t="s">
        <v>2291</v>
      </c>
      <c r="N351" s="7">
        <v>328.56</v>
      </c>
    </row>
    <row r="352" customHeight="1" spans="13:14">
      <c r="M352" s="6" t="s">
        <v>2295</v>
      </c>
      <c r="N352" s="7">
        <v>36581.49</v>
      </c>
    </row>
    <row r="353" customHeight="1" spans="13:14">
      <c r="M353" s="6" t="s">
        <v>2300</v>
      </c>
      <c r="N353" s="7">
        <v>299.99</v>
      </c>
    </row>
    <row r="354" customHeight="1" spans="13:14">
      <c r="M354" s="6" t="s">
        <v>2305</v>
      </c>
      <c r="N354" s="7">
        <v>0</v>
      </c>
    </row>
    <row r="355" customHeight="1" spans="13:14">
      <c r="M355" s="6" t="s">
        <v>2315</v>
      </c>
      <c r="N355" s="7">
        <v>4288.7</v>
      </c>
    </row>
    <row r="356" customHeight="1" spans="13:14">
      <c r="M356" s="6" t="s">
        <v>2319</v>
      </c>
      <c r="N356" s="7">
        <v>999.8</v>
      </c>
    </row>
    <row r="357" customHeight="1" spans="13:14">
      <c r="M357" s="6" t="s">
        <v>2322</v>
      </c>
      <c r="N357" s="7">
        <v>139.99</v>
      </c>
    </row>
    <row r="358" customHeight="1" spans="13:14">
      <c r="M358" s="6" t="s">
        <v>2324</v>
      </c>
      <c r="N358" s="7">
        <v>77.94</v>
      </c>
    </row>
    <row r="359" customHeight="1" spans="13:14">
      <c r="M359" s="6" t="s">
        <v>321</v>
      </c>
      <c r="N359" s="7">
        <v>118.43</v>
      </c>
    </row>
    <row r="360" customHeight="1" spans="13:14">
      <c r="M360" s="6" t="s">
        <v>2327</v>
      </c>
      <c r="N360" s="7">
        <v>5712</v>
      </c>
    </row>
    <row r="361" customHeight="1" spans="13:14">
      <c r="M361" s="6" t="s">
        <v>2332</v>
      </c>
      <c r="N361" s="7">
        <v>0</v>
      </c>
    </row>
    <row r="362" customHeight="1" spans="13:14">
      <c r="M362" s="6" t="s">
        <v>2337</v>
      </c>
      <c r="N362" s="7">
        <v>0</v>
      </c>
    </row>
    <row r="363" customHeight="1" spans="13:14">
      <c r="M363" s="6" t="s">
        <v>2341</v>
      </c>
      <c r="N363" s="7">
        <v>419.97</v>
      </c>
    </row>
    <row r="364" customHeight="1" spans="13:14">
      <c r="M364" s="6" t="s">
        <v>2351</v>
      </c>
      <c r="N364" s="7">
        <v>11730</v>
      </c>
    </row>
    <row r="365" customHeight="1" spans="13:14">
      <c r="M365" s="6" t="s">
        <v>2356</v>
      </c>
      <c r="N365" s="7">
        <v>2399.56</v>
      </c>
    </row>
    <row r="366" customHeight="1" spans="13:14">
      <c r="M366" s="6" t="s">
        <v>2362</v>
      </c>
      <c r="N366" s="7">
        <v>0</v>
      </c>
    </row>
    <row r="367" customHeight="1" spans="13:14">
      <c r="M367" s="6" t="s">
        <v>2366</v>
      </c>
      <c r="N367" s="7">
        <v>17411.29</v>
      </c>
    </row>
    <row r="368" customHeight="1" spans="13:14">
      <c r="M368" s="6" t="s">
        <v>2368</v>
      </c>
      <c r="N368" s="7">
        <v>555.36</v>
      </c>
    </row>
    <row r="369" customHeight="1" spans="13:14">
      <c r="M369" s="6" t="s">
        <v>2371</v>
      </c>
      <c r="N369" s="7">
        <v>690</v>
      </c>
    </row>
    <row r="370" customHeight="1" spans="13:14">
      <c r="M370" s="6" t="s">
        <v>326</v>
      </c>
      <c r="N370" s="7">
        <v>277107.1</v>
      </c>
    </row>
    <row r="371" customHeight="1" spans="13:14">
      <c r="M371" s="6" t="s">
        <v>2381</v>
      </c>
      <c r="N371" s="7">
        <v>0</v>
      </c>
    </row>
    <row r="372" customHeight="1" spans="13:14">
      <c r="M372" s="6" t="s">
        <v>2383</v>
      </c>
      <c r="N372" s="7">
        <v>223.96</v>
      </c>
    </row>
    <row r="373" customHeight="1" spans="13:14">
      <c r="M373" s="6" t="s">
        <v>2392</v>
      </c>
      <c r="N373" s="7">
        <v>1595.6</v>
      </c>
    </row>
    <row r="374" customHeight="1" spans="13:14">
      <c r="M374" s="6" t="s">
        <v>2398</v>
      </c>
      <c r="N374" s="7">
        <v>225</v>
      </c>
    </row>
    <row r="375" customHeight="1" spans="13:14">
      <c r="M375" s="6" t="s">
        <v>2406</v>
      </c>
      <c r="N375" s="7">
        <v>2762.25</v>
      </c>
    </row>
    <row r="376" customHeight="1" spans="13:14">
      <c r="M376" s="6" t="s">
        <v>2410</v>
      </c>
      <c r="N376" s="7">
        <v>1146.36</v>
      </c>
    </row>
    <row r="377" customHeight="1" spans="13:14">
      <c r="M377" s="6" t="s">
        <v>2415</v>
      </c>
      <c r="N377" s="7">
        <v>21.95</v>
      </c>
    </row>
    <row r="378" customHeight="1" spans="13:14">
      <c r="M378" s="6" t="s">
        <v>2420</v>
      </c>
      <c r="N378" s="7">
        <v>199.92</v>
      </c>
    </row>
    <row r="379" customHeight="1" spans="13:14">
      <c r="M379" s="6" t="s">
        <v>2425</v>
      </c>
      <c r="N379" s="7">
        <v>519.96</v>
      </c>
    </row>
    <row r="380" customHeight="1" spans="13:14">
      <c r="M380" s="6" t="s">
        <v>2431</v>
      </c>
      <c r="N380" s="7">
        <v>3874.69</v>
      </c>
    </row>
    <row r="381" customHeight="1" spans="13:14">
      <c r="M381" s="6" t="s">
        <v>330</v>
      </c>
      <c r="N381" s="7">
        <v>1859.94</v>
      </c>
    </row>
    <row r="382" customHeight="1" spans="13:14">
      <c r="M382" s="6" t="s">
        <v>2438</v>
      </c>
      <c r="N382" s="7">
        <v>119.9</v>
      </c>
    </row>
    <row r="383" customHeight="1" spans="13:14">
      <c r="M383" s="6" t="s">
        <v>2440</v>
      </c>
      <c r="N383" s="7">
        <v>672.86</v>
      </c>
    </row>
    <row r="384" customHeight="1" spans="13:14">
      <c r="M384" s="6" t="s">
        <v>2449</v>
      </c>
      <c r="N384" s="7">
        <v>1837.47</v>
      </c>
    </row>
    <row r="385" customHeight="1" spans="13:14">
      <c r="M385" s="6" t="s">
        <v>2460</v>
      </c>
      <c r="N385" s="7">
        <v>272.97</v>
      </c>
    </row>
    <row r="386" customHeight="1" spans="13:14">
      <c r="M386" s="6" t="s">
        <v>2464</v>
      </c>
      <c r="N386" s="7">
        <v>491.73</v>
      </c>
    </row>
    <row r="387" customHeight="1" spans="13:14">
      <c r="M387" s="6" t="s">
        <v>2475</v>
      </c>
      <c r="N387" s="7">
        <v>0</v>
      </c>
    </row>
    <row r="388" customHeight="1" spans="13:14">
      <c r="M388" s="6" t="s">
        <v>2484</v>
      </c>
      <c r="N388" s="7">
        <v>0</v>
      </c>
    </row>
    <row r="389" customHeight="1" spans="13:14">
      <c r="M389" s="6" t="s">
        <v>2492</v>
      </c>
      <c r="N389" s="7">
        <v>0</v>
      </c>
    </row>
    <row r="390" customHeight="1" spans="13:14">
      <c r="M390" s="6" t="s">
        <v>2497</v>
      </c>
      <c r="N390" s="7">
        <v>2585.52</v>
      </c>
    </row>
    <row r="391" customHeight="1" spans="13:14">
      <c r="M391" s="6" t="s">
        <v>2505</v>
      </c>
      <c r="N391" s="7">
        <v>660</v>
      </c>
    </row>
    <row r="392" customHeight="1" spans="13:14">
      <c r="M392" s="6" t="s">
        <v>336</v>
      </c>
      <c r="N392" s="7">
        <v>23950.19</v>
      </c>
    </row>
    <row r="393" customHeight="1" spans="13:14">
      <c r="M393" s="6" t="s">
        <v>2509</v>
      </c>
      <c r="N393" s="7">
        <v>521.4</v>
      </c>
    </row>
    <row r="394" customHeight="1" spans="13:14">
      <c r="M394" s="6" t="s">
        <v>2514</v>
      </c>
      <c r="N394" s="7">
        <v>5391</v>
      </c>
    </row>
    <row r="395" customHeight="1" spans="13:14">
      <c r="M395" s="6" t="s">
        <v>2519</v>
      </c>
      <c r="N395" s="7">
        <v>0</v>
      </c>
    </row>
    <row r="396" customHeight="1" spans="13:14">
      <c r="M396" s="6" t="s">
        <v>341</v>
      </c>
      <c r="N396" s="7">
        <v>2879.4</v>
      </c>
    </row>
    <row r="397" customHeight="1" spans="13:14">
      <c r="M397" s="6" t="s">
        <v>347</v>
      </c>
      <c r="N397" s="7">
        <v>7918.8</v>
      </c>
    </row>
    <row r="398" customHeight="1" spans="13:14">
      <c r="M398" s="6" t="s">
        <v>353</v>
      </c>
      <c r="N398" s="7">
        <v>51494.7</v>
      </c>
    </row>
    <row r="399" customHeight="1" spans="13:14">
      <c r="M399" s="6" t="s">
        <v>355</v>
      </c>
      <c r="N399" s="7">
        <v>167.92</v>
      </c>
    </row>
    <row r="400" customHeight="1" spans="13:14">
      <c r="M400" s="6" t="s">
        <v>118</v>
      </c>
      <c r="N400" s="7">
        <v>16113.96</v>
      </c>
    </row>
    <row r="401" customHeight="1" spans="13:14">
      <c r="M401" s="6" t="s">
        <v>359</v>
      </c>
      <c r="N401" s="7">
        <v>16504.4</v>
      </c>
    </row>
    <row r="402" customHeight="1" spans="13:14">
      <c r="M402" s="6" t="s">
        <v>361</v>
      </c>
      <c r="N402" s="7">
        <v>874.65</v>
      </c>
    </row>
    <row r="403" customHeight="1" spans="13:14">
      <c r="M403" s="6" t="s">
        <v>367</v>
      </c>
      <c r="N403" s="7">
        <v>1599.92</v>
      </c>
    </row>
    <row r="404" customHeight="1" spans="13:14">
      <c r="M404" s="6" t="s">
        <v>372</v>
      </c>
      <c r="N404" s="7">
        <v>0</v>
      </c>
    </row>
    <row r="405" customHeight="1" spans="13:14">
      <c r="M405" s="6" t="s">
        <v>379</v>
      </c>
      <c r="N405" s="7">
        <v>310.05</v>
      </c>
    </row>
    <row r="406" customHeight="1" spans="13:14">
      <c r="M406" s="6" t="s">
        <v>385</v>
      </c>
      <c r="N406" s="7">
        <v>30809.68</v>
      </c>
    </row>
    <row r="407" customHeight="1" spans="13:14">
      <c r="M407" s="6" t="s">
        <v>391</v>
      </c>
      <c r="N407" s="7">
        <v>5815.32</v>
      </c>
    </row>
    <row r="408" customHeight="1" spans="13:14">
      <c r="M408" s="6" t="s">
        <v>396</v>
      </c>
      <c r="N408" s="7">
        <v>0</v>
      </c>
    </row>
    <row r="409" customHeight="1" spans="13:14">
      <c r="M409" s="6" t="s">
        <v>405</v>
      </c>
      <c r="N409" s="7">
        <v>44614.55</v>
      </c>
    </row>
    <row r="410" customHeight="1" spans="13:14">
      <c r="M410" s="6" t="s">
        <v>409</v>
      </c>
      <c r="N410" s="7">
        <v>24538.82</v>
      </c>
    </row>
    <row r="411" customHeight="1" spans="13:14">
      <c r="M411" s="6" t="s">
        <v>126</v>
      </c>
      <c r="N411" s="7">
        <v>479.4</v>
      </c>
    </row>
    <row r="412" customHeight="1" spans="13:14">
      <c r="M412" s="6" t="s">
        <v>418</v>
      </c>
      <c r="N412" s="7">
        <v>6660</v>
      </c>
    </row>
    <row r="413" customHeight="1" spans="13:14">
      <c r="M413" s="6" t="s">
        <v>428</v>
      </c>
      <c r="N413" s="7">
        <v>32306.61</v>
      </c>
    </row>
    <row r="414" customHeight="1" spans="13:14">
      <c r="M414" s="6" t="s">
        <v>431</v>
      </c>
      <c r="N414" s="7">
        <v>119.94</v>
      </c>
    </row>
    <row r="415" customHeight="1" spans="13:14">
      <c r="M415" s="6" t="s">
        <v>439</v>
      </c>
      <c r="N415" s="7">
        <v>0</v>
      </c>
    </row>
    <row r="416" customHeight="1" spans="13:14">
      <c r="M416" s="6" t="s">
        <v>443</v>
      </c>
      <c r="N416" s="7">
        <v>0</v>
      </c>
    </row>
    <row r="417" customHeight="1" spans="13:14">
      <c r="M417" s="6" t="s">
        <v>451</v>
      </c>
      <c r="N417" s="7">
        <v>0</v>
      </c>
    </row>
    <row r="418" customHeight="1" spans="13:14">
      <c r="M418" s="6" t="s">
        <v>457</v>
      </c>
      <c r="N418" s="7">
        <v>0</v>
      </c>
    </row>
    <row r="419" customHeight="1" spans="13:14">
      <c r="M419" s="6" t="s">
        <v>460</v>
      </c>
      <c r="N419" s="7">
        <v>646.65</v>
      </c>
    </row>
    <row r="420" customHeight="1" spans="13:14">
      <c r="M420" s="6" t="s">
        <v>468</v>
      </c>
      <c r="N420" s="7">
        <v>900</v>
      </c>
    </row>
    <row r="421" customHeight="1" spans="13:14">
      <c r="M421" s="6" t="s">
        <v>473</v>
      </c>
      <c r="N421" s="7">
        <v>4340</v>
      </c>
    </row>
    <row r="422" customHeight="1" spans="13:14">
      <c r="M422" s="6" t="s">
        <v>134</v>
      </c>
      <c r="N422" s="7">
        <v>145949.04</v>
      </c>
    </row>
    <row r="423" customHeight="1" spans="13:14">
      <c r="M423" s="6" t="s">
        <v>478</v>
      </c>
      <c r="N423" s="7">
        <v>3599.6</v>
      </c>
    </row>
    <row r="424" customHeight="1" spans="13:14">
      <c r="M424" s="6" t="s">
        <v>484</v>
      </c>
      <c r="N424" s="7">
        <v>271691.28</v>
      </c>
    </row>
    <row r="425" customHeight="1" spans="13:14">
      <c r="M425" s="6" t="s">
        <v>489</v>
      </c>
      <c r="N425" s="7">
        <v>67291.3</v>
      </c>
    </row>
    <row r="426" customHeight="1" spans="13:14">
      <c r="M426" s="6" t="s">
        <v>492</v>
      </c>
      <c r="N426" s="7">
        <v>1294</v>
      </c>
    </row>
    <row r="427" customHeight="1" spans="13:14">
      <c r="M427" s="6" t="s">
        <v>506</v>
      </c>
      <c r="N427" s="7">
        <v>99181.69</v>
      </c>
    </row>
    <row r="428" customHeight="1" spans="13:14">
      <c r="M428" s="6" t="s">
        <v>509</v>
      </c>
      <c r="N428" s="7">
        <v>0</v>
      </c>
    </row>
    <row r="429" customHeight="1" spans="13:14">
      <c r="M429" s="6" t="s">
        <v>512</v>
      </c>
      <c r="N429" s="7">
        <v>2504.64</v>
      </c>
    </row>
    <row r="430" customHeight="1" spans="13:14">
      <c r="M430" s="6" t="s">
        <v>516</v>
      </c>
      <c r="N430" s="7">
        <v>38092.5</v>
      </c>
    </row>
    <row r="431" customHeight="1" spans="13:14">
      <c r="M431" s="6" t="s">
        <v>521</v>
      </c>
      <c r="N431" s="7">
        <v>0</v>
      </c>
    </row>
    <row r="432" customHeight="1" spans="13:14">
      <c r="M432" s="6" t="s">
        <v>525</v>
      </c>
      <c r="N432" s="7">
        <v>169</v>
      </c>
    </row>
    <row r="433" customHeight="1" spans="13:14">
      <c r="M433" s="6" t="s">
        <v>140</v>
      </c>
      <c r="N433" s="7">
        <v>6867.15</v>
      </c>
    </row>
    <row r="434" customHeight="1" spans="13:14">
      <c r="M434" s="6" t="s">
        <v>532</v>
      </c>
      <c r="N434" s="7">
        <v>3040.9</v>
      </c>
    </row>
    <row r="435" customHeight="1" spans="13:14">
      <c r="M435" s="6" t="s">
        <v>536</v>
      </c>
      <c r="N435" s="7">
        <v>5739.77</v>
      </c>
    </row>
    <row r="436" customHeight="1" spans="13:14">
      <c r="M436" s="6" t="s">
        <v>539</v>
      </c>
      <c r="N436" s="7">
        <v>2304</v>
      </c>
    </row>
    <row r="437" customHeight="1" spans="13:14">
      <c r="M437" s="6" t="s">
        <v>544</v>
      </c>
      <c r="N437" s="7">
        <v>314.97</v>
      </c>
    </row>
    <row r="438" customHeight="1" spans="13:14">
      <c r="M438" s="6" t="s">
        <v>555</v>
      </c>
      <c r="N438" s="7">
        <v>1755.6</v>
      </c>
    </row>
    <row r="439" customHeight="1" spans="13:14">
      <c r="M439" s="6" t="s">
        <v>560</v>
      </c>
      <c r="N439" s="7">
        <v>140</v>
      </c>
    </row>
    <row r="440" customHeight="1" spans="13:14">
      <c r="M440" s="6" t="s">
        <v>564</v>
      </c>
      <c r="N440" s="7">
        <v>3117.4</v>
      </c>
    </row>
    <row r="441" customHeight="1" spans="13:14">
      <c r="M441" s="6" t="s">
        <v>567</v>
      </c>
      <c r="N441" s="7">
        <v>442210.61</v>
      </c>
    </row>
    <row r="442" customHeight="1" spans="13:14">
      <c r="M442" s="6" t="s">
        <v>574</v>
      </c>
      <c r="N442" s="7">
        <v>125</v>
      </c>
    </row>
    <row r="443" customHeight="1" spans="13:14">
      <c r="M443" s="6" t="s">
        <v>581</v>
      </c>
      <c r="N443" s="7">
        <v>1102.8</v>
      </c>
    </row>
    <row r="444" customHeight="1" spans="13:14">
      <c r="M444" s="6" t="s">
        <v>148</v>
      </c>
      <c r="N444" s="7">
        <v>3294</v>
      </c>
    </row>
    <row r="445" customHeight="1" spans="13:14">
      <c r="M445" s="6" t="s">
        <v>588</v>
      </c>
      <c r="N445" s="7">
        <v>2878.56</v>
      </c>
    </row>
    <row r="446" customHeight="1" spans="13:14">
      <c r="M446" s="6" t="s">
        <v>597</v>
      </c>
      <c r="N446" s="7">
        <v>13702.16</v>
      </c>
    </row>
    <row r="447" customHeight="1" spans="13:14">
      <c r="M447" s="6" t="s">
        <v>602</v>
      </c>
      <c r="N447" s="7">
        <v>87217.43</v>
      </c>
    </row>
    <row r="448" customHeight="1" spans="13:14">
      <c r="M448" s="6" t="s">
        <v>607</v>
      </c>
      <c r="N448" s="7">
        <v>2400</v>
      </c>
    </row>
    <row r="449" customHeight="1" spans="13:14">
      <c r="M449" s="6" t="s">
        <v>614</v>
      </c>
      <c r="N449" s="7">
        <v>0</v>
      </c>
    </row>
    <row r="450" customHeight="1" spans="13:14">
      <c r="M450" s="6" t="s">
        <v>618</v>
      </c>
      <c r="N450" s="7">
        <v>117.9</v>
      </c>
    </row>
    <row r="451" customHeight="1" spans="13:14">
      <c r="M451" s="6" t="s">
        <v>625</v>
      </c>
      <c r="N451" s="7">
        <v>5171.03</v>
      </c>
    </row>
    <row r="452" customHeight="1" spans="13:14">
      <c r="M452" s="6" t="s">
        <v>630</v>
      </c>
      <c r="N452" s="7">
        <v>712.5</v>
      </c>
    </row>
    <row r="453" customHeight="1" spans="13:14">
      <c r="M453" s="6" t="s">
        <v>633</v>
      </c>
      <c r="N453" s="7">
        <v>149.97</v>
      </c>
    </row>
    <row r="454" customHeight="1" spans="13:14">
      <c r="M454" s="6" t="s">
        <v>635</v>
      </c>
      <c r="N454" s="7">
        <v>999.9</v>
      </c>
    </row>
    <row r="455" customHeight="1" spans="13:14">
      <c r="M455" s="8" t="s">
        <v>3130</v>
      </c>
      <c r="N455" s="9">
        <v>11677296.2</v>
      </c>
    </row>
  </sheetData>
  <hyperlinks>
    <hyperlink ref="A28" r:id="rId9" display="Besttechtrading"/>
    <hyperlink ref="U40" r:id="rId9" display="Cctv Security Camera Wire Cord"/>
    <hyperlink ref="Y57" r:id="rId9" display="Enabot"/>
  </hyperlinks>
  <pageMargins left="0.75" right="0.75" top="1" bottom="1" header="0.5" footer="0.5"/>
  <headerFooter/>
  <drawing r:id="rId8"/>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C2:U29"/>
  <sheetViews>
    <sheetView workbookViewId="0">
      <selection activeCell="A1" sqref="A1"/>
    </sheetView>
  </sheetViews>
  <sheetFormatPr defaultColWidth="12.6285714285714" defaultRowHeight="15.75" customHeight="1"/>
  <cols>
    <col min="2" max="2" width="9.75238095238095" customWidth="1"/>
    <col min="3" max="3" width="65.1333333333333" customWidth="1"/>
    <col min="6" max="6" width="67.8761904761905" customWidth="1"/>
    <col min="8" max="8" width="13.3809523809524" customWidth="1"/>
    <col min="10" max="10" width="8.87619047619048" customWidth="1"/>
    <col min="11" max="11" width="45.1333333333333" customWidth="1"/>
    <col min="13" max="13" width="12.6285714285714" customWidth="1"/>
    <col min="14" max="14" width="10.752380952381" customWidth="1"/>
    <col min="15" max="15" width="11.247619047619" customWidth="1"/>
    <col min="16" max="16" width="11.1333333333333" customWidth="1"/>
    <col min="17" max="17" width="47.247619047619" customWidth="1"/>
    <col min="21" max="21" width="60.752380952381" customWidth="1"/>
  </cols>
  <sheetData>
    <row r="2" customHeight="1" spans="3:21">
      <c r="C2" s="1" t="s">
        <v>3131</v>
      </c>
      <c r="F2" s="1" t="s">
        <v>3132</v>
      </c>
      <c r="H2" s="1"/>
      <c r="K2" s="1" t="s">
        <v>3133</v>
      </c>
      <c r="M2" s="1"/>
      <c r="O2" s="1"/>
      <c r="Q2" s="1" t="s">
        <v>3134</v>
      </c>
      <c r="U2" s="1" t="s">
        <v>3135</v>
      </c>
    </row>
    <row r="29" customHeight="1" spans="3:6">
      <c r="C29" s="1" t="s">
        <v>3136</v>
      </c>
      <c r="F29" s="1" t="s">
        <v>3126</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9</vt:i4>
      </vt:variant>
    </vt:vector>
  </HeadingPairs>
  <TitlesOfParts>
    <vt:vector size="9" baseType="lpstr">
      <vt:lpstr>Raw_Data</vt:lpstr>
      <vt:lpstr>Working_Data</vt:lpstr>
      <vt:lpstr>Validation Work</vt:lpstr>
      <vt:lpstr>Notes</vt:lpstr>
      <vt:lpstr>Data_Issues</vt:lpstr>
      <vt:lpstr>KPI_Ideas</vt:lpstr>
      <vt:lpstr>Data_Exploration</vt:lpstr>
      <vt:lpstr>Pivot_Analysis</vt:lpstr>
      <vt:lpstr>Visualization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Miracle Ezekiel</cp:lastModifiedBy>
  <dcterms:created xsi:type="dcterms:W3CDTF">2026-06-12T22:49:26Z</dcterms:created>
  <dcterms:modified xsi:type="dcterms:W3CDTF">2026-06-12T22:50:27Z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AA2924271FE14608B610257D9B0A5D95_12</vt:lpwstr>
  </property>
  <property fmtid="{D5CDD505-2E9C-101B-9397-08002B2CF9AE}" pid="3" name="KSOProductBuildVer">
    <vt:lpwstr>1033-12.1.0.26880</vt:lpwstr>
  </property>
  <property fmtid="{D5CDD505-2E9C-101B-9397-08002B2CF9AE}" pid="4" name="CalculationRule">
    <vt:i4>0</vt:i4>
  </property>
</Properties>
</file>